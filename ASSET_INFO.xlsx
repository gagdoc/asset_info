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gagdox/Downloads/"/>
    </mc:Choice>
  </mc:AlternateContent>
  <xr:revisionPtr revIDLastSave="0" documentId="8_{38BE75F8-43B9-704B-BB1C-ED968B9DD21F}" xr6:coauthVersionLast="47" xr6:coauthVersionMax="47" xr10:uidLastSave="{00000000-0000-0000-0000-000000000000}"/>
  <bookViews>
    <workbookView xWindow="0" yWindow="740" windowWidth="29400" windowHeight="17300" xr2:uid="{00000000-000D-0000-FFFF-FFFF00000000}"/>
  </bookViews>
  <sheets>
    <sheet name="All_User" sheetId="1" r:id="rId1"/>
    <sheet name="Lease_List" sheetId="2" r:id="rId2"/>
    <sheet name="TeamsNumber" sheetId="3" r:id="rId3"/>
    <sheet name="Ipad_List" sheetId="4" r:id="rId4"/>
    <sheet name="Printer" sheetId="5" r:id="rId5"/>
    <sheet name="Monitor" sheetId="6" r:id="rId6"/>
    <sheet name="LEASE_PC_SETTING" sheetId="7" r:id="rId7"/>
    <sheet name="신규입사자" sheetId="8" r:id="rId8"/>
    <sheet name="rEfRESH" sheetId="9" r:id="rId9"/>
    <sheet name="sales" sheetId="10" r:id="rId10"/>
    <sheet name="퇴사자" sheetId="11" r:id="rId11"/>
    <sheet name="퇴사자_임시" sheetId="12" r:id="rId12"/>
    <sheet name="부서명칭" sheetId="13" r:id="rId13"/>
    <sheet name="시트20" sheetId="14" r:id="rId14"/>
    <sheet name="Old_List" sheetId="15" r:id="rId15"/>
    <sheet name="파손 히스토리" sheetId="16" r:id="rId16"/>
  </sheets>
  <definedNames>
    <definedName name="_xlnm._FilterDatabase" localSheetId="13" hidden="1">시트20!$A$1:$Z$998</definedName>
    <definedName name="_xlnm._FilterDatabase" localSheetId="0" hidden="1">All_User!$A$1:$R$1061</definedName>
    <definedName name="_xlnm._FilterDatabase" localSheetId="3" hidden="1">Ipad_List!$A$1:$M$131</definedName>
    <definedName name="_xlnm._FilterDatabase" localSheetId="1" hidden="1">Lease_List!$A$1:$I$252</definedName>
    <definedName name="_xlnm._FilterDatabase" localSheetId="6" hidden="1">LEASE_PC_SETTING!$A$1:$Z$998</definedName>
    <definedName name="_xlnm._FilterDatabase" localSheetId="14" hidden="1">Old_List!$A$1:$P$902</definedName>
    <definedName name="_xlnm._FilterDatabase" localSheetId="4" hidden="1">Printer!$A$1:$Z$997</definedName>
    <definedName name="_xlnm._FilterDatabase" localSheetId="8" hidden="1">rEfRESH!$B$1:$Z$977</definedName>
    <definedName name="_xlnm._FilterDatabase" localSheetId="9" hidden="1">sales!$A$1:$V$999</definedName>
    <definedName name="_xlnm._FilterDatabase" localSheetId="2" hidden="1">TeamsNumber!$A$1:$Z$1000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9" i="15" l="1" a="1"/>
  <c r="P119" i="15" s="1"/>
  <c r="P118" i="15" a="1"/>
  <c r="P118" i="15" s="1"/>
  <c r="P117" i="15" a="1"/>
  <c r="P117" i="15" s="1"/>
  <c r="N117" i="15" a="1"/>
  <c r="N117" i="15" s="1"/>
  <c r="P116" i="15" a="1"/>
  <c r="P116" i="15" s="1"/>
  <c r="N116" i="15" a="1"/>
  <c r="N116" i="15" s="1"/>
  <c r="P115" i="15" a="1"/>
  <c r="P115" i="15" s="1"/>
  <c r="N115" i="15" a="1"/>
  <c r="N115" i="15" s="1"/>
  <c r="P114" i="15" a="1"/>
  <c r="P114" i="15" s="1"/>
  <c r="N114" i="15" a="1"/>
  <c r="N114" i="15" s="1"/>
  <c r="P113" i="15" a="1"/>
  <c r="P113" i="15" s="1"/>
  <c r="N113" i="15" a="1"/>
  <c r="N113" i="15" s="1"/>
  <c r="P112" i="15" a="1"/>
  <c r="P112" i="15" s="1"/>
  <c r="N112" i="15" a="1"/>
  <c r="N112" i="15" s="1"/>
  <c r="P111" i="15" a="1"/>
  <c r="P111" i="15" s="1"/>
  <c r="N111" i="15" a="1"/>
  <c r="N111" i="15" s="1"/>
  <c r="P110" i="15" a="1"/>
  <c r="P110" i="15" s="1"/>
  <c r="N110" i="15" a="1"/>
  <c r="N110" i="15" s="1"/>
  <c r="P109" i="15" a="1"/>
  <c r="P109" i="15" s="1"/>
  <c r="P108" i="15" a="1"/>
  <c r="P108" i="15" s="1"/>
  <c r="P107" i="15" a="1"/>
  <c r="P107" i="15" s="1"/>
  <c r="N107" i="15" a="1"/>
  <c r="N107" i="15" s="1"/>
  <c r="P106" i="15" a="1"/>
  <c r="P106" i="15" s="1"/>
  <c r="N106" i="15" a="1"/>
  <c r="N106" i="15" s="1"/>
  <c r="P105" i="15" a="1"/>
  <c r="P105" i="15" s="1"/>
  <c r="P104" i="15" a="1"/>
  <c r="P104" i="15" s="1"/>
  <c r="P103" i="15" a="1"/>
  <c r="P103" i="15" s="1"/>
  <c r="P102" i="15" a="1"/>
  <c r="P102" i="15" s="1"/>
  <c r="N102" i="15" a="1"/>
  <c r="N102" i="15" s="1"/>
  <c r="P101" i="15" a="1"/>
  <c r="P101" i="15" s="1"/>
  <c r="P100" i="15" a="1"/>
  <c r="P100" i="15" s="1"/>
  <c r="P99" i="15" a="1"/>
  <c r="P99" i="15" s="1"/>
  <c r="P98" i="15" a="1"/>
  <c r="P98" i="15" s="1"/>
  <c r="P97" i="15" a="1"/>
  <c r="P97" i="15" s="1"/>
  <c r="N97" i="15" a="1"/>
  <c r="N97" i="15" s="1"/>
  <c r="P96" i="15" a="1"/>
  <c r="P96" i="15" s="1"/>
  <c r="N96" i="15" a="1"/>
  <c r="N96" i="15" s="1"/>
  <c r="P95" i="15" a="1"/>
  <c r="P95" i="15" s="1"/>
  <c r="N95" i="15" a="1"/>
  <c r="N95" i="15" s="1"/>
  <c r="P94" i="15" a="1"/>
  <c r="P94" i="15" s="1"/>
  <c r="P93" i="15" a="1"/>
  <c r="P93" i="15" s="1"/>
  <c r="N93" i="15" a="1"/>
  <c r="N93" i="15" s="1"/>
  <c r="P92" i="15" a="1"/>
  <c r="P92" i="15" s="1"/>
  <c r="P91" i="15" a="1"/>
  <c r="P91" i="15" s="1"/>
  <c r="N91" i="15" a="1"/>
  <c r="N91" i="15" s="1"/>
  <c r="P90" i="15" a="1"/>
  <c r="P90" i="15" s="1"/>
  <c r="N90" i="15" a="1"/>
  <c r="N90" i="15" s="1"/>
  <c r="P89" i="15" a="1"/>
  <c r="P89" i="15" s="1"/>
  <c r="P88" i="15" a="1"/>
  <c r="P88" i="15" s="1"/>
  <c r="P87" i="15" a="1"/>
  <c r="P87" i="15" s="1"/>
  <c r="P86" i="15" a="1"/>
  <c r="P86" i="15" s="1"/>
  <c r="N86" i="15" a="1"/>
  <c r="N86" i="15" s="1"/>
  <c r="P85" i="15" a="1"/>
  <c r="P85" i="15"/>
  <c r="N85" i="15" a="1"/>
  <c r="N85" i="15" s="1"/>
  <c r="P84" i="15" a="1"/>
  <c r="P84" i="15" s="1"/>
  <c r="N84" i="15" a="1"/>
  <c r="N84" i="15" s="1"/>
  <c r="P83" i="15" a="1"/>
  <c r="P83" i="15" s="1"/>
  <c r="P82" i="15" a="1"/>
  <c r="P82" i="15" s="1"/>
  <c r="P81" i="15" a="1"/>
  <c r="P81" i="15" s="1"/>
  <c r="N81" i="15" a="1"/>
  <c r="N81" i="15" s="1"/>
  <c r="P80" i="15" a="1"/>
  <c r="P80" i="15" s="1"/>
  <c r="N80" i="15" a="1"/>
  <c r="N80" i="15" s="1"/>
  <c r="P79" i="15" a="1"/>
  <c r="P79" i="15" s="1"/>
  <c r="N79" i="15" a="1"/>
  <c r="N79" i="15" s="1"/>
  <c r="P78" i="15" a="1"/>
  <c r="P78" i="15" s="1"/>
  <c r="P77" i="15" a="1"/>
  <c r="P77" i="15"/>
  <c r="P76" i="15" a="1"/>
  <c r="P76" i="15" s="1"/>
  <c r="N76" i="15" a="1"/>
  <c r="N76" i="15" s="1"/>
  <c r="P75" i="15" a="1"/>
  <c r="P75" i="15" s="1"/>
  <c r="P74" i="15" a="1"/>
  <c r="P74" i="15" s="1"/>
  <c r="P73" i="15" a="1"/>
  <c r="P73" i="15" s="1"/>
  <c r="N73" i="15" a="1"/>
  <c r="N73" i="15" s="1"/>
  <c r="P72" i="15" a="1"/>
  <c r="P72" i="15" s="1"/>
  <c r="N72" i="15" a="1"/>
  <c r="N72" i="15" s="1"/>
  <c r="P71" i="15" a="1"/>
  <c r="P71" i="15" s="1"/>
  <c r="N71" i="15" a="1"/>
  <c r="N71" i="15" s="1"/>
  <c r="P70" i="15" a="1"/>
  <c r="P70" i="15" s="1"/>
  <c r="N70" i="15" a="1"/>
  <c r="N70" i="15" s="1"/>
  <c r="P69" i="15" a="1"/>
  <c r="P69" i="15"/>
  <c r="N69" i="15" a="1"/>
  <c r="N69" i="15" s="1"/>
  <c r="P68" i="15" a="1"/>
  <c r="P68" i="15" s="1"/>
  <c r="N68" i="15" a="1"/>
  <c r="N68" i="15" s="1"/>
  <c r="P67" i="15" a="1"/>
  <c r="P67" i="15" s="1"/>
  <c r="N67" i="15" a="1"/>
  <c r="N67" i="15" s="1"/>
  <c r="P66" i="15" a="1"/>
  <c r="P66" i="15" s="1"/>
  <c r="N66" i="15" a="1"/>
  <c r="N66" i="15" s="1"/>
  <c r="P65" i="15" a="1"/>
  <c r="P65" i="15" s="1"/>
  <c r="N65" i="15" a="1"/>
  <c r="N65" i="15" s="1"/>
  <c r="P64" i="15" a="1"/>
  <c r="P64" i="15" s="1"/>
  <c r="N64" i="15" a="1"/>
  <c r="N64" i="15" s="1"/>
  <c r="P63" i="15" a="1"/>
  <c r="P63" i="15" s="1"/>
  <c r="N63" i="15" a="1"/>
  <c r="N63" i="15" s="1"/>
  <c r="P62" i="15" a="1"/>
  <c r="P62" i="15" s="1"/>
  <c r="P61" i="15" a="1"/>
  <c r="P61" i="15" s="1"/>
  <c r="P60" i="15" a="1"/>
  <c r="P60" i="15" s="1"/>
  <c r="N60" i="15" a="1"/>
  <c r="N60" i="15" s="1"/>
  <c r="P59" i="15" a="1"/>
  <c r="P59" i="15"/>
  <c r="N59" i="15" a="1"/>
  <c r="N59" i="15" s="1"/>
  <c r="P58" i="15" a="1"/>
  <c r="P58" i="15" s="1"/>
  <c r="N58" i="15" a="1"/>
  <c r="N58" i="15" s="1"/>
  <c r="P57" i="15" a="1"/>
  <c r="P57" i="15" s="1"/>
  <c r="N57" i="15" a="1"/>
  <c r="N57" i="15" s="1"/>
  <c r="P56" i="15" a="1"/>
  <c r="P56" i="15" s="1"/>
  <c r="P55" i="15" a="1"/>
  <c r="P55" i="15"/>
  <c r="P54" i="15" a="1"/>
  <c r="P54" i="15" s="1"/>
  <c r="N54" i="15" a="1"/>
  <c r="N54" i="15" s="1"/>
  <c r="P53" i="15" a="1"/>
  <c r="P53" i="15"/>
  <c r="N53" i="15" a="1"/>
  <c r="N53" i="15" s="1"/>
  <c r="P52" i="15" a="1"/>
  <c r="P52" i="15" s="1"/>
  <c r="N52" i="15" a="1"/>
  <c r="N52" i="15" s="1"/>
  <c r="P51" i="15" a="1"/>
  <c r="P51" i="15" s="1"/>
  <c r="N51" i="15" a="1"/>
  <c r="N51" i="15" s="1"/>
  <c r="P50" i="15" a="1"/>
  <c r="P50" i="15" s="1"/>
  <c r="P49" i="15" a="1"/>
  <c r="P49" i="15"/>
  <c r="N49" i="15" a="1"/>
  <c r="N49" i="15" s="1"/>
  <c r="P48" i="15" a="1"/>
  <c r="P48" i="15" s="1"/>
  <c r="N48" i="15" a="1"/>
  <c r="N48" i="15" s="1"/>
  <c r="P47" i="15" a="1"/>
  <c r="P47" i="15" s="1"/>
  <c r="P46" i="15" a="1"/>
  <c r="P46" i="15" s="1"/>
  <c r="P45" i="15" a="1"/>
  <c r="P45" i="15" s="1"/>
  <c r="N45" i="15" a="1"/>
  <c r="N45" i="15" s="1"/>
  <c r="P44" i="15" a="1"/>
  <c r="P44" i="15" s="1"/>
  <c r="N44" i="15" a="1"/>
  <c r="N44" i="15" s="1"/>
  <c r="P43" i="15" a="1"/>
  <c r="P43" i="15"/>
  <c r="N43" i="15" a="1"/>
  <c r="N43" i="15" s="1"/>
  <c r="P42" i="15" a="1"/>
  <c r="P42" i="15" s="1"/>
  <c r="N42" i="15" a="1"/>
  <c r="N42" i="15" s="1"/>
  <c r="P41" i="15" a="1"/>
  <c r="P41" i="15" s="1"/>
  <c r="P40" i="15" a="1"/>
  <c r="P40" i="15" s="1"/>
  <c r="N40" i="15" a="1"/>
  <c r="N40" i="15" s="1"/>
  <c r="P39" i="15" a="1"/>
  <c r="P39" i="15"/>
  <c r="N39" i="15" a="1"/>
  <c r="N39" i="15" s="1"/>
  <c r="P38" i="15" a="1"/>
  <c r="P38" i="15" s="1"/>
  <c r="P37" i="15" a="1"/>
  <c r="P37" i="15"/>
  <c r="P36" i="15" a="1"/>
  <c r="P36" i="15" s="1"/>
  <c r="P35" i="15" a="1"/>
  <c r="P35" i="15" s="1"/>
  <c r="P34" i="15" a="1"/>
  <c r="P34" i="15" s="1"/>
  <c r="N34" i="15" a="1"/>
  <c r="N34" i="15" s="1"/>
  <c r="P33" i="15" a="1"/>
  <c r="P33" i="15"/>
  <c r="P32" i="15" a="1"/>
  <c r="P32" i="15" s="1"/>
  <c r="N32" i="15" a="1"/>
  <c r="N32" i="15" s="1"/>
  <c r="P31" i="15" a="1"/>
  <c r="P31" i="15" s="1"/>
  <c r="P30" i="15" a="1"/>
  <c r="P30" i="15" s="1"/>
  <c r="P29" i="15" a="1"/>
  <c r="P29" i="15"/>
  <c r="N29" i="15" a="1"/>
  <c r="N29" i="15" s="1"/>
  <c r="P28" i="15" a="1"/>
  <c r="P28" i="15" s="1"/>
  <c r="P27" i="15" a="1"/>
  <c r="P27" i="15" s="1"/>
  <c r="P26" i="15" a="1"/>
  <c r="P26" i="15" s="1"/>
  <c r="N26" i="15" a="1"/>
  <c r="N26" i="15" s="1"/>
  <c r="P25" i="15" a="1"/>
  <c r="P25" i="15"/>
  <c r="N25" i="15" a="1"/>
  <c r="N25" i="15" s="1"/>
  <c r="P24" i="15" a="1"/>
  <c r="P24" i="15" s="1"/>
  <c r="N24" i="15" a="1"/>
  <c r="N24" i="15" s="1"/>
  <c r="P23" i="15" a="1"/>
  <c r="P23" i="15" s="1"/>
  <c r="P22" i="15" a="1"/>
  <c r="P22" i="15" s="1"/>
  <c r="P21" i="15" a="1"/>
  <c r="P21" i="15"/>
  <c r="P20" i="15" a="1"/>
  <c r="P20" i="15" s="1"/>
  <c r="N20" i="15" a="1"/>
  <c r="N20" i="15" s="1"/>
  <c r="P19" i="15" a="1"/>
  <c r="P19" i="15"/>
  <c r="N19" i="15" a="1"/>
  <c r="N19" i="15" s="1"/>
  <c r="P18" i="15" a="1"/>
  <c r="P18" i="15" s="1"/>
  <c r="N18" i="15" a="1"/>
  <c r="N18" i="15" s="1"/>
  <c r="P17" i="15" a="1"/>
  <c r="P17" i="15"/>
  <c r="N17" i="15" a="1"/>
  <c r="N17" i="15" s="1"/>
  <c r="P16" i="15" a="1"/>
  <c r="P16" i="15" s="1"/>
  <c r="N16" i="15" a="1"/>
  <c r="N16" i="15" s="1"/>
  <c r="P15" i="15" a="1"/>
  <c r="P15" i="15" s="1"/>
  <c r="P14" i="15" a="1"/>
  <c r="P14" i="15" s="1"/>
  <c r="N14" i="15" a="1"/>
  <c r="N14" i="15" s="1"/>
  <c r="P13" i="15" a="1"/>
  <c r="P13" i="15" s="1"/>
  <c r="P12" i="15" a="1"/>
  <c r="P12" i="15" s="1"/>
  <c r="N12" i="15" a="1"/>
  <c r="N12" i="15" s="1"/>
  <c r="P11" i="15" a="1"/>
  <c r="P11" i="15"/>
  <c r="N11" i="15" a="1"/>
  <c r="N11" i="15" s="1"/>
  <c r="P10" i="15" a="1"/>
  <c r="P10" i="15" s="1"/>
  <c r="P9" i="15" a="1"/>
  <c r="P9" i="15" s="1"/>
  <c r="N9" i="15" a="1"/>
  <c r="N9" i="15" s="1"/>
  <c r="P8" i="15" a="1"/>
  <c r="P8" i="15" s="1"/>
  <c r="P7" i="15" a="1"/>
  <c r="P7" i="15"/>
  <c r="N7" i="15" a="1"/>
  <c r="N7" i="15" s="1"/>
  <c r="P6" i="15" a="1"/>
  <c r="P6" i="15" s="1"/>
  <c r="P5" i="15" a="1"/>
  <c r="P5" i="15"/>
  <c r="N5" i="15" a="1"/>
  <c r="N5" i="15" s="1"/>
  <c r="P4" i="15" a="1"/>
  <c r="P4" i="15" s="1"/>
  <c r="P3" i="15" a="1"/>
  <c r="P3" i="15"/>
  <c r="P2" i="15" a="1"/>
  <c r="P2" i="15" s="1"/>
  <c r="D191" i="14" a="1"/>
  <c r="D191" i="14" s="1"/>
  <c r="D190" i="14" a="1"/>
  <c r="D190" i="14" s="1"/>
  <c r="D189" i="14" a="1"/>
  <c r="D189" i="14" s="1"/>
  <c r="D188" i="14" a="1"/>
  <c r="D188" i="14"/>
  <c r="D187" i="14" a="1"/>
  <c r="D187" i="14" s="1"/>
  <c r="D186" i="14" a="1"/>
  <c r="D186" i="14"/>
  <c r="D185" i="14" a="1"/>
  <c r="D185" i="14" s="1"/>
  <c r="D184" i="14" a="1"/>
  <c r="D184" i="14" s="1"/>
  <c r="D183" i="14" a="1"/>
  <c r="D183" i="14"/>
  <c r="D182" i="14" a="1"/>
  <c r="D182" i="14" s="1"/>
  <c r="D181" i="14" a="1"/>
  <c r="D181" i="14" s="1"/>
  <c r="D180" i="14" a="1"/>
  <c r="D180" i="14"/>
  <c r="D179" i="14" a="1"/>
  <c r="D179" i="14" s="1"/>
  <c r="D178" i="14" a="1"/>
  <c r="D178" i="14"/>
  <c r="D177" i="14" a="1"/>
  <c r="D177" i="14"/>
  <c r="D176" i="14" a="1"/>
  <c r="D176" i="14"/>
  <c r="D175" i="14" a="1"/>
  <c r="D175" i="14" s="1"/>
  <c r="D174" i="14" a="1"/>
  <c r="D174" i="14" s="1"/>
  <c r="D173" i="14" a="1"/>
  <c r="D173" i="14" s="1"/>
  <c r="D172" i="14" a="1"/>
  <c r="D172" i="14" s="1"/>
  <c r="C172" i="14" a="1"/>
  <c r="C172" i="14" s="1"/>
  <c r="D171" i="14" a="1"/>
  <c r="D171" i="14" s="1"/>
  <c r="D170" i="14" a="1"/>
  <c r="D170" i="14"/>
  <c r="D169" i="14" a="1"/>
  <c r="D169" i="14"/>
  <c r="D168" i="14" a="1"/>
  <c r="D168" i="14"/>
  <c r="D167" i="14" a="1"/>
  <c r="D167" i="14"/>
  <c r="D166" i="14" a="1"/>
  <c r="D166" i="14"/>
  <c r="D165" i="14" a="1"/>
  <c r="D165" i="14" s="1"/>
  <c r="D164" i="14" a="1"/>
  <c r="D164" i="14"/>
  <c r="D163" i="14" a="1"/>
  <c r="D163" i="14"/>
  <c r="D162" i="14" a="1"/>
  <c r="D162" i="14"/>
  <c r="D161" i="14" a="1"/>
  <c r="D161" i="14" s="1"/>
  <c r="D160" i="14" a="1"/>
  <c r="D160" i="14" s="1"/>
  <c r="D159" i="14" a="1"/>
  <c r="D159" i="14"/>
  <c r="D158" i="14" a="1"/>
  <c r="D158" i="14" s="1"/>
  <c r="D157" i="14" a="1"/>
  <c r="D157" i="14" s="1"/>
  <c r="D156" i="14" a="1"/>
  <c r="D156" i="14"/>
  <c r="D155" i="14" a="1"/>
  <c r="D155" i="14" s="1"/>
  <c r="D154" i="14" a="1"/>
  <c r="D154" i="14"/>
  <c r="D153" i="14" a="1"/>
  <c r="D153" i="14" s="1"/>
  <c r="D152" i="14" a="1"/>
  <c r="D152" i="14" s="1"/>
  <c r="D151" i="14" a="1"/>
  <c r="D151" i="14" s="1"/>
  <c r="D150" i="14" a="1"/>
  <c r="D150" i="14" s="1"/>
  <c r="D149" i="14" a="1"/>
  <c r="D149" i="14" s="1"/>
  <c r="D148" i="14" a="1"/>
  <c r="D148" i="14" s="1"/>
  <c r="D147" i="14" a="1"/>
  <c r="D147" i="14" s="1"/>
  <c r="D146" i="14" a="1"/>
  <c r="D146" i="14"/>
  <c r="D145" i="14" a="1"/>
  <c r="D145" i="14" s="1"/>
  <c r="D144" i="14" a="1"/>
  <c r="D144" i="14"/>
  <c r="D143" i="14" a="1"/>
  <c r="D143" i="14" s="1"/>
  <c r="D142" i="14" a="1"/>
  <c r="D142" i="14" s="1"/>
  <c r="D141" i="14" a="1"/>
  <c r="D141" i="14" s="1"/>
  <c r="D140" i="14" a="1"/>
  <c r="D140" i="14" s="1"/>
  <c r="D139" i="14" a="1"/>
  <c r="D139" i="14" s="1"/>
  <c r="D138" i="14" a="1"/>
  <c r="D138" i="14"/>
  <c r="D137" i="14" a="1"/>
  <c r="D137" i="14" s="1"/>
  <c r="D136" i="14" a="1"/>
  <c r="D136" i="14" s="1"/>
  <c r="D135" i="14" a="1"/>
  <c r="D135" i="14"/>
  <c r="D134" i="14" a="1"/>
  <c r="D134" i="14"/>
  <c r="D133" i="14" a="1"/>
  <c r="D133" i="14" s="1"/>
  <c r="D132" i="14" a="1"/>
  <c r="D132" i="14" s="1"/>
  <c r="D131" i="14" a="1"/>
  <c r="D131" i="14" s="1"/>
  <c r="D130" i="14" a="1"/>
  <c r="D130" i="14" s="1"/>
  <c r="D129" i="14" a="1"/>
  <c r="D129" i="14"/>
  <c r="D128" i="14" a="1"/>
  <c r="D128" i="14"/>
  <c r="D127" i="14" a="1"/>
  <c r="D127" i="14" s="1"/>
  <c r="D126" i="14" a="1"/>
  <c r="D126" i="14" s="1"/>
  <c r="D125" i="14" a="1"/>
  <c r="D125" i="14"/>
  <c r="D124" i="14" a="1"/>
  <c r="D124" i="14"/>
  <c r="D123" i="14" a="1"/>
  <c r="D123" i="14"/>
  <c r="D122" i="14" a="1"/>
  <c r="D122" i="14"/>
  <c r="D121" i="14" a="1"/>
  <c r="D121" i="14"/>
  <c r="D120" i="14" a="1"/>
  <c r="D120" i="14" s="1"/>
  <c r="D119" i="14" a="1"/>
  <c r="D119" i="14"/>
  <c r="D118" i="14" a="1"/>
  <c r="D118" i="14" s="1"/>
  <c r="D117" i="14" a="1"/>
  <c r="D117" i="14" s="1"/>
  <c r="D116" i="14" a="1"/>
  <c r="D116" i="14"/>
  <c r="D115" i="14" a="1"/>
  <c r="D115" i="14" s="1"/>
  <c r="D114" i="14" a="1"/>
  <c r="D114" i="14" s="1"/>
  <c r="D113" i="14" a="1"/>
  <c r="D113" i="14"/>
  <c r="D112" i="14" a="1"/>
  <c r="D112" i="14"/>
  <c r="D111" i="14" a="1"/>
  <c r="D111" i="14" s="1"/>
  <c r="D110" i="14" a="1"/>
  <c r="D110" i="14" s="1"/>
  <c r="D109" i="14" a="1"/>
  <c r="D109" i="14" s="1"/>
  <c r="D108" i="14" a="1"/>
  <c r="D108" i="14" s="1"/>
  <c r="D107" i="14" a="1"/>
  <c r="D107" i="14"/>
  <c r="D106" i="14" a="1"/>
  <c r="D106" i="14"/>
  <c r="D105" i="14" a="1"/>
  <c r="D105" i="14"/>
  <c r="D104" i="14" a="1"/>
  <c r="D104" i="14" s="1"/>
  <c r="D103" i="14" a="1"/>
  <c r="D103" i="14"/>
  <c r="D102" i="14" a="1"/>
  <c r="D102" i="14"/>
  <c r="D101" i="14" a="1"/>
  <c r="D101" i="14" s="1"/>
  <c r="D100" i="14" a="1"/>
  <c r="D100" i="14"/>
  <c r="D99" i="14" a="1"/>
  <c r="D99" i="14"/>
  <c r="D98" i="14" a="1"/>
  <c r="D98" i="14" s="1"/>
  <c r="D97" i="14" a="1"/>
  <c r="D97" i="14"/>
  <c r="D96" i="14" a="1"/>
  <c r="D96" i="14"/>
  <c r="D95" i="14" a="1"/>
  <c r="D95" i="14" s="1"/>
  <c r="D94" i="14" a="1"/>
  <c r="D94" i="14" s="1"/>
  <c r="D93" i="14" a="1"/>
  <c r="D93" i="14" s="1"/>
  <c r="D92" i="14" a="1"/>
  <c r="D92" i="14" s="1"/>
  <c r="D91" i="14" a="1"/>
  <c r="D91" i="14"/>
  <c r="D90" i="14" a="1"/>
  <c r="D90" i="14"/>
  <c r="D89" i="14" a="1"/>
  <c r="D89" i="14"/>
  <c r="D88" i="14" a="1"/>
  <c r="D88" i="14" s="1"/>
  <c r="D87" i="14" a="1"/>
  <c r="D87" i="14"/>
  <c r="D86" i="14" a="1"/>
  <c r="D86" i="14" s="1"/>
  <c r="D85" i="14" a="1"/>
  <c r="D85" i="14" s="1"/>
  <c r="D84" i="14" a="1"/>
  <c r="D84" i="14"/>
  <c r="D83" i="14" a="1"/>
  <c r="D83" i="14" s="1"/>
  <c r="D82" i="14" a="1"/>
  <c r="D82" i="14"/>
  <c r="D81" i="14" a="1"/>
  <c r="D81" i="14"/>
  <c r="D80" i="14" a="1"/>
  <c r="D80" i="14"/>
  <c r="D79" i="14" a="1"/>
  <c r="D79" i="14" s="1"/>
  <c r="D78" i="14" a="1"/>
  <c r="D78" i="14" s="1"/>
  <c r="D77" i="14" a="1"/>
  <c r="D77" i="14"/>
  <c r="D76" i="14" a="1"/>
  <c r="D76" i="14" s="1"/>
  <c r="D75" i="14" a="1"/>
  <c r="D75" i="14"/>
  <c r="D74" i="14" a="1"/>
  <c r="D74" i="14"/>
  <c r="D73" i="14" a="1"/>
  <c r="D73" i="14"/>
  <c r="D72" i="14" a="1"/>
  <c r="D72" i="14" s="1"/>
  <c r="D71" i="14" a="1"/>
  <c r="D71" i="14"/>
  <c r="D70" i="14" a="1"/>
  <c r="D70" i="14" s="1"/>
  <c r="D69" i="14" a="1"/>
  <c r="D69" i="14" s="1"/>
  <c r="D68" i="14" a="1"/>
  <c r="D68" i="14"/>
  <c r="D67" i="14" a="1"/>
  <c r="D67" i="14" s="1"/>
  <c r="D66" i="14" a="1"/>
  <c r="D66" i="14" s="1"/>
  <c r="D65" i="14" a="1"/>
  <c r="D65" i="14"/>
  <c r="D64" i="14" a="1"/>
  <c r="D64" i="14"/>
  <c r="D63" i="14" a="1"/>
  <c r="D63" i="14" s="1"/>
  <c r="D62" i="14" a="1"/>
  <c r="D62" i="14" s="1"/>
  <c r="D61" i="14" a="1"/>
  <c r="D61" i="14" s="1"/>
  <c r="D60" i="14" a="1"/>
  <c r="D60" i="14"/>
  <c r="D59" i="14" a="1"/>
  <c r="D59" i="14" s="1"/>
  <c r="D58" i="14" a="1"/>
  <c r="D58" i="14"/>
  <c r="D57" i="14" a="1"/>
  <c r="D57" i="14"/>
  <c r="D56" i="14" a="1"/>
  <c r="D56" i="14" s="1"/>
  <c r="D55" i="14" a="1"/>
  <c r="D55" i="14"/>
  <c r="D54" i="14" a="1"/>
  <c r="D54" i="14"/>
  <c r="D53" i="14" a="1"/>
  <c r="D53" i="14" s="1"/>
  <c r="D52" i="14" a="1"/>
  <c r="D52" i="14"/>
  <c r="D51" i="14" a="1"/>
  <c r="D51" i="14" s="1"/>
  <c r="D50" i="14" a="1"/>
  <c r="D50" i="14" s="1"/>
  <c r="D49" i="14" a="1"/>
  <c r="D49" i="14"/>
  <c r="D48" i="14" a="1"/>
  <c r="D48" i="14"/>
  <c r="D47" i="14" a="1"/>
  <c r="D47" i="14" s="1"/>
  <c r="D46" i="14" a="1"/>
  <c r="D46" i="14" s="1"/>
  <c r="D45" i="14" a="1"/>
  <c r="D45" i="14" s="1"/>
  <c r="D44" i="14" a="1"/>
  <c r="D44" i="14" s="1"/>
  <c r="D43" i="14" a="1"/>
  <c r="D43" i="14"/>
  <c r="D42" i="14" a="1"/>
  <c r="D42" i="14"/>
  <c r="D41" i="14" a="1"/>
  <c r="D41" i="14"/>
  <c r="D40" i="14" a="1"/>
  <c r="D40" i="14" s="1"/>
  <c r="D39" i="14" a="1"/>
  <c r="D39" i="14"/>
  <c r="D38" i="14" a="1"/>
  <c r="D38" i="14"/>
  <c r="D37" i="14" a="1"/>
  <c r="D37" i="14" s="1"/>
  <c r="D36" i="14" a="1"/>
  <c r="D36" i="14"/>
  <c r="D35" i="14" a="1"/>
  <c r="D35" i="14"/>
  <c r="D34" i="14" a="1"/>
  <c r="D34" i="14" s="1"/>
  <c r="D33" i="14" a="1"/>
  <c r="D33" i="14"/>
  <c r="D32" i="14" a="1"/>
  <c r="D32" i="14"/>
  <c r="D31" i="14" a="1"/>
  <c r="D31" i="14" s="1"/>
  <c r="D30" i="14" a="1"/>
  <c r="D30" i="14" s="1"/>
  <c r="D29" i="14" a="1"/>
  <c r="D29" i="14"/>
  <c r="D28" i="14" a="1"/>
  <c r="D28" i="14" s="1"/>
  <c r="D27" i="14" a="1"/>
  <c r="D27" i="14"/>
  <c r="D26" i="14" a="1"/>
  <c r="D26" i="14"/>
  <c r="D25" i="14" a="1"/>
  <c r="D25" i="14"/>
  <c r="D24" i="14" a="1"/>
  <c r="D24" i="14" s="1"/>
  <c r="D23" i="14" a="1"/>
  <c r="D23" i="14"/>
  <c r="D22" i="14" a="1"/>
  <c r="D22" i="14" s="1"/>
  <c r="D21" i="14" a="1"/>
  <c r="D21" i="14" s="1"/>
  <c r="D20" i="14" a="1"/>
  <c r="D20" i="14" s="1"/>
  <c r="D19" i="14" a="1"/>
  <c r="D19" i="14" s="1"/>
  <c r="D18" i="14" a="1"/>
  <c r="D18" i="14" s="1"/>
  <c r="D17" i="14" a="1"/>
  <c r="D17" i="14"/>
  <c r="D16" i="14" a="1"/>
  <c r="D16" i="14"/>
  <c r="D15" i="14" a="1"/>
  <c r="D15" i="14" s="1"/>
  <c r="D14" i="14" a="1"/>
  <c r="D14" i="14" s="1"/>
  <c r="D13" i="14" a="1"/>
  <c r="D13" i="14"/>
  <c r="D12" i="14" a="1"/>
  <c r="D12" i="14" s="1"/>
  <c r="D11" i="14" a="1"/>
  <c r="D11" i="14"/>
  <c r="D10" i="14" a="1"/>
  <c r="D10" i="14"/>
  <c r="D9" i="14" a="1"/>
  <c r="D9" i="14" s="1"/>
  <c r="D8" i="14" a="1"/>
  <c r="D8" i="14"/>
  <c r="D7" i="14" a="1"/>
  <c r="D7" i="14" s="1"/>
  <c r="D6" i="14" a="1"/>
  <c r="D6" i="14"/>
  <c r="D5" i="14" a="1"/>
  <c r="D5" i="14" s="1"/>
  <c r="D4" i="14" a="1"/>
  <c r="D4" i="14"/>
  <c r="D3" i="14" a="1"/>
  <c r="D3" i="14"/>
  <c r="D2" i="14" a="1"/>
  <c r="D2" i="14"/>
  <c r="O14" i="12" a="1"/>
  <c r="O14" i="12"/>
  <c r="N14" i="12" a="1"/>
  <c r="N14" i="12" s="1"/>
  <c r="M14" i="12" a="1"/>
  <c r="M14" i="12"/>
  <c r="L14" i="12" a="1"/>
  <c r="L14" i="12" s="1"/>
  <c r="K14" i="12" a="1"/>
  <c r="K14" i="12" s="1"/>
  <c r="H14" i="12" a="1"/>
  <c r="H14" i="12" s="1"/>
  <c r="O13" i="12" a="1"/>
  <c r="O13" i="12"/>
  <c r="N13" i="12" a="1"/>
  <c r="N13" i="12" s="1"/>
  <c r="M13" i="12" a="1"/>
  <c r="M13" i="12"/>
  <c r="L13" i="12" a="1"/>
  <c r="L13" i="12"/>
  <c r="K13" i="12" a="1"/>
  <c r="K13" i="12"/>
  <c r="H13" i="12" a="1"/>
  <c r="H13" i="12" s="1"/>
  <c r="O12" i="12" a="1"/>
  <c r="O12" i="12" s="1"/>
  <c r="N12" i="12" a="1"/>
  <c r="N12" i="12" s="1"/>
  <c r="M12" i="12" a="1"/>
  <c r="M12" i="12"/>
  <c r="L12" i="12" a="1"/>
  <c r="L12" i="12" s="1"/>
  <c r="K12" i="12" a="1"/>
  <c r="K12" i="12" s="1"/>
  <c r="H12" i="12" a="1"/>
  <c r="H12" i="12"/>
  <c r="O11" i="12" a="1"/>
  <c r="O11" i="12"/>
  <c r="N11" i="12" a="1"/>
  <c r="N11" i="12" s="1"/>
  <c r="M11" i="12" a="1"/>
  <c r="M11" i="12" s="1"/>
  <c r="L11" i="12" a="1"/>
  <c r="L11" i="12" s="1"/>
  <c r="K11" i="12" a="1"/>
  <c r="K11" i="12"/>
  <c r="H11" i="12" a="1"/>
  <c r="H11" i="12" s="1"/>
  <c r="O10" i="12" a="1"/>
  <c r="O10" i="12" s="1"/>
  <c r="N10" i="12" a="1"/>
  <c r="N10" i="12" s="1"/>
  <c r="M10" i="12" a="1"/>
  <c r="M10" i="12"/>
  <c r="L10" i="12" a="1"/>
  <c r="L10" i="12" s="1"/>
  <c r="K10" i="12" a="1"/>
  <c r="K10" i="12" s="1"/>
  <c r="H10" i="12" a="1"/>
  <c r="H10" i="12"/>
  <c r="O9" i="12" a="1"/>
  <c r="O9" i="12"/>
  <c r="N9" i="12" a="1"/>
  <c r="N9" i="12" s="1"/>
  <c r="M9" i="12" a="1"/>
  <c r="M9" i="12"/>
  <c r="L9" i="12" a="1"/>
  <c r="L9" i="12" s="1"/>
  <c r="K9" i="12" a="1"/>
  <c r="K9" i="12" s="1"/>
  <c r="H9" i="12" a="1"/>
  <c r="H9" i="12" s="1"/>
  <c r="O8" i="12" a="1"/>
  <c r="O8" i="12" s="1"/>
  <c r="N8" i="12" a="1"/>
  <c r="N8" i="12" s="1"/>
  <c r="M8" i="12" a="1"/>
  <c r="M8" i="12" s="1"/>
  <c r="L8" i="12" a="1"/>
  <c r="L8" i="12" s="1"/>
  <c r="K8" i="12" a="1"/>
  <c r="K8" i="12"/>
  <c r="H8" i="12" a="1"/>
  <c r="H8" i="12"/>
  <c r="O7" i="12" a="1"/>
  <c r="O7" i="12" s="1"/>
  <c r="N7" i="12" a="1"/>
  <c r="N7" i="12" s="1"/>
  <c r="M7" i="12" a="1"/>
  <c r="M7" i="12" s="1"/>
  <c r="L7" i="12" a="1"/>
  <c r="L7" i="12" s="1"/>
  <c r="K7" i="12" a="1"/>
  <c r="K7" i="12" s="1"/>
  <c r="H7" i="12" a="1"/>
  <c r="H7" i="12" s="1"/>
  <c r="O6" i="12" a="1"/>
  <c r="O6" i="12" s="1"/>
  <c r="N6" i="12" a="1"/>
  <c r="N6" i="12"/>
  <c r="M6" i="12" a="1"/>
  <c r="M6" i="12"/>
  <c r="L6" i="12" a="1"/>
  <c r="L6" i="12" s="1"/>
  <c r="K6" i="12" a="1"/>
  <c r="K6" i="12" s="1"/>
  <c r="H6" i="12" a="1"/>
  <c r="H6" i="12" s="1"/>
  <c r="O5" i="12" a="1"/>
  <c r="O5" i="12" s="1"/>
  <c r="N5" i="12" a="1"/>
  <c r="N5" i="12" s="1"/>
  <c r="M5" i="12" a="1"/>
  <c r="M5" i="12" s="1"/>
  <c r="L5" i="12" a="1"/>
  <c r="L5" i="12"/>
  <c r="K5" i="12" a="1"/>
  <c r="K5" i="12"/>
  <c r="H5" i="12" a="1"/>
  <c r="H5" i="12" s="1"/>
  <c r="O4" i="12" a="1"/>
  <c r="O4" i="12" s="1"/>
  <c r="N4" i="12" a="1"/>
  <c r="N4" i="12" s="1"/>
  <c r="M4" i="12" a="1"/>
  <c r="M4" i="12" s="1"/>
  <c r="L4" i="12" a="1"/>
  <c r="L4" i="12" s="1"/>
  <c r="K4" i="12" a="1"/>
  <c r="K4" i="12"/>
  <c r="H4" i="12" a="1"/>
  <c r="H4" i="12" s="1"/>
  <c r="O3" i="12" a="1"/>
  <c r="O3" i="12" s="1"/>
  <c r="N3" i="12" a="1"/>
  <c r="N3" i="12" s="1"/>
  <c r="M3" i="12" a="1"/>
  <c r="M3" i="12" s="1"/>
  <c r="L3" i="12" a="1"/>
  <c r="L3" i="12" s="1"/>
  <c r="K3" i="12" a="1"/>
  <c r="K3" i="12" s="1"/>
  <c r="H3" i="12" a="1"/>
  <c r="H3" i="12" s="1"/>
  <c r="O2" i="12" a="1"/>
  <c r="O2" i="12"/>
  <c r="N2" i="12" a="1"/>
  <c r="N2" i="12"/>
  <c r="M2" i="12" a="1"/>
  <c r="M2" i="12"/>
  <c r="L2" i="12" a="1"/>
  <c r="L2" i="12" s="1"/>
  <c r="K2" i="12" a="1"/>
  <c r="K2" i="12" s="1"/>
  <c r="H2" i="12" a="1"/>
  <c r="H2" i="12" s="1"/>
  <c r="O1" i="12" a="1"/>
  <c r="O1" i="12" s="1"/>
  <c r="N1" i="12" a="1"/>
  <c r="N1" i="12" s="1"/>
  <c r="M1" i="12" a="1"/>
  <c r="M1" i="12"/>
  <c r="L1" i="12" a="1"/>
  <c r="L1" i="12"/>
  <c r="K1" i="12" a="1"/>
  <c r="K1" i="12"/>
  <c r="H1" i="12" a="1"/>
  <c r="H1" i="12" s="1"/>
  <c r="K24" i="11" a="1"/>
  <c r="K24" i="11"/>
  <c r="G24" i="11" a="1"/>
  <c r="G24" i="11"/>
  <c r="K23" i="11" a="1"/>
  <c r="K23" i="11"/>
  <c r="G23" i="11" a="1"/>
  <c r="G23" i="11" s="1"/>
  <c r="G22" i="11" a="1"/>
  <c r="G22" i="11"/>
  <c r="K21" i="11" a="1"/>
  <c r="K21" i="11"/>
  <c r="G21" i="11" a="1"/>
  <c r="G21" i="11"/>
  <c r="G20" i="11" a="1"/>
  <c r="G20" i="11" s="1"/>
  <c r="G19" i="11" a="1"/>
  <c r="G19" i="11"/>
  <c r="G18" i="11" a="1"/>
  <c r="G18" i="11"/>
  <c r="G17" i="11" a="1"/>
  <c r="G17" i="11"/>
  <c r="K16" i="11" a="1"/>
  <c r="K16" i="11" s="1"/>
  <c r="G16" i="11" a="1"/>
  <c r="G16" i="11"/>
  <c r="G15" i="11" a="1"/>
  <c r="G15" i="11"/>
  <c r="K14" i="11" a="1"/>
  <c r="K14" i="11"/>
  <c r="G14" i="11" a="1"/>
  <c r="G14" i="11" s="1"/>
  <c r="K13" i="11" a="1"/>
  <c r="K13" i="11"/>
  <c r="G13" i="11" a="1"/>
  <c r="G13" i="11"/>
  <c r="K12" i="11" a="1"/>
  <c r="K12" i="11"/>
  <c r="G12" i="11" a="1"/>
  <c r="G12" i="11" s="1"/>
  <c r="K11" i="11" a="1"/>
  <c r="K11" i="11"/>
  <c r="G11" i="11" a="1"/>
  <c r="G11" i="11"/>
  <c r="K10" i="11" a="1"/>
  <c r="K10" i="11"/>
  <c r="G10" i="11" a="1"/>
  <c r="G10" i="11" s="1"/>
  <c r="K9" i="11" a="1"/>
  <c r="K9" i="11"/>
  <c r="G9" i="11" a="1"/>
  <c r="G9" i="11"/>
  <c r="K8" i="11" a="1"/>
  <c r="K8" i="11"/>
  <c r="G8" i="11" a="1"/>
  <c r="G8" i="11" s="1"/>
  <c r="K7" i="11" a="1"/>
  <c r="K7" i="11"/>
  <c r="G7" i="11" a="1"/>
  <c r="G7" i="11"/>
  <c r="K6" i="11" a="1"/>
  <c r="K6" i="11"/>
  <c r="G6" i="11" a="1"/>
  <c r="G6" i="11" s="1"/>
  <c r="K5" i="11" a="1"/>
  <c r="K5" i="11"/>
  <c r="G5" i="11" a="1"/>
  <c r="G5" i="11"/>
  <c r="K4" i="11" a="1"/>
  <c r="K4" i="11"/>
  <c r="G4" i="11" a="1"/>
  <c r="G4" i="11" s="1"/>
  <c r="K3" i="11" a="1"/>
  <c r="K3" i="11"/>
  <c r="G3" i="11" a="1"/>
  <c r="G3" i="11"/>
  <c r="H113" i="10" a="1"/>
  <c r="H113" i="10" s="1"/>
  <c r="G113" i="10" a="1"/>
  <c r="G113" i="10" s="1"/>
  <c r="H112" i="10" a="1"/>
  <c r="H112" i="10"/>
  <c r="G112" i="10" a="1"/>
  <c r="G112" i="10"/>
  <c r="L68" i="5" s="1" a="1"/>
  <c r="L68" i="5" s="1"/>
  <c r="H111" i="10" a="1"/>
  <c r="H111" i="10" s="1"/>
  <c r="G111" i="10" a="1"/>
  <c r="G111" i="10" s="1"/>
  <c r="L67" i="5" s="1" a="1"/>
  <c r="J110" i="10" a="1"/>
  <c r="J110" i="10"/>
  <c r="H110" i="10" a="1"/>
  <c r="H110" i="10"/>
  <c r="G110" i="10" a="1"/>
  <c r="G110" i="10" s="1"/>
  <c r="J109" i="10" a="1"/>
  <c r="J109" i="10" s="1"/>
  <c r="H109" i="10" a="1"/>
  <c r="H109" i="10"/>
  <c r="G109" i="10" a="1"/>
  <c r="G109" i="10"/>
  <c r="J108" i="10" a="1"/>
  <c r="J108" i="10" s="1"/>
  <c r="H108" i="10" a="1"/>
  <c r="H108" i="10" s="1"/>
  <c r="G108" i="10" a="1"/>
  <c r="G108" i="10"/>
  <c r="J107" i="10" a="1"/>
  <c r="J107" i="10"/>
  <c r="H107" i="10" a="1"/>
  <c r="H107" i="10" s="1"/>
  <c r="G107" i="10" a="1"/>
  <c r="G107" i="10" s="1"/>
  <c r="L16" i="5" s="1" a="1"/>
  <c r="L16" i="5" s="1"/>
  <c r="J106" i="10" a="1"/>
  <c r="J106" i="10"/>
  <c r="H106" i="10" a="1"/>
  <c r="H106" i="10"/>
  <c r="G106" i="10" a="1"/>
  <c r="G106" i="10" s="1"/>
  <c r="H105" i="10" a="1"/>
  <c r="H105" i="10" s="1"/>
  <c r="G105" i="10" a="1"/>
  <c r="G105" i="10"/>
  <c r="H104" i="10" a="1"/>
  <c r="H104" i="10"/>
  <c r="G104" i="10" a="1"/>
  <c r="G104" i="10" s="1"/>
  <c r="J103" i="10" a="1"/>
  <c r="J103" i="10" s="1"/>
  <c r="H103" i="10" a="1"/>
  <c r="H103" i="10"/>
  <c r="G103" i="10" a="1"/>
  <c r="G103" i="10"/>
  <c r="J102" i="10" a="1"/>
  <c r="J102" i="10" s="1"/>
  <c r="H102" i="10" a="1"/>
  <c r="H102" i="10" s="1"/>
  <c r="G102" i="10" a="1"/>
  <c r="G102" i="10"/>
  <c r="J101" i="10" a="1"/>
  <c r="J101" i="10"/>
  <c r="H101" i="10" a="1"/>
  <c r="H101" i="10" s="1"/>
  <c r="G101" i="10" a="1"/>
  <c r="G101" i="10" s="1"/>
  <c r="L58" i="5" s="1" a="1"/>
  <c r="L58" i="5" s="1"/>
  <c r="J100" i="10" a="1"/>
  <c r="J100" i="10"/>
  <c r="H100" i="10" a="1"/>
  <c r="H100" i="10"/>
  <c r="G100" i="10" a="1"/>
  <c r="G100" i="10" s="1"/>
  <c r="J99" i="10" a="1"/>
  <c r="J99" i="10" s="1"/>
  <c r="H99" i="10" a="1"/>
  <c r="H99" i="10"/>
  <c r="G99" i="10" a="1"/>
  <c r="G99" i="10"/>
  <c r="L29" i="5" s="1" a="1"/>
  <c r="L29" i="5" s="1"/>
  <c r="J98" i="10" a="1"/>
  <c r="J98" i="10" s="1"/>
  <c r="H98" i="10" a="1"/>
  <c r="H98" i="10" s="1"/>
  <c r="G98" i="10" a="1"/>
  <c r="G98" i="10"/>
  <c r="J97" i="10" a="1"/>
  <c r="J97" i="10"/>
  <c r="H97" i="10" a="1"/>
  <c r="H97" i="10" s="1"/>
  <c r="G97" i="10" a="1"/>
  <c r="G97" i="10" s="1"/>
  <c r="J96" i="10" a="1"/>
  <c r="J96" i="10"/>
  <c r="H96" i="10" a="1"/>
  <c r="H96" i="10"/>
  <c r="G96" i="10" a="1"/>
  <c r="G96" i="10" s="1"/>
  <c r="L70" i="5" s="1" a="1"/>
  <c r="L70" i="5" s="1"/>
  <c r="J95" i="10" a="1"/>
  <c r="J95" i="10" s="1"/>
  <c r="H95" i="10" a="1"/>
  <c r="H95" i="10"/>
  <c r="G95" i="10" a="1"/>
  <c r="G95" i="10"/>
  <c r="J94" i="10" a="1"/>
  <c r="J94" i="10" s="1"/>
  <c r="H94" i="10" a="1"/>
  <c r="H94" i="10" s="1"/>
  <c r="G94" i="10" a="1"/>
  <c r="G94" i="10"/>
  <c r="J93" i="10" a="1"/>
  <c r="J93" i="10"/>
  <c r="H93" i="10" a="1"/>
  <c r="H93" i="10" s="1"/>
  <c r="G93" i="10" a="1"/>
  <c r="G93" i="10" s="1"/>
  <c r="L57" i="5" s="1" a="1"/>
  <c r="J92" i="10" a="1"/>
  <c r="J92" i="10"/>
  <c r="H92" i="10" a="1"/>
  <c r="H92" i="10"/>
  <c r="G92" i="10" a="1"/>
  <c r="G92" i="10" s="1"/>
  <c r="J91" i="10" a="1"/>
  <c r="J91" i="10" s="1"/>
  <c r="H91" i="10" a="1"/>
  <c r="H91" i="10"/>
  <c r="G91" i="10" a="1"/>
  <c r="G91" i="10"/>
  <c r="J90" i="10" a="1"/>
  <c r="J90" i="10" s="1"/>
  <c r="H90" i="10" a="1"/>
  <c r="H90" i="10" s="1"/>
  <c r="G90" i="10" a="1"/>
  <c r="G90" i="10"/>
  <c r="J89" i="10" a="1"/>
  <c r="J89" i="10"/>
  <c r="H89" i="10" a="1"/>
  <c r="H89" i="10" s="1"/>
  <c r="G89" i="10" a="1"/>
  <c r="G89" i="10" s="1"/>
  <c r="J88" i="10" a="1"/>
  <c r="J88" i="10"/>
  <c r="H88" i="10" a="1"/>
  <c r="H88" i="10"/>
  <c r="G88" i="10" a="1"/>
  <c r="G88" i="10" s="1"/>
  <c r="J87" i="10" a="1"/>
  <c r="J87" i="10" s="1"/>
  <c r="H87" i="10" a="1"/>
  <c r="H87" i="10"/>
  <c r="G87" i="10" a="1"/>
  <c r="G87" i="10"/>
  <c r="J86" i="10" a="1"/>
  <c r="J86" i="10" s="1"/>
  <c r="H86" i="10" a="1"/>
  <c r="H86" i="10" s="1"/>
  <c r="G86" i="10" a="1"/>
  <c r="G86" i="10"/>
  <c r="J85" i="10" a="1"/>
  <c r="J85" i="10"/>
  <c r="H85" i="10" a="1"/>
  <c r="H85" i="10" s="1"/>
  <c r="G85" i="10" a="1"/>
  <c r="G85" i="10" s="1"/>
  <c r="J84" i="10" a="1"/>
  <c r="J84" i="10"/>
  <c r="H84" i="10" a="1"/>
  <c r="H84" i="10"/>
  <c r="G84" i="10" a="1"/>
  <c r="G84" i="10" s="1"/>
  <c r="J83" i="10" a="1"/>
  <c r="J83" i="10" s="1"/>
  <c r="H83" i="10" a="1"/>
  <c r="H83" i="10"/>
  <c r="G83" i="10" a="1"/>
  <c r="G83" i="10"/>
  <c r="J82" i="10" a="1"/>
  <c r="J82" i="10" s="1"/>
  <c r="H82" i="10" a="1"/>
  <c r="H82" i="10" s="1"/>
  <c r="G82" i="10" a="1"/>
  <c r="G82" i="10"/>
  <c r="J81" i="10" a="1"/>
  <c r="J81" i="10"/>
  <c r="H81" i="10" a="1"/>
  <c r="H81" i="10" s="1"/>
  <c r="G81" i="10" a="1"/>
  <c r="G81" i="10" s="1"/>
  <c r="L48" i="5" s="1" a="1"/>
  <c r="L48" i="5" s="1"/>
  <c r="J80" i="10" a="1"/>
  <c r="J80" i="10"/>
  <c r="H80" i="10" a="1"/>
  <c r="H80" i="10"/>
  <c r="G80" i="10" a="1"/>
  <c r="G80" i="10" s="1"/>
  <c r="J79" i="10" a="1"/>
  <c r="J79" i="10" s="1"/>
  <c r="H79" i="10" a="1"/>
  <c r="H79" i="10"/>
  <c r="G79" i="10" a="1"/>
  <c r="G79" i="10"/>
  <c r="J78" i="10" a="1"/>
  <c r="J78" i="10" s="1"/>
  <c r="H78" i="10" a="1"/>
  <c r="H78" i="10" s="1"/>
  <c r="G78" i="10" a="1"/>
  <c r="G78" i="10"/>
  <c r="J77" i="10" a="1"/>
  <c r="J77" i="10"/>
  <c r="H77" i="10" a="1"/>
  <c r="H77" i="10" s="1"/>
  <c r="G77" i="10" a="1"/>
  <c r="G77" i="10" s="1"/>
  <c r="L61" i="5" s="1" a="1"/>
  <c r="L61" i="5" s="1"/>
  <c r="J76" i="10" a="1"/>
  <c r="J76" i="10"/>
  <c r="H76" i="10" a="1"/>
  <c r="H76" i="10"/>
  <c r="G76" i="10" a="1"/>
  <c r="G76" i="10" s="1"/>
  <c r="J75" i="10" a="1"/>
  <c r="J75" i="10" s="1"/>
  <c r="H75" i="10" a="1"/>
  <c r="H75" i="10"/>
  <c r="G75" i="10" a="1"/>
  <c r="G75" i="10"/>
  <c r="J74" i="10" a="1"/>
  <c r="J74" i="10" s="1"/>
  <c r="H74" i="10" a="1"/>
  <c r="H74" i="10" s="1"/>
  <c r="G74" i="10" a="1"/>
  <c r="G74" i="10"/>
  <c r="J73" i="10" a="1"/>
  <c r="J73" i="10"/>
  <c r="H73" i="10" a="1"/>
  <c r="H73" i="10" s="1"/>
  <c r="G73" i="10" a="1"/>
  <c r="G73" i="10" s="1"/>
  <c r="J72" i="10" a="1"/>
  <c r="J72" i="10"/>
  <c r="H72" i="10" a="1"/>
  <c r="H72" i="10"/>
  <c r="G72" i="10" a="1"/>
  <c r="G72" i="10" s="1"/>
  <c r="J71" i="10" a="1"/>
  <c r="J71" i="10" s="1"/>
  <c r="H71" i="10" a="1"/>
  <c r="H71" i="10"/>
  <c r="G71" i="10" a="1"/>
  <c r="G71" i="10"/>
  <c r="J70" i="10" a="1"/>
  <c r="J70" i="10" s="1"/>
  <c r="H70" i="10" a="1"/>
  <c r="H70" i="10" s="1"/>
  <c r="G70" i="10" a="1"/>
  <c r="G70" i="10"/>
  <c r="J69" i="10" a="1"/>
  <c r="J69" i="10"/>
  <c r="H69" i="10" a="1"/>
  <c r="H69" i="10" s="1"/>
  <c r="G69" i="10" a="1"/>
  <c r="G69" i="10" s="1"/>
  <c r="J68" i="10" a="1"/>
  <c r="J68" i="10"/>
  <c r="H68" i="10" a="1"/>
  <c r="H68" i="10"/>
  <c r="G68" i="10" a="1"/>
  <c r="G68" i="10" s="1"/>
  <c r="J67" i="10" a="1"/>
  <c r="J67" i="10" s="1"/>
  <c r="H67" i="10" a="1"/>
  <c r="H67" i="10"/>
  <c r="G67" i="10" a="1"/>
  <c r="G67" i="10"/>
  <c r="J66" i="10" a="1"/>
  <c r="J66" i="10" s="1"/>
  <c r="H66" i="10" a="1"/>
  <c r="H66" i="10" s="1"/>
  <c r="G66" i="10" a="1"/>
  <c r="G66" i="10" s="1"/>
  <c r="J65" i="10" a="1"/>
  <c r="J65" i="10"/>
  <c r="H65" i="10" a="1"/>
  <c r="H65" i="10"/>
  <c r="G65" i="10" a="1"/>
  <c r="G65" i="10"/>
  <c r="L42" i="5" s="1" a="1"/>
  <c r="L42" i="5" s="1"/>
  <c r="J64" i="10" a="1"/>
  <c r="J64" i="10" s="1"/>
  <c r="H64" i="10" a="1"/>
  <c r="H64" i="10"/>
  <c r="G64" i="10" a="1"/>
  <c r="G64" i="10"/>
  <c r="J63" i="10" a="1"/>
  <c r="J63" i="10" s="1"/>
  <c r="H63" i="10" a="1"/>
  <c r="H63" i="10" s="1"/>
  <c r="G63" i="10" a="1"/>
  <c r="G63" i="10"/>
  <c r="L51" i="5" s="1" a="1"/>
  <c r="J62" i="10" a="1"/>
  <c r="J62" i="10"/>
  <c r="H62" i="10" a="1"/>
  <c r="H62" i="10"/>
  <c r="G62" i="10" a="1"/>
  <c r="G62" i="10" s="1"/>
  <c r="J61" i="10" a="1"/>
  <c r="J61" i="10" s="1"/>
  <c r="H61" i="10" a="1"/>
  <c r="H61" i="10" s="1"/>
  <c r="G61" i="10" a="1"/>
  <c r="G61" i="10"/>
  <c r="J60" i="10" a="1"/>
  <c r="J60" i="10" s="1"/>
  <c r="H60" i="10" a="1"/>
  <c r="H60" i="10"/>
  <c r="G60" i="10" a="1"/>
  <c r="G60" i="10"/>
  <c r="L10" i="5" s="1" a="1"/>
  <c r="L10" i="5" s="1"/>
  <c r="J59" i="10" a="1"/>
  <c r="J59" i="10"/>
  <c r="H59" i="10" a="1"/>
  <c r="H59" i="10" s="1"/>
  <c r="G59" i="10" a="1"/>
  <c r="G59" i="10" s="1"/>
  <c r="J58" i="10" a="1"/>
  <c r="J58" i="10" s="1"/>
  <c r="H58" i="10" a="1"/>
  <c r="H58" i="10" s="1"/>
  <c r="G58" i="10" a="1"/>
  <c r="G58" i="10" s="1"/>
  <c r="J57" i="10" a="1"/>
  <c r="J57" i="10"/>
  <c r="H57" i="10" a="1"/>
  <c r="H57" i="10"/>
  <c r="G57" i="10" a="1"/>
  <c r="G57" i="10"/>
  <c r="J56" i="10" a="1"/>
  <c r="J56" i="10" s="1"/>
  <c r="H56" i="10" a="1"/>
  <c r="H56" i="10"/>
  <c r="G56" i="10" a="1"/>
  <c r="G56" i="10" s="1"/>
  <c r="J55" i="10" a="1"/>
  <c r="J55" i="10" s="1"/>
  <c r="H55" i="10" a="1"/>
  <c r="H55" i="10" s="1"/>
  <c r="G55" i="10" a="1"/>
  <c r="G55" i="10"/>
  <c r="J54" i="10" a="1"/>
  <c r="J54" i="10"/>
  <c r="H54" i="10" a="1"/>
  <c r="H54" i="10"/>
  <c r="G54" i="10" a="1"/>
  <c r="G54" i="10" s="1"/>
  <c r="J53" i="10" a="1"/>
  <c r="J53" i="10" s="1"/>
  <c r="H53" i="10" a="1"/>
  <c r="H53" i="10"/>
  <c r="G53" i="10" a="1"/>
  <c r="G53" i="10" s="1"/>
  <c r="L9" i="5" s="1" a="1"/>
  <c r="J52" i="10" a="1"/>
  <c r="J52" i="10" s="1"/>
  <c r="H52" i="10" a="1"/>
  <c r="H52" i="10"/>
  <c r="G52" i="10" a="1"/>
  <c r="G52" i="10"/>
  <c r="J51" i="10" a="1"/>
  <c r="J51" i="10"/>
  <c r="H51" i="10" a="1"/>
  <c r="H51" i="10" s="1"/>
  <c r="G51" i="10" a="1"/>
  <c r="G51" i="10" s="1"/>
  <c r="J50" i="10" a="1"/>
  <c r="J50" i="10" s="1"/>
  <c r="H50" i="10" a="1"/>
  <c r="H50" i="10"/>
  <c r="G50" i="10" a="1"/>
  <c r="G50" i="10" s="1"/>
  <c r="J49" i="10" a="1"/>
  <c r="J49" i="10"/>
  <c r="H49" i="10" a="1"/>
  <c r="H49" i="10"/>
  <c r="G49" i="10" a="1"/>
  <c r="G49" i="10"/>
  <c r="J48" i="10" a="1"/>
  <c r="J48" i="10" s="1"/>
  <c r="H48" i="10" a="1"/>
  <c r="H48" i="10" s="1"/>
  <c r="G48" i="10" a="1"/>
  <c r="G48" i="10" s="1"/>
  <c r="J47" i="10" a="1"/>
  <c r="J47" i="10" s="1"/>
  <c r="H47" i="10" a="1"/>
  <c r="H47" i="10" s="1"/>
  <c r="G47" i="10" a="1"/>
  <c r="G47" i="10"/>
  <c r="J46" i="10" a="1"/>
  <c r="J46" i="10"/>
  <c r="H46" i="10" a="1"/>
  <c r="H46" i="10"/>
  <c r="G46" i="10" a="1"/>
  <c r="G46" i="10" s="1"/>
  <c r="J45" i="10" a="1"/>
  <c r="J45" i="10"/>
  <c r="H45" i="10" a="1"/>
  <c r="H45" i="10" s="1"/>
  <c r="G45" i="10" a="1"/>
  <c r="G45" i="10" s="1"/>
  <c r="J44" i="10" a="1"/>
  <c r="J44" i="10" s="1"/>
  <c r="H44" i="10" a="1"/>
  <c r="H44" i="10"/>
  <c r="G44" i="10" a="1"/>
  <c r="G44" i="10"/>
  <c r="L7" i="5" s="1" a="1"/>
  <c r="L7" i="5" s="1"/>
  <c r="J43" i="10" a="1"/>
  <c r="J43" i="10"/>
  <c r="H43" i="10" a="1"/>
  <c r="H43" i="10" s="1"/>
  <c r="G43" i="10" a="1"/>
  <c r="G43" i="10" s="1"/>
  <c r="L37" i="5" s="1" a="1"/>
  <c r="L37" i="5" s="1"/>
  <c r="J42" i="10" a="1"/>
  <c r="J42" i="10"/>
  <c r="H42" i="10" a="1"/>
  <c r="H42" i="10" s="1"/>
  <c r="G42" i="10" a="1"/>
  <c r="G42" i="10" s="1"/>
  <c r="L28" i="5" s="1" a="1"/>
  <c r="L28" i="5" s="1"/>
  <c r="J41" i="10" a="1"/>
  <c r="J41" i="10"/>
  <c r="H41" i="10" a="1"/>
  <c r="H41" i="10"/>
  <c r="G41" i="10" a="1"/>
  <c r="G41" i="10"/>
  <c r="J40" i="10" a="1"/>
  <c r="J40" i="10" s="1"/>
  <c r="H40" i="10" a="1"/>
  <c r="H40" i="10" s="1"/>
  <c r="G40" i="10" a="1"/>
  <c r="G40" i="10" s="1"/>
  <c r="J39" i="10" a="1"/>
  <c r="J39" i="10"/>
  <c r="H39" i="10" a="1"/>
  <c r="H39" i="10" s="1"/>
  <c r="G39" i="10" a="1"/>
  <c r="G39" i="10"/>
  <c r="J38" i="10" a="1"/>
  <c r="J38" i="10"/>
  <c r="H38" i="10" a="1"/>
  <c r="H38" i="10"/>
  <c r="G38" i="10" a="1"/>
  <c r="G38" i="10" s="1"/>
  <c r="J37" i="10" a="1"/>
  <c r="J37" i="10" s="1"/>
  <c r="H37" i="10" a="1"/>
  <c r="H37" i="10" s="1"/>
  <c r="G37" i="10" a="1"/>
  <c r="G37" i="10" s="1"/>
  <c r="J36" i="10" a="1"/>
  <c r="J36" i="10" s="1"/>
  <c r="H36" i="10" a="1"/>
  <c r="H36" i="10"/>
  <c r="G36" i="10" a="1"/>
  <c r="G36" i="10"/>
  <c r="J35" i="10" a="1"/>
  <c r="J35" i="10"/>
  <c r="H35" i="10" a="1"/>
  <c r="H35" i="10" s="1"/>
  <c r="G35" i="10" a="1"/>
  <c r="G35" i="10"/>
  <c r="L20" i="5" s="1" a="1"/>
  <c r="L20" i="5" s="1"/>
  <c r="J34" i="10" a="1"/>
  <c r="J34" i="10" s="1"/>
  <c r="H34" i="10" a="1"/>
  <c r="H34" i="10" s="1"/>
  <c r="G34" i="10" a="1"/>
  <c r="G34" i="10" s="1"/>
  <c r="J33" i="10" a="1"/>
  <c r="J33" i="10"/>
  <c r="H33" i="10" a="1"/>
  <c r="H33" i="10"/>
  <c r="G33" i="10" a="1"/>
  <c r="G33" i="10"/>
  <c r="J32" i="10" a="1"/>
  <c r="J32" i="10" s="1"/>
  <c r="H32" i="10" a="1"/>
  <c r="H32" i="10" s="1"/>
  <c r="G32" i="10" a="1"/>
  <c r="G32" i="10"/>
  <c r="J31" i="10" a="1"/>
  <c r="J31" i="10" s="1"/>
  <c r="H31" i="10" a="1"/>
  <c r="H31" i="10" s="1"/>
  <c r="G31" i="10" a="1"/>
  <c r="G31" i="10"/>
  <c r="J30" i="10" a="1"/>
  <c r="J30" i="10"/>
  <c r="H30" i="10" a="1"/>
  <c r="H30" i="10"/>
  <c r="G30" i="10" a="1"/>
  <c r="G30" i="10" s="1"/>
  <c r="J29" i="10" a="1"/>
  <c r="J29" i="10" s="1"/>
  <c r="H29" i="10" a="1"/>
  <c r="H29" i="10" s="1"/>
  <c r="G29" i="10" a="1"/>
  <c r="G29" i="10"/>
  <c r="J28" i="10" a="1"/>
  <c r="J28" i="10" s="1"/>
  <c r="H28" i="10" a="1"/>
  <c r="H28" i="10"/>
  <c r="G28" i="10" a="1"/>
  <c r="G28" i="10"/>
  <c r="J27" i="10" a="1"/>
  <c r="J27" i="10"/>
  <c r="H27" i="10" a="1"/>
  <c r="H27" i="10" s="1"/>
  <c r="G27" i="10" a="1"/>
  <c r="G27" i="10" s="1"/>
  <c r="J26" i="10" a="1"/>
  <c r="J26" i="10" s="1"/>
  <c r="H26" i="10" a="1"/>
  <c r="H26" i="10" s="1"/>
  <c r="G26" i="10" a="1"/>
  <c r="G26" i="10" s="1"/>
  <c r="J25" i="10" a="1"/>
  <c r="J25" i="10"/>
  <c r="H25" i="10" a="1"/>
  <c r="H25" i="10"/>
  <c r="G25" i="10" a="1"/>
  <c r="G25" i="10"/>
  <c r="J24" i="10" a="1"/>
  <c r="J24" i="10" s="1"/>
  <c r="H24" i="10" a="1"/>
  <c r="H24" i="10"/>
  <c r="G24" i="10" a="1"/>
  <c r="G24" i="10" s="1"/>
  <c r="J23" i="10" a="1"/>
  <c r="J23" i="10" s="1"/>
  <c r="H23" i="10" a="1"/>
  <c r="H23" i="10" s="1"/>
  <c r="G23" i="10" a="1"/>
  <c r="G23" i="10"/>
  <c r="J22" i="10" a="1"/>
  <c r="J22" i="10"/>
  <c r="H22" i="10" a="1"/>
  <c r="H22" i="10"/>
  <c r="G22" i="10" a="1"/>
  <c r="G22" i="10" s="1"/>
  <c r="J21" i="10" a="1"/>
  <c r="J21" i="10" s="1"/>
  <c r="H21" i="10" a="1"/>
  <c r="H21" i="10"/>
  <c r="G21" i="10" a="1"/>
  <c r="G21" i="10" s="1"/>
  <c r="J20" i="10" a="1"/>
  <c r="J20" i="10" s="1"/>
  <c r="H20" i="10" a="1"/>
  <c r="H20" i="10"/>
  <c r="G20" i="10" a="1"/>
  <c r="G20" i="10"/>
  <c r="J19" i="10" a="1"/>
  <c r="J19" i="10"/>
  <c r="H19" i="10" a="1"/>
  <c r="H19" i="10" s="1"/>
  <c r="G19" i="10" a="1"/>
  <c r="G19" i="10" s="1"/>
  <c r="L45" i="5" s="1" a="1"/>
  <c r="J18" i="10" a="1"/>
  <c r="J18" i="10" s="1"/>
  <c r="H18" i="10" a="1"/>
  <c r="H18" i="10"/>
  <c r="G18" i="10" a="1"/>
  <c r="G18" i="10" s="1"/>
  <c r="J17" i="10" a="1"/>
  <c r="J17" i="10"/>
  <c r="H17" i="10" a="1"/>
  <c r="H17" i="10"/>
  <c r="G17" i="10" a="1"/>
  <c r="G17" i="10"/>
  <c r="J16" i="10" a="1"/>
  <c r="J16" i="10" s="1"/>
  <c r="H16" i="10" a="1"/>
  <c r="H16" i="10" s="1"/>
  <c r="G16" i="10" a="1"/>
  <c r="G16" i="10" s="1"/>
  <c r="L5" i="5" s="1" a="1"/>
  <c r="L5" i="5" s="1"/>
  <c r="J15" i="10" a="1"/>
  <c r="J15" i="10" s="1"/>
  <c r="H15" i="10" a="1"/>
  <c r="H15" i="10" s="1"/>
  <c r="G15" i="10" a="1"/>
  <c r="G15" i="10"/>
  <c r="L32" i="5" s="1" a="1"/>
  <c r="L32" i="5" s="1"/>
  <c r="J14" i="10" a="1"/>
  <c r="J14" i="10"/>
  <c r="H14" i="10" a="1"/>
  <c r="H14" i="10"/>
  <c r="G14" i="10" a="1"/>
  <c r="G14" i="10" s="1"/>
  <c r="J13" i="10" a="1"/>
  <c r="J13" i="10"/>
  <c r="H13" i="10" a="1"/>
  <c r="H13" i="10" s="1"/>
  <c r="G13" i="10" a="1"/>
  <c r="G13" i="10" s="1"/>
  <c r="L13" i="5" s="1" a="1"/>
  <c r="L13" i="5" s="1"/>
  <c r="J12" i="10" a="1"/>
  <c r="J12" i="10" s="1"/>
  <c r="H12" i="10" a="1"/>
  <c r="H12" i="10"/>
  <c r="G12" i="10" a="1"/>
  <c r="G12" i="10"/>
  <c r="J11" i="10" a="1"/>
  <c r="J11" i="10"/>
  <c r="H11" i="10" a="1"/>
  <c r="H11" i="10" s="1"/>
  <c r="G11" i="10" a="1"/>
  <c r="G11" i="10" s="1"/>
  <c r="L46" i="5" s="1" a="1"/>
  <c r="L46" i="5" s="1"/>
  <c r="J10" i="10" a="1"/>
  <c r="J10" i="10"/>
  <c r="H10" i="10" a="1"/>
  <c r="H10" i="10" s="1"/>
  <c r="G10" i="10" a="1"/>
  <c r="G10" i="10" s="1"/>
  <c r="L4" i="5" s="1" a="1"/>
  <c r="L4" i="5" s="1"/>
  <c r="J9" i="10" a="1"/>
  <c r="J9" i="10"/>
  <c r="H9" i="10" a="1"/>
  <c r="H9" i="10"/>
  <c r="G9" i="10" a="1"/>
  <c r="G9" i="10"/>
  <c r="L38" i="5" s="1" a="1"/>
  <c r="L38" i="5" s="1"/>
  <c r="J8" i="10" a="1"/>
  <c r="J8" i="10" s="1"/>
  <c r="H8" i="10" a="1"/>
  <c r="H8" i="10" s="1"/>
  <c r="G8" i="10" a="1"/>
  <c r="G8" i="10" s="1"/>
  <c r="J7" i="10" a="1"/>
  <c r="J7" i="10"/>
  <c r="H7" i="10" a="1"/>
  <c r="H7" i="10" s="1"/>
  <c r="G7" i="10" a="1"/>
  <c r="G7" i="10"/>
  <c r="L60" i="5" s="1" a="1"/>
  <c r="L60" i="5" s="1"/>
  <c r="J6" i="10" a="1"/>
  <c r="J6" i="10"/>
  <c r="H6" i="10" a="1"/>
  <c r="H6" i="10"/>
  <c r="G6" i="10" a="1"/>
  <c r="G6" i="10" s="1"/>
  <c r="J5" i="10" a="1"/>
  <c r="J5" i="10" s="1"/>
  <c r="H5" i="10" a="1"/>
  <c r="H5" i="10" s="1"/>
  <c r="G5" i="10" a="1"/>
  <c r="G5" i="10" s="1"/>
  <c r="L49" i="5" s="1" a="1"/>
  <c r="L49" i="5" s="1"/>
  <c r="J4" i="10" a="1"/>
  <c r="J4" i="10" s="1"/>
  <c r="H4" i="10" a="1"/>
  <c r="H4" i="10"/>
  <c r="G4" i="10" a="1"/>
  <c r="G4" i="10"/>
  <c r="J3" i="10" a="1"/>
  <c r="J3" i="10"/>
  <c r="H3" i="10" a="1"/>
  <c r="H3" i="10" s="1"/>
  <c r="G3" i="10" a="1"/>
  <c r="G3" i="10"/>
  <c r="J2" i="10" a="1"/>
  <c r="J2" i="10" s="1"/>
  <c r="H2" i="10" a="1"/>
  <c r="H2" i="10" s="1"/>
  <c r="G2" i="10" a="1"/>
  <c r="G2" i="10" s="1"/>
  <c r="C59" i="9" a="1"/>
  <c r="C59" i="9"/>
  <c r="C58" i="9" a="1"/>
  <c r="C58" i="9" s="1"/>
  <c r="C57" i="9" a="1"/>
  <c r="C57" i="9"/>
  <c r="C56" i="9" a="1"/>
  <c r="C56" i="9" s="1"/>
  <c r="C54" i="9" a="1"/>
  <c r="C54" i="9"/>
  <c r="C53" i="9" a="1"/>
  <c r="C53" i="9" s="1"/>
  <c r="C52" i="9" a="1"/>
  <c r="C52" i="9"/>
  <c r="C51" i="9" a="1"/>
  <c r="C51" i="9"/>
  <c r="C50" i="9" a="1"/>
  <c r="C50" i="9"/>
  <c r="C49" i="9" a="1"/>
  <c r="C49" i="9" s="1"/>
  <c r="C48" i="9" a="1"/>
  <c r="C48" i="9" s="1"/>
  <c r="C47" i="9" a="1"/>
  <c r="C47" i="9"/>
  <c r="C46" i="9" a="1"/>
  <c r="C46" i="9"/>
  <c r="C45" i="9" a="1"/>
  <c r="C45" i="9"/>
  <c r="C44" i="9" a="1"/>
  <c r="C44" i="9" s="1"/>
  <c r="C43" i="9" a="1"/>
  <c r="C43" i="9"/>
  <c r="C42" i="9" a="1"/>
  <c r="C42" i="9"/>
  <c r="C41" i="9" a="1"/>
  <c r="C41" i="9" s="1"/>
  <c r="C40" i="9" a="1"/>
  <c r="C40" i="9" s="1"/>
  <c r="C39" i="9" a="1"/>
  <c r="C39" i="9"/>
  <c r="C38" i="9" a="1"/>
  <c r="C38" i="9"/>
  <c r="C37" i="9" a="1"/>
  <c r="C37" i="9" s="1"/>
  <c r="C36" i="9" a="1"/>
  <c r="C36" i="9"/>
  <c r="C35" i="9" a="1"/>
  <c r="C35" i="9"/>
  <c r="C34" i="9" a="1"/>
  <c r="C34" i="9"/>
  <c r="C33" i="9" a="1"/>
  <c r="C33" i="9" s="1"/>
  <c r="E31" i="9" a="1"/>
  <c r="E31" i="9" s="1"/>
  <c r="F30" i="9" a="1"/>
  <c r="F30" i="9" s="1"/>
  <c r="F29" i="9" a="1"/>
  <c r="F29" i="9" s="1"/>
  <c r="F28" i="9" a="1"/>
  <c r="F28" i="9"/>
  <c r="F27" i="9" a="1"/>
  <c r="F27" i="9"/>
  <c r="F26" i="9" a="1"/>
  <c r="F26" i="9"/>
  <c r="F25" i="9" a="1"/>
  <c r="F25" i="9" s="1"/>
  <c r="F24" i="9" a="1"/>
  <c r="F24" i="9"/>
  <c r="F23" i="9" a="1"/>
  <c r="F23" i="9" s="1"/>
  <c r="F22" i="9" a="1"/>
  <c r="F22" i="9" s="1"/>
  <c r="F21" i="9" a="1"/>
  <c r="F21" i="9" s="1"/>
  <c r="F20" i="9" a="1"/>
  <c r="F20" i="9"/>
  <c r="F19" i="9" a="1"/>
  <c r="F19" i="9"/>
  <c r="F18" i="9" a="1"/>
  <c r="F18" i="9"/>
  <c r="F17" i="9" a="1"/>
  <c r="F17" i="9" s="1"/>
  <c r="F16" i="9" a="1"/>
  <c r="F16" i="9" s="1"/>
  <c r="F15" i="9" a="1"/>
  <c r="F15" i="9"/>
  <c r="F14" i="9" a="1"/>
  <c r="F14" i="9" s="1"/>
  <c r="F13" i="9" a="1"/>
  <c r="F13" i="9" s="1"/>
  <c r="F12" i="9" a="1"/>
  <c r="F12" i="9"/>
  <c r="F11" i="9" a="1"/>
  <c r="F11" i="9"/>
  <c r="F10" i="9" a="1"/>
  <c r="F10" i="9"/>
  <c r="F9" i="9" a="1"/>
  <c r="F9" i="9" s="1"/>
  <c r="F8" i="9" a="1"/>
  <c r="F8" i="9" s="1"/>
  <c r="F7" i="9" a="1"/>
  <c r="F7" i="9" s="1"/>
  <c r="F6" i="9" a="1"/>
  <c r="F6" i="9"/>
  <c r="F5" i="9" a="1"/>
  <c r="F5" i="9" s="1"/>
  <c r="F4" i="9" a="1"/>
  <c r="F4" i="9"/>
  <c r="F3" i="9" a="1"/>
  <c r="F3" i="9"/>
  <c r="F2" i="9" a="1"/>
  <c r="F2" i="9"/>
  <c r="J70" i="5" a="1"/>
  <c r="J70" i="5" s="1"/>
  <c r="L69" i="5" a="1"/>
  <c r="L69" i="5" s="1"/>
  <c r="J69" i="5" a="1"/>
  <c r="J69" i="5" s="1"/>
  <c r="J68" i="5" a="1"/>
  <c r="J68" i="5"/>
  <c r="L67" i="5"/>
  <c r="J67" i="5" a="1"/>
  <c r="J67" i="5" s="1"/>
  <c r="L66" i="5" a="1"/>
  <c r="L66" i="5" s="1"/>
  <c r="J66" i="5" a="1"/>
  <c r="J66" i="5"/>
  <c r="L65" i="5" a="1"/>
  <c r="L65" i="5" s="1"/>
  <c r="J65" i="5" a="1"/>
  <c r="J65" i="5" s="1"/>
  <c r="L64" i="5" a="1"/>
  <c r="L64" i="5" s="1"/>
  <c r="J64" i="5" a="1"/>
  <c r="J64" i="5" s="1"/>
  <c r="L63" i="5" a="1"/>
  <c r="L63" i="5" s="1"/>
  <c r="J63" i="5" a="1"/>
  <c r="J63" i="5"/>
  <c r="L62" i="5" a="1"/>
  <c r="L62" i="5" s="1"/>
  <c r="J62" i="5" a="1"/>
  <c r="J62" i="5"/>
  <c r="J61" i="5" a="1"/>
  <c r="J61" i="5" s="1"/>
  <c r="J60" i="5" a="1"/>
  <c r="J60" i="5" s="1"/>
  <c r="L59" i="5" a="1"/>
  <c r="L59" i="5" s="1"/>
  <c r="J59" i="5" a="1"/>
  <c r="J59" i="5" s="1"/>
  <c r="J58" i="5" a="1"/>
  <c r="J58" i="5"/>
  <c r="L57" i="5"/>
  <c r="J57" i="5" a="1"/>
  <c r="J57" i="5"/>
  <c r="L56" i="5" a="1"/>
  <c r="L56" i="5" s="1"/>
  <c r="J56" i="5" a="1"/>
  <c r="J56" i="5"/>
  <c r="L55" i="5" a="1"/>
  <c r="L55" i="5" s="1"/>
  <c r="J55" i="5" a="1"/>
  <c r="J55" i="5" s="1"/>
  <c r="L54" i="5" a="1"/>
  <c r="L54" i="5" s="1"/>
  <c r="J54" i="5" a="1"/>
  <c r="J54" i="5" s="1"/>
  <c r="L53" i="5" a="1"/>
  <c r="L53" i="5"/>
  <c r="J53" i="5" a="1"/>
  <c r="J53" i="5"/>
  <c r="L52" i="5" a="1"/>
  <c r="L52" i="5" s="1"/>
  <c r="J52" i="5" a="1"/>
  <c r="J52" i="5"/>
  <c r="L51" i="5"/>
  <c r="J51" i="5" a="1"/>
  <c r="J51" i="5" s="1"/>
  <c r="L50" i="5" a="1"/>
  <c r="L50" i="5" s="1"/>
  <c r="J50" i="5" a="1"/>
  <c r="J50" i="5"/>
  <c r="J49" i="5" a="1"/>
  <c r="J49" i="5"/>
  <c r="J48" i="5" a="1"/>
  <c r="J48" i="5" s="1"/>
  <c r="L47" i="5" a="1"/>
  <c r="L47" i="5"/>
  <c r="J47" i="5" a="1"/>
  <c r="J47" i="5"/>
  <c r="J46" i="5" a="1"/>
  <c r="J46" i="5"/>
  <c r="L45" i="5"/>
  <c r="J45" i="5" a="1"/>
  <c r="J45" i="5" s="1"/>
  <c r="L44" i="5" a="1"/>
  <c r="L44" i="5" s="1"/>
  <c r="J44" i="5" a="1"/>
  <c r="J44" i="5" s="1"/>
  <c r="L43" i="5" a="1"/>
  <c r="L43" i="5" s="1"/>
  <c r="J43" i="5" a="1"/>
  <c r="J43" i="5"/>
  <c r="J42" i="5" a="1"/>
  <c r="J42" i="5" s="1"/>
  <c r="L41" i="5" a="1"/>
  <c r="L41" i="5"/>
  <c r="J41" i="5" a="1"/>
  <c r="J41" i="5"/>
  <c r="L40" i="5" a="1"/>
  <c r="L40" i="5" s="1"/>
  <c r="J40" i="5" a="1"/>
  <c r="J40" i="5"/>
  <c r="L39" i="5" a="1"/>
  <c r="L39" i="5" s="1"/>
  <c r="J39" i="5" a="1"/>
  <c r="J39" i="5" s="1"/>
  <c r="J38" i="5" a="1"/>
  <c r="J38" i="5" s="1"/>
  <c r="J37" i="5" a="1"/>
  <c r="J37" i="5"/>
  <c r="L36" i="5" a="1"/>
  <c r="L36" i="5" s="1"/>
  <c r="J36" i="5" a="1"/>
  <c r="J36" i="5" s="1"/>
  <c r="L35" i="5" a="1"/>
  <c r="L35" i="5"/>
  <c r="J35" i="5" a="1"/>
  <c r="J35" i="5" s="1"/>
  <c r="L34" i="5" a="1"/>
  <c r="L34" i="5" s="1"/>
  <c r="J34" i="5" a="1"/>
  <c r="J34" i="5"/>
  <c r="L33" i="5" a="1"/>
  <c r="L33" i="5" s="1"/>
  <c r="J33" i="5" a="1"/>
  <c r="J33" i="5" s="1"/>
  <c r="J32" i="5" a="1"/>
  <c r="J32" i="5" s="1"/>
  <c r="L31" i="5" a="1"/>
  <c r="L31" i="5"/>
  <c r="J31" i="5" a="1"/>
  <c r="J31" i="5"/>
  <c r="L30" i="5" a="1"/>
  <c r="L30" i="5" s="1"/>
  <c r="J30" i="5" a="1"/>
  <c r="J30" i="5"/>
  <c r="J29" i="5" a="1"/>
  <c r="J29" i="5" s="1"/>
  <c r="J28" i="5" a="1"/>
  <c r="J28" i="5" s="1"/>
  <c r="L27" i="5" a="1"/>
  <c r="L27" i="5" s="1"/>
  <c r="J27" i="5" a="1"/>
  <c r="J27" i="5"/>
  <c r="L26" i="5" a="1"/>
  <c r="L26" i="5" s="1"/>
  <c r="J26" i="5" a="1"/>
  <c r="J26" i="5"/>
  <c r="L25" i="5" a="1"/>
  <c r="L25" i="5"/>
  <c r="J25" i="5" a="1"/>
  <c r="J25" i="5"/>
  <c r="L24" i="5" a="1"/>
  <c r="L24" i="5" s="1"/>
  <c r="J24" i="5" a="1"/>
  <c r="J24" i="5"/>
  <c r="L23" i="5" a="1"/>
  <c r="L23" i="5" s="1"/>
  <c r="J23" i="5" a="1"/>
  <c r="J23" i="5" s="1"/>
  <c r="L22" i="5" a="1"/>
  <c r="L22" i="5" s="1"/>
  <c r="J22" i="5" a="1"/>
  <c r="J22" i="5" s="1"/>
  <c r="L21" i="5" a="1"/>
  <c r="L21" i="5"/>
  <c r="J21" i="5" a="1"/>
  <c r="J21" i="5"/>
  <c r="J20" i="5" a="1"/>
  <c r="J20" i="5"/>
  <c r="L19" i="5" a="1"/>
  <c r="L19" i="5"/>
  <c r="J19" i="5" a="1"/>
  <c r="J19" i="5" s="1"/>
  <c r="L18" i="5" a="1"/>
  <c r="L18" i="5" s="1"/>
  <c r="J18" i="5" a="1"/>
  <c r="J18" i="5"/>
  <c r="L17" i="5" a="1"/>
  <c r="L17" i="5" s="1"/>
  <c r="J17" i="5" a="1"/>
  <c r="J17" i="5"/>
  <c r="J16" i="5" a="1"/>
  <c r="J16" i="5" s="1"/>
  <c r="L15" i="5" a="1"/>
  <c r="L15" i="5"/>
  <c r="J15" i="5" a="1"/>
  <c r="J15" i="5"/>
  <c r="L14" i="5" a="1"/>
  <c r="L14" i="5" s="1"/>
  <c r="J14" i="5" a="1"/>
  <c r="J14" i="5"/>
  <c r="J13" i="5" a="1"/>
  <c r="J13" i="5" s="1"/>
  <c r="L12" i="5" a="1"/>
  <c r="L12" i="5" s="1"/>
  <c r="J12" i="5" a="1"/>
  <c r="J12" i="5" s="1"/>
  <c r="L11" i="5" a="1"/>
  <c r="L11" i="5" s="1"/>
  <c r="J11" i="5" a="1"/>
  <c r="J11" i="5"/>
  <c r="J10" i="5" a="1"/>
  <c r="J10" i="5" s="1"/>
  <c r="L9" i="5"/>
  <c r="J9" i="5" a="1"/>
  <c r="J9" i="5"/>
  <c r="L8" i="5" a="1"/>
  <c r="L8" i="5" s="1"/>
  <c r="J8" i="5" a="1"/>
  <c r="J8" i="5"/>
  <c r="J7" i="5" a="1"/>
  <c r="J7" i="5" s="1"/>
  <c r="L6" i="5" a="1"/>
  <c r="L6" i="5" s="1"/>
  <c r="J6" i="5" a="1"/>
  <c r="J6" i="5" s="1"/>
  <c r="J5" i="5" a="1"/>
  <c r="J5" i="5"/>
  <c r="J4" i="5" a="1"/>
  <c r="J4" i="5" s="1"/>
  <c r="L3" i="5" a="1"/>
  <c r="L3" i="5"/>
  <c r="J3" i="5" a="1"/>
  <c r="J3" i="5" s="1"/>
  <c r="M128" i="4" a="1"/>
  <c r="M128" i="4" s="1"/>
  <c r="M127" i="4" a="1"/>
  <c r="M127" i="4"/>
  <c r="M126" i="4" a="1"/>
  <c r="M126" i="4" s="1"/>
  <c r="M124" i="4" a="1"/>
  <c r="M124" i="4" s="1"/>
  <c r="M122" i="4" a="1"/>
  <c r="M122" i="4" s="1"/>
  <c r="M115" i="4" a="1"/>
  <c r="M115" i="4" s="1"/>
  <c r="M114" i="4" a="1"/>
  <c r="M114" i="4"/>
  <c r="M112" i="4" a="1"/>
  <c r="M112" i="4"/>
  <c r="M111" i="4" a="1"/>
  <c r="M111" i="4" s="1"/>
  <c r="M108" i="4" a="1"/>
  <c r="M108" i="4"/>
  <c r="M106" i="4" a="1"/>
  <c r="M106" i="4"/>
  <c r="M104" i="4" a="1"/>
  <c r="M104" i="4"/>
  <c r="M103" i="4" a="1"/>
  <c r="M103" i="4" s="1"/>
  <c r="M102" i="4" a="1"/>
  <c r="M102" i="4" s="1"/>
  <c r="M101" i="4" a="1"/>
  <c r="M101" i="4" s="1"/>
  <c r="M98" i="4" a="1"/>
  <c r="M98" i="4" s="1"/>
  <c r="M97" i="4" a="1"/>
  <c r="M97" i="4" s="1"/>
  <c r="M96" i="4" a="1"/>
  <c r="M96" i="4"/>
  <c r="M95" i="4" a="1"/>
  <c r="M95" i="4"/>
  <c r="M94" i="4" a="1"/>
  <c r="M94" i="4"/>
  <c r="M93" i="4" a="1"/>
  <c r="M93" i="4" s="1"/>
  <c r="M92" i="4" a="1"/>
  <c r="M92" i="4"/>
  <c r="M91" i="4" a="1"/>
  <c r="M91" i="4" s="1"/>
  <c r="M90" i="4" a="1"/>
  <c r="M90" i="4" s="1"/>
  <c r="M88" i="4" a="1"/>
  <c r="M88" i="4" s="1"/>
  <c r="M86" i="4" a="1"/>
  <c r="M86" i="4" s="1"/>
  <c r="M85" i="4" a="1"/>
  <c r="M85" i="4" s="1"/>
  <c r="M84" i="4" a="1"/>
  <c r="M84" i="4"/>
  <c r="M83" i="4" a="1"/>
  <c r="M83" i="4" s="1"/>
  <c r="M82" i="4" a="1"/>
  <c r="M82" i="4" s="1"/>
  <c r="M78" i="4" a="1"/>
  <c r="M78" i="4" s="1"/>
  <c r="M77" i="4" a="1"/>
  <c r="M77" i="4" s="1"/>
  <c r="M75" i="4" a="1"/>
  <c r="M75" i="4" s="1"/>
  <c r="M74" i="4" a="1"/>
  <c r="M74" i="4"/>
  <c r="M73" i="4" a="1"/>
  <c r="M73" i="4"/>
  <c r="M72" i="4" a="1"/>
  <c r="M72" i="4" s="1"/>
  <c r="M71" i="4" a="1"/>
  <c r="M71" i="4" s="1"/>
  <c r="M70" i="4" a="1"/>
  <c r="M70" i="4"/>
  <c r="M69" i="4" a="1"/>
  <c r="M69" i="4" s="1"/>
  <c r="M68" i="4" a="1"/>
  <c r="M68" i="4"/>
  <c r="M67" i="4" a="1"/>
  <c r="M67" i="4" s="1"/>
  <c r="M66" i="4" a="1"/>
  <c r="M66" i="4"/>
  <c r="M64" i="4" a="1"/>
  <c r="M64" i="4"/>
  <c r="M62" i="4" a="1"/>
  <c r="M62" i="4" s="1"/>
  <c r="M61" i="4" a="1"/>
  <c r="M61" i="4" s="1"/>
  <c r="M56" i="4" a="1"/>
  <c r="M56" i="4" s="1"/>
  <c r="M54" i="4" a="1"/>
  <c r="M54" i="4"/>
  <c r="M53" i="4" a="1"/>
  <c r="M53" i="4"/>
  <c r="M52" i="4" a="1"/>
  <c r="M52" i="4" s="1"/>
  <c r="M51" i="4" a="1"/>
  <c r="M51" i="4"/>
  <c r="M50" i="4" a="1"/>
  <c r="M50" i="4"/>
  <c r="M49" i="4" a="1"/>
  <c r="M49" i="4"/>
  <c r="M48" i="4" a="1"/>
  <c r="M48" i="4" s="1"/>
  <c r="M47" i="4" a="1"/>
  <c r="M47" i="4" s="1"/>
  <c r="M46" i="4" a="1"/>
  <c r="M46" i="4" s="1"/>
  <c r="M45" i="4" a="1"/>
  <c r="M45" i="4" s="1"/>
  <c r="M44" i="4" a="1"/>
  <c r="M44" i="4" s="1"/>
  <c r="M43" i="4" a="1"/>
  <c r="M43" i="4"/>
  <c r="M41" i="4" a="1"/>
  <c r="M41" i="4"/>
  <c r="M40" i="4" a="1"/>
  <c r="M40" i="4"/>
  <c r="M39" i="4" a="1"/>
  <c r="M39" i="4" s="1"/>
  <c r="M38" i="4" a="1"/>
  <c r="M38" i="4"/>
  <c r="M37" i="4" a="1"/>
  <c r="M37" i="4"/>
  <c r="M34" i="4" a="1"/>
  <c r="M34" i="4" s="1"/>
  <c r="M33" i="4" a="1"/>
  <c r="M33" i="4" s="1"/>
  <c r="M32" i="4" a="1"/>
  <c r="M32" i="4" s="1"/>
  <c r="M31" i="4" a="1"/>
  <c r="M31" i="4"/>
  <c r="M30" i="4" a="1"/>
  <c r="M30" i="4" s="1"/>
  <c r="M27" i="4" a="1"/>
  <c r="M27" i="4" s="1"/>
  <c r="M26" i="4" a="1"/>
  <c r="M26" i="4"/>
  <c r="M25" i="4" a="1"/>
  <c r="M25" i="4" s="1"/>
  <c r="M23" i="4" a="1"/>
  <c r="M23" i="4"/>
  <c r="M19" i="4" a="1"/>
  <c r="M19" i="4" s="1"/>
  <c r="M17" i="4" a="1"/>
  <c r="M17" i="4"/>
  <c r="M16" i="4" a="1"/>
  <c r="M16" i="4"/>
  <c r="M15" i="4" a="1"/>
  <c r="M15" i="4"/>
  <c r="P239" i="1" a="1"/>
  <c r="P239" i="1" s="1"/>
  <c r="N239" i="1" a="1"/>
  <c r="N239" i="1"/>
  <c r="M239" i="1" a="1"/>
  <c r="M239" i="1" s="1"/>
  <c r="L239" i="1" a="1"/>
  <c r="L239" i="1"/>
  <c r="K239" i="1" a="1"/>
  <c r="K239" i="1" s="1"/>
  <c r="H239" i="1" a="1"/>
  <c r="H239" i="1"/>
  <c r="C191" i="14" s="1" a="1"/>
  <c r="C191" i="14" s="1"/>
  <c r="P238" i="1" a="1"/>
  <c r="P238" i="1"/>
  <c r="N238" i="1" a="1"/>
  <c r="N238" i="1"/>
  <c r="H238" i="1" a="1"/>
  <c r="H238" i="1" s="1"/>
  <c r="P237" i="1" a="1"/>
  <c r="P237" i="1"/>
  <c r="N237" i="1" a="1"/>
  <c r="N237" i="1" s="1"/>
  <c r="H237" i="1" a="1"/>
  <c r="H237" i="1"/>
  <c r="P236" i="1" a="1"/>
  <c r="P236" i="1" s="1"/>
  <c r="N236" i="1" a="1"/>
  <c r="N236" i="1"/>
  <c r="H236" i="1" a="1"/>
  <c r="H236" i="1" s="1"/>
  <c r="P235" i="1" a="1"/>
  <c r="P235" i="1"/>
  <c r="N235" i="1" a="1"/>
  <c r="N235" i="1" s="1"/>
  <c r="M235" i="1" a="1"/>
  <c r="M235" i="1"/>
  <c r="L235" i="1" a="1"/>
  <c r="L235" i="1" s="1"/>
  <c r="K235" i="1" a="1"/>
  <c r="K235" i="1"/>
  <c r="H235" i="1" a="1"/>
  <c r="H235" i="1" s="1"/>
  <c r="C190" i="14" s="1" a="1"/>
  <c r="C190" i="14" s="1"/>
  <c r="P234" i="1" a="1"/>
  <c r="P234" i="1"/>
  <c r="N234" i="1" a="1"/>
  <c r="N234" i="1"/>
  <c r="M234" i="1" a="1"/>
  <c r="M234" i="1"/>
  <c r="L234" i="1" a="1"/>
  <c r="L234" i="1" s="1"/>
  <c r="K234" i="1" a="1"/>
  <c r="K234" i="1"/>
  <c r="H234" i="1" a="1"/>
  <c r="H234" i="1" s="1"/>
  <c r="P233" i="1" a="1"/>
  <c r="P233" i="1"/>
  <c r="N233" i="1" a="1"/>
  <c r="N233" i="1" s="1"/>
  <c r="M233" i="1" a="1"/>
  <c r="M233" i="1"/>
  <c r="L233" i="1" a="1"/>
  <c r="L233" i="1"/>
  <c r="K233" i="1" a="1"/>
  <c r="K233" i="1"/>
  <c r="H233" i="1" a="1"/>
  <c r="H233" i="1" s="1"/>
  <c r="P232" i="1" a="1"/>
  <c r="P232" i="1"/>
  <c r="N232" i="1" a="1"/>
  <c r="N232" i="1" s="1"/>
  <c r="M232" i="1" a="1"/>
  <c r="M232" i="1" s="1"/>
  <c r="L232" i="1" a="1"/>
  <c r="L232" i="1"/>
  <c r="K232" i="1" a="1"/>
  <c r="K232" i="1"/>
  <c r="H232" i="1" a="1"/>
  <c r="H232" i="1"/>
  <c r="C189" i="14" s="1" a="1"/>
  <c r="C189" i="14" s="1"/>
  <c r="P231" i="1" a="1"/>
  <c r="P231" i="1" s="1"/>
  <c r="N231" i="1" a="1"/>
  <c r="N231" i="1" s="1"/>
  <c r="M231" i="1" a="1"/>
  <c r="M231" i="1" s="1"/>
  <c r="L231" i="1" a="1"/>
  <c r="L231" i="1"/>
  <c r="K231" i="1" a="1"/>
  <c r="K231" i="1" s="1"/>
  <c r="H231" i="1" a="1"/>
  <c r="H231" i="1"/>
  <c r="C188" i="14" s="1" a="1"/>
  <c r="C188" i="14" s="1"/>
  <c r="Q230" i="1" a="1"/>
  <c r="Q230" i="1"/>
  <c r="P230" i="1" a="1"/>
  <c r="P230" i="1"/>
  <c r="N230" i="1" a="1"/>
  <c r="N230" i="1" s="1"/>
  <c r="M230" i="1" a="1"/>
  <c r="M230" i="1"/>
  <c r="L230" i="1" a="1"/>
  <c r="L230" i="1" s="1"/>
  <c r="K230" i="1" a="1"/>
  <c r="K230" i="1" s="1"/>
  <c r="H230" i="1" a="1"/>
  <c r="H230" i="1" s="1"/>
  <c r="C186" i="14" s="1" a="1"/>
  <c r="C186" i="14" s="1"/>
  <c r="P229" i="1" a="1"/>
  <c r="P229" i="1"/>
  <c r="N229" i="1" a="1"/>
  <c r="N229" i="1" s="1"/>
  <c r="M229" i="1" a="1"/>
  <c r="M229" i="1"/>
  <c r="L229" i="1" a="1"/>
  <c r="L229" i="1" s="1"/>
  <c r="K229" i="1" a="1"/>
  <c r="K229" i="1"/>
  <c r="H229" i="1" a="1"/>
  <c r="H229" i="1" s="1"/>
  <c r="C187" i="14" s="1" a="1"/>
  <c r="C187" i="14" s="1"/>
  <c r="P228" i="1" a="1"/>
  <c r="P228" i="1" s="1"/>
  <c r="N228" i="1" a="1"/>
  <c r="N228" i="1" s="1"/>
  <c r="M228" i="1" a="1"/>
  <c r="M228" i="1"/>
  <c r="L228" i="1" a="1"/>
  <c r="L228" i="1" s="1"/>
  <c r="K228" i="1" a="1"/>
  <c r="K228" i="1" s="1"/>
  <c r="H228" i="1" a="1"/>
  <c r="H228" i="1" s="1"/>
  <c r="P227" i="1" a="1"/>
  <c r="P227" i="1" s="1"/>
  <c r="O227" i="1" a="1"/>
  <c r="O227" i="1" s="1"/>
  <c r="N227" i="1" a="1"/>
  <c r="N227" i="1" s="1"/>
  <c r="M227" i="1" a="1"/>
  <c r="M227" i="1" s="1"/>
  <c r="L227" i="1" a="1"/>
  <c r="L227" i="1"/>
  <c r="K227" i="1" a="1"/>
  <c r="K227" i="1"/>
  <c r="H227" i="1" a="1"/>
  <c r="H227" i="1"/>
  <c r="C185" i="14" s="1" a="1"/>
  <c r="C185" i="14" s="1"/>
  <c r="Q226" i="1" a="1"/>
  <c r="Q226" i="1" s="1"/>
  <c r="P226" i="1" a="1"/>
  <c r="P226" i="1" s="1"/>
  <c r="O226" i="1" a="1"/>
  <c r="O226" i="1" s="1"/>
  <c r="N226" i="1" a="1"/>
  <c r="N226" i="1"/>
  <c r="M226" i="1" a="1"/>
  <c r="M226" i="1" s="1"/>
  <c r="L226" i="1" a="1"/>
  <c r="L226" i="1"/>
  <c r="K226" i="1" a="1"/>
  <c r="K226" i="1"/>
  <c r="H226" i="1" a="1"/>
  <c r="H226" i="1"/>
  <c r="C183" i="14" s="1" a="1"/>
  <c r="C183" i="14" s="1"/>
  <c r="P225" i="1" a="1"/>
  <c r="P225" i="1" s="1"/>
  <c r="O225" i="1" a="1"/>
  <c r="O225" i="1" s="1"/>
  <c r="N225" i="1" a="1"/>
  <c r="N225" i="1" s="1"/>
  <c r="M225" i="1" a="1"/>
  <c r="M225" i="1" s="1"/>
  <c r="L225" i="1" a="1"/>
  <c r="L225" i="1" s="1"/>
  <c r="K225" i="1" a="1"/>
  <c r="K225" i="1" s="1"/>
  <c r="H225" i="1" a="1"/>
  <c r="H225" i="1"/>
  <c r="C184" i="14" s="1" a="1"/>
  <c r="C184" i="14" s="1"/>
  <c r="P224" i="1" a="1"/>
  <c r="P224" i="1"/>
  <c r="O224" i="1" a="1"/>
  <c r="O224" i="1" s="1"/>
  <c r="N224" i="1" a="1"/>
  <c r="N224" i="1" s="1"/>
  <c r="M224" i="1" a="1"/>
  <c r="M224" i="1"/>
  <c r="L224" i="1" a="1"/>
  <c r="L224" i="1" s="1"/>
  <c r="K224" i="1" a="1"/>
  <c r="K224" i="1" s="1"/>
  <c r="H224" i="1" a="1"/>
  <c r="H224" i="1"/>
  <c r="C182" i="14" s="1" a="1"/>
  <c r="C182" i="14" s="1"/>
  <c r="P223" i="1" a="1"/>
  <c r="P223" i="1" s="1"/>
  <c r="O223" i="1" a="1"/>
  <c r="O223" i="1"/>
  <c r="N223" i="1" a="1"/>
  <c r="N223" i="1" s="1"/>
  <c r="M223" i="1" a="1"/>
  <c r="M223" i="1" s="1"/>
  <c r="L223" i="1" a="1"/>
  <c r="L223" i="1" s="1"/>
  <c r="K223" i="1" a="1"/>
  <c r="K223" i="1" s="1"/>
  <c r="H223" i="1" a="1"/>
  <c r="H223" i="1" s="1"/>
  <c r="P222" i="1" a="1"/>
  <c r="P222" i="1"/>
  <c r="O222" i="1" a="1"/>
  <c r="O222" i="1"/>
  <c r="N222" i="1" a="1"/>
  <c r="N222" i="1"/>
  <c r="M222" i="1" a="1"/>
  <c r="M222" i="1" s="1"/>
  <c r="L222" i="1" a="1"/>
  <c r="L222" i="1" s="1"/>
  <c r="K222" i="1" a="1"/>
  <c r="K222" i="1" s="1"/>
  <c r="H222" i="1" a="1"/>
  <c r="H222" i="1" s="1"/>
  <c r="P221" i="1" a="1"/>
  <c r="P221" i="1" s="1"/>
  <c r="O221" i="1" a="1"/>
  <c r="O221" i="1"/>
  <c r="N221" i="1" a="1"/>
  <c r="N221" i="1"/>
  <c r="M221" i="1" a="1"/>
  <c r="M221" i="1"/>
  <c r="L221" i="1" a="1"/>
  <c r="L221" i="1" s="1"/>
  <c r="K221" i="1" a="1"/>
  <c r="K221" i="1" s="1"/>
  <c r="H221" i="1" a="1"/>
  <c r="H221" i="1" s="1"/>
  <c r="P220" i="1" a="1"/>
  <c r="P220" i="1" s="1"/>
  <c r="O220" i="1" a="1"/>
  <c r="O220" i="1" s="1"/>
  <c r="N220" i="1" a="1"/>
  <c r="N220" i="1"/>
  <c r="M220" i="1" a="1"/>
  <c r="M220" i="1"/>
  <c r="L220" i="1" a="1"/>
  <c r="L220" i="1"/>
  <c r="K220" i="1" a="1"/>
  <c r="K220" i="1" s="1"/>
  <c r="H220" i="1" a="1"/>
  <c r="H220" i="1" s="1"/>
  <c r="P219" i="1" a="1"/>
  <c r="P219" i="1" s="1"/>
  <c r="O219" i="1" a="1"/>
  <c r="O219" i="1" s="1"/>
  <c r="N219" i="1" a="1"/>
  <c r="N219" i="1" s="1"/>
  <c r="M219" i="1" a="1"/>
  <c r="M219" i="1"/>
  <c r="L219" i="1" a="1"/>
  <c r="L219" i="1"/>
  <c r="K219" i="1" a="1"/>
  <c r="K219" i="1"/>
  <c r="H219" i="1" a="1"/>
  <c r="H219" i="1" s="1"/>
  <c r="P218" i="1" a="1"/>
  <c r="P218" i="1" s="1"/>
  <c r="O218" i="1" a="1"/>
  <c r="O218" i="1"/>
  <c r="N218" i="1" a="1"/>
  <c r="N218" i="1"/>
  <c r="M218" i="1" a="1"/>
  <c r="M218" i="1" s="1"/>
  <c r="L218" i="1" a="1"/>
  <c r="L218" i="1" s="1"/>
  <c r="K218" i="1" a="1"/>
  <c r="K218" i="1"/>
  <c r="H218" i="1" a="1"/>
  <c r="H218" i="1" s="1"/>
  <c r="P217" i="1" a="1"/>
  <c r="P217" i="1" s="1"/>
  <c r="O217" i="1" a="1"/>
  <c r="O217" i="1"/>
  <c r="N217" i="1" a="1"/>
  <c r="N217" i="1" s="1"/>
  <c r="M217" i="1" a="1"/>
  <c r="M217" i="1" s="1"/>
  <c r="L217" i="1" a="1"/>
  <c r="L217" i="1" s="1"/>
  <c r="K217" i="1" a="1"/>
  <c r="K217" i="1"/>
  <c r="H217" i="1" a="1"/>
  <c r="H217" i="1"/>
  <c r="P216" i="1" a="1"/>
  <c r="P216" i="1"/>
  <c r="O216" i="1" a="1"/>
  <c r="O216" i="1" s="1"/>
  <c r="N216" i="1" a="1"/>
  <c r="N216" i="1" s="1"/>
  <c r="M216" i="1" a="1"/>
  <c r="M216" i="1" s="1"/>
  <c r="L216" i="1" a="1"/>
  <c r="L216" i="1" s="1"/>
  <c r="K216" i="1" a="1"/>
  <c r="K216" i="1" s="1"/>
  <c r="H216" i="1" a="1"/>
  <c r="H216" i="1" s="1"/>
  <c r="Q215" i="1" a="1"/>
  <c r="Q215" i="1" s="1"/>
  <c r="P215" i="1" a="1"/>
  <c r="P215" i="1" s="1"/>
  <c r="O215" i="1" a="1"/>
  <c r="O215" i="1" s="1"/>
  <c r="N215" i="1" a="1"/>
  <c r="N215" i="1"/>
  <c r="M215" i="1" a="1"/>
  <c r="M215" i="1"/>
  <c r="L215" i="1" a="1"/>
  <c r="L215" i="1"/>
  <c r="K215" i="1" a="1"/>
  <c r="K215" i="1" s="1"/>
  <c r="H215" i="1" a="1"/>
  <c r="H215" i="1"/>
  <c r="C181" i="14" s="1" a="1"/>
  <c r="C181" i="14" s="1"/>
  <c r="P214" i="1" a="1"/>
  <c r="P214" i="1" s="1"/>
  <c r="O214" i="1" a="1"/>
  <c r="O214" i="1" s="1"/>
  <c r="N214" i="1" a="1"/>
  <c r="N214" i="1" s="1"/>
  <c r="M214" i="1" a="1"/>
  <c r="M214" i="1" s="1"/>
  <c r="L214" i="1" a="1"/>
  <c r="L214" i="1" s="1"/>
  <c r="K214" i="1" a="1"/>
  <c r="K214" i="1" s="1"/>
  <c r="H214" i="1" a="1"/>
  <c r="H214" i="1" s="1"/>
  <c r="P213" i="1" a="1"/>
  <c r="P213" i="1"/>
  <c r="O213" i="1" a="1"/>
  <c r="O213" i="1"/>
  <c r="N213" i="1" a="1"/>
  <c r="N213" i="1"/>
  <c r="M213" i="1" a="1"/>
  <c r="M213" i="1" s="1"/>
  <c r="L213" i="1" a="1"/>
  <c r="L213" i="1" s="1"/>
  <c r="K213" i="1" a="1"/>
  <c r="K213" i="1" s="1"/>
  <c r="H213" i="1" a="1"/>
  <c r="H213" i="1"/>
  <c r="P212" i="1" a="1"/>
  <c r="P212" i="1" s="1"/>
  <c r="O212" i="1" a="1"/>
  <c r="O212" i="1" s="1"/>
  <c r="N212" i="1" a="1"/>
  <c r="N212" i="1" s="1"/>
  <c r="M212" i="1" a="1"/>
  <c r="M212" i="1"/>
  <c r="L212" i="1" a="1"/>
  <c r="L212" i="1" s="1"/>
  <c r="K212" i="1" a="1"/>
  <c r="K212" i="1"/>
  <c r="H212" i="1" a="1"/>
  <c r="H212" i="1"/>
  <c r="P211" i="1" a="1"/>
  <c r="P211" i="1" s="1"/>
  <c r="O211" i="1" a="1"/>
  <c r="O211" i="1" s="1"/>
  <c r="N211" i="1" a="1"/>
  <c r="N211" i="1"/>
  <c r="M211" i="1" a="1"/>
  <c r="M211" i="1"/>
  <c r="L211" i="1" a="1"/>
  <c r="L211" i="1"/>
  <c r="K211" i="1" a="1"/>
  <c r="K211" i="1" s="1"/>
  <c r="H211" i="1" a="1"/>
  <c r="H211" i="1" s="1"/>
  <c r="P210" i="1" a="1"/>
  <c r="P210" i="1" s="1"/>
  <c r="O210" i="1" a="1"/>
  <c r="O210" i="1" s="1"/>
  <c r="N210" i="1" a="1"/>
  <c r="N210" i="1" s="1"/>
  <c r="M210" i="1" a="1"/>
  <c r="M210" i="1"/>
  <c r="L210" i="1" a="1"/>
  <c r="L210" i="1"/>
  <c r="K210" i="1" a="1"/>
  <c r="K210" i="1"/>
  <c r="H210" i="1" a="1"/>
  <c r="H210" i="1" s="1"/>
  <c r="P209" i="1" a="1"/>
  <c r="P209" i="1" s="1"/>
  <c r="O209" i="1" a="1"/>
  <c r="O209" i="1"/>
  <c r="N209" i="1" a="1"/>
  <c r="N209" i="1"/>
  <c r="M209" i="1" a="1"/>
  <c r="M209" i="1" s="1"/>
  <c r="L209" i="1" a="1"/>
  <c r="L209" i="1" s="1"/>
  <c r="K209" i="1" a="1"/>
  <c r="K209" i="1"/>
  <c r="H209" i="1" a="1"/>
  <c r="H209" i="1" s="1"/>
  <c r="P208" i="1" a="1"/>
  <c r="P208" i="1" s="1"/>
  <c r="O208" i="1" a="1"/>
  <c r="O208" i="1" s="1"/>
  <c r="N208" i="1" a="1"/>
  <c r="N208" i="1" s="1"/>
  <c r="M208" i="1" a="1"/>
  <c r="M208" i="1" s="1"/>
  <c r="L208" i="1" a="1"/>
  <c r="L208" i="1" s="1"/>
  <c r="K208" i="1" a="1"/>
  <c r="K208" i="1"/>
  <c r="H208" i="1" a="1"/>
  <c r="H208" i="1" s="1"/>
  <c r="P207" i="1" a="1"/>
  <c r="P207" i="1"/>
  <c r="O207" i="1" a="1"/>
  <c r="O207" i="1" s="1"/>
  <c r="N207" i="1" a="1"/>
  <c r="N207" i="1" s="1"/>
  <c r="M207" i="1" a="1"/>
  <c r="M207" i="1"/>
  <c r="L207" i="1" a="1"/>
  <c r="L207" i="1" s="1"/>
  <c r="K207" i="1" a="1"/>
  <c r="K207" i="1" s="1"/>
  <c r="H207" i="1" a="1"/>
  <c r="H207" i="1" s="1"/>
  <c r="Q206" i="1" a="1"/>
  <c r="Q206" i="1" s="1"/>
  <c r="P206" i="1" a="1"/>
  <c r="P206" i="1"/>
  <c r="O206" i="1" a="1"/>
  <c r="O206" i="1" s="1"/>
  <c r="N206" i="1" a="1"/>
  <c r="N206" i="1"/>
  <c r="M206" i="1" a="1"/>
  <c r="M206" i="1"/>
  <c r="L206" i="1" a="1"/>
  <c r="L206" i="1"/>
  <c r="K206" i="1" a="1"/>
  <c r="K206" i="1" s="1"/>
  <c r="H206" i="1" a="1"/>
  <c r="H206" i="1"/>
  <c r="C180" i="14" s="1" a="1"/>
  <c r="C180" i="14" s="1"/>
  <c r="P205" i="1" a="1"/>
  <c r="P205" i="1" s="1"/>
  <c r="O205" i="1" a="1"/>
  <c r="O205" i="1" s="1"/>
  <c r="N205" i="1" a="1"/>
  <c r="N205" i="1" s="1"/>
  <c r="M205" i="1" a="1"/>
  <c r="M205" i="1" s="1"/>
  <c r="L205" i="1" a="1"/>
  <c r="L205" i="1" s="1"/>
  <c r="K205" i="1" a="1"/>
  <c r="K205" i="1" s="1"/>
  <c r="H205" i="1" a="1"/>
  <c r="H205" i="1" s="1"/>
  <c r="P204" i="1" a="1"/>
  <c r="P204" i="1"/>
  <c r="O204" i="1" a="1"/>
  <c r="O204" i="1"/>
  <c r="N204" i="1" a="1"/>
  <c r="N204" i="1"/>
  <c r="M204" i="1" a="1"/>
  <c r="M204" i="1" s="1"/>
  <c r="L204" i="1" a="1"/>
  <c r="L204" i="1" s="1"/>
  <c r="K204" i="1" a="1"/>
  <c r="K204" i="1" s="1"/>
  <c r="H204" i="1" a="1"/>
  <c r="H204" i="1" s="1"/>
  <c r="P203" i="1" a="1"/>
  <c r="P203" i="1" s="1"/>
  <c r="O203" i="1" a="1"/>
  <c r="O203" i="1" s="1"/>
  <c r="N203" i="1" a="1"/>
  <c r="N203" i="1" s="1"/>
  <c r="M203" i="1" a="1"/>
  <c r="M203" i="1"/>
  <c r="L203" i="1" a="1"/>
  <c r="L203" i="1" s="1"/>
  <c r="K203" i="1" a="1"/>
  <c r="K203" i="1"/>
  <c r="H203" i="1" a="1"/>
  <c r="H203" i="1"/>
  <c r="C164" i="14" s="1" a="1"/>
  <c r="C164" i="14" s="1"/>
  <c r="P202" i="1" a="1"/>
  <c r="P202" i="1" s="1"/>
  <c r="O202" i="1" a="1"/>
  <c r="O202" i="1" s="1"/>
  <c r="N202" i="1" a="1"/>
  <c r="N202" i="1" s="1"/>
  <c r="M202" i="1" a="1"/>
  <c r="M202" i="1"/>
  <c r="L202" i="1" a="1"/>
  <c r="L202" i="1"/>
  <c r="K202" i="1" a="1"/>
  <c r="K202" i="1" s="1"/>
  <c r="H202" i="1" a="1"/>
  <c r="H202" i="1"/>
  <c r="N74" i="15" s="1" a="1"/>
  <c r="N74" i="15" s="1"/>
  <c r="P201" i="1" a="1"/>
  <c r="P201" i="1" s="1"/>
  <c r="O201" i="1" a="1"/>
  <c r="O201" i="1" s="1"/>
  <c r="N201" i="1" a="1"/>
  <c r="N201" i="1" s="1"/>
  <c r="M201" i="1" a="1"/>
  <c r="M201" i="1"/>
  <c r="L201" i="1" a="1"/>
  <c r="L201" i="1" s="1"/>
  <c r="K201" i="1" a="1"/>
  <c r="K201" i="1"/>
  <c r="H201" i="1" a="1"/>
  <c r="H201" i="1" s="1"/>
  <c r="P200" i="1" a="1"/>
  <c r="P200" i="1" s="1"/>
  <c r="O200" i="1" a="1"/>
  <c r="O200" i="1"/>
  <c r="N200" i="1" a="1"/>
  <c r="N200" i="1" s="1"/>
  <c r="M200" i="1" a="1"/>
  <c r="M200" i="1" s="1"/>
  <c r="L200" i="1" a="1"/>
  <c r="L200" i="1" s="1"/>
  <c r="K200" i="1" a="1"/>
  <c r="K200" i="1"/>
  <c r="H200" i="1" a="1"/>
  <c r="H200" i="1"/>
  <c r="P199" i="1" a="1"/>
  <c r="P199" i="1" s="1"/>
  <c r="O199" i="1" a="1"/>
  <c r="O199" i="1"/>
  <c r="N199" i="1" a="1"/>
  <c r="N199" i="1" s="1"/>
  <c r="M199" i="1" a="1"/>
  <c r="M199" i="1" s="1"/>
  <c r="L199" i="1" a="1"/>
  <c r="L199" i="1" s="1"/>
  <c r="K199" i="1" a="1"/>
  <c r="K199" i="1" s="1"/>
  <c r="H199" i="1" a="1"/>
  <c r="H199" i="1"/>
  <c r="P198" i="1" a="1"/>
  <c r="P198" i="1"/>
  <c r="O198" i="1" a="1"/>
  <c r="O198" i="1" s="1"/>
  <c r="N198" i="1" a="1"/>
  <c r="N198" i="1"/>
  <c r="M198" i="1" a="1"/>
  <c r="M198" i="1" s="1"/>
  <c r="L198" i="1" a="1"/>
  <c r="L198" i="1" s="1"/>
  <c r="K198" i="1" a="1"/>
  <c r="K198" i="1" s="1"/>
  <c r="H198" i="1" a="1"/>
  <c r="H198" i="1" s="1"/>
  <c r="P197" i="1" a="1"/>
  <c r="P197" i="1"/>
  <c r="O197" i="1" a="1"/>
  <c r="O197" i="1" s="1"/>
  <c r="N197" i="1" a="1"/>
  <c r="N197" i="1" s="1"/>
  <c r="M197" i="1" a="1"/>
  <c r="M197" i="1"/>
  <c r="L197" i="1" a="1"/>
  <c r="L197" i="1"/>
  <c r="K197" i="1" a="1"/>
  <c r="K197" i="1"/>
  <c r="H197" i="1" a="1"/>
  <c r="H197" i="1" s="1"/>
  <c r="P196" i="1" a="1"/>
  <c r="P196" i="1"/>
  <c r="O196" i="1" a="1"/>
  <c r="O196" i="1" s="1"/>
  <c r="N196" i="1" a="1"/>
  <c r="N196" i="1"/>
  <c r="M196" i="1" a="1"/>
  <c r="M196" i="1" s="1"/>
  <c r="L196" i="1" a="1"/>
  <c r="L196" i="1" s="1"/>
  <c r="K196" i="1" a="1"/>
  <c r="K196" i="1" s="1"/>
  <c r="H196" i="1" a="1"/>
  <c r="H196" i="1" s="1"/>
  <c r="P195" i="1" a="1"/>
  <c r="P195" i="1" s="1"/>
  <c r="O195" i="1" a="1"/>
  <c r="O195" i="1" s="1"/>
  <c r="N195" i="1" a="1"/>
  <c r="N195" i="1"/>
  <c r="M195" i="1" a="1"/>
  <c r="M195" i="1"/>
  <c r="L195" i="1" a="1"/>
  <c r="L195" i="1" s="1"/>
  <c r="K195" i="1" a="1"/>
  <c r="K195" i="1" s="1"/>
  <c r="H195" i="1" a="1"/>
  <c r="H195" i="1" s="1"/>
  <c r="P194" i="1" a="1"/>
  <c r="P194" i="1"/>
  <c r="O194" i="1" a="1"/>
  <c r="O194" i="1" s="1"/>
  <c r="N194" i="1" a="1"/>
  <c r="N194" i="1" s="1"/>
  <c r="I2" i="11" s="1" a="1"/>
  <c r="I2" i="11" s="1"/>
  <c r="M194" i="1" a="1"/>
  <c r="M194" i="1"/>
  <c r="J2" i="11" s="1" a="1"/>
  <c r="J2" i="11" s="1"/>
  <c r="L194" i="1" a="1"/>
  <c r="L194" i="1"/>
  <c r="K2" i="11" s="1" a="1"/>
  <c r="K2" i="11" s="1"/>
  <c r="K194" i="1" a="1"/>
  <c r="K194" i="1" s="1"/>
  <c r="H2" i="11" s="1" a="1"/>
  <c r="H2" i="11" s="1"/>
  <c r="H194" i="1" a="1"/>
  <c r="H194" i="1"/>
  <c r="G2" i="11" s="1" a="1"/>
  <c r="G2" i="11" s="1"/>
  <c r="Q193" i="1" a="1"/>
  <c r="Q193" i="1"/>
  <c r="P193" i="1" a="1"/>
  <c r="P193" i="1" s="1"/>
  <c r="O193" i="1" a="1"/>
  <c r="O193" i="1" s="1"/>
  <c r="N193" i="1" a="1"/>
  <c r="N193" i="1"/>
  <c r="M193" i="1" a="1"/>
  <c r="M193" i="1"/>
  <c r="L193" i="1" a="1"/>
  <c r="L193" i="1"/>
  <c r="K193" i="1" a="1"/>
  <c r="K193" i="1" s="1"/>
  <c r="H193" i="1" a="1"/>
  <c r="H193" i="1" s="1"/>
  <c r="C71" i="14" s="1" a="1"/>
  <c r="C71" i="14" s="1"/>
  <c r="Q192" i="1" a="1"/>
  <c r="Q192" i="1" s="1"/>
  <c r="P192" i="1" a="1"/>
  <c r="P192" i="1" s="1"/>
  <c r="O192" i="1" a="1"/>
  <c r="O192" i="1" s="1"/>
  <c r="N192" i="1" a="1"/>
  <c r="N192" i="1"/>
  <c r="M192" i="1" a="1"/>
  <c r="M192" i="1"/>
  <c r="L192" i="1" a="1"/>
  <c r="L192" i="1"/>
  <c r="K192" i="1" a="1"/>
  <c r="K192" i="1" s="1"/>
  <c r="H192" i="1" a="1"/>
  <c r="H192" i="1" s="1"/>
  <c r="C171" i="14" s="1" a="1"/>
  <c r="C171" i="14" s="1"/>
  <c r="Q191" i="1" a="1"/>
  <c r="Q191" i="1" s="1"/>
  <c r="P191" i="1" a="1"/>
  <c r="P191" i="1"/>
  <c r="O191" i="1" a="1"/>
  <c r="O191" i="1" s="1"/>
  <c r="N191" i="1" a="1"/>
  <c r="N191" i="1"/>
  <c r="M191" i="1" a="1"/>
  <c r="M191" i="1"/>
  <c r="L191" i="1" a="1"/>
  <c r="L191" i="1" s="1"/>
  <c r="K191" i="1" a="1"/>
  <c r="K191" i="1" s="1"/>
  <c r="H191" i="1" a="1"/>
  <c r="H191" i="1"/>
  <c r="C110" i="14" s="1" a="1"/>
  <c r="C110" i="14" s="1"/>
  <c r="Q190" i="1" a="1"/>
  <c r="Q190" i="1" s="1"/>
  <c r="P190" i="1" a="1"/>
  <c r="P190" i="1" s="1"/>
  <c r="O190" i="1" a="1"/>
  <c r="O190" i="1" s="1"/>
  <c r="N190" i="1" a="1"/>
  <c r="N190" i="1"/>
  <c r="M190" i="1" a="1"/>
  <c r="M190" i="1"/>
  <c r="L190" i="1" a="1"/>
  <c r="L190" i="1"/>
  <c r="K190" i="1" a="1"/>
  <c r="K190" i="1" s="1"/>
  <c r="H190" i="1" a="1"/>
  <c r="H190" i="1" s="1"/>
  <c r="C91" i="14" s="1" a="1"/>
  <c r="C91" i="14" s="1"/>
  <c r="Q189" i="1" a="1"/>
  <c r="Q189" i="1" s="1"/>
  <c r="P189" i="1" a="1"/>
  <c r="P189" i="1" s="1"/>
  <c r="O189" i="1" a="1"/>
  <c r="O189" i="1" s="1"/>
  <c r="N189" i="1" a="1"/>
  <c r="N189" i="1" s="1"/>
  <c r="M189" i="1" a="1"/>
  <c r="M189" i="1" s="1"/>
  <c r="L189" i="1" a="1"/>
  <c r="L189" i="1" s="1"/>
  <c r="K189" i="1" a="1"/>
  <c r="K189" i="1" s="1"/>
  <c r="H189" i="1" a="1"/>
  <c r="H189" i="1" s="1"/>
  <c r="C70" i="14" s="1" a="1"/>
  <c r="C70" i="14" s="1"/>
  <c r="P188" i="1" a="1"/>
  <c r="P188" i="1" s="1"/>
  <c r="O188" i="1" a="1"/>
  <c r="O188" i="1"/>
  <c r="N188" i="1" a="1"/>
  <c r="N188" i="1" s="1"/>
  <c r="M188" i="1" a="1"/>
  <c r="M188" i="1"/>
  <c r="L188" i="1" a="1"/>
  <c r="L188" i="1"/>
  <c r="K188" i="1" a="1"/>
  <c r="K188" i="1" s="1"/>
  <c r="H188" i="1" a="1"/>
  <c r="H188" i="1" s="1"/>
  <c r="C105" i="14" s="1" a="1"/>
  <c r="C105" i="14" s="1"/>
  <c r="Q187" i="1" a="1"/>
  <c r="Q187" i="1" s="1"/>
  <c r="P187" i="1" a="1"/>
  <c r="P187" i="1"/>
  <c r="O187" i="1" a="1"/>
  <c r="O187" i="1" s="1"/>
  <c r="N187" i="1" a="1"/>
  <c r="N187" i="1" s="1"/>
  <c r="M187" i="1" a="1"/>
  <c r="M187" i="1"/>
  <c r="L187" i="1" a="1"/>
  <c r="L187" i="1"/>
  <c r="K187" i="1" a="1"/>
  <c r="K187" i="1" s="1"/>
  <c r="H187" i="1" a="1"/>
  <c r="H187" i="1" s="1"/>
  <c r="P186" i="1" a="1"/>
  <c r="P186" i="1" s="1"/>
  <c r="O186" i="1" a="1"/>
  <c r="O186" i="1" s="1"/>
  <c r="N186" i="1" a="1"/>
  <c r="N186" i="1"/>
  <c r="M186" i="1" a="1"/>
  <c r="M186" i="1" s="1"/>
  <c r="L186" i="1" a="1"/>
  <c r="L186" i="1" s="1"/>
  <c r="K186" i="1" a="1"/>
  <c r="K186" i="1" s="1"/>
  <c r="H186" i="1" a="1"/>
  <c r="H186" i="1"/>
  <c r="C34" i="14" s="1" a="1"/>
  <c r="C34" i="14" s="1"/>
  <c r="P185" i="1" a="1"/>
  <c r="P185" i="1" s="1"/>
  <c r="O185" i="1" a="1"/>
  <c r="O185" i="1" s="1"/>
  <c r="N185" i="1" a="1"/>
  <c r="N185" i="1" s="1"/>
  <c r="M185" i="1" a="1"/>
  <c r="M185" i="1" s="1"/>
  <c r="L185" i="1" a="1"/>
  <c r="L185" i="1" s="1"/>
  <c r="K185" i="1" a="1"/>
  <c r="K185" i="1"/>
  <c r="H185" i="1" a="1"/>
  <c r="H185" i="1" s="1"/>
  <c r="C123" i="14" s="1" a="1"/>
  <c r="C123" i="14" s="1"/>
  <c r="P184" i="1" a="1"/>
  <c r="P184" i="1" s="1"/>
  <c r="O184" i="1" a="1"/>
  <c r="O184" i="1" s="1"/>
  <c r="N184" i="1" a="1"/>
  <c r="N184" i="1" s="1"/>
  <c r="M184" i="1" a="1"/>
  <c r="M184" i="1" s="1"/>
  <c r="L184" i="1" a="1"/>
  <c r="L184" i="1" s="1"/>
  <c r="K184" i="1" a="1"/>
  <c r="K184" i="1" s="1"/>
  <c r="H184" i="1" a="1"/>
  <c r="H184" i="1"/>
  <c r="C96" i="14" s="1" a="1"/>
  <c r="C96" i="14" s="1"/>
  <c r="P183" i="1" a="1"/>
  <c r="P183" i="1"/>
  <c r="O183" i="1" a="1"/>
  <c r="O183" i="1"/>
  <c r="N183" i="1" a="1"/>
  <c r="N183" i="1" s="1"/>
  <c r="I28" i="11" s="1" a="1"/>
  <c r="I28" i="11" s="1"/>
  <c r="M183" i="1" a="1"/>
  <c r="M183" i="1" s="1"/>
  <c r="J28" i="11" s="1" a="1"/>
  <c r="J28" i="11" s="1"/>
  <c r="L183" i="1" a="1"/>
  <c r="L183" i="1"/>
  <c r="K28" i="11" s="1" a="1"/>
  <c r="K28" i="11" s="1"/>
  <c r="K183" i="1" a="1"/>
  <c r="K183" i="1"/>
  <c r="H28" i="11" s="1" a="1"/>
  <c r="H28" i="11" s="1"/>
  <c r="H183" i="1" a="1"/>
  <c r="H183" i="1" s="1"/>
  <c r="P182" i="1" a="1"/>
  <c r="P182" i="1" s="1"/>
  <c r="O182" i="1" a="1"/>
  <c r="O182" i="1"/>
  <c r="N182" i="1" a="1"/>
  <c r="N182" i="1" s="1"/>
  <c r="M182" i="1" a="1"/>
  <c r="M182" i="1" s="1"/>
  <c r="L182" i="1" a="1"/>
  <c r="L182" i="1" s="1"/>
  <c r="K182" i="1" a="1"/>
  <c r="K182" i="1" s="1"/>
  <c r="H182" i="1" a="1"/>
  <c r="H182" i="1" s="1"/>
  <c r="Q181" i="1" a="1"/>
  <c r="Q181" i="1" s="1"/>
  <c r="P181" i="1" a="1"/>
  <c r="P181" i="1"/>
  <c r="O181" i="1" a="1"/>
  <c r="O181" i="1" s="1"/>
  <c r="N181" i="1" a="1"/>
  <c r="N181" i="1"/>
  <c r="M181" i="1" a="1"/>
  <c r="M181" i="1" s="1"/>
  <c r="L181" i="1" a="1"/>
  <c r="L181" i="1" s="1"/>
  <c r="K181" i="1" a="1"/>
  <c r="K181" i="1" s="1"/>
  <c r="H181" i="1" a="1"/>
  <c r="H181" i="1" s="1"/>
  <c r="P180" i="1" a="1"/>
  <c r="P180" i="1" s="1"/>
  <c r="O180" i="1" a="1"/>
  <c r="O180" i="1" s="1"/>
  <c r="N180" i="1" a="1"/>
  <c r="N180" i="1" s="1"/>
  <c r="M180" i="1" a="1"/>
  <c r="M180" i="1"/>
  <c r="L180" i="1" a="1"/>
  <c r="L180" i="1" s="1"/>
  <c r="K180" i="1" a="1"/>
  <c r="K180" i="1"/>
  <c r="H180" i="1" a="1"/>
  <c r="H180" i="1" s="1"/>
  <c r="C167" i="14" s="1" a="1"/>
  <c r="C167" i="14" s="1"/>
  <c r="Q179" i="1" a="1"/>
  <c r="Q179" i="1"/>
  <c r="P179" i="1" a="1"/>
  <c r="P179" i="1" s="1"/>
  <c r="O179" i="1" a="1"/>
  <c r="O179" i="1"/>
  <c r="N179" i="1" a="1"/>
  <c r="N179" i="1" s="1"/>
  <c r="M179" i="1" a="1"/>
  <c r="M179" i="1" s="1"/>
  <c r="L179" i="1" a="1"/>
  <c r="L179" i="1" s="1"/>
  <c r="K179" i="1" a="1"/>
  <c r="K179" i="1" s="1"/>
  <c r="H179" i="1" a="1"/>
  <c r="H179" i="1" s="1"/>
  <c r="C77" i="14" s="1" a="1"/>
  <c r="C77" i="14" s="1"/>
  <c r="Q178" i="1" a="1"/>
  <c r="Q178" i="1" s="1"/>
  <c r="P178" i="1" a="1"/>
  <c r="P178" i="1" s="1"/>
  <c r="O178" i="1" a="1"/>
  <c r="O178" i="1"/>
  <c r="N178" i="1" a="1"/>
  <c r="N178" i="1"/>
  <c r="M178" i="1" a="1"/>
  <c r="M178" i="1" s="1"/>
  <c r="L178" i="1" a="1"/>
  <c r="L178" i="1" s="1"/>
  <c r="K178" i="1" a="1"/>
  <c r="K178" i="1" s="1"/>
  <c r="H178" i="1" a="1"/>
  <c r="H178" i="1" s="1"/>
  <c r="C62" i="14" s="1" a="1"/>
  <c r="C62" i="14" s="1"/>
  <c r="Q177" i="1" a="1"/>
  <c r="Q177" i="1" s="1"/>
  <c r="P177" i="1" a="1"/>
  <c r="P177" i="1" s="1"/>
  <c r="O177" i="1" a="1"/>
  <c r="O177" i="1" s="1"/>
  <c r="N177" i="1" a="1"/>
  <c r="N177" i="1" s="1"/>
  <c r="M177" i="1" a="1"/>
  <c r="M177" i="1"/>
  <c r="L177" i="1" a="1"/>
  <c r="L177" i="1" s="1"/>
  <c r="K177" i="1" a="1"/>
  <c r="K177" i="1" s="1"/>
  <c r="H177" i="1" a="1"/>
  <c r="H177" i="1" s="1"/>
  <c r="C59" i="14" s="1" a="1"/>
  <c r="C59" i="14" s="1"/>
  <c r="Q176" i="1" a="1"/>
  <c r="Q176" i="1" s="1"/>
  <c r="P176" i="1" a="1"/>
  <c r="P176" i="1" s="1"/>
  <c r="O176" i="1" a="1"/>
  <c r="O176" i="1" s="1"/>
  <c r="N176" i="1" a="1"/>
  <c r="N176" i="1"/>
  <c r="M176" i="1" a="1"/>
  <c r="M176" i="1" s="1"/>
  <c r="L176" i="1" a="1"/>
  <c r="L176" i="1" s="1"/>
  <c r="K176" i="1" a="1"/>
  <c r="K176" i="1" s="1"/>
  <c r="H176" i="1" a="1"/>
  <c r="H176" i="1" s="1"/>
  <c r="P175" i="1" a="1"/>
  <c r="P175" i="1" s="1"/>
  <c r="O175" i="1" a="1"/>
  <c r="O175" i="1" s="1"/>
  <c r="N175" i="1" a="1"/>
  <c r="N175" i="1"/>
  <c r="M175" i="1" a="1"/>
  <c r="M175" i="1" s="1"/>
  <c r="L175" i="1" a="1"/>
  <c r="L175" i="1" s="1"/>
  <c r="K175" i="1" a="1"/>
  <c r="K175" i="1" s="1"/>
  <c r="H175" i="1" a="1"/>
  <c r="H175" i="1" s="1"/>
  <c r="C41" i="14" s="1" a="1"/>
  <c r="C41" i="14" s="1"/>
  <c r="P174" i="1" a="1"/>
  <c r="P174" i="1"/>
  <c r="O174" i="1" a="1"/>
  <c r="O174" i="1" s="1"/>
  <c r="N174" i="1" a="1"/>
  <c r="N174" i="1" s="1"/>
  <c r="M174" i="1" a="1"/>
  <c r="M174" i="1" s="1"/>
  <c r="L174" i="1" a="1"/>
  <c r="L174" i="1"/>
  <c r="K174" i="1" a="1"/>
  <c r="K174" i="1" s="1"/>
  <c r="H174" i="1" a="1"/>
  <c r="H174" i="1" s="1"/>
  <c r="Q173" i="1" a="1"/>
  <c r="Q173" i="1"/>
  <c r="P173" i="1" a="1"/>
  <c r="P173" i="1" s="1"/>
  <c r="O173" i="1" a="1"/>
  <c r="O173" i="1" s="1"/>
  <c r="N173" i="1" a="1"/>
  <c r="N173" i="1" s="1"/>
  <c r="M173" i="1" a="1"/>
  <c r="M173" i="1" s="1"/>
  <c r="L173" i="1" a="1"/>
  <c r="L173" i="1" s="1"/>
  <c r="K173" i="1" a="1"/>
  <c r="K173" i="1" s="1"/>
  <c r="H173" i="1" a="1"/>
  <c r="H173" i="1" s="1"/>
  <c r="C7" i="14" s="1" a="1"/>
  <c r="C7" i="14" s="1"/>
  <c r="P172" i="1" a="1"/>
  <c r="P172" i="1"/>
  <c r="O172" i="1" a="1"/>
  <c r="O172" i="1" s="1"/>
  <c r="N172" i="1" a="1"/>
  <c r="N172" i="1" s="1"/>
  <c r="M172" i="1" a="1"/>
  <c r="M172" i="1" s="1"/>
  <c r="L172" i="1" a="1"/>
  <c r="L172" i="1"/>
  <c r="K172" i="1" a="1"/>
  <c r="K172" i="1"/>
  <c r="H172" i="1" a="1"/>
  <c r="H172" i="1" s="1"/>
  <c r="C126" i="14" s="1" a="1"/>
  <c r="C126" i="14" s="1"/>
  <c r="Q170" i="1" a="1"/>
  <c r="Q170" i="1" s="1"/>
  <c r="P170" i="1" a="1"/>
  <c r="P170" i="1" s="1"/>
  <c r="O170" i="1" a="1"/>
  <c r="O170" i="1" s="1"/>
  <c r="N170" i="1" a="1"/>
  <c r="N170" i="1"/>
  <c r="M170" i="1" a="1"/>
  <c r="M170" i="1" s="1"/>
  <c r="L170" i="1" a="1"/>
  <c r="L170" i="1" s="1"/>
  <c r="K170" i="1" a="1"/>
  <c r="K170" i="1"/>
  <c r="H170" i="1" a="1"/>
  <c r="H170" i="1" s="1"/>
  <c r="Q169" i="1" a="1"/>
  <c r="Q169" i="1" s="1"/>
  <c r="P169" i="1" a="1"/>
  <c r="P169" i="1" s="1"/>
  <c r="O169" i="1" a="1"/>
  <c r="O169" i="1" s="1"/>
  <c r="N169" i="1" a="1"/>
  <c r="N169" i="1"/>
  <c r="M169" i="1" a="1"/>
  <c r="M169" i="1" s="1"/>
  <c r="L169" i="1" a="1"/>
  <c r="L169" i="1" s="1"/>
  <c r="K169" i="1" a="1"/>
  <c r="K169" i="1" s="1"/>
  <c r="H169" i="1" a="1"/>
  <c r="H169" i="1"/>
  <c r="Q166" i="1" a="1"/>
  <c r="Q166" i="1" s="1"/>
  <c r="P166" i="1" a="1"/>
  <c r="P166" i="1" s="1"/>
  <c r="O166" i="1" a="1"/>
  <c r="O166" i="1" s="1"/>
  <c r="N166" i="1" a="1"/>
  <c r="N166" i="1" s="1"/>
  <c r="M166" i="1" a="1"/>
  <c r="M166" i="1" s="1"/>
  <c r="L166" i="1" a="1"/>
  <c r="L166" i="1" s="1"/>
  <c r="K166" i="1" a="1"/>
  <c r="K166" i="1"/>
  <c r="H166" i="1" a="1"/>
  <c r="H166" i="1" s="1"/>
  <c r="P165" i="1" a="1"/>
  <c r="P165" i="1" s="1"/>
  <c r="O165" i="1" a="1"/>
  <c r="O165" i="1"/>
  <c r="N165" i="1" a="1"/>
  <c r="N165" i="1" s="1"/>
  <c r="M165" i="1" a="1"/>
  <c r="M165" i="1" s="1"/>
  <c r="L165" i="1" a="1"/>
  <c r="L165" i="1" s="1"/>
  <c r="K165" i="1" a="1"/>
  <c r="K165" i="1"/>
  <c r="H165" i="1" a="1"/>
  <c r="H165" i="1" s="1"/>
  <c r="C86" i="14" s="1" a="1"/>
  <c r="C86" i="14" s="1"/>
  <c r="Q164" i="1" a="1"/>
  <c r="Q164" i="1" s="1"/>
  <c r="P164" i="1" a="1"/>
  <c r="P164" i="1" s="1"/>
  <c r="O164" i="1" a="1"/>
  <c r="O164" i="1" s="1"/>
  <c r="N164" i="1" a="1"/>
  <c r="N164" i="1"/>
  <c r="M164" i="1" a="1"/>
  <c r="M164" i="1" s="1"/>
  <c r="L164" i="1" a="1"/>
  <c r="L164" i="1" s="1"/>
  <c r="K164" i="1" a="1"/>
  <c r="K164" i="1" s="1"/>
  <c r="H164" i="1" a="1"/>
  <c r="H164" i="1"/>
  <c r="C80" i="14" s="1" a="1"/>
  <c r="C80" i="14" s="1"/>
  <c r="P162" i="1" a="1"/>
  <c r="P162" i="1"/>
  <c r="O162" i="1" a="1"/>
  <c r="O162" i="1" s="1"/>
  <c r="N162" i="1" a="1"/>
  <c r="N162" i="1" s="1"/>
  <c r="M162" i="1" a="1"/>
  <c r="M162" i="1" s="1"/>
  <c r="L162" i="1" a="1"/>
  <c r="L162" i="1" s="1"/>
  <c r="K162" i="1" a="1"/>
  <c r="K162" i="1" s="1"/>
  <c r="H162" i="1" a="1"/>
  <c r="H162" i="1"/>
  <c r="C39" i="14" s="1" a="1"/>
  <c r="C39" i="14" s="1"/>
  <c r="P161" i="1" a="1"/>
  <c r="P161" i="1" s="1"/>
  <c r="O161" i="1" a="1"/>
  <c r="O161" i="1"/>
  <c r="N161" i="1" a="1"/>
  <c r="N161" i="1" s="1"/>
  <c r="M161" i="1" a="1"/>
  <c r="M161" i="1"/>
  <c r="L161" i="1" a="1"/>
  <c r="L161" i="1" s="1"/>
  <c r="K161" i="1" a="1"/>
  <c r="K161" i="1" s="1"/>
  <c r="H161" i="1" a="1"/>
  <c r="H161" i="1" s="1"/>
  <c r="P160" i="1" a="1"/>
  <c r="P160" i="1"/>
  <c r="O160" i="1" a="1"/>
  <c r="O160" i="1" s="1"/>
  <c r="N160" i="1" a="1"/>
  <c r="N160" i="1" s="1"/>
  <c r="M160" i="1" a="1"/>
  <c r="M160" i="1" s="1"/>
  <c r="L160" i="1" a="1"/>
  <c r="L160" i="1"/>
  <c r="K160" i="1" a="1"/>
  <c r="K160" i="1"/>
  <c r="H160" i="1" a="1"/>
  <c r="H160" i="1" s="1"/>
  <c r="C94" i="14" s="1" a="1"/>
  <c r="C94" i="14" s="1"/>
  <c r="Q159" i="1" a="1"/>
  <c r="Q159" i="1" s="1"/>
  <c r="P159" i="1" a="1"/>
  <c r="P159" i="1"/>
  <c r="O159" i="1" a="1"/>
  <c r="O159" i="1"/>
  <c r="N159" i="1" a="1"/>
  <c r="N159" i="1"/>
  <c r="M159" i="1" a="1"/>
  <c r="M159" i="1" s="1"/>
  <c r="L159" i="1" a="1"/>
  <c r="L159" i="1" s="1"/>
  <c r="K159" i="1" a="1"/>
  <c r="K159" i="1" s="1"/>
  <c r="H159" i="1" a="1"/>
  <c r="H159" i="1"/>
  <c r="P158" i="1" a="1"/>
  <c r="P158" i="1" s="1"/>
  <c r="O158" i="1" a="1"/>
  <c r="O158" i="1" s="1"/>
  <c r="N158" i="1" a="1"/>
  <c r="N158" i="1" s="1"/>
  <c r="M158" i="1" a="1"/>
  <c r="M158" i="1" s="1"/>
  <c r="L158" i="1" a="1"/>
  <c r="L158" i="1" s="1"/>
  <c r="K158" i="1" a="1"/>
  <c r="K158" i="1" s="1"/>
  <c r="H158" i="1" a="1"/>
  <c r="H158" i="1"/>
  <c r="P157" i="1" a="1"/>
  <c r="P157" i="1" s="1"/>
  <c r="O157" i="1" a="1"/>
  <c r="O157" i="1" s="1"/>
  <c r="N157" i="1" a="1"/>
  <c r="N157" i="1" s="1"/>
  <c r="M157" i="1" a="1"/>
  <c r="M157" i="1" s="1"/>
  <c r="L157" i="1" a="1"/>
  <c r="L157" i="1"/>
  <c r="K25" i="11" s="1" a="1"/>
  <c r="K25" i="11" s="1"/>
  <c r="K157" i="1" a="1"/>
  <c r="K157" i="1" s="1"/>
  <c r="H25" i="11" s="1" a="1"/>
  <c r="H25" i="11" s="1"/>
  <c r="H157" i="1" a="1"/>
  <c r="H157" i="1" s="1"/>
  <c r="Q156" i="1" a="1"/>
  <c r="Q156" i="1" s="1"/>
  <c r="P156" i="1" a="1"/>
  <c r="P156" i="1" s="1"/>
  <c r="O156" i="1" a="1"/>
  <c r="O156" i="1" s="1"/>
  <c r="N156" i="1" a="1"/>
  <c r="N156" i="1" s="1"/>
  <c r="M156" i="1" a="1"/>
  <c r="M156" i="1" s="1"/>
  <c r="L156" i="1" a="1"/>
  <c r="L156" i="1" s="1"/>
  <c r="K156" i="1" a="1"/>
  <c r="K156" i="1" s="1"/>
  <c r="H156" i="1" a="1"/>
  <c r="H156" i="1" s="1"/>
  <c r="C177" i="14" s="1" a="1"/>
  <c r="C177" i="14" s="1"/>
  <c r="P155" i="1" a="1"/>
  <c r="P155" i="1"/>
  <c r="O155" i="1" a="1"/>
  <c r="O155" i="1" s="1"/>
  <c r="N155" i="1" a="1"/>
  <c r="N155" i="1" s="1"/>
  <c r="M155" i="1" a="1"/>
  <c r="M155" i="1" s="1"/>
  <c r="L155" i="1" a="1"/>
  <c r="L155" i="1"/>
  <c r="K155" i="1" a="1"/>
  <c r="K155" i="1"/>
  <c r="H155" i="1" a="1"/>
  <c r="H155" i="1" s="1"/>
  <c r="C174" i="14" s="1" a="1"/>
  <c r="C174" i="14" s="1"/>
  <c r="Q153" i="1" a="1"/>
  <c r="Q153" i="1" s="1"/>
  <c r="P153" i="1" a="1"/>
  <c r="P153" i="1" s="1"/>
  <c r="O153" i="1" a="1"/>
  <c r="O153" i="1"/>
  <c r="N153" i="1" a="1"/>
  <c r="N153" i="1" s="1"/>
  <c r="M153" i="1" a="1"/>
  <c r="M153" i="1" s="1"/>
  <c r="L153" i="1" a="1"/>
  <c r="L153" i="1" s="1"/>
  <c r="K153" i="1" a="1"/>
  <c r="K153" i="1" s="1"/>
  <c r="H153" i="1" a="1"/>
  <c r="H153" i="1" s="1"/>
  <c r="C134" i="14" s="1" a="1"/>
  <c r="C134" i="14" s="1"/>
  <c r="Q152" i="1" a="1"/>
  <c r="Q152" i="1" s="1"/>
  <c r="P152" i="1" a="1"/>
  <c r="P152" i="1"/>
  <c r="O152" i="1" a="1"/>
  <c r="O152" i="1" s="1"/>
  <c r="N152" i="1" a="1"/>
  <c r="N152" i="1" s="1"/>
  <c r="M152" i="1" a="1"/>
  <c r="M152" i="1" s="1"/>
  <c r="L152" i="1" a="1"/>
  <c r="L152" i="1" s="1"/>
  <c r="K152" i="1" a="1"/>
  <c r="K152" i="1"/>
  <c r="H152" i="1" a="1"/>
  <c r="H152" i="1" s="1"/>
  <c r="C125" i="14" s="1" a="1"/>
  <c r="C125" i="14" s="1"/>
  <c r="P151" i="1" a="1"/>
  <c r="P151" i="1" s="1"/>
  <c r="O151" i="1" a="1"/>
  <c r="O151" i="1" s="1"/>
  <c r="N151" i="1" a="1"/>
  <c r="N151" i="1" s="1"/>
  <c r="M151" i="1" a="1"/>
  <c r="M151" i="1" s="1"/>
  <c r="L151" i="1" a="1"/>
  <c r="L151" i="1" s="1"/>
  <c r="K151" i="1" a="1"/>
  <c r="K151" i="1" s="1"/>
  <c r="H151" i="1" a="1"/>
  <c r="H151" i="1" s="1"/>
  <c r="Q150" i="1" a="1"/>
  <c r="Q150" i="1" s="1"/>
  <c r="P150" i="1" a="1"/>
  <c r="P150" i="1" s="1"/>
  <c r="O150" i="1" a="1"/>
  <c r="O150" i="1"/>
  <c r="N150" i="1" a="1"/>
  <c r="N150" i="1" s="1"/>
  <c r="M150" i="1" a="1"/>
  <c r="M150" i="1" s="1"/>
  <c r="L150" i="1" a="1"/>
  <c r="L150" i="1" s="1"/>
  <c r="K150" i="1" a="1"/>
  <c r="K150" i="1" s="1"/>
  <c r="H150" i="1" a="1"/>
  <c r="H150" i="1"/>
  <c r="Q149" i="1" a="1"/>
  <c r="Q149" i="1" s="1"/>
  <c r="P149" i="1" a="1"/>
  <c r="P149" i="1" s="1"/>
  <c r="O149" i="1" a="1"/>
  <c r="O149" i="1" s="1"/>
  <c r="N149" i="1" a="1"/>
  <c r="N149" i="1"/>
  <c r="M149" i="1" a="1"/>
  <c r="M149" i="1" s="1"/>
  <c r="L149" i="1" a="1"/>
  <c r="L149" i="1" s="1"/>
  <c r="K149" i="1" a="1"/>
  <c r="K149" i="1" s="1"/>
  <c r="H149" i="1" a="1"/>
  <c r="H149" i="1" s="1"/>
  <c r="C98" i="14" s="1" a="1"/>
  <c r="C98" i="14" s="1"/>
  <c r="Q148" i="1" a="1"/>
  <c r="Q148" i="1" s="1"/>
  <c r="P148" i="1" a="1"/>
  <c r="P148" i="1" s="1"/>
  <c r="O148" i="1" a="1"/>
  <c r="O148" i="1"/>
  <c r="N148" i="1" a="1"/>
  <c r="N148" i="1" s="1"/>
  <c r="M148" i="1" a="1"/>
  <c r="M148" i="1" s="1"/>
  <c r="L148" i="1" a="1"/>
  <c r="L148" i="1" s="1"/>
  <c r="K148" i="1" a="1"/>
  <c r="K148" i="1"/>
  <c r="H148" i="1" a="1"/>
  <c r="H148" i="1"/>
  <c r="C93" i="14" s="1" a="1"/>
  <c r="C93" i="14" s="1"/>
  <c r="P147" i="1" a="1"/>
  <c r="P147" i="1" s="1"/>
  <c r="O147" i="1" a="1"/>
  <c r="O147" i="1" s="1"/>
  <c r="N147" i="1" a="1"/>
  <c r="N147" i="1" s="1"/>
  <c r="M147" i="1" a="1"/>
  <c r="M147" i="1" s="1"/>
  <c r="L147" i="1" a="1"/>
  <c r="L147" i="1" s="1"/>
  <c r="K147" i="1" a="1"/>
  <c r="K147" i="1" s="1"/>
  <c r="H147" i="1" a="1"/>
  <c r="H147" i="1" s="1"/>
  <c r="C88" i="14" s="1" a="1"/>
  <c r="C88" i="14" s="1"/>
  <c r="Q146" i="1" a="1"/>
  <c r="Q146" i="1" s="1"/>
  <c r="P146" i="1" a="1"/>
  <c r="P146" i="1" s="1"/>
  <c r="O146" i="1" a="1"/>
  <c r="O146" i="1" s="1"/>
  <c r="N146" i="1" a="1"/>
  <c r="N146" i="1"/>
  <c r="M146" i="1" a="1"/>
  <c r="M146" i="1" s="1"/>
  <c r="L146" i="1" a="1"/>
  <c r="L146" i="1" s="1"/>
  <c r="K146" i="1" a="1"/>
  <c r="K146" i="1" s="1"/>
  <c r="H146" i="1" a="1"/>
  <c r="H146" i="1" s="1"/>
  <c r="C67" i="14" s="1" a="1"/>
  <c r="C67" i="14" s="1"/>
  <c r="Q145" i="1" a="1"/>
  <c r="Q145" i="1"/>
  <c r="P145" i="1" a="1"/>
  <c r="P145" i="1" s="1"/>
  <c r="O145" i="1" a="1"/>
  <c r="O145" i="1" s="1"/>
  <c r="N145" i="1" a="1"/>
  <c r="N145" i="1" s="1"/>
  <c r="M145" i="1" a="1"/>
  <c r="M145" i="1"/>
  <c r="L145" i="1" a="1"/>
  <c r="L145" i="1" s="1"/>
  <c r="K145" i="1" a="1"/>
  <c r="K145" i="1" s="1"/>
  <c r="H145" i="1" a="1"/>
  <c r="H145" i="1" s="1"/>
  <c r="C61" i="14" s="1" a="1"/>
  <c r="C61" i="14" s="1"/>
  <c r="P144" i="1" a="1"/>
  <c r="P144" i="1" s="1"/>
  <c r="O144" i="1" a="1"/>
  <c r="O144" i="1" s="1"/>
  <c r="N144" i="1" a="1"/>
  <c r="N144" i="1" s="1"/>
  <c r="M144" i="1" a="1"/>
  <c r="M144" i="1"/>
  <c r="L144" i="1" a="1"/>
  <c r="L144" i="1" s="1"/>
  <c r="K144" i="1" a="1"/>
  <c r="K144" i="1" s="1"/>
  <c r="H144" i="1" a="1"/>
  <c r="H144" i="1" s="1"/>
  <c r="P143" i="1" a="1"/>
  <c r="P143" i="1" s="1"/>
  <c r="O143" i="1" a="1"/>
  <c r="O143" i="1"/>
  <c r="N143" i="1" a="1"/>
  <c r="N143" i="1" s="1"/>
  <c r="M143" i="1" a="1"/>
  <c r="M143" i="1" s="1"/>
  <c r="L143" i="1" a="1"/>
  <c r="L143" i="1" s="1"/>
  <c r="K143" i="1" a="1"/>
  <c r="K143" i="1" s="1"/>
  <c r="H143" i="1" a="1"/>
  <c r="H143" i="1" s="1"/>
  <c r="C46" i="14" s="1" a="1"/>
  <c r="C46" i="14" s="1"/>
  <c r="Q142" i="1" a="1"/>
  <c r="Q142" i="1" s="1"/>
  <c r="P142" i="1" a="1"/>
  <c r="P142" i="1"/>
  <c r="O142" i="1" a="1"/>
  <c r="O142" i="1" s="1"/>
  <c r="N142" i="1" a="1"/>
  <c r="N142" i="1" s="1"/>
  <c r="M142" i="1" a="1"/>
  <c r="M142" i="1" s="1"/>
  <c r="L142" i="1" a="1"/>
  <c r="L142" i="1"/>
  <c r="K142" i="1" a="1"/>
  <c r="K142" i="1" s="1"/>
  <c r="H142" i="1" a="1"/>
  <c r="H142" i="1" s="1"/>
  <c r="C44" i="14" s="1" a="1"/>
  <c r="C44" i="14" s="1"/>
  <c r="Q141" i="1" a="1"/>
  <c r="Q141" i="1" s="1"/>
  <c r="P141" i="1" a="1"/>
  <c r="P141" i="1" s="1"/>
  <c r="O141" i="1" a="1"/>
  <c r="O141" i="1"/>
  <c r="N141" i="1" a="1"/>
  <c r="N141" i="1" s="1"/>
  <c r="M141" i="1" a="1"/>
  <c r="M141" i="1" s="1"/>
  <c r="L141" i="1" a="1"/>
  <c r="L141" i="1" s="1"/>
  <c r="K141" i="1" a="1"/>
  <c r="K141" i="1"/>
  <c r="H141" i="1" a="1"/>
  <c r="H141" i="1" s="1"/>
  <c r="P140" i="1" a="1"/>
  <c r="P140" i="1" s="1"/>
  <c r="O140" i="1" a="1"/>
  <c r="O140" i="1"/>
  <c r="N140" i="1" a="1"/>
  <c r="N140" i="1" s="1"/>
  <c r="M140" i="1" a="1"/>
  <c r="M140" i="1" s="1"/>
  <c r="L140" i="1" a="1"/>
  <c r="L140" i="1" s="1"/>
  <c r="K140" i="1" a="1"/>
  <c r="K140" i="1"/>
  <c r="H140" i="1" a="1"/>
  <c r="H140" i="1" s="1"/>
  <c r="C19" i="14" s="1" a="1"/>
  <c r="C19" i="14" s="1"/>
  <c r="P139" i="1" a="1"/>
  <c r="P139" i="1" s="1"/>
  <c r="O139" i="1" a="1"/>
  <c r="O139" i="1" s="1"/>
  <c r="N139" i="1" a="1"/>
  <c r="N139" i="1"/>
  <c r="M139" i="1" a="1"/>
  <c r="M139" i="1"/>
  <c r="L139" i="1" a="1"/>
  <c r="L139" i="1" s="1"/>
  <c r="K139" i="1" a="1"/>
  <c r="K139" i="1" s="1"/>
  <c r="H139" i="1" a="1"/>
  <c r="H139" i="1" s="1"/>
  <c r="C157" i="14" s="1" a="1"/>
  <c r="C157" i="14" s="1"/>
  <c r="P138" i="1" a="1"/>
  <c r="P138" i="1"/>
  <c r="O138" i="1" a="1"/>
  <c r="O138" i="1" s="1"/>
  <c r="N138" i="1" a="1"/>
  <c r="N138" i="1" s="1"/>
  <c r="M138" i="1" a="1"/>
  <c r="M138" i="1" s="1"/>
  <c r="L138" i="1" a="1"/>
  <c r="L138" i="1" s="1"/>
  <c r="K138" i="1" a="1"/>
  <c r="K138" i="1" s="1"/>
  <c r="H138" i="1" a="1"/>
  <c r="H138" i="1" s="1"/>
  <c r="Q137" i="1" a="1"/>
  <c r="Q137" i="1"/>
  <c r="P137" i="1" a="1"/>
  <c r="P137" i="1" s="1"/>
  <c r="O137" i="1" a="1"/>
  <c r="O137" i="1" s="1"/>
  <c r="N137" i="1" a="1"/>
  <c r="N137" i="1" s="1"/>
  <c r="M137" i="1" a="1"/>
  <c r="M137" i="1" s="1"/>
  <c r="L137" i="1" a="1"/>
  <c r="L137" i="1"/>
  <c r="K137" i="1" a="1"/>
  <c r="K137" i="1" s="1"/>
  <c r="H137" i="1" a="1"/>
  <c r="H137" i="1" s="1"/>
  <c r="N136" i="1" a="1"/>
  <c r="N136" i="1" s="1"/>
  <c r="M136" i="1" a="1"/>
  <c r="M136" i="1"/>
  <c r="L136" i="1" a="1"/>
  <c r="L136" i="1" s="1"/>
  <c r="K136" i="1" a="1"/>
  <c r="K136" i="1" s="1"/>
  <c r="H136" i="1" a="1"/>
  <c r="H136" i="1"/>
  <c r="C73" i="14" s="1" a="1"/>
  <c r="C73" i="14" s="1"/>
  <c r="Q135" i="1" a="1"/>
  <c r="Q135" i="1" s="1"/>
  <c r="P135" i="1" a="1"/>
  <c r="P135" i="1" s="1"/>
  <c r="O135" i="1" a="1"/>
  <c r="O135" i="1" s="1"/>
  <c r="N135" i="1" a="1"/>
  <c r="N135" i="1" s="1"/>
  <c r="M135" i="1" a="1"/>
  <c r="M135" i="1"/>
  <c r="L135" i="1" a="1"/>
  <c r="L135" i="1" s="1"/>
  <c r="K135" i="1" a="1"/>
  <c r="K135" i="1" s="1"/>
  <c r="H135" i="1" a="1"/>
  <c r="H135" i="1" s="1"/>
  <c r="C45" i="14" s="1" a="1"/>
  <c r="C45" i="14" s="1"/>
  <c r="Q134" i="1" a="1"/>
  <c r="Q134" i="1" s="1"/>
  <c r="P134" i="1" a="1"/>
  <c r="P134" i="1" s="1"/>
  <c r="O134" i="1" a="1"/>
  <c r="O134" i="1" s="1"/>
  <c r="N134" i="1" a="1"/>
  <c r="N134" i="1" s="1"/>
  <c r="M134" i="1" a="1"/>
  <c r="M134" i="1" s="1"/>
  <c r="L134" i="1" a="1"/>
  <c r="L134" i="1" s="1"/>
  <c r="K134" i="1" a="1"/>
  <c r="K134" i="1" s="1"/>
  <c r="H134" i="1" a="1"/>
  <c r="H134" i="1"/>
  <c r="C33" i="14" s="1" a="1"/>
  <c r="C33" i="14" s="1"/>
  <c r="P133" i="1" a="1"/>
  <c r="P133" i="1" s="1"/>
  <c r="O133" i="1" a="1"/>
  <c r="O133" i="1" s="1"/>
  <c r="N133" i="1" a="1"/>
  <c r="N133" i="1" s="1"/>
  <c r="M133" i="1" a="1"/>
  <c r="M133" i="1" s="1"/>
  <c r="L133" i="1" a="1"/>
  <c r="L133" i="1" s="1"/>
  <c r="K133" i="1" a="1"/>
  <c r="K133" i="1" s="1"/>
  <c r="H133" i="1" a="1"/>
  <c r="H133" i="1" s="1"/>
  <c r="C147" i="14" s="1" a="1"/>
  <c r="C147" i="14" s="1"/>
  <c r="P132" i="1" a="1"/>
  <c r="P132" i="1" s="1"/>
  <c r="O132" i="1" a="1"/>
  <c r="O132" i="1" s="1"/>
  <c r="N132" i="1" a="1"/>
  <c r="N132" i="1" s="1"/>
  <c r="M132" i="1" a="1"/>
  <c r="M132" i="1" s="1"/>
  <c r="L132" i="1" a="1"/>
  <c r="L132" i="1" s="1"/>
  <c r="K132" i="1" a="1"/>
  <c r="K132" i="1"/>
  <c r="H132" i="1" a="1"/>
  <c r="H132" i="1" s="1"/>
  <c r="C117" i="14" s="1" a="1"/>
  <c r="C117" i="14" s="1"/>
  <c r="P131" i="1" a="1"/>
  <c r="P131" i="1" s="1"/>
  <c r="O131" i="1" a="1"/>
  <c r="O131" i="1"/>
  <c r="N131" i="1" a="1"/>
  <c r="N131" i="1" s="1"/>
  <c r="M131" i="1" a="1"/>
  <c r="M131" i="1" s="1"/>
  <c r="L131" i="1" a="1"/>
  <c r="L131" i="1" s="1"/>
  <c r="K131" i="1" a="1"/>
  <c r="K131" i="1" s="1"/>
  <c r="H131" i="1" a="1"/>
  <c r="H131" i="1" s="1"/>
  <c r="P130" i="1" a="1"/>
  <c r="P130" i="1" s="1"/>
  <c r="O130" i="1" a="1"/>
  <c r="O130" i="1" s="1"/>
  <c r="N130" i="1" a="1"/>
  <c r="N130" i="1"/>
  <c r="M130" i="1" a="1"/>
  <c r="M130" i="1" s="1"/>
  <c r="L130" i="1" a="1"/>
  <c r="L130" i="1" s="1"/>
  <c r="K130" i="1" a="1"/>
  <c r="K130" i="1" s="1"/>
  <c r="H130" i="1" a="1"/>
  <c r="H130" i="1" s="1"/>
  <c r="C95" i="14" s="1" a="1"/>
  <c r="C95" i="14" s="1"/>
  <c r="P129" i="1" a="1"/>
  <c r="P129" i="1"/>
  <c r="O129" i="1" a="1"/>
  <c r="O129" i="1" s="1"/>
  <c r="N129" i="1" a="1"/>
  <c r="N129" i="1" s="1"/>
  <c r="M129" i="1" a="1"/>
  <c r="M129" i="1" s="1"/>
  <c r="L129" i="1" a="1"/>
  <c r="L129" i="1" s="1"/>
  <c r="K129" i="1" a="1"/>
  <c r="K129" i="1" s="1"/>
  <c r="H129" i="1" a="1"/>
  <c r="H129" i="1" s="1"/>
  <c r="C156" i="14" s="1" a="1"/>
  <c r="C156" i="14" s="1"/>
  <c r="P128" i="1" a="1"/>
  <c r="P128" i="1"/>
  <c r="O128" i="1" a="1"/>
  <c r="O128" i="1" s="1"/>
  <c r="N128" i="1" a="1"/>
  <c r="N128" i="1" s="1"/>
  <c r="M128" i="1" a="1"/>
  <c r="M128" i="1" s="1"/>
  <c r="L128" i="1" a="1"/>
  <c r="L128" i="1" s="1"/>
  <c r="K128" i="1" a="1"/>
  <c r="K128" i="1"/>
  <c r="H128" i="1" a="1"/>
  <c r="H128" i="1" s="1"/>
  <c r="C179" i="14" s="1" a="1"/>
  <c r="C179" i="14" s="1"/>
  <c r="P127" i="1" a="1"/>
  <c r="P127" i="1" s="1"/>
  <c r="O127" i="1" a="1"/>
  <c r="O127" i="1" s="1"/>
  <c r="N127" i="1" a="1"/>
  <c r="N127" i="1"/>
  <c r="M127" i="1" a="1"/>
  <c r="M127" i="1" s="1"/>
  <c r="L127" i="1" a="1"/>
  <c r="L127" i="1" s="1"/>
  <c r="K127" i="1" a="1"/>
  <c r="K127" i="1"/>
  <c r="H127" i="1" a="1"/>
  <c r="H127" i="1" s="1"/>
  <c r="C166" i="14" s="1" a="1"/>
  <c r="C166" i="14" s="1"/>
  <c r="P126" i="1" a="1"/>
  <c r="P126" i="1" s="1"/>
  <c r="O126" i="1" a="1"/>
  <c r="O126" i="1" s="1"/>
  <c r="N126" i="1" a="1"/>
  <c r="N126" i="1" s="1"/>
  <c r="M126" i="1" a="1"/>
  <c r="M126" i="1"/>
  <c r="L126" i="1" a="1"/>
  <c r="L126" i="1" s="1"/>
  <c r="K126" i="1" a="1"/>
  <c r="K126" i="1" s="1"/>
  <c r="H126" i="1" a="1"/>
  <c r="H126" i="1" s="1"/>
  <c r="C150" i="14" s="1" a="1"/>
  <c r="C150" i="14" s="1"/>
  <c r="P125" i="1" a="1"/>
  <c r="P125" i="1" s="1"/>
  <c r="O125" i="1" a="1"/>
  <c r="O125" i="1" s="1"/>
  <c r="N125" i="1" a="1"/>
  <c r="N125" i="1" s="1"/>
  <c r="M125" i="1" a="1"/>
  <c r="M125" i="1" s="1"/>
  <c r="L125" i="1" a="1"/>
  <c r="L125" i="1"/>
  <c r="K125" i="1" a="1"/>
  <c r="K125" i="1" s="1"/>
  <c r="H125" i="1" a="1"/>
  <c r="H125" i="1" s="1"/>
  <c r="P124" i="1" a="1"/>
  <c r="P124" i="1"/>
  <c r="O124" i="1" a="1"/>
  <c r="O124" i="1" s="1"/>
  <c r="N124" i="1" a="1"/>
  <c r="N124" i="1" s="1"/>
  <c r="M124" i="1" a="1"/>
  <c r="M124" i="1" s="1"/>
  <c r="L124" i="1" a="1"/>
  <c r="L124" i="1" s="1"/>
  <c r="K124" i="1" a="1"/>
  <c r="K124" i="1" s="1"/>
  <c r="H124" i="1" a="1"/>
  <c r="H124" i="1" s="1"/>
  <c r="Q123" i="1" a="1"/>
  <c r="Q123" i="1" s="1"/>
  <c r="P123" i="1" a="1"/>
  <c r="P123" i="1" s="1"/>
  <c r="O123" i="1" a="1"/>
  <c r="O123" i="1" s="1"/>
  <c r="N123" i="1" a="1"/>
  <c r="N123" i="1" s="1"/>
  <c r="M123" i="1" a="1"/>
  <c r="M123" i="1" s="1"/>
  <c r="L123" i="1" a="1"/>
  <c r="L123" i="1" s="1"/>
  <c r="K123" i="1" a="1"/>
  <c r="K123" i="1"/>
  <c r="H123" i="1" a="1"/>
  <c r="H123" i="1" s="1"/>
  <c r="Q122" i="1" a="1"/>
  <c r="Q122" i="1" s="1"/>
  <c r="P122" i="1" a="1"/>
  <c r="P122" i="1"/>
  <c r="O122" i="1" a="1"/>
  <c r="O122" i="1" s="1"/>
  <c r="N122" i="1" a="1"/>
  <c r="N122" i="1" s="1"/>
  <c r="M122" i="1" a="1"/>
  <c r="M122" i="1" s="1"/>
  <c r="L122" i="1" a="1"/>
  <c r="L122" i="1"/>
  <c r="K122" i="1" a="1"/>
  <c r="K122" i="1" s="1"/>
  <c r="H122" i="1" a="1"/>
  <c r="H122" i="1" s="1"/>
  <c r="Q121" i="1" a="1"/>
  <c r="Q121" i="1" s="1"/>
  <c r="P121" i="1" a="1"/>
  <c r="P121" i="1"/>
  <c r="O121" i="1" a="1"/>
  <c r="O121" i="1"/>
  <c r="N121" i="1" a="1"/>
  <c r="N121" i="1" s="1"/>
  <c r="M121" i="1" a="1"/>
  <c r="M121" i="1" s="1"/>
  <c r="L121" i="1" a="1"/>
  <c r="L121" i="1" s="1"/>
  <c r="K121" i="1" a="1"/>
  <c r="K121" i="1"/>
  <c r="H121" i="1" a="1"/>
  <c r="H121" i="1" s="1"/>
  <c r="C90" i="14" s="1" a="1"/>
  <c r="C90" i="14" s="1"/>
  <c r="Q120" i="1" a="1"/>
  <c r="Q120" i="1" s="1"/>
  <c r="P120" i="1" a="1"/>
  <c r="P120" i="1" s="1"/>
  <c r="O120" i="1" a="1"/>
  <c r="O120" i="1" s="1"/>
  <c r="N120" i="1" a="1"/>
  <c r="N120" i="1" s="1"/>
  <c r="M120" i="1" a="1"/>
  <c r="M120" i="1" s="1"/>
  <c r="L120" i="1" a="1"/>
  <c r="L120" i="1"/>
  <c r="K120" i="1" a="1"/>
  <c r="K120" i="1"/>
  <c r="H120" i="1" a="1"/>
  <c r="H120" i="1" s="1"/>
  <c r="C84" i="14" s="1" a="1"/>
  <c r="C84" i="14" s="1"/>
  <c r="Q119" i="1" a="1"/>
  <c r="Q119" i="1" s="1"/>
  <c r="P119" i="1" a="1"/>
  <c r="P119" i="1" s="1"/>
  <c r="O119" i="1" a="1"/>
  <c r="O119" i="1"/>
  <c r="N119" i="1" a="1"/>
  <c r="N119" i="1" s="1"/>
  <c r="M119" i="1" a="1"/>
  <c r="M119" i="1" s="1"/>
  <c r="L119" i="1" a="1"/>
  <c r="L119" i="1" s="1"/>
  <c r="K119" i="1" a="1"/>
  <c r="K119" i="1"/>
  <c r="H119" i="1" a="1"/>
  <c r="H119" i="1" s="1"/>
  <c r="C60" i="14" s="1" a="1"/>
  <c r="C60" i="14" s="1"/>
  <c r="Q118" i="1" a="1"/>
  <c r="Q118" i="1" s="1"/>
  <c r="P118" i="1" a="1"/>
  <c r="P118" i="1"/>
  <c r="O118" i="1" a="1"/>
  <c r="O118" i="1" s="1"/>
  <c r="N118" i="1" a="1"/>
  <c r="N118" i="1" s="1"/>
  <c r="M118" i="1" a="1"/>
  <c r="M118" i="1" s="1"/>
  <c r="L118" i="1" a="1"/>
  <c r="L118" i="1" s="1"/>
  <c r="K118" i="1" a="1"/>
  <c r="K118" i="1"/>
  <c r="H118" i="1" a="1"/>
  <c r="H118" i="1" s="1"/>
  <c r="C56" i="14" s="1" a="1"/>
  <c r="C56" i="14" s="1"/>
  <c r="P117" i="1" a="1"/>
  <c r="P117" i="1" s="1"/>
  <c r="O117" i="1" a="1"/>
  <c r="O117" i="1" s="1"/>
  <c r="N117" i="1" a="1"/>
  <c r="N117" i="1" s="1"/>
  <c r="M117" i="1" a="1"/>
  <c r="M117" i="1" s="1"/>
  <c r="L117" i="1" a="1"/>
  <c r="L117" i="1" s="1"/>
  <c r="K117" i="1" a="1"/>
  <c r="K117" i="1" s="1"/>
  <c r="H117" i="1" a="1"/>
  <c r="H117" i="1" s="1"/>
  <c r="C35" i="14" s="1" a="1"/>
  <c r="C35" i="14" s="1"/>
  <c r="P116" i="1" a="1"/>
  <c r="P116" i="1" s="1"/>
  <c r="O116" i="1" a="1"/>
  <c r="O116" i="1" s="1"/>
  <c r="N116" i="1" a="1"/>
  <c r="N116" i="1"/>
  <c r="M116" i="1" a="1"/>
  <c r="M116" i="1" s="1"/>
  <c r="L116" i="1" a="1"/>
  <c r="L116" i="1" s="1"/>
  <c r="K116" i="1" a="1"/>
  <c r="K116" i="1" s="1"/>
  <c r="H116" i="1" a="1"/>
  <c r="H116" i="1" s="1"/>
  <c r="C30" i="14" s="1" a="1"/>
  <c r="C30" i="14" s="1"/>
  <c r="Q115" i="1" a="1"/>
  <c r="Q115" i="1" s="1"/>
  <c r="P115" i="1" a="1"/>
  <c r="P115" i="1" s="1"/>
  <c r="O115" i="1" a="1"/>
  <c r="O115" i="1" s="1"/>
  <c r="N115" i="1" a="1"/>
  <c r="N115" i="1"/>
  <c r="M115" i="1" a="1"/>
  <c r="M115" i="1" s="1"/>
  <c r="L115" i="1" a="1"/>
  <c r="L115" i="1" s="1"/>
  <c r="K115" i="1" a="1"/>
  <c r="K115" i="1" s="1"/>
  <c r="H115" i="1" a="1"/>
  <c r="H115" i="1" s="1"/>
  <c r="C23" i="14" s="1" a="1"/>
  <c r="C23" i="14" s="1"/>
  <c r="P114" i="1" a="1"/>
  <c r="P114" i="1"/>
  <c r="O114" i="1" a="1"/>
  <c r="O114" i="1" s="1"/>
  <c r="N114" i="1" a="1"/>
  <c r="N114" i="1" s="1"/>
  <c r="M114" i="1" a="1"/>
  <c r="M114" i="1"/>
  <c r="L114" i="1" a="1"/>
  <c r="L114" i="1" s="1"/>
  <c r="K114" i="1" a="1"/>
  <c r="K114" i="1" s="1"/>
  <c r="H114" i="1" a="1"/>
  <c r="H114" i="1" s="1"/>
  <c r="C9" i="14" s="1" a="1"/>
  <c r="C9" i="14" s="1"/>
  <c r="Q113" i="1" a="1"/>
  <c r="Q113" i="1"/>
  <c r="P113" i="1" a="1"/>
  <c r="P113" i="1" s="1"/>
  <c r="O113" i="1" a="1"/>
  <c r="O113" i="1" s="1"/>
  <c r="N113" i="1" a="1"/>
  <c r="N113" i="1" s="1"/>
  <c r="M113" i="1" a="1"/>
  <c r="M113" i="1"/>
  <c r="L113" i="1" a="1"/>
  <c r="L113" i="1"/>
  <c r="K113" i="1" a="1"/>
  <c r="K113" i="1" s="1"/>
  <c r="H113" i="1" a="1"/>
  <c r="H113" i="1" s="1"/>
  <c r="C63" i="14" s="1" a="1"/>
  <c r="C63" i="14" s="1"/>
  <c r="P112" i="1" a="1"/>
  <c r="P112" i="1" s="1"/>
  <c r="O112" i="1" a="1"/>
  <c r="O112" i="1"/>
  <c r="N112" i="1" a="1"/>
  <c r="N112" i="1" s="1"/>
  <c r="M112" i="1" a="1"/>
  <c r="M112" i="1" s="1"/>
  <c r="L112" i="1" a="1"/>
  <c r="L112" i="1" s="1"/>
  <c r="K112" i="1" a="1"/>
  <c r="K112" i="1" s="1"/>
  <c r="H112" i="1" a="1"/>
  <c r="H112" i="1" s="1"/>
  <c r="P111" i="1" a="1"/>
  <c r="P111" i="1" s="1"/>
  <c r="O111" i="1" a="1"/>
  <c r="O111" i="1"/>
  <c r="N111" i="1" a="1"/>
  <c r="N111" i="1"/>
  <c r="M111" i="1" a="1"/>
  <c r="M111" i="1" s="1"/>
  <c r="L111" i="1" a="1"/>
  <c r="L111" i="1" s="1"/>
  <c r="K111" i="1" a="1"/>
  <c r="K111" i="1" s="1"/>
  <c r="H111" i="1" a="1"/>
  <c r="H111" i="1"/>
  <c r="C161" i="14" s="1" a="1"/>
  <c r="C161" i="14" s="1"/>
  <c r="Q110" i="1" a="1"/>
  <c r="Q110" i="1" s="1"/>
  <c r="P110" i="1" a="1"/>
  <c r="P110" i="1" s="1"/>
  <c r="O110" i="1" a="1"/>
  <c r="O110" i="1" s="1"/>
  <c r="N110" i="1" a="1"/>
  <c r="N110" i="1"/>
  <c r="M110" i="1" a="1"/>
  <c r="M110" i="1" s="1"/>
  <c r="L110" i="1" a="1"/>
  <c r="L110" i="1" s="1"/>
  <c r="K110" i="1" a="1"/>
  <c r="K110" i="1"/>
  <c r="H110" i="1" a="1"/>
  <c r="H110" i="1" s="1"/>
  <c r="C75" i="14" s="1" a="1"/>
  <c r="C75" i="14" s="1"/>
  <c r="P109" i="1" a="1"/>
  <c r="P109" i="1" s="1"/>
  <c r="O109" i="1" a="1"/>
  <c r="O109" i="1" s="1"/>
  <c r="N109" i="1" a="1"/>
  <c r="N109" i="1" s="1"/>
  <c r="M109" i="1" a="1"/>
  <c r="M109" i="1"/>
  <c r="L109" i="1" a="1"/>
  <c r="L109" i="1" s="1"/>
  <c r="K109" i="1" a="1"/>
  <c r="K109" i="1" s="1"/>
  <c r="H109" i="1" a="1"/>
  <c r="H109" i="1" s="1"/>
  <c r="C176" i="14" s="1" a="1"/>
  <c r="C176" i="14" s="1"/>
  <c r="P108" i="1" a="1"/>
  <c r="P108" i="1" s="1"/>
  <c r="O108" i="1" a="1"/>
  <c r="O108" i="1" s="1"/>
  <c r="N108" i="1" a="1"/>
  <c r="N108" i="1" s="1"/>
  <c r="M108" i="1" a="1"/>
  <c r="M108" i="1" s="1"/>
  <c r="L108" i="1" a="1"/>
  <c r="L108" i="1" s="1"/>
  <c r="K108" i="1" a="1"/>
  <c r="K108" i="1" s="1"/>
  <c r="H108" i="1" a="1"/>
  <c r="H108" i="1" s="1"/>
  <c r="P107" i="1" a="1"/>
  <c r="P107" i="1"/>
  <c r="O107" i="1" a="1"/>
  <c r="O107" i="1" s="1"/>
  <c r="N107" i="1" a="1"/>
  <c r="N107" i="1" s="1"/>
  <c r="M107" i="1" a="1"/>
  <c r="M107" i="1" s="1"/>
  <c r="L107" i="1" a="1"/>
  <c r="L107" i="1" s="1"/>
  <c r="K107" i="1" a="1"/>
  <c r="K107" i="1" s="1"/>
  <c r="H107" i="1" a="1"/>
  <c r="H107" i="1" s="1"/>
  <c r="C148" i="14" s="1" a="1"/>
  <c r="C148" i="14" s="1"/>
  <c r="Q106" i="1" a="1"/>
  <c r="Q106" i="1" s="1"/>
  <c r="P106" i="1" a="1"/>
  <c r="P106" i="1"/>
  <c r="O106" i="1" a="1"/>
  <c r="O106" i="1" s="1"/>
  <c r="N106" i="1" a="1"/>
  <c r="N106" i="1" s="1"/>
  <c r="M106" i="1" a="1"/>
  <c r="M106" i="1" s="1"/>
  <c r="L106" i="1" a="1"/>
  <c r="L106" i="1" s="1"/>
  <c r="K106" i="1" a="1"/>
  <c r="K106" i="1"/>
  <c r="H106" i="1" a="1"/>
  <c r="H106" i="1" s="1"/>
  <c r="C178" i="14" s="1" a="1"/>
  <c r="C178" i="14" s="1"/>
  <c r="Q105" i="1" a="1"/>
  <c r="Q105" i="1" s="1"/>
  <c r="P105" i="1" a="1"/>
  <c r="P105" i="1"/>
  <c r="O105" i="1" a="1"/>
  <c r="O105" i="1" s="1"/>
  <c r="N105" i="1" a="1"/>
  <c r="N105" i="1" s="1"/>
  <c r="M105" i="1" a="1"/>
  <c r="M105" i="1" s="1"/>
  <c r="L105" i="1" a="1"/>
  <c r="L105" i="1"/>
  <c r="K105" i="1" a="1"/>
  <c r="K105" i="1" s="1"/>
  <c r="H105" i="1" a="1"/>
  <c r="H105" i="1" s="1"/>
  <c r="C136" i="14" s="1" a="1"/>
  <c r="C136" i="14" s="1"/>
  <c r="Q104" i="1" a="1"/>
  <c r="Q104" i="1" s="1"/>
  <c r="P104" i="1" a="1"/>
  <c r="P104" i="1"/>
  <c r="O104" i="1" a="1"/>
  <c r="O104" i="1"/>
  <c r="N104" i="1" a="1"/>
  <c r="N104" i="1" s="1"/>
  <c r="M104" i="1" a="1"/>
  <c r="M104" i="1" s="1"/>
  <c r="L104" i="1" a="1"/>
  <c r="L104" i="1" s="1"/>
  <c r="K104" i="1" a="1"/>
  <c r="K104" i="1"/>
  <c r="H104" i="1" a="1"/>
  <c r="H104" i="1" s="1"/>
  <c r="P103" i="1" a="1"/>
  <c r="P103" i="1" s="1"/>
  <c r="O103" i="1" a="1"/>
  <c r="O103" i="1" s="1"/>
  <c r="N103" i="1" a="1"/>
  <c r="N103" i="1" s="1"/>
  <c r="M103" i="1" a="1"/>
  <c r="M103" i="1" s="1"/>
  <c r="L103" i="1" a="1"/>
  <c r="L103" i="1" s="1"/>
  <c r="K103" i="1" a="1"/>
  <c r="K103" i="1"/>
  <c r="H103" i="1" a="1"/>
  <c r="H103" i="1"/>
  <c r="C113" i="14" s="1" a="1"/>
  <c r="C113" i="14" s="1"/>
  <c r="Q102" i="1" a="1"/>
  <c r="Q102" i="1" s="1"/>
  <c r="P102" i="1" a="1"/>
  <c r="P102" i="1" s="1"/>
  <c r="O102" i="1" a="1"/>
  <c r="O102" i="1" s="1"/>
  <c r="N102" i="1" a="1"/>
  <c r="N102" i="1"/>
  <c r="I27" i="11" s="1" a="1"/>
  <c r="I27" i="11" s="1"/>
  <c r="M102" i="1" a="1"/>
  <c r="M102" i="1" s="1"/>
  <c r="J27" i="11" s="1" a="1"/>
  <c r="J27" i="11" s="1"/>
  <c r="L102" i="1" a="1"/>
  <c r="L102" i="1" s="1"/>
  <c r="K27" i="11" s="1" a="1"/>
  <c r="K27" i="11" s="1"/>
  <c r="K102" i="1" a="1"/>
  <c r="K102" i="1" s="1"/>
  <c r="H27" i="11" s="1" a="1"/>
  <c r="H27" i="11" s="1"/>
  <c r="H102" i="1" a="1"/>
  <c r="H102" i="1"/>
  <c r="Q101" i="1" a="1"/>
  <c r="Q101" i="1" s="1"/>
  <c r="P101" i="1" a="1"/>
  <c r="P101" i="1" s="1"/>
  <c r="O101" i="1" a="1"/>
  <c r="O101" i="1"/>
  <c r="N101" i="1" a="1"/>
  <c r="N101" i="1" s="1"/>
  <c r="M101" i="1" a="1"/>
  <c r="M101" i="1" s="1"/>
  <c r="L101" i="1" a="1"/>
  <c r="L101" i="1" s="1"/>
  <c r="K101" i="1" a="1"/>
  <c r="K101" i="1" s="1"/>
  <c r="H101" i="1" a="1"/>
  <c r="H101" i="1" s="1"/>
  <c r="C121" i="14" s="1" a="1"/>
  <c r="C121" i="14" s="1"/>
  <c r="Q100" i="1" a="1"/>
  <c r="Q100" i="1" s="1"/>
  <c r="P100" i="1" a="1"/>
  <c r="P100" i="1" s="1"/>
  <c r="O100" i="1" a="1"/>
  <c r="O100" i="1" s="1"/>
  <c r="N100" i="1" a="1"/>
  <c r="N100" i="1" s="1"/>
  <c r="M100" i="1" a="1"/>
  <c r="M100" i="1" s="1"/>
  <c r="L100" i="1" a="1"/>
  <c r="L100" i="1" s="1"/>
  <c r="K100" i="1" a="1"/>
  <c r="K100" i="1" s="1"/>
  <c r="H100" i="1" a="1"/>
  <c r="H100" i="1" s="1"/>
  <c r="C119" i="14" s="1" a="1"/>
  <c r="C119" i="14" s="1"/>
  <c r="Q99" i="1" a="1"/>
  <c r="Q99" i="1" s="1"/>
  <c r="P99" i="1" a="1"/>
  <c r="P99" i="1" s="1"/>
  <c r="O99" i="1" a="1"/>
  <c r="O99" i="1"/>
  <c r="N99" i="1" a="1"/>
  <c r="N99" i="1" s="1"/>
  <c r="M99" i="1" a="1"/>
  <c r="M99" i="1" s="1"/>
  <c r="L99" i="1" a="1"/>
  <c r="L99" i="1" s="1"/>
  <c r="K99" i="1" a="1"/>
  <c r="K99" i="1" s="1"/>
  <c r="H99" i="1" a="1"/>
  <c r="H99" i="1" s="1"/>
  <c r="C151" i="14" s="1" a="1"/>
  <c r="C151" i="14" s="1"/>
  <c r="P98" i="1" a="1"/>
  <c r="P98" i="1" s="1"/>
  <c r="O98" i="1" a="1"/>
  <c r="O98" i="1" s="1"/>
  <c r="N98" i="1" a="1"/>
  <c r="N98" i="1"/>
  <c r="M98" i="1" a="1"/>
  <c r="M98" i="1" s="1"/>
  <c r="L98" i="1" a="1"/>
  <c r="L98" i="1" s="1"/>
  <c r="K98" i="1" a="1"/>
  <c r="K98" i="1" s="1"/>
  <c r="H98" i="1" a="1"/>
  <c r="H98" i="1" s="1"/>
  <c r="P97" i="1" a="1"/>
  <c r="P97" i="1"/>
  <c r="O97" i="1" a="1"/>
  <c r="O97" i="1" s="1"/>
  <c r="N97" i="1" a="1"/>
  <c r="N97" i="1" s="1"/>
  <c r="M97" i="1" a="1"/>
  <c r="M97" i="1"/>
  <c r="L97" i="1" a="1"/>
  <c r="L97" i="1" s="1"/>
  <c r="K97" i="1" a="1"/>
  <c r="K97" i="1" s="1"/>
  <c r="H97" i="1" a="1"/>
  <c r="H97" i="1" s="1"/>
  <c r="Q96" i="1" a="1"/>
  <c r="Q96" i="1"/>
  <c r="P96" i="1" a="1"/>
  <c r="P96" i="1" s="1"/>
  <c r="O96" i="1" a="1"/>
  <c r="O96" i="1" s="1"/>
  <c r="N96" i="1" a="1"/>
  <c r="N96" i="1" s="1"/>
  <c r="M96" i="1" a="1"/>
  <c r="M96" i="1" s="1"/>
  <c r="L96" i="1" a="1"/>
  <c r="L96" i="1"/>
  <c r="K96" i="1" a="1"/>
  <c r="K96" i="1" s="1"/>
  <c r="H96" i="1" a="1"/>
  <c r="H96" i="1" s="1"/>
  <c r="C97" i="14" s="1" a="1"/>
  <c r="C97" i="14" s="1"/>
  <c r="Q95" i="1" a="1"/>
  <c r="Q95" i="1" s="1"/>
  <c r="P95" i="1" a="1"/>
  <c r="P95" i="1"/>
  <c r="O95" i="1" a="1"/>
  <c r="O95" i="1" s="1"/>
  <c r="N95" i="1" a="1"/>
  <c r="N95" i="1" s="1"/>
  <c r="M95" i="1" a="1"/>
  <c r="M95" i="1" s="1"/>
  <c r="L95" i="1" a="1"/>
  <c r="L95" i="1" s="1"/>
  <c r="K95" i="1" a="1"/>
  <c r="K95" i="1" s="1"/>
  <c r="H95" i="1" a="1"/>
  <c r="H95" i="1" s="1"/>
  <c r="C168" i="14" s="1" a="1"/>
  <c r="C168" i="14" s="1"/>
  <c r="Q93" i="1" a="1"/>
  <c r="Q93" i="1"/>
  <c r="P93" i="1" a="1"/>
  <c r="P93" i="1" s="1"/>
  <c r="O93" i="1" a="1"/>
  <c r="O93" i="1"/>
  <c r="N93" i="1" a="1"/>
  <c r="N93" i="1" s="1"/>
  <c r="M93" i="1" a="1"/>
  <c r="M93" i="1" s="1"/>
  <c r="L93" i="1" a="1"/>
  <c r="L93" i="1"/>
  <c r="K93" i="1" a="1"/>
  <c r="K93" i="1" s="1"/>
  <c r="H93" i="1" a="1"/>
  <c r="H93" i="1" s="1"/>
  <c r="C81" i="14" s="1" a="1"/>
  <c r="C81" i="14" s="1"/>
  <c r="P92" i="1" a="1"/>
  <c r="P92" i="1" s="1"/>
  <c r="O92" i="1" a="1"/>
  <c r="O92" i="1" s="1"/>
  <c r="N92" i="1" a="1"/>
  <c r="N92" i="1"/>
  <c r="M92" i="1" a="1"/>
  <c r="M92" i="1" s="1"/>
  <c r="L92" i="1" a="1"/>
  <c r="L92" i="1"/>
  <c r="K92" i="1" a="1"/>
  <c r="K92" i="1"/>
  <c r="H92" i="1" a="1"/>
  <c r="H92" i="1"/>
  <c r="C72" i="14" s="1" a="1"/>
  <c r="C72" i="14" s="1"/>
  <c r="P91" i="1" a="1"/>
  <c r="P91" i="1" s="1"/>
  <c r="O91" i="1" a="1"/>
  <c r="O91" i="1"/>
  <c r="N91" i="1" a="1"/>
  <c r="N91" i="1" s="1"/>
  <c r="M91" i="1" a="1"/>
  <c r="M91" i="1" s="1"/>
  <c r="L91" i="1" a="1"/>
  <c r="L91" i="1" s="1"/>
  <c r="K91" i="1" a="1"/>
  <c r="K91" i="1" s="1"/>
  <c r="H91" i="1" a="1"/>
  <c r="H91" i="1" s="1"/>
  <c r="C66" i="14" s="1" a="1"/>
  <c r="C66" i="14" s="1"/>
  <c r="P90" i="1" a="1"/>
  <c r="P90" i="1" s="1"/>
  <c r="O90" i="1" a="1"/>
  <c r="O90" i="1" s="1"/>
  <c r="N90" i="1" a="1"/>
  <c r="N90" i="1" s="1"/>
  <c r="M90" i="1" a="1"/>
  <c r="M90" i="1"/>
  <c r="L90" i="1" a="1"/>
  <c r="L90" i="1"/>
  <c r="K90" i="1" a="1"/>
  <c r="K90" i="1" s="1"/>
  <c r="H90" i="1" a="1"/>
  <c r="H90" i="1"/>
  <c r="C65" i="14" s="1" a="1"/>
  <c r="C65" i="14" s="1"/>
  <c r="Q89" i="1" a="1"/>
  <c r="Q89" i="1" s="1"/>
  <c r="P89" i="1" a="1"/>
  <c r="P89" i="1" s="1"/>
  <c r="O89" i="1" a="1"/>
  <c r="O89" i="1" s="1"/>
  <c r="N89" i="1" a="1"/>
  <c r="N89" i="1" s="1"/>
  <c r="M89" i="1" a="1"/>
  <c r="M89" i="1"/>
  <c r="L89" i="1" a="1"/>
  <c r="L89" i="1"/>
  <c r="K89" i="1" a="1"/>
  <c r="K89" i="1" s="1"/>
  <c r="H89" i="1" a="1"/>
  <c r="H89" i="1"/>
  <c r="C54" i="14" s="1" a="1"/>
  <c r="C54" i="14" s="1"/>
  <c r="Q87" i="1" a="1"/>
  <c r="Q87" i="1"/>
  <c r="P87" i="1" a="1"/>
  <c r="P87" i="1" s="1"/>
  <c r="O87" i="1" a="1"/>
  <c r="O87" i="1" s="1"/>
  <c r="N87" i="1" a="1"/>
  <c r="N87" i="1" s="1"/>
  <c r="M87" i="1" a="1"/>
  <c r="M87" i="1"/>
  <c r="L87" i="1" a="1"/>
  <c r="L87" i="1"/>
  <c r="K87" i="1" a="1"/>
  <c r="K87" i="1" s="1"/>
  <c r="H87" i="1" a="1"/>
  <c r="H87" i="1"/>
  <c r="C51" i="14" s="1" a="1"/>
  <c r="C51" i="14" s="1"/>
  <c r="Q86" i="1" a="1"/>
  <c r="Q86" i="1" s="1"/>
  <c r="P86" i="1" a="1"/>
  <c r="P86" i="1" s="1"/>
  <c r="O86" i="1" a="1"/>
  <c r="O86" i="1" s="1"/>
  <c r="N86" i="1" a="1"/>
  <c r="N86" i="1"/>
  <c r="M86" i="1" a="1"/>
  <c r="M86" i="1" s="1"/>
  <c r="L86" i="1" a="1"/>
  <c r="L86" i="1"/>
  <c r="K86" i="1" a="1"/>
  <c r="K86" i="1" s="1"/>
  <c r="H86" i="1" a="1"/>
  <c r="H86" i="1" s="1"/>
  <c r="Q85" i="1" a="1"/>
  <c r="Q85" i="1"/>
  <c r="P85" i="1" a="1"/>
  <c r="P85" i="1" s="1"/>
  <c r="O85" i="1" a="1"/>
  <c r="O85" i="1" s="1"/>
  <c r="N85" i="1" a="1"/>
  <c r="N85" i="1" s="1"/>
  <c r="M85" i="1" a="1"/>
  <c r="M85" i="1"/>
  <c r="L85" i="1" a="1"/>
  <c r="L85" i="1"/>
  <c r="K85" i="1" a="1"/>
  <c r="K85" i="1" s="1"/>
  <c r="H85" i="1" a="1"/>
  <c r="H85" i="1"/>
  <c r="Q84" i="1" a="1"/>
  <c r="Q84" i="1" s="1"/>
  <c r="P84" i="1" a="1"/>
  <c r="P84" i="1"/>
  <c r="O84" i="1" a="1"/>
  <c r="O84" i="1" s="1"/>
  <c r="N84" i="1" a="1"/>
  <c r="N84" i="1" s="1"/>
  <c r="M84" i="1" a="1"/>
  <c r="M84" i="1"/>
  <c r="L84" i="1" a="1"/>
  <c r="L84" i="1"/>
  <c r="K84" i="1" a="1"/>
  <c r="K84" i="1" s="1"/>
  <c r="H84" i="1" a="1"/>
  <c r="H84" i="1"/>
  <c r="P83" i="1" a="1"/>
  <c r="P83" i="1" s="1"/>
  <c r="O83" i="1" a="1"/>
  <c r="O83" i="1" s="1"/>
  <c r="N83" i="1" a="1"/>
  <c r="N83" i="1" s="1"/>
  <c r="M83" i="1" a="1"/>
  <c r="M83" i="1"/>
  <c r="L83" i="1" a="1"/>
  <c r="L83" i="1"/>
  <c r="K83" i="1" a="1"/>
  <c r="K83" i="1" s="1"/>
  <c r="H83" i="1" a="1"/>
  <c r="H83" i="1" s="1"/>
  <c r="C36" i="14" s="1" a="1"/>
  <c r="C36" i="14" s="1"/>
  <c r="P82" i="1" a="1"/>
  <c r="P82" i="1"/>
  <c r="O82" i="1" a="1"/>
  <c r="O82" i="1"/>
  <c r="N82" i="1" a="1"/>
  <c r="N82" i="1" s="1"/>
  <c r="M82" i="1" a="1"/>
  <c r="M82" i="1" s="1"/>
  <c r="L82" i="1" a="1"/>
  <c r="L82" i="1"/>
  <c r="K82" i="1" a="1"/>
  <c r="K82" i="1"/>
  <c r="H82" i="1" a="1"/>
  <c r="H82" i="1"/>
  <c r="C24" i="14" s="1" a="1"/>
  <c r="C24" i="14" s="1"/>
  <c r="Q81" i="1" a="1"/>
  <c r="Q81" i="1" s="1"/>
  <c r="P81" i="1" a="1"/>
  <c r="P81" i="1" s="1"/>
  <c r="O81" i="1" a="1"/>
  <c r="O81" i="1" s="1"/>
  <c r="N81" i="1" a="1"/>
  <c r="N81" i="1"/>
  <c r="M81" i="1" a="1"/>
  <c r="M81" i="1" s="1"/>
  <c r="L81" i="1" a="1"/>
  <c r="L81" i="1" s="1"/>
  <c r="K81" i="1" a="1"/>
  <c r="K81" i="1"/>
  <c r="H81" i="1" a="1"/>
  <c r="H81" i="1"/>
  <c r="C3" i="14" s="1" a="1"/>
  <c r="C3" i="14" s="1"/>
  <c r="Q80" i="1" a="1"/>
  <c r="Q80" i="1" s="1"/>
  <c r="P80" i="1" a="1"/>
  <c r="P80" i="1"/>
  <c r="O80" i="1" a="1"/>
  <c r="O80" i="1" s="1"/>
  <c r="N80" i="1" a="1"/>
  <c r="N80" i="1"/>
  <c r="M80" i="1" a="1"/>
  <c r="M80" i="1" s="1"/>
  <c r="L80" i="1" a="1"/>
  <c r="L80" i="1"/>
  <c r="K80" i="1" a="1"/>
  <c r="K80" i="1"/>
  <c r="H80" i="1" a="1"/>
  <c r="H80" i="1" s="1"/>
  <c r="Q79" i="1" a="1"/>
  <c r="Q79" i="1" s="1"/>
  <c r="P79" i="1" a="1"/>
  <c r="P79" i="1"/>
  <c r="O79" i="1" a="1"/>
  <c r="O79" i="1"/>
  <c r="N79" i="1" a="1"/>
  <c r="N79" i="1" s="1"/>
  <c r="M79" i="1" a="1"/>
  <c r="M79" i="1" s="1"/>
  <c r="L79" i="1" a="1"/>
  <c r="L79" i="1" s="1"/>
  <c r="K79" i="1" a="1"/>
  <c r="K79" i="1"/>
  <c r="H79" i="1" a="1"/>
  <c r="H79" i="1"/>
  <c r="C13" i="14" s="1" a="1"/>
  <c r="C13" i="14" s="1"/>
  <c r="P78" i="1" a="1"/>
  <c r="P78" i="1" s="1"/>
  <c r="O78" i="1" a="1"/>
  <c r="O78" i="1"/>
  <c r="N78" i="1" a="1"/>
  <c r="N78" i="1"/>
  <c r="M78" i="1" a="1"/>
  <c r="M78" i="1"/>
  <c r="L78" i="1" a="1"/>
  <c r="L78" i="1" s="1"/>
  <c r="K78" i="1" a="1"/>
  <c r="K78" i="1" s="1"/>
  <c r="H78" i="1" a="1"/>
  <c r="H78" i="1" s="1"/>
  <c r="C11" i="14" s="1" a="1"/>
  <c r="C11" i="14" s="1"/>
  <c r="Q77" i="1" a="1"/>
  <c r="Q77" i="1"/>
  <c r="P77" i="1" a="1"/>
  <c r="P77" i="1" s="1"/>
  <c r="O77" i="1" a="1"/>
  <c r="O77" i="1" s="1"/>
  <c r="N77" i="1" a="1"/>
  <c r="N77" i="1"/>
  <c r="M77" i="1" a="1"/>
  <c r="M77" i="1"/>
  <c r="L77" i="1" a="1"/>
  <c r="L77" i="1" s="1"/>
  <c r="K77" i="1" a="1"/>
  <c r="K77" i="1"/>
  <c r="H77" i="1" a="1"/>
  <c r="H77" i="1" s="1"/>
  <c r="C26" i="14" s="1" a="1"/>
  <c r="C26" i="14" s="1"/>
  <c r="P76" i="1" a="1"/>
  <c r="P76" i="1" s="1"/>
  <c r="O76" i="1" a="1"/>
  <c r="O76" i="1" s="1"/>
  <c r="N76" i="1" a="1"/>
  <c r="N76" i="1"/>
  <c r="M76" i="1" a="1"/>
  <c r="M76" i="1" s="1"/>
  <c r="L76" i="1" a="1"/>
  <c r="L76" i="1"/>
  <c r="K76" i="1" a="1"/>
  <c r="K76" i="1" s="1"/>
  <c r="H76" i="1" a="1"/>
  <c r="H76" i="1"/>
  <c r="C12" i="14" s="1" a="1"/>
  <c r="C12" i="14" s="1"/>
  <c r="P74" i="1" a="1"/>
  <c r="P74" i="1"/>
  <c r="O74" i="1" a="1"/>
  <c r="O74" i="1" s="1"/>
  <c r="N74" i="1" a="1"/>
  <c r="N74" i="1" s="1"/>
  <c r="M74" i="1" a="1"/>
  <c r="M74" i="1"/>
  <c r="L74" i="1" a="1"/>
  <c r="L74" i="1"/>
  <c r="K74" i="1" a="1"/>
  <c r="K74" i="1" s="1"/>
  <c r="H74" i="1" a="1"/>
  <c r="H74" i="1" s="1"/>
  <c r="C87" i="14" s="1" a="1"/>
  <c r="C87" i="14" s="1"/>
  <c r="Q73" i="1" a="1"/>
  <c r="Q73" i="1" s="1"/>
  <c r="P73" i="1" a="1"/>
  <c r="P73" i="1"/>
  <c r="O73" i="1" a="1"/>
  <c r="O73" i="1"/>
  <c r="N73" i="1" a="1"/>
  <c r="N73" i="1" s="1"/>
  <c r="M73" i="1" a="1"/>
  <c r="M73" i="1"/>
  <c r="L73" i="1" a="1"/>
  <c r="L73" i="1"/>
  <c r="K73" i="1" a="1"/>
  <c r="K73" i="1"/>
  <c r="H73" i="1" a="1"/>
  <c r="H73" i="1" s="1"/>
  <c r="P72" i="1" a="1"/>
  <c r="P72" i="1" s="1"/>
  <c r="O72" i="1" a="1"/>
  <c r="O72" i="1" s="1"/>
  <c r="N72" i="1" a="1"/>
  <c r="N72" i="1"/>
  <c r="I26" i="11" s="1" a="1"/>
  <c r="I26" i="11" s="1"/>
  <c r="M72" i="1" a="1"/>
  <c r="M72" i="1" s="1"/>
  <c r="J26" i="11" s="1" a="1"/>
  <c r="J26" i="11" s="1"/>
  <c r="L72" i="1" a="1"/>
  <c r="L72" i="1" s="1"/>
  <c r="K26" i="11" s="1" a="1"/>
  <c r="K26" i="11" s="1"/>
  <c r="K72" i="1" a="1"/>
  <c r="K72" i="1"/>
  <c r="H26" i="11" s="1" a="1"/>
  <c r="H26" i="11" s="1"/>
  <c r="H72" i="1" a="1"/>
  <c r="H72" i="1"/>
  <c r="Q70" i="1" a="1"/>
  <c r="Q70" i="1" s="1"/>
  <c r="P70" i="1" a="1"/>
  <c r="P70" i="1"/>
  <c r="O70" i="1" a="1"/>
  <c r="O70" i="1" s="1"/>
  <c r="N70" i="1" a="1"/>
  <c r="N70" i="1" s="1"/>
  <c r="M70" i="1" a="1"/>
  <c r="M70" i="1" s="1"/>
  <c r="L70" i="1" a="1"/>
  <c r="L70" i="1"/>
  <c r="K70" i="1" a="1"/>
  <c r="K70" i="1" s="1"/>
  <c r="H70" i="1" a="1"/>
  <c r="H70" i="1"/>
  <c r="P69" i="1" a="1"/>
  <c r="P69" i="1" s="1"/>
  <c r="O69" i="1" a="1"/>
  <c r="O69" i="1"/>
  <c r="N69" i="1" a="1"/>
  <c r="N69" i="1"/>
  <c r="M69" i="1" a="1"/>
  <c r="M69" i="1" s="1"/>
  <c r="L69" i="1" a="1"/>
  <c r="L69" i="1" s="1"/>
  <c r="K69" i="1" a="1"/>
  <c r="K69" i="1"/>
  <c r="H69" i="1" a="1"/>
  <c r="H69" i="1"/>
  <c r="C89" i="14" s="1" a="1"/>
  <c r="C89" i="14" s="1"/>
  <c r="Q68" i="1" a="1"/>
  <c r="Q68" i="1" s="1"/>
  <c r="P68" i="1" a="1"/>
  <c r="P68" i="1" s="1"/>
  <c r="O68" i="1" a="1"/>
  <c r="O68" i="1" s="1"/>
  <c r="N68" i="1" a="1"/>
  <c r="N68" i="1"/>
  <c r="M68" i="1" a="1"/>
  <c r="M68" i="1"/>
  <c r="L68" i="1" a="1"/>
  <c r="L68" i="1" s="1"/>
  <c r="K68" i="1" a="1"/>
  <c r="K68" i="1"/>
  <c r="H68" i="1" a="1"/>
  <c r="H68" i="1"/>
  <c r="C99" i="14" s="1" a="1"/>
  <c r="C99" i="14" s="1"/>
  <c r="Q67" i="1" a="1"/>
  <c r="Q67" i="1"/>
  <c r="P67" i="1" a="1"/>
  <c r="P67" i="1" s="1"/>
  <c r="O67" i="1" a="1"/>
  <c r="O67" i="1" s="1"/>
  <c r="N67" i="1" a="1"/>
  <c r="N67" i="1" s="1"/>
  <c r="M67" i="1" a="1"/>
  <c r="M67" i="1"/>
  <c r="L67" i="1" a="1"/>
  <c r="L67" i="1" s="1"/>
  <c r="K67" i="1" a="1"/>
  <c r="K67" i="1" s="1"/>
  <c r="H67" i="1" a="1"/>
  <c r="H67" i="1"/>
  <c r="C79" i="14" s="1" a="1"/>
  <c r="C79" i="14" s="1"/>
  <c r="Q66" i="1" a="1"/>
  <c r="Q66" i="1"/>
  <c r="P66" i="1" a="1"/>
  <c r="P66" i="1" s="1"/>
  <c r="O66" i="1" a="1"/>
  <c r="O66" i="1"/>
  <c r="N66" i="1" a="1"/>
  <c r="N66" i="1" s="1"/>
  <c r="M66" i="1" a="1"/>
  <c r="M66" i="1" s="1"/>
  <c r="L66" i="1" a="1"/>
  <c r="L66" i="1" s="1"/>
  <c r="K66" i="1" a="1"/>
  <c r="K66" i="1"/>
  <c r="H66" i="1" a="1"/>
  <c r="H66" i="1" s="1"/>
  <c r="C69" i="14" s="1" a="1"/>
  <c r="C69" i="14" s="1"/>
  <c r="Q65" i="1" a="1"/>
  <c r="Q65" i="1"/>
  <c r="P65" i="1" a="1"/>
  <c r="P65" i="1" s="1"/>
  <c r="O65" i="1" a="1"/>
  <c r="O65" i="1"/>
  <c r="N65" i="1" a="1"/>
  <c r="N65" i="1"/>
  <c r="M65" i="1" a="1"/>
  <c r="M65" i="1" s="1"/>
  <c r="L65" i="1" a="1"/>
  <c r="L65" i="1" s="1"/>
  <c r="K65" i="1" a="1"/>
  <c r="K65" i="1"/>
  <c r="H65" i="1" a="1"/>
  <c r="H65" i="1"/>
  <c r="C25" i="14" s="1" a="1"/>
  <c r="C25" i="14" s="1"/>
  <c r="P64" i="1" a="1"/>
  <c r="P64" i="1" s="1"/>
  <c r="O64" i="1" a="1"/>
  <c r="O64" i="1" s="1"/>
  <c r="N64" i="1" a="1"/>
  <c r="N64" i="1" s="1"/>
  <c r="M64" i="1" a="1"/>
  <c r="M64" i="1"/>
  <c r="L64" i="1" a="1"/>
  <c r="L64" i="1"/>
  <c r="K64" i="1" a="1"/>
  <c r="K64" i="1" s="1"/>
  <c r="H64" i="1" a="1"/>
  <c r="H64" i="1"/>
  <c r="C64" i="14" s="1" a="1"/>
  <c r="C64" i="14" s="1"/>
  <c r="Q63" i="1" a="1"/>
  <c r="Q63" i="1"/>
  <c r="P63" i="1" a="1"/>
  <c r="P63" i="1"/>
  <c r="O63" i="1" a="1"/>
  <c r="O63" i="1" s="1"/>
  <c r="N63" i="1" a="1"/>
  <c r="N63" i="1" s="1"/>
  <c r="M63" i="1" a="1"/>
  <c r="M63" i="1" s="1"/>
  <c r="L63" i="1" a="1"/>
  <c r="L63" i="1"/>
  <c r="K63" i="1" a="1"/>
  <c r="K63" i="1" s="1"/>
  <c r="H63" i="1" a="1"/>
  <c r="H63" i="1" s="1"/>
  <c r="C130" i="14" s="1" a="1"/>
  <c r="C130" i="14" s="1"/>
  <c r="Q62" i="1" a="1"/>
  <c r="Q62" i="1"/>
  <c r="P62" i="1" a="1"/>
  <c r="P62" i="1"/>
  <c r="O62" i="1" a="1"/>
  <c r="O62" i="1" s="1"/>
  <c r="N62" i="1" a="1"/>
  <c r="N62" i="1"/>
  <c r="M62" i="1" a="1"/>
  <c r="M62" i="1" s="1"/>
  <c r="L62" i="1" a="1"/>
  <c r="L62" i="1" s="1"/>
  <c r="K62" i="1" a="1"/>
  <c r="K62" i="1" s="1"/>
  <c r="H62" i="1" a="1"/>
  <c r="H62" i="1"/>
  <c r="C173" i="14" s="1" a="1"/>
  <c r="C173" i="14" s="1"/>
  <c r="P61" i="1" a="1"/>
  <c r="P61" i="1" s="1"/>
  <c r="O61" i="1" a="1"/>
  <c r="O61" i="1"/>
  <c r="N61" i="1" a="1"/>
  <c r="N61" i="1" s="1"/>
  <c r="M61" i="1" a="1"/>
  <c r="M61" i="1"/>
  <c r="L61" i="1" a="1"/>
  <c r="L61" i="1"/>
  <c r="K61" i="1" a="1"/>
  <c r="K61" i="1" s="1"/>
  <c r="H61" i="1" a="1"/>
  <c r="H61" i="1" s="1"/>
  <c r="C68" i="14" s="1" a="1"/>
  <c r="C68" i="14" s="1"/>
  <c r="P60" i="1" a="1"/>
  <c r="P60" i="1"/>
  <c r="O60" i="1" a="1"/>
  <c r="O60" i="1"/>
  <c r="N60" i="1" a="1"/>
  <c r="N60" i="1" s="1"/>
  <c r="M60" i="1" a="1"/>
  <c r="M60" i="1" s="1"/>
  <c r="L60" i="1" a="1"/>
  <c r="L60" i="1" s="1"/>
  <c r="K60" i="1" a="1"/>
  <c r="K60" i="1"/>
  <c r="H60" i="1" a="1"/>
  <c r="H60" i="1"/>
  <c r="C149" i="14" s="1" a="1"/>
  <c r="C149" i="14" s="1"/>
  <c r="P59" i="1" a="1"/>
  <c r="P59" i="1" s="1"/>
  <c r="O59" i="1" a="1"/>
  <c r="O59" i="1"/>
  <c r="N59" i="1" a="1"/>
  <c r="N59" i="1"/>
  <c r="M59" i="1" a="1"/>
  <c r="M59" i="1"/>
  <c r="L59" i="1" a="1"/>
  <c r="L59" i="1" s="1"/>
  <c r="K59" i="1" a="1"/>
  <c r="K59" i="1" s="1"/>
  <c r="H59" i="1" a="1"/>
  <c r="H59" i="1" s="1"/>
  <c r="C159" i="14" s="1" a="1"/>
  <c r="C159" i="14" s="1"/>
  <c r="Q58" i="1" a="1"/>
  <c r="Q58" i="1"/>
  <c r="P58" i="1" a="1"/>
  <c r="P58" i="1" s="1"/>
  <c r="O58" i="1" a="1"/>
  <c r="O58" i="1" s="1"/>
  <c r="N58" i="1" a="1"/>
  <c r="N58" i="1"/>
  <c r="M58" i="1" a="1"/>
  <c r="M58" i="1"/>
  <c r="L58" i="1" a="1"/>
  <c r="L58" i="1" s="1"/>
  <c r="K58" i="1" a="1"/>
  <c r="K58" i="1"/>
  <c r="H58" i="1" a="1"/>
  <c r="H58" i="1" s="1"/>
  <c r="C154" i="14" s="1" a="1"/>
  <c r="C154" i="14" s="1"/>
  <c r="Q57" i="1" a="1"/>
  <c r="Q57" i="1" s="1"/>
  <c r="P57" i="1" a="1"/>
  <c r="P57" i="1" s="1"/>
  <c r="O57" i="1" a="1"/>
  <c r="O57" i="1"/>
  <c r="N57" i="1" a="1"/>
  <c r="N57" i="1" s="1"/>
  <c r="M57" i="1" a="1"/>
  <c r="M57" i="1"/>
  <c r="L57" i="1" a="1"/>
  <c r="L57" i="1" s="1"/>
  <c r="K57" i="1" a="1"/>
  <c r="K57" i="1"/>
  <c r="H57" i="1" a="1"/>
  <c r="H57" i="1"/>
  <c r="C120" i="14" s="1" a="1"/>
  <c r="C120" i="14" s="1"/>
  <c r="Q56" i="1" a="1"/>
  <c r="Q56" i="1" s="1"/>
  <c r="P56" i="1" a="1"/>
  <c r="P56" i="1" s="1"/>
  <c r="O56" i="1" a="1"/>
  <c r="O56" i="1"/>
  <c r="N56" i="1" a="1"/>
  <c r="N56" i="1"/>
  <c r="M56" i="1" a="1"/>
  <c r="M56" i="1" s="1"/>
  <c r="L56" i="1" a="1"/>
  <c r="L56" i="1" s="1"/>
  <c r="K56" i="1" a="1"/>
  <c r="K56" i="1" s="1"/>
  <c r="H56" i="1" a="1"/>
  <c r="H56" i="1"/>
  <c r="C76" i="14" s="1" a="1"/>
  <c r="C76" i="14" s="1"/>
  <c r="Q55" i="1" a="1"/>
  <c r="Q55" i="1"/>
  <c r="P55" i="1" a="1"/>
  <c r="P55" i="1" s="1"/>
  <c r="O55" i="1" a="1"/>
  <c r="O55" i="1"/>
  <c r="N55" i="1" a="1"/>
  <c r="N55" i="1"/>
  <c r="M55" i="1" a="1"/>
  <c r="M55" i="1"/>
  <c r="L55" i="1" a="1"/>
  <c r="L55" i="1" s="1"/>
  <c r="K55" i="1" a="1"/>
  <c r="K55" i="1" s="1"/>
  <c r="H55" i="1" a="1"/>
  <c r="H55" i="1" s="1"/>
  <c r="Q54" i="1" a="1"/>
  <c r="Q54" i="1"/>
  <c r="P54" i="1" a="1"/>
  <c r="P54" i="1" s="1"/>
  <c r="O54" i="1" a="1"/>
  <c r="O54" i="1" s="1"/>
  <c r="N54" i="1" a="1"/>
  <c r="N54" i="1"/>
  <c r="M54" i="1" a="1"/>
  <c r="M54" i="1"/>
  <c r="L54" i="1" a="1"/>
  <c r="L54" i="1" s="1"/>
  <c r="K54" i="1" a="1"/>
  <c r="K54" i="1"/>
  <c r="H54" i="1" a="1"/>
  <c r="H54" i="1" s="1"/>
  <c r="P53" i="1" a="1"/>
  <c r="P53" i="1" s="1"/>
  <c r="O53" i="1" a="1"/>
  <c r="O53" i="1" s="1"/>
  <c r="N53" i="1" a="1"/>
  <c r="N53" i="1"/>
  <c r="M53" i="1" a="1"/>
  <c r="M53" i="1" s="1"/>
  <c r="L53" i="1" a="1"/>
  <c r="L53" i="1"/>
  <c r="K53" i="1" a="1"/>
  <c r="K53" i="1" s="1"/>
  <c r="H53" i="1" a="1"/>
  <c r="H53" i="1"/>
  <c r="C43" i="14" s="1" a="1"/>
  <c r="C43" i="14" s="1"/>
  <c r="Q52" i="1" a="1"/>
  <c r="Q52" i="1"/>
  <c r="P52" i="1" a="1"/>
  <c r="P52" i="1" s="1"/>
  <c r="O52" i="1" a="1"/>
  <c r="O52" i="1" s="1"/>
  <c r="N52" i="1" a="1"/>
  <c r="N52" i="1"/>
  <c r="M52" i="1" a="1"/>
  <c r="M52" i="1"/>
  <c r="L52" i="1" a="1"/>
  <c r="L52" i="1" s="1"/>
  <c r="K52" i="1" a="1"/>
  <c r="K52" i="1" s="1"/>
  <c r="H52" i="1" a="1"/>
  <c r="H52" i="1" s="1"/>
  <c r="C169" i="14" s="1" a="1"/>
  <c r="C169" i="14" s="1"/>
  <c r="Q51" i="1" a="1"/>
  <c r="Q51" i="1"/>
  <c r="P51" i="1" a="1"/>
  <c r="P51" i="1"/>
  <c r="O51" i="1" a="1"/>
  <c r="O51" i="1" s="1"/>
  <c r="N51" i="1" a="1"/>
  <c r="N51" i="1"/>
  <c r="M51" i="1" a="1"/>
  <c r="M51" i="1"/>
  <c r="L51" i="1" a="1"/>
  <c r="L51" i="1"/>
  <c r="K51" i="1" a="1"/>
  <c r="K51" i="1" s="1"/>
  <c r="H51" i="1" a="1"/>
  <c r="H51" i="1" s="1"/>
  <c r="C163" i="14" s="1" a="1"/>
  <c r="C163" i="14" s="1"/>
  <c r="Q49" i="1" a="1"/>
  <c r="Q49" i="1" s="1"/>
  <c r="P49" i="1" a="1"/>
  <c r="P49" i="1"/>
  <c r="O49" i="1" a="1"/>
  <c r="O49" i="1" s="1"/>
  <c r="N49" i="1" a="1"/>
  <c r="N49" i="1" s="1"/>
  <c r="M49" i="1" a="1"/>
  <c r="M49" i="1"/>
  <c r="L49" i="1" a="1"/>
  <c r="L49" i="1"/>
  <c r="K49" i="1" a="1"/>
  <c r="K49" i="1" s="1"/>
  <c r="H49" i="1" a="1"/>
  <c r="H49" i="1"/>
  <c r="C142" i="14" s="1" a="1"/>
  <c r="C142" i="14" s="1"/>
  <c r="Q48" i="1" a="1"/>
  <c r="Q48" i="1" s="1"/>
  <c r="P48" i="1" a="1"/>
  <c r="P48" i="1" s="1"/>
  <c r="O48" i="1" a="1"/>
  <c r="O48" i="1" s="1"/>
  <c r="N48" i="1" a="1"/>
  <c r="N48" i="1"/>
  <c r="M48" i="1" a="1"/>
  <c r="M48" i="1" s="1"/>
  <c r="L48" i="1" a="1"/>
  <c r="L48" i="1"/>
  <c r="K48" i="1" a="1"/>
  <c r="K48" i="1" s="1"/>
  <c r="H48" i="1" a="1"/>
  <c r="H48" i="1"/>
  <c r="Q47" i="1" a="1"/>
  <c r="Q47" i="1"/>
  <c r="P47" i="1" a="1"/>
  <c r="P47" i="1" s="1"/>
  <c r="O47" i="1" a="1"/>
  <c r="O47" i="1" s="1"/>
  <c r="N47" i="1" a="1"/>
  <c r="N47" i="1"/>
  <c r="M47" i="1" a="1"/>
  <c r="M47" i="1"/>
  <c r="L47" i="1" a="1"/>
  <c r="L47" i="1" s="1"/>
  <c r="K47" i="1" a="1"/>
  <c r="K47" i="1" s="1"/>
  <c r="H47" i="1" a="1"/>
  <c r="H47" i="1" s="1"/>
  <c r="C47" i="14" s="1" a="1"/>
  <c r="C47" i="14" s="1"/>
  <c r="P46" i="1" a="1"/>
  <c r="P46" i="1"/>
  <c r="O46" i="1" a="1"/>
  <c r="O46" i="1"/>
  <c r="N46" i="1" a="1"/>
  <c r="N46" i="1" s="1"/>
  <c r="M46" i="1" a="1"/>
  <c r="M46" i="1"/>
  <c r="L46" i="1" a="1"/>
  <c r="L46" i="1"/>
  <c r="K46" i="1" a="1"/>
  <c r="K46" i="1"/>
  <c r="H46" i="1" a="1"/>
  <c r="H46" i="1" s="1"/>
  <c r="C153" i="14" s="1" a="1"/>
  <c r="C153" i="14" s="1"/>
  <c r="P45" i="1" a="1"/>
  <c r="P45" i="1" s="1"/>
  <c r="O45" i="1" a="1"/>
  <c r="O45" i="1" s="1"/>
  <c r="N45" i="1" a="1"/>
  <c r="N45" i="1"/>
  <c r="M45" i="1" a="1"/>
  <c r="M45" i="1" s="1"/>
  <c r="L45" i="1" a="1"/>
  <c r="L45" i="1" s="1"/>
  <c r="K45" i="1" a="1"/>
  <c r="K45" i="1"/>
  <c r="H45" i="1" a="1"/>
  <c r="H45" i="1"/>
  <c r="C92" i="14" s="1" a="1"/>
  <c r="C92" i="14" s="1"/>
  <c r="P44" i="1" a="1"/>
  <c r="P44" i="1" s="1"/>
  <c r="O44" i="1" a="1"/>
  <c r="O44" i="1"/>
  <c r="N44" i="1" a="1"/>
  <c r="N44" i="1" s="1"/>
  <c r="M44" i="1" a="1"/>
  <c r="M44" i="1" s="1"/>
  <c r="L44" i="1" a="1"/>
  <c r="L44" i="1" s="1"/>
  <c r="K44" i="1" a="1"/>
  <c r="K44" i="1"/>
  <c r="H44" i="1" a="1"/>
  <c r="H44" i="1" s="1"/>
  <c r="Q43" i="1" a="1"/>
  <c r="Q43" i="1"/>
  <c r="P43" i="1" a="1"/>
  <c r="P43" i="1" s="1"/>
  <c r="O43" i="1" a="1"/>
  <c r="O43" i="1"/>
  <c r="N43" i="1" a="1"/>
  <c r="N43" i="1"/>
  <c r="M43" i="1" a="1"/>
  <c r="M43" i="1" s="1"/>
  <c r="L43" i="1" a="1"/>
  <c r="L43" i="1" s="1"/>
  <c r="K43" i="1" a="1"/>
  <c r="K43" i="1"/>
  <c r="H43" i="1" a="1"/>
  <c r="H43" i="1"/>
  <c r="C82" i="14" s="1" a="1"/>
  <c r="C82" i="14" s="1"/>
  <c r="Q42" i="1" a="1"/>
  <c r="Q42" i="1" s="1"/>
  <c r="P42" i="1" a="1"/>
  <c r="P42" i="1" s="1"/>
  <c r="O42" i="1" a="1"/>
  <c r="O42" i="1" s="1"/>
  <c r="N42" i="1" a="1"/>
  <c r="N42" i="1"/>
  <c r="M42" i="1" a="1"/>
  <c r="M42" i="1"/>
  <c r="L42" i="1" a="1"/>
  <c r="L42" i="1" s="1"/>
  <c r="K42" i="1" a="1"/>
  <c r="K42" i="1"/>
  <c r="H42" i="1" a="1"/>
  <c r="H42" i="1"/>
  <c r="P41" i="1" a="1"/>
  <c r="P41" i="1"/>
  <c r="O41" i="1" a="1"/>
  <c r="O41" i="1" s="1"/>
  <c r="N41" i="1" a="1"/>
  <c r="N41" i="1" s="1"/>
  <c r="M41" i="1" a="1"/>
  <c r="M41" i="1" s="1"/>
  <c r="L41" i="1" a="1"/>
  <c r="L41" i="1"/>
  <c r="K41" i="1" a="1"/>
  <c r="K41" i="1" s="1"/>
  <c r="H41" i="1" a="1"/>
  <c r="H41" i="1" s="1"/>
  <c r="C165" i="14" s="1" a="1"/>
  <c r="C165" i="14" s="1"/>
  <c r="P39" i="1" a="1"/>
  <c r="P39" i="1"/>
  <c r="O39" i="1" a="1"/>
  <c r="O39" i="1"/>
  <c r="N39" i="1" a="1"/>
  <c r="N39" i="1" s="1"/>
  <c r="M39" i="1" a="1"/>
  <c r="M39" i="1"/>
  <c r="L39" i="1" a="1"/>
  <c r="L39" i="1" s="1"/>
  <c r="K39" i="1" a="1"/>
  <c r="K39" i="1" s="1"/>
  <c r="H39" i="1" a="1"/>
  <c r="H39" i="1" s="1"/>
  <c r="P38" i="1" a="1"/>
  <c r="P38" i="1"/>
  <c r="O38" i="1" a="1"/>
  <c r="O38" i="1" s="1"/>
  <c r="N38" i="1" a="1"/>
  <c r="N38" i="1"/>
  <c r="M38" i="1" a="1"/>
  <c r="M38" i="1" s="1"/>
  <c r="L38" i="1" a="1"/>
  <c r="L38" i="1"/>
  <c r="K38" i="1" a="1"/>
  <c r="K38" i="1"/>
  <c r="H38" i="1" a="1"/>
  <c r="H38" i="1" s="1"/>
  <c r="C85" i="14" s="1" a="1"/>
  <c r="C85" i="14" s="1"/>
  <c r="Q37" i="1" a="1"/>
  <c r="Q37" i="1" s="1"/>
  <c r="P37" i="1" a="1"/>
  <c r="P37" i="1"/>
  <c r="O37" i="1" a="1"/>
  <c r="O37" i="1"/>
  <c r="N37" i="1" a="1"/>
  <c r="N37" i="1" s="1"/>
  <c r="M37" i="1" a="1"/>
  <c r="M37" i="1" s="1"/>
  <c r="L37" i="1" a="1"/>
  <c r="L37" i="1" s="1"/>
  <c r="K37" i="1" a="1"/>
  <c r="K37" i="1"/>
  <c r="H37" i="1" a="1"/>
  <c r="H37" i="1"/>
  <c r="C74" i="14" s="1" a="1"/>
  <c r="C74" i="14" s="1"/>
  <c r="P36" i="1" a="1"/>
  <c r="P36" i="1" s="1"/>
  <c r="O36" i="1" a="1"/>
  <c r="O36" i="1"/>
  <c r="N36" i="1" a="1"/>
  <c r="N36" i="1" s="1"/>
  <c r="M36" i="1" a="1"/>
  <c r="M36" i="1"/>
  <c r="L36" i="1" a="1"/>
  <c r="L36" i="1" s="1"/>
  <c r="K36" i="1" a="1"/>
  <c r="K36" i="1" s="1"/>
  <c r="H36" i="1" a="1"/>
  <c r="H36" i="1"/>
  <c r="P35" i="1" a="1"/>
  <c r="P35" i="1"/>
  <c r="O35" i="1" a="1"/>
  <c r="O35" i="1" s="1"/>
  <c r="N35" i="1" a="1"/>
  <c r="N35" i="1" s="1"/>
  <c r="M35" i="1" a="1"/>
  <c r="M35" i="1"/>
  <c r="L35" i="1" a="1"/>
  <c r="L35" i="1"/>
  <c r="K35" i="1" a="1"/>
  <c r="K35" i="1" s="1"/>
  <c r="H35" i="1" a="1"/>
  <c r="H35" i="1"/>
  <c r="P34" i="1" a="1"/>
  <c r="P34" i="1" s="1"/>
  <c r="O34" i="1" a="1"/>
  <c r="O34" i="1"/>
  <c r="N34" i="1" a="1"/>
  <c r="N34" i="1" s="1"/>
  <c r="M34" i="1" a="1"/>
  <c r="M34" i="1"/>
  <c r="L34" i="1" a="1"/>
  <c r="L34" i="1" s="1"/>
  <c r="K34" i="1" a="1"/>
  <c r="K34" i="1"/>
  <c r="H34" i="1" a="1"/>
  <c r="H34" i="1" s="1"/>
  <c r="Q33" i="1" a="1"/>
  <c r="Q33" i="1"/>
  <c r="P33" i="1" a="1"/>
  <c r="P33" i="1"/>
  <c r="O33" i="1" a="1"/>
  <c r="O33" i="1" s="1"/>
  <c r="N33" i="1" a="1"/>
  <c r="N33" i="1" s="1"/>
  <c r="M33" i="1" a="1"/>
  <c r="M33" i="1"/>
  <c r="L33" i="1" a="1"/>
  <c r="L33" i="1"/>
  <c r="K33" i="1" a="1"/>
  <c r="K33" i="1" s="1"/>
  <c r="H33" i="1" a="1"/>
  <c r="H33" i="1" s="1"/>
  <c r="Q32" i="1" a="1"/>
  <c r="Q32" i="1"/>
  <c r="P32" i="1" a="1"/>
  <c r="P32" i="1"/>
  <c r="O32" i="1" a="1"/>
  <c r="O32" i="1"/>
  <c r="N32" i="1" a="1"/>
  <c r="N32" i="1" s="1"/>
  <c r="M32" i="1" a="1"/>
  <c r="M32" i="1"/>
  <c r="L32" i="1" a="1"/>
  <c r="L32" i="1"/>
  <c r="K32" i="1" a="1"/>
  <c r="K32" i="1"/>
  <c r="H32" i="1" a="1"/>
  <c r="H32" i="1" s="1"/>
  <c r="C17" i="14" s="1" a="1"/>
  <c r="C17" i="14" s="1"/>
  <c r="P31" i="1" a="1"/>
  <c r="P31" i="1" s="1"/>
  <c r="O31" i="1" a="1"/>
  <c r="O31" i="1"/>
  <c r="N31" i="1" a="1"/>
  <c r="N31" i="1"/>
  <c r="M31" i="1" a="1"/>
  <c r="M31" i="1" s="1"/>
  <c r="L31" i="1" a="1"/>
  <c r="L31" i="1" s="1"/>
  <c r="K31" i="1" a="1"/>
  <c r="K31" i="1"/>
  <c r="H31" i="1" a="1"/>
  <c r="H31" i="1"/>
  <c r="Q30" i="1" a="1"/>
  <c r="Q30" i="1" s="1"/>
  <c r="P30" i="1" a="1"/>
  <c r="P30" i="1"/>
  <c r="O30" i="1" a="1"/>
  <c r="O30" i="1" s="1"/>
  <c r="N30" i="1" a="1"/>
  <c r="N30" i="1"/>
  <c r="M30" i="1" a="1"/>
  <c r="M30" i="1" s="1"/>
  <c r="L30" i="1" a="1"/>
  <c r="L30" i="1"/>
  <c r="K30" i="1" a="1"/>
  <c r="K30" i="1" s="1"/>
  <c r="H30" i="1" a="1"/>
  <c r="H30" i="1"/>
  <c r="C158" i="14" s="1" a="1"/>
  <c r="C158" i="14" s="1"/>
  <c r="Q29" i="1" a="1"/>
  <c r="Q29" i="1" s="1"/>
  <c r="P29" i="1" a="1"/>
  <c r="P29" i="1"/>
  <c r="O29" i="1" a="1"/>
  <c r="O29" i="1"/>
  <c r="N29" i="1" a="1"/>
  <c r="N29" i="1" s="1"/>
  <c r="M29" i="1" a="1"/>
  <c r="M29" i="1" s="1"/>
  <c r="L29" i="1" a="1"/>
  <c r="L29" i="1"/>
  <c r="K29" i="1" a="1"/>
  <c r="K29" i="1"/>
  <c r="H29" i="1" a="1"/>
  <c r="H29" i="1" s="1"/>
  <c r="C40" i="14" s="1" a="1"/>
  <c r="C40" i="14" s="1"/>
  <c r="Q28" i="1" a="1"/>
  <c r="Q28" i="1" s="1"/>
  <c r="P28" i="1" a="1"/>
  <c r="P28" i="1"/>
  <c r="O28" i="1" a="1"/>
  <c r="O28" i="1"/>
  <c r="N28" i="1" a="1"/>
  <c r="N28" i="1"/>
  <c r="M28" i="1" a="1"/>
  <c r="M28" i="1" s="1"/>
  <c r="L28" i="1" a="1"/>
  <c r="L28" i="1"/>
  <c r="K28" i="1" a="1"/>
  <c r="K28" i="1"/>
  <c r="H28" i="1" a="1"/>
  <c r="H28" i="1"/>
  <c r="C170" i="14" s="1" a="1"/>
  <c r="C170" i="14" s="1"/>
  <c r="Q26" i="1" a="1"/>
  <c r="Q26" i="1" s="1"/>
  <c r="P26" i="1" a="1"/>
  <c r="P26" i="1" s="1"/>
  <c r="O26" i="1" a="1"/>
  <c r="O26" i="1"/>
  <c r="N26" i="1" a="1"/>
  <c r="N26" i="1"/>
  <c r="M26" i="1" a="1"/>
  <c r="M26" i="1" s="1"/>
  <c r="L26" i="1" a="1"/>
  <c r="L26" i="1" s="1"/>
  <c r="K26" i="1" a="1"/>
  <c r="K26" i="1"/>
  <c r="H26" i="1" a="1"/>
  <c r="H26" i="1"/>
  <c r="Q25" i="1" a="1"/>
  <c r="Q25" i="1" s="1"/>
  <c r="P25" i="1" a="1"/>
  <c r="P25" i="1"/>
  <c r="O25" i="1" a="1"/>
  <c r="O25" i="1" s="1"/>
  <c r="N25" i="1" a="1"/>
  <c r="N25" i="1"/>
  <c r="M25" i="1" a="1"/>
  <c r="M25" i="1" s="1"/>
  <c r="L25" i="1" a="1"/>
  <c r="L25" i="1" s="1"/>
  <c r="K25" i="1" a="1"/>
  <c r="K25" i="1" s="1"/>
  <c r="H25" i="1" a="1"/>
  <c r="H25" i="1"/>
  <c r="C129" i="14" s="1" a="1"/>
  <c r="C129" i="14" s="1"/>
  <c r="Q24" i="1" a="1"/>
  <c r="Q24" i="1" s="1"/>
  <c r="P24" i="1" a="1"/>
  <c r="P24" i="1"/>
  <c r="O24" i="1" a="1"/>
  <c r="O24" i="1"/>
  <c r="N24" i="1" a="1"/>
  <c r="N24" i="1" s="1"/>
  <c r="M24" i="1" a="1"/>
  <c r="M24" i="1" s="1"/>
  <c r="L24" i="1" a="1"/>
  <c r="L24" i="1"/>
  <c r="K24" i="1" a="1"/>
  <c r="K24" i="1"/>
  <c r="H24" i="1" a="1"/>
  <c r="H24" i="1" s="1"/>
  <c r="C78" i="14" s="1" a="1"/>
  <c r="C78" i="14" s="1"/>
  <c r="P23" i="1" a="1"/>
  <c r="P23" i="1" s="1"/>
  <c r="O23" i="1" a="1"/>
  <c r="O23" i="1"/>
  <c r="N23" i="1" a="1"/>
  <c r="N23" i="1"/>
  <c r="M23" i="1" a="1"/>
  <c r="M23" i="1"/>
  <c r="L23" i="1" a="1"/>
  <c r="L23" i="1" s="1"/>
  <c r="K23" i="1" a="1"/>
  <c r="K23" i="1"/>
  <c r="H23" i="1" a="1"/>
  <c r="H23" i="1"/>
  <c r="P21" i="1" a="1"/>
  <c r="P21" i="1"/>
  <c r="O21" i="1" a="1"/>
  <c r="O21" i="1" s="1"/>
  <c r="N21" i="1" a="1"/>
  <c r="N21" i="1" s="1"/>
  <c r="M21" i="1" a="1"/>
  <c r="M21" i="1"/>
  <c r="L21" i="1" a="1"/>
  <c r="L21" i="1"/>
  <c r="K21" i="1" a="1"/>
  <c r="K21" i="1" s="1"/>
  <c r="H21" i="1" a="1"/>
  <c r="H21" i="1" s="1"/>
  <c r="C162" i="14" s="1" a="1"/>
  <c r="C162" i="14" s="1"/>
  <c r="Q20" i="1" a="1"/>
  <c r="Q20" i="1"/>
  <c r="P20" i="1" a="1"/>
  <c r="P20" i="1"/>
  <c r="O20" i="1" a="1"/>
  <c r="O20" i="1" s="1"/>
  <c r="N20" i="1" a="1"/>
  <c r="N20" i="1"/>
  <c r="M20" i="1" a="1"/>
  <c r="M20" i="1" s="1"/>
  <c r="L20" i="1" a="1"/>
  <c r="L20" i="1"/>
  <c r="K20" i="1" a="1"/>
  <c r="K20" i="1" s="1"/>
  <c r="H20" i="1" a="1"/>
  <c r="H20" i="1"/>
  <c r="P19" i="1" a="1"/>
  <c r="P19" i="1" s="1"/>
  <c r="O19" i="1" a="1"/>
  <c r="O19" i="1"/>
  <c r="N19" i="1" a="1"/>
  <c r="N19" i="1" s="1"/>
  <c r="M19" i="1" a="1"/>
  <c r="M19" i="1"/>
  <c r="L19" i="1" a="1"/>
  <c r="L19" i="1"/>
  <c r="K19" i="1" a="1"/>
  <c r="K19" i="1" s="1"/>
  <c r="H19" i="1" a="1"/>
  <c r="H19" i="1" s="1"/>
  <c r="C49" i="14" s="1" a="1"/>
  <c r="C49" i="14" s="1"/>
  <c r="Q18" i="1" a="1"/>
  <c r="Q18" i="1"/>
  <c r="P18" i="1" a="1"/>
  <c r="P18" i="1"/>
  <c r="O18" i="1" a="1"/>
  <c r="O18" i="1" s="1"/>
  <c r="N18" i="1" a="1"/>
  <c r="N18" i="1" s="1"/>
  <c r="M18" i="1" a="1"/>
  <c r="M18" i="1"/>
  <c r="L18" i="1" a="1"/>
  <c r="L18" i="1"/>
  <c r="K18" i="1" a="1"/>
  <c r="K18" i="1"/>
  <c r="H18" i="1" a="1"/>
  <c r="H18" i="1" s="1"/>
  <c r="Q16" i="1" a="1"/>
  <c r="Q16" i="1"/>
  <c r="P16" i="1" a="1"/>
  <c r="P16" i="1"/>
  <c r="O16" i="1" a="1"/>
  <c r="O16" i="1"/>
  <c r="N16" i="1" a="1"/>
  <c r="N16" i="1" s="1"/>
  <c r="M16" i="1" a="1"/>
  <c r="M16" i="1" s="1"/>
  <c r="L16" i="1" a="1"/>
  <c r="L16" i="1"/>
  <c r="K16" i="1" a="1"/>
  <c r="K16" i="1"/>
  <c r="H16" i="1" a="1"/>
  <c r="H16" i="1" s="1"/>
  <c r="C144" i="14" s="1" a="1"/>
  <c r="C144" i="14" s="1"/>
  <c r="Q15" i="1" a="1"/>
  <c r="Q15" i="1" s="1"/>
  <c r="P15" i="1" a="1"/>
  <c r="P15" i="1"/>
  <c r="O15" i="1" a="1"/>
  <c r="O15" i="1"/>
  <c r="N15" i="1" a="1"/>
  <c r="N15" i="1" s="1"/>
  <c r="M15" i="1" a="1"/>
  <c r="M15" i="1"/>
  <c r="L15" i="1" a="1"/>
  <c r="L15" i="1" s="1"/>
  <c r="K15" i="1" a="1"/>
  <c r="K15" i="1"/>
  <c r="H15" i="1" a="1"/>
  <c r="H15" i="1" s="1"/>
  <c r="C6" i="14" s="1" a="1"/>
  <c r="C6" i="14" s="1"/>
  <c r="Q14" i="1" a="1"/>
  <c r="Q14" i="1"/>
  <c r="P14" i="1" a="1"/>
  <c r="P14" i="1" s="1"/>
  <c r="O14" i="1" a="1"/>
  <c r="O14" i="1"/>
  <c r="N14" i="1" a="1"/>
  <c r="N14" i="1" s="1"/>
  <c r="M14" i="1" a="1"/>
  <c r="M14" i="1"/>
  <c r="L14" i="1" a="1"/>
  <c r="L14" i="1"/>
  <c r="K14" i="1" a="1"/>
  <c r="K14" i="1" s="1"/>
  <c r="H14" i="1" a="1"/>
  <c r="H14" i="1" s="1"/>
  <c r="C100" i="14" s="1" a="1"/>
  <c r="C100" i="14" s="1"/>
  <c r="P13" i="1" a="1"/>
  <c r="P13" i="1"/>
  <c r="O13" i="1" a="1"/>
  <c r="O13" i="1"/>
  <c r="N13" i="1" a="1"/>
  <c r="N13" i="1" s="1"/>
  <c r="M13" i="1" a="1"/>
  <c r="M13" i="1" s="1"/>
  <c r="L13" i="1" a="1"/>
  <c r="L13" i="1"/>
  <c r="K13" i="1" a="1"/>
  <c r="K13" i="1"/>
  <c r="H13" i="1" a="1"/>
  <c r="H13" i="1"/>
  <c r="C155" i="14" s="1" a="1"/>
  <c r="C155" i="14" s="1"/>
  <c r="Q12" i="1" a="1"/>
  <c r="Q12" i="1" s="1"/>
  <c r="P12" i="1" a="1"/>
  <c r="P12" i="1"/>
  <c r="O12" i="1" a="1"/>
  <c r="O12" i="1"/>
  <c r="N12" i="1" a="1"/>
  <c r="N12" i="1"/>
  <c r="M12" i="1" a="1"/>
  <c r="M12" i="1" s="1"/>
  <c r="L12" i="1" a="1"/>
  <c r="L12" i="1" s="1"/>
  <c r="K12" i="1" a="1"/>
  <c r="K12" i="1"/>
  <c r="H12" i="1" a="1"/>
  <c r="H12" i="1"/>
  <c r="C160" i="14" s="1" a="1"/>
  <c r="C160" i="14" s="1"/>
  <c r="Q11" i="1" a="1"/>
  <c r="Q11" i="1" s="1"/>
  <c r="P11" i="1" a="1"/>
  <c r="P11" i="1" s="1"/>
  <c r="O11" i="1" a="1"/>
  <c r="O11" i="1"/>
  <c r="N11" i="1" a="1"/>
  <c r="N11" i="1"/>
  <c r="M11" i="1" a="1"/>
  <c r="M11" i="1" s="1"/>
  <c r="L11" i="1" a="1"/>
  <c r="L11" i="1"/>
  <c r="K11" i="1" a="1"/>
  <c r="K11" i="1" s="1"/>
  <c r="H11" i="1" a="1"/>
  <c r="H11" i="1"/>
  <c r="C52" i="14" s="1" a="1"/>
  <c r="C52" i="14" s="1"/>
  <c r="P10" i="1" a="1"/>
  <c r="P10" i="1" s="1"/>
  <c r="O10" i="1" a="1"/>
  <c r="O10" i="1"/>
  <c r="N10" i="1" a="1"/>
  <c r="N10" i="1" s="1"/>
  <c r="M10" i="1" a="1"/>
  <c r="M10" i="1"/>
  <c r="L10" i="1" a="1"/>
  <c r="L10" i="1" s="1"/>
  <c r="K10" i="1" a="1"/>
  <c r="K10" i="1"/>
  <c r="H10" i="1" a="1"/>
  <c r="H10" i="1"/>
  <c r="C31" i="14" s="1" a="1"/>
  <c r="C31" i="14" s="1"/>
  <c r="P9" i="1" a="1"/>
  <c r="P9" i="1" s="1"/>
  <c r="O9" i="1" a="1"/>
  <c r="O9" i="1" s="1"/>
  <c r="N9" i="1" a="1"/>
  <c r="N9" i="1"/>
  <c r="M9" i="1" a="1"/>
  <c r="M9" i="1"/>
  <c r="L9" i="1" a="1"/>
  <c r="L9" i="1" s="1"/>
  <c r="K9" i="1" a="1"/>
  <c r="K9" i="1" s="1"/>
  <c r="H9" i="1" a="1"/>
  <c r="H9" i="1"/>
  <c r="C22" i="14" s="1" a="1"/>
  <c r="C22" i="14" s="1"/>
  <c r="Q8" i="1" a="1"/>
  <c r="Q8" i="1"/>
  <c r="P8" i="1" a="1"/>
  <c r="P8" i="1"/>
  <c r="O8" i="1" a="1"/>
  <c r="O8" i="1" s="1"/>
  <c r="N8" i="1" a="1"/>
  <c r="N8" i="1"/>
  <c r="M8" i="1" a="1"/>
  <c r="M8" i="1"/>
  <c r="L8" i="1" a="1"/>
  <c r="L8" i="1"/>
  <c r="K8" i="1" a="1"/>
  <c r="K8" i="1" s="1"/>
  <c r="H8" i="1" a="1"/>
  <c r="H8" i="1" s="1"/>
  <c r="C175" i="14" s="1" a="1"/>
  <c r="C175" i="14" s="1"/>
  <c r="P7" i="1" a="1"/>
  <c r="P7" i="1"/>
  <c r="O7" i="1" a="1"/>
  <c r="O7" i="1"/>
  <c r="N7" i="1" a="1"/>
  <c r="N7" i="1" s="1"/>
  <c r="M7" i="1" a="1"/>
  <c r="M7" i="1" s="1"/>
  <c r="L7" i="1" a="1"/>
  <c r="L7" i="1"/>
  <c r="K7" i="1" a="1"/>
  <c r="K7" i="1"/>
  <c r="H7" i="1" a="1"/>
  <c r="H7" i="1" s="1"/>
  <c r="C106" i="14" s="1" a="1"/>
  <c r="C106" i="14" s="1"/>
  <c r="P6" i="1" a="1"/>
  <c r="P6" i="1"/>
  <c r="O6" i="1" a="1"/>
  <c r="O6" i="1" s="1"/>
  <c r="N6" i="1" a="1"/>
  <c r="N6" i="1"/>
  <c r="M6" i="1" a="1"/>
  <c r="M6" i="1" s="1"/>
  <c r="L6" i="1" a="1"/>
  <c r="L6" i="1"/>
  <c r="K6" i="1" a="1"/>
  <c r="K6" i="1" s="1"/>
  <c r="H6" i="1" a="1"/>
  <c r="H6" i="1"/>
  <c r="C152" i="14" s="1" a="1"/>
  <c r="C152" i="14" s="1"/>
  <c r="P5" i="1" a="1"/>
  <c r="P5" i="1" s="1"/>
  <c r="O5" i="1" a="1"/>
  <c r="O5" i="1"/>
  <c r="N5" i="1" a="1"/>
  <c r="N5" i="1"/>
  <c r="M5" i="1" a="1"/>
  <c r="M5" i="1" s="1"/>
  <c r="L5" i="1" a="1"/>
  <c r="L5" i="1" s="1"/>
  <c r="K5" i="1" a="1"/>
  <c r="K5" i="1"/>
  <c r="H5" i="1" a="1"/>
  <c r="H5" i="1"/>
  <c r="C122" i="14" s="1" a="1"/>
  <c r="C122" i="14" s="1"/>
  <c r="Q4" i="1" a="1"/>
  <c r="Q4" i="1" s="1"/>
  <c r="P4" i="1" a="1"/>
  <c r="P4" i="1" s="1"/>
  <c r="O4" i="1" a="1"/>
  <c r="O4" i="1"/>
  <c r="N4" i="1" a="1"/>
  <c r="N4" i="1"/>
  <c r="M4" i="1" a="1"/>
  <c r="M4" i="1"/>
  <c r="L4" i="1" a="1"/>
  <c r="L4" i="1" s="1"/>
  <c r="K4" i="1" a="1"/>
  <c r="K4" i="1"/>
  <c r="H4" i="1" a="1"/>
  <c r="H4" i="1"/>
  <c r="P3" i="1" a="1"/>
  <c r="P3" i="1"/>
  <c r="O3" i="1" a="1"/>
  <c r="O3" i="1" s="1"/>
  <c r="N3" i="1" a="1"/>
  <c r="N3" i="1" s="1"/>
  <c r="M3" i="1" a="1"/>
  <c r="M3" i="1"/>
  <c r="L3" i="1" a="1"/>
  <c r="L3" i="1"/>
  <c r="K3" i="1" a="1"/>
  <c r="K3" i="1" s="1"/>
  <c r="H3" i="1" a="1"/>
  <c r="H3" i="1" s="1"/>
  <c r="C42" i="14" s="1" a="1"/>
  <c r="C42" i="14" s="1"/>
  <c r="Q2" i="1" a="1"/>
  <c r="Q2" i="1"/>
  <c r="P2" i="1" a="1"/>
  <c r="P2" i="1"/>
  <c r="O2" i="1" a="1"/>
  <c r="O2" i="1" s="1"/>
  <c r="N2" i="1" a="1"/>
  <c r="N2" i="1"/>
  <c r="M2" i="1" a="1"/>
  <c r="M2" i="1" s="1"/>
  <c r="L2" i="1" a="1"/>
  <c r="L2" i="1"/>
  <c r="K2" i="1" a="1"/>
  <c r="K2" i="1" s="1"/>
  <c r="H2" i="1" a="1"/>
  <c r="H2" i="1"/>
  <c r="N104" i="15" l="1" a="1"/>
  <c r="N104" i="15" s="1"/>
  <c r="C141" i="14" a="1"/>
  <c r="C141" i="14" s="1"/>
  <c r="N119" i="15" a="1"/>
  <c r="N119" i="15" s="1"/>
  <c r="C146" i="14" a="1"/>
  <c r="C146" i="14" s="1"/>
  <c r="C111" i="14" a="1"/>
  <c r="C111" i="14" s="1"/>
  <c r="D55" i="9" a="1"/>
  <c r="D55" i="9" s="1"/>
  <c r="N56" i="15" a="1"/>
  <c r="N56" i="15" s="1"/>
  <c r="C4" i="14" a="1"/>
  <c r="C4" i="14" s="1"/>
  <c r="D57" i="9" a="1"/>
  <c r="D57" i="9" s="1"/>
  <c r="N118" i="15" a="1"/>
  <c r="N118" i="15" s="1"/>
  <c r="C145" i="14" a="1"/>
  <c r="C145" i="14" s="1"/>
  <c r="N83" i="15" a="1"/>
  <c r="N83" i="15" s="1"/>
  <c r="C131" i="14" a="1"/>
  <c r="C131" i="14" s="1"/>
  <c r="N82" i="15" a="1"/>
  <c r="N82" i="15" s="1"/>
  <c r="C127" i="14" a="1"/>
  <c r="C127" i="14" s="1"/>
  <c r="N35" i="15" a="1"/>
  <c r="N35" i="15" s="1"/>
  <c r="C101" i="14" a="1"/>
  <c r="C101" i="14" s="1"/>
  <c r="N50" i="15" a="1"/>
  <c r="N50" i="15" s="1"/>
  <c r="C109" i="14" a="1"/>
  <c r="C109" i="14" s="1"/>
  <c r="N3" i="15" a="1"/>
  <c r="N3" i="15" s="1"/>
  <c r="C2" i="14" a="1"/>
  <c r="C2" i="14" s="1"/>
  <c r="N38" i="15" a="1"/>
  <c r="N38" i="15" s="1"/>
  <c r="C104" i="14" a="1"/>
  <c r="C104" i="14" s="1"/>
  <c r="N105" i="15" a="1"/>
  <c r="N105" i="15" s="1"/>
  <c r="C139" i="14" a="1"/>
  <c r="C139" i="14" s="1"/>
  <c r="N28" i="15" a="1"/>
  <c r="N28" i="15" s="1"/>
  <c r="C103" i="14" a="1"/>
  <c r="C103" i="14" s="1"/>
  <c r="D43" i="9" a="1"/>
  <c r="D43" i="9" s="1"/>
  <c r="N98" i="15" a="1"/>
  <c r="N98" i="15" s="1"/>
  <c r="C137" i="14" a="1"/>
  <c r="C137" i="14" s="1"/>
  <c r="N75" i="15" a="1"/>
  <c r="N75" i="15" s="1"/>
  <c r="C116" i="14" a="1"/>
  <c r="C116" i="14" s="1"/>
  <c r="N89" i="15" a="1"/>
  <c r="N89" i="15" s="1"/>
  <c r="C20" i="14" a="1"/>
  <c r="C20" i="14" s="1"/>
  <c r="N8" i="15" a="1"/>
  <c r="N8" i="15" s="1"/>
  <c r="C5" i="14" a="1"/>
  <c r="C5" i="14" s="1"/>
  <c r="N33" i="15" a="1"/>
  <c r="N33" i="15" s="1"/>
  <c r="C55" i="14" a="1"/>
  <c r="C55" i="14" s="1"/>
  <c r="N87" i="15" a="1"/>
  <c r="N87" i="15" s="1"/>
  <c r="C132" i="14" a="1"/>
  <c r="C132" i="14" s="1"/>
  <c r="N77" i="15" a="1"/>
  <c r="N77" i="15" s="1"/>
  <c r="C118" i="14" a="1"/>
  <c r="C118" i="14" s="1"/>
  <c r="N31" i="15" a="1"/>
  <c r="N31" i="15" s="1"/>
  <c r="C32" i="14" a="1"/>
  <c r="C32" i="14" s="1"/>
  <c r="N62" i="15" a="1"/>
  <c r="N62" i="15" s="1"/>
  <c r="C114" i="14" a="1"/>
  <c r="C114" i="14" s="1"/>
  <c r="N108" i="15" a="1"/>
  <c r="N108" i="15" s="1"/>
  <c r="C143" i="14" a="1"/>
  <c r="C143" i="14" s="1"/>
  <c r="N15" i="15" a="1"/>
  <c r="N15" i="15" s="1"/>
  <c r="C58" i="14" a="1"/>
  <c r="C58" i="14" s="1"/>
  <c r="N88" i="15" a="1"/>
  <c r="N88" i="15" s="1"/>
  <c r="C133" i="14" a="1"/>
  <c r="C133" i="14" s="1"/>
  <c r="N10" i="15" a="1"/>
  <c r="N10" i="15" s="1"/>
  <c r="C38" i="14" a="1"/>
  <c r="C38" i="14" s="1"/>
  <c r="D36" i="9" a="1"/>
  <c r="D36" i="9" s="1"/>
  <c r="C124" i="14" a="1"/>
  <c r="C124" i="14" s="1"/>
  <c r="G27" i="11" a="1"/>
  <c r="G27" i="11" s="1"/>
  <c r="N61" i="15" a="1"/>
  <c r="N61" i="15" s="1"/>
  <c r="C115" i="14" a="1"/>
  <c r="C115" i="14" s="1"/>
  <c r="N109" i="15" a="1"/>
  <c r="N109" i="15" s="1"/>
  <c r="C112" i="14" a="1"/>
  <c r="C112" i="14" s="1"/>
  <c r="N6" i="15" a="1"/>
  <c r="N6" i="15" s="1"/>
  <c r="C37" i="14" a="1"/>
  <c r="C37" i="14" s="1"/>
  <c r="C14" i="14" a="1"/>
  <c r="C14" i="14" s="1"/>
  <c r="J207" i="2" a="1"/>
  <c r="J207" i="2" s="1"/>
  <c r="J198" i="2" a="1"/>
  <c r="J198" i="2" s="1"/>
  <c r="J188" i="2" a="1"/>
  <c r="J188" i="2" s="1"/>
  <c r="J183" i="2" a="1"/>
  <c r="J183" i="2" s="1"/>
  <c r="J174" i="2" a="1"/>
  <c r="J174" i="2" s="1"/>
  <c r="J165" i="2" a="1"/>
  <c r="J165" i="2" s="1"/>
  <c r="J156" i="2" a="1"/>
  <c r="J156" i="2" s="1"/>
  <c r="J151" i="2" a="1"/>
  <c r="J151" i="2" s="1"/>
  <c r="J141" i="2" a="1"/>
  <c r="J141" i="2" s="1"/>
  <c r="J131" i="2" a="1"/>
  <c r="J131" i="2" s="1"/>
  <c r="J122" i="2" a="1"/>
  <c r="J122" i="2" s="1"/>
  <c r="J118" i="2" a="1"/>
  <c r="J118" i="2" s="1"/>
  <c r="J114" i="2" a="1"/>
  <c r="J114" i="2" s="1"/>
  <c r="J109" i="2" a="1"/>
  <c r="J109" i="2" s="1"/>
  <c r="J104" i="2" a="1"/>
  <c r="J104" i="2" s="1"/>
  <c r="J100" i="2" a="1"/>
  <c r="J100" i="2" s="1"/>
  <c r="J95" i="2" a="1"/>
  <c r="J95" i="2" s="1"/>
  <c r="J91" i="2" a="1"/>
  <c r="J91" i="2" s="1"/>
  <c r="J87" i="2" a="1"/>
  <c r="J87" i="2" s="1"/>
  <c r="J83" i="2" a="1"/>
  <c r="J83" i="2" s="1"/>
  <c r="J76" i="2" a="1"/>
  <c r="J76" i="2" s="1"/>
  <c r="J71" i="2" a="1"/>
  <c r="J71" i="2" s="1"/>
  <c r="J66" i="2" a="1"/>
  <c r="J66" i="2" s="1"/>
  <c r="J62" i="2" a="1"/>
  <c r="J62" i="2" s="1"/>
  <c r="J58" i="2" a="1"/>
  <c r="J58" i="2" s="1"/>
  <c r="J54" i="2" a="1"/>
  <c r="J54" i="2" s="1"/>
  <c r="J47" i="2" a="1"/>
  <c r="J47" i="2" s="1"/>
  <c r="J43" i="2" a="1"/>
  <c r="J43" i="2" s="1"/>
  <c r="J36" i="2" a="1"/>
  <c r="J36" i="2" s="1"/>
  <c r="J31" i="2" a="1"/>
  <c r="J31" i="2" s="1"/>
  <c r="J27" i="2" a="1"/>
  <c r="J27" i="2" s="1"/>
  <c r="J23" i="2" a="1"/>
  <c r="J23" i="2" s="1"/>
  <c r="J18" i="2" a="1"/>
  <c r="J18" i="2" s="1"/>
  <c r="J209" i="2" a="1"/>
  <c r="J209" i="2" s="1"/>
  <c r="J193" i="2" a="1"/>
  <c r="J193" i="2" s="1"/>
  <c r="J171" i="2" a="1"/>
  <c r="J171" i="2" s="1"/>
  <c r="J166" i="2" a="1"/>
  <c r="J166" i="2" s="1"/>
  <c r="J161" i="2" a="1"/>
  <c r="J161" i="2" s="1"/>
  <c r="J155" i="2" a="1"/>
  <c r="J155" i="2" s="1"/>
  <c r="J150" i="2" a="1"/>
  <c r="J150" i="2" s="1"/>
  <c r="J145" i="2" a="1"/>
  <c r="J145" i="2" s="1"/>
  <c r="J138" i="2" a="1"/>
  <c r="J138" i="2" s="1"/>
  <c r="J112" i="2" a="1"/>
  <c r="J112" i="2" s="1"/>
  <c r="J102" i="2" a="1"/>
  <c r="J102" i="2" s="1"/>
  <c r="J92" i="2" a="1"/>
  <c r="J92" i="2" s="1"/>
  <c r="J75" i="2" a="1"/>
  <c r="J75" i="2" s="1"/>
  <c r="J64" i="2" a="1"/>
  <c r="J64" i="2" s="1"/>
  <c r="J55" i="2" a="1"/>
  <c r="J55" i="2" s="1"/>
  <c r="J35" i="2" a="1"/>
  <c r="J35" i="2" s="1"/>
  <c r="J25" i="2" a="1"/>
  <c r="J25" i="2" s="1"/>
  <c r="J15" i="2" a="1"/>
  <c r="J15" i="2" s="1"/>
  <c r="J11" i="2" a="1"/>
  <c r="J11" i="2" s="1"/>
  <c r="J7" i="2" a="1"/>
  <c r="J7" i="2" s="1"/>
  <c r="J3" i="2" a="1"/>
  <c r="J3" i="2" s="1"/>
  <c r="J208" i="2" a="1"/>
  <c r="J208" i="2" s="1"/>
  <c r="J203" i="2" a="1"/>
  <c r="J203" i="2" s="1"/>
  <c r="J192" i="2" a="1"/>
  <c r="J192" i="2" s="1"/>
  <c r="J186" i="2" a="1"/>
  <c r="J186" i="2" s="1"/>
  <c r="J181" i="2" a="1"/>
  <c r="J181" i="2" s="1"/>
  <c r="J176" i="2" a="1"/>
  <c r="J176" i="2" s="1"/>
  <c r="J160" i="2" a="1"/>
  <c r="J160" i="2" s="1"/>
  <c r="J137" i="2" a="1"/>
  <c r="J137" i="2" s="1"/>
  <c r="J132" i="2" a="1"/>
  <c r="J132" i="2" s="1"/>
  <c r="J127" i="2" a="1"/>
  <c r="J127" i="2" s="1"/>
  <c r="J117" i="2" a="1"/>
  <c r="J117" i="2" s="1"/>
  <c r="J106" i="2" a="1"/>
  <c r="J106" i="2" s="1"/>
  <c r="J96" i="2" a="1"/>
  <c r="J96" i="2" s="1"/>
  <c r="J82" i="2" a="1"/>
  <c r="J82" i="2" s="1"/>
  <c r="J68" i="2" a="1"/>
  <c r="J68" i="2" s="1"/>
  <c r="J59" i="2" a="1"/>
  <c r="J59" i="2" s="1"/>
  <c r="J42" i="2" a="1"/>
  <c r="J42" i="2" s="1"/>
  <c r="J29" i="2" a="1"/>
  <c r="J29" i="2" s="1"/>
  <c r="J19" i="2" a="1"/>
  <c r="J19" i="2" s="1"/>
  <c r="J223" i="2" a="1"/>
  <c r="J223" i="2" s="1"/>
  <c r="J199" i="2" a="1"/>
  <c r="J199" i="2" s="1"/>
  <c r="J191" i="2" a="1"/>
  <c r="J191" i="2" s="1"/>
  <c r="J184" i="2" a="1"/>
  <c r="J184" i="2" s="1"/>
  <c r="J177" i="2" a="1"/>
  <c r="J177" i="2" s="1"/>
  <c r="J169" i="2" a="1"/>
  <c r="J169" i="2" s="1"/>
  <c r="J133" i="2" a="1"/>
  <c r="J133" i="2" s="1"/>
  <c r="J125" i="2" a="1"/>
  <c r="J125" i="2" s="1"/>
  <c r="J105" i="2" a="1"/>
  <c r="J105" i="2" s="1"/>
  <c r="J99" i="2" a="1"/>
  <c r="J99" i="2" s="1"/>
  <c r="J80" i="2" a="1"/>
  <c r="J80" i="2" s="1"/>
  <c r="J70" i="2" a="1"/>
  <c r="J70" i="2" s="1"/>
  <c r="J49" i="2" a="1"/>
  <c r="J49" i="2" s="1"/>
  <c r="J41" i="2" a="1"/>
  <c r="J41" i="2" s="1"/>
  <c r="J217" i="2" a="1"/>
  <c r="J217" i="2" s="1"/>
  <c r="J205" i="2" a="1"/>
  <c r="J205" i="2" s="1"/>
  <c r="J197" i="2" a="1"/>
  <c r="J197" i="2" s="1"/>
  <c r="J175" i="2" a="1"/>
  <c r="J175" i="2" s="1"/>
  <c r="J162" i="2" a="1"/>
  <c r="J162" i="2" s="1"/>
  <c r="J154" i="2" a="1"/>
  <c r="J154" i="2" s="1"/>
  <c r="J148" i="2" a="1"/>
  <c r="J148" i="2" s="1"/>
  <c r="J139" i="2" a="1"/>
  <c r="J139" i="2" s="1"/>
  <c r="J119" i="2" a="1"/>
  <c r="J119" i="2" s="1"/>
  <c r="J111" i="2" a="1"/>
  <c r="J111" i="2" s="1"/>
  <c r="J85" i="2" a="1"/>
  <c r="J85" i="2" s="1"/>
  <c r="J56" i="2" a="1"/>
  <c r="J56" i="2" s="1"/>
  <c r="J46" i="2" a="1"/>
  <c r="J46" i="2" s="1"/>
  <c r="J24" i="2" a="1"/>
  <c r="J24" i="2" s="1"/>
  <c r="J17" i="2" a="1"/>
  <c r="J17" i="2" s="1"/>
  <c r="J12" i="2" a="1"/>
  <c r="J12" i="2" s="1"/>
  <c r="J6" i="2" a="1"/>
  <c r="J6" i="2" s="1"/>
  <c r="J200" i="2" a="1"/>
  <c r="J200" i="2" s="1"/>
  <c r="J194" i="2" a="1"/>
  <c r="J194" i="2" s="1"/>
  <c r="J185" i="2" a="1"/>
  <c r="J185" i="2" s="1"/>
  <c r="J178" i="2" a="1"/>
  <c r="J178" i="2" s="1"/>
  <c r="J172" i="2" a="1"/>
  <c r="J172" i="2" s="1"/>
  <c r="J164" i="2" a="1"/>
  <c r="J164" i="2" s="1"/>
  <c r="J142" i="2" a="1"/>
  <c r="J142" i="2" s="1"/>
  <c r="J128" i="2" a="1"/>
  <c r="J128" i="2" s="1"/>
  <c r="J115" i="2" a="1"/>
  <c r="J115" i="2" s="1"/>
  <c r="J108" i="2" a="1"/>
  <c r="J108" i="2" s="1"/>
  <c r="J88" i="2" a="1"/>
  <c r="J88" i="2" s="1"/>
  <c r="J81" i="2" a="1"/>
  <c r="J81" i="2" s="1"/>
  <c r="J50" i="2" a="1"/>
  <c r="J50" i="2" s="1"/>
  <c r="J20" i="2" a="1"/>
  <c r="J20" i="2" s="1"/>
  <c r="J253" i="2" a="1"/>
  <c r="J253" i="2" s="1"/>
  <c r="J206" i="2" a="1"/>
  <c r="J206" i="2" s="1"/>
  <c r="J170" i="2" a="1"/>
  <c r="J170" i="2" s="1"/>
  <c r="J163" i="2" a="1"/>
  <c r="J163" i="2" s="1"/>
  <c r="J157" i="2" a="1"/>
  <c r="J157" i="2" s="1"/>
  <c r="J149" i="2" a="1"/>
  <c r="J149" i="2" s="1"/>
  <c r="J134" i="2" a="1"/>
  <c r="J134" i="2" s="1"/>
  <c r="J126" i="2" a="1"/>
  <c r="J126" i="2" s="1"/>
  <c r="J120" i="2" a="1"/>
  <c r="J120" i="2" s="1"/>
  <c r="J93" i="2" a="1"/>
  <c r="J93" i="2" s="1"/>
  <c r="J86" i="2" a="1"/>
  <c r="J86" i="2" s="1"/>
  <c r="J63" i="2" a="1"/>
  <c r="J63" i="2" s="1"/>
  <c r="J57" i="2" a="1"/>
  <c r="J57" i="2" s="1"/>
  <c r="J33" i="2" a="1"/>
  <c r="J33" i="2" s="1"/>
  <c r="J26" i="2" a="1"/>
  <c r="J26" i="2" s="1"/>
  <c r="J13" i="2" a="1"/>
  <c r="J13" i="2" s="1"/>
  <c r="J8" i="2" a="1"/>
  <c r="J8" i="2" s="1"/>
  <c r="J196" i="2" a="1"/>
  <c r="J196" i="2" s="1"/>
  <c r="J182" i="2" a="1"/>
  <c r="J182" i="2" s="1"/>
  <c r="J168" i="2" a="1"/>
  <c r="J168" i="2" s="1"/>
  <c r="J124" i="2" a="1"/>
  <c r="J124" i="2" s="1"/>
  <c r="J98" i="2" a="1"/>
  <c r="J98" i="2" s="1"/>
  <c r="J67" i="2" a="1"/>
  <c r="J67" i="2" s="1"/>
  <c r="J38" i="2" a="1"/>
  <c r="J38" i="2" s="1"/>
  <c r="J213" i="2" a="1"/>
  <c r="J213" i="2" s="1"/>
  <c r="J167" i="2" a="1"/>
  <c r="J167" i="2" s="1"/>
  <c r="J153" i="2" a="1"/>
  <c r="J153" i="2" s="1"/>
  <c r="J110" i="2" a="1"/>
  <c r="J110" i="2" s="1"/>
  <c r="J84" i="2" a="1"/>
  <c r="J84" i="2" s="1"/>
  <c r="J10" i="2" a="1"/>
  <c r="J10" i="2" s="1"/>
  <c r="J195" i="2" a="1"/>
  <c r="J195" i="2" s="1"/>
  <c r="J180" i="2" a="1"/>
  <c r="J180" i="2" s="1"/>
  <c r="J136" i="2" a="1"/>
  <c r="J136" i="2" s="1"/>
  <c r="J123" i="2" a="1"/>
  <c r="J123" i="2" s="1"/>
  <c r="J51" i="2" a="1"/>
  <c r="J51" i="2" s="1"/>
  <c r="J21" i="2" a="1"/>
  <c r="J21" i="2" s="1"/>
  <c r="J179" i="2" a="1"/>
  <c r="J179" i="2" s="1"/>
  <c r="J152" i="2" a="1"/>
  <c r="J152" i="2" s="1"/>
  <c r="J135" i="2" a="1"/>
  <c r="J135" i="2" s="1"/>
  <c r="J121" i="2" a="1"/>
  <c r="J121" i="2" s="1"/>
  <c r="J94" i="2" a="1"/>
  <c r="J94" i="2" s="1"/>
  <c r="J65" i="2" a="1"/>
  <c r="J65" i="2" s="1"/>
  <c r="J34" i="2" a="1"/>
  <c r="J34" i="2" s="1"/>
  <c r="J9" i="2" a="1"/>
  <c r="J9" i="2" s="1"/>
  <c r="J204" i="2" a="1"/>
  <c r="J204" i="2" s="1"/>
  <c r="J190" i="2" a="1"/>
  <c r="J190" i="2" s="1"/>
  <c r="J147" i="2" a="1"/>
  <c r="J147" i="2" s="1"/>
  <c r="J90" i="2" a="1"/>
  <c r="J90" i="2" s="1"/>
  <c r="J61" i="2" a="1"/>
  <c r="J61" i="2" s="1"/>
  <c r="J30" i="2" a="1"/>
  <c r="J30" i="2" s="1"/>
  <c r="J202" i="2" a="1"/>
  <c r="J202" i="2" s="1"/>
  <c r="J159" i="2" a="1"/>
  <c r="J159" i="2" s="1"/>
  <c r="J146" i="2" a="1"/>
  <c r="J146" i="2" s="1"/>
  <c r="J130" i="2" a="1"/>
  <c r="J130" i="2" s="1"/>
  <c r="J103" i="2" a="1"/>
  <c r="J103" i="2" s="1"/>
  <c r="J74" i="2" a="1"/>
  <c r="J74" i="2" s="1"/>
  <c r="J45" i="2" a="1"/>
  <c r="J45" i="2" s="1"/>
  <c r="J16" i="2" a="1"/>
  <c r="J16" i="2" s="1"/>
  <c r="J5" i="2" a="1"/>
  <c r="J5" i="2" s="1"/>
  <c r="J187" i="2" a="1"/>
  <c r="J187" i="2" s="1"/>
  <c r="J173" i="2" a="1"/>
  <c r="J173" i="2" s="1"/>
  <c r="J129" i="2" a="1"/>
  <c r="J129" i="2" s="1"/>
  <c r="J116" i="2" a="1"/>
  <c r="J116" i="2" s="1"/>
  <c r="J89" i="2" a="1"/>
  <c r="J89" i="2" s="1"/>
  <c r="J60" i="2" a="1"/>
  <c r="J60" i="2" s="1"/>
  <c r="J28" i="2" a="1"/>
  <c r="J28" i="2" s="1"/>
  <c r="J73" i="2" a="1"/>
  <c r="J73" i="2" s="1"/>
  <c r="J158" i="2" a="1"/>
  <c r="J158" i="2" s="1"/>
  <c r="J44" i="2" a="1"/>
  <c r="J44" i="2" s="1"/>
  <c r="J143" i="2" a="1"/>
  <c r="J143" i="2" s="1"/>
  <c r="J14" i="2" a="1"/>
  <c r="J14" i="2" s="1"/>
  <c r="J4" i="2" a="1"/>
  <c r="J4" i="2" s="1"/>
  <c r="J101" i="2" a="1"/>
  <c r="J101" i="2" s="1"/>
  <c r="J201" i="2" a="1"/>
  <c r="J201" i="2" s="1"/>
  <c r="C108" i="14" a="1"/>
  <c r="C108" i="14" s="1"/>
  <c r="N46" i="15" a="1"/>
  <c r="N46" i="15" s="1"/>
  <c r="D52" i="9" a="1"/>
  <c r="D52" i="9" s="1"/>
  <c r="N78" i="15" a="1"/>
  <c r="N78" i="15" s="1"/>
  <c r="C128" i="14" a="1"/>
  <c r="C128" i="14" s="1"/>
  <c r="N21" i="15" a="1"/>
  <c r="N21" i="15" s="1"/>
  <c r="C15" i="14" a="1"/>
  <c r="C15" i="14" s="1"/>
  <c r="D39" i="9" a="1"/>
  <c r="D39" i="9" s="1"/>
  <c r="N101" i="15" a="1"/>
  <c r="N101" i="15" s="1"/>
  <c r="C29" i="14" a="1"/>
  <c r="C29" i="14" s="1"/>
  <c r="N103" i="15" a="1"/>
  <c r="N103" i="15" s="1"/>
  <c r="C140" i="14" a="1"/>
  <c r="C140" i="14" s="1"/>
  <c r="N37" i="15" a="1"/>
  <c r="N37" i="15" s="1"/>
  <c r="C102" i="14" a="1"/>
  <c r="C102" i="14" s="1"/>
  <c r="N92" i="15" a="1"/>
  <c r="N92" i="15" s="1"/>
  <c r="C135" i="14" a="1"/>
  <c r="C135" i="14" s="1"/>
  <c r="N55" i="15" a="1"/>
  <c r="N55" i="15" s="1"/>
  <c r="C18" i="14" a="1"/>
  <c r="C18" i="14" s="1"/>
  <c r="G26" i="11" a="1"/>
  <c r="G26" i="11" s="1"/>
  <c r="N22" i="15" a="1"/>
  <c r="N22" i="15" s="1"/>
  <c r="C50" i="14" a="1"/>
  <c r="C50" i="14" s="1"/>
  <c r="N13" i="15" a="1"/>
  <c r="N13" i="15" s="1"/>
  <c r="C10" i="14" a="1"/>
  <c r="C10" i="14" s="1"/>
  <c r="N30" i="15" a="1"/>
  <c r="N30" i="15" s="1"/>
  <c r="C53" i="14" a="1"/>
  <c r="C53" i="14" s="1"/>
  <c r="N41" i="15" a="1"/>
  <c r="N41" i="15" s="1"/>
  <c r="C57" i="14" a="1"/>
  <c r="C57" i="14" s="1"/>
  <c r="N47" i="15" a="1"/>
  <c r="N47" i="15" s="1"/>
  <c r="C107" i="14" a="1"/>
  <c r="C107" i="14" s="1"/>
  <c r="N2" i="15" a="1"/>
  <c r="N2" i="15" s="1"/>
  <c r="C27" i="14" a="1"/>
  <c r="C27" i="14" s="1"/>
  <c r="N94" i="15" a="1"/>
  <c r="N94" i="15" s="1"/>
  <c r="N4" i="15" a="1"/>
  <c r="N4" i="15" s="1"/>
  <c r="C16" i="14" a="1"/>
  <c r="C16" i="14" s="1"/>
  <c r="N100" i="15" a="1"/>
  <c r="N100" i="15" s="1"/>
  <c r="C138" i="14" a="1"/>
  <c r="C138" i="14" s="1"/>
  <c r="G25" i="11" a="1"/>
  <c r="G25" i="11" s="1"/>
  <c r="C83" i="14" a="1"/>
  <c r="C83" i="14" s="1"/>
  <c r="G28" i="11" a="1"/>
  <c r="G28" i="11" s="1"/>
  <c r="N99" i="15" a="1"/>
  <c r="N99" i="15" s="1"/>
  <c r="C8" i="14" a="1"/>
  <c r="C8" i="14" s="1"/>
  <c r="N23" i="15" a="1"/>
  <c r="N23" i="15" s="1"/>
  <c r="C21" i="14" a="1"/>
  <c r="C21" i="14" s="1"/>
  <c r="N27" i="15" a="1"/>
  <c r="N27" i="15" s="1"/>
  <c r="C48" i="14" a="1"/>
  <c r="C48" i="14" s="1"/>
  <c r="D59" i="9" a="1"/>
  <c r="D59" i="9" s="1"/>
  <c r="D53" i="9" a="1"/>
  <c r="D53" i="9" s="1"/>
  <c r="D44" i="9" a="1"/>
  <c r="D44" i="9" s="1"/>
  <c r="D50" i="9" a="1"/>
  <c r="D50" i="9" s="1"/>
  <c r="D33" i="9" a="1"/>
  <c r="D33" i="9" s="1"/>
  <c r="D38" i="9" a="1"/>
  <c r="D38" i="9" s="1"/>
  <c r="C28" i="14" a="1"/>
  <c r="C28" i="14" s="1"/>
  <c r="N36" i="15" a="1"/>
  <c r="N36" i="15" s="1"/>
  <c r="D48" i="9" a="1"/>
  <c r="D48" i="9" s="1"/>
  <c r="D34" i="9" a="1"/>
  <c r="D34" i="9" s="1"/>
  <c r="D35" i="9" a="1"/>
  <c r="D35" i="9" s="1"/>
  <c r="D49" i="9" a="1"/>
  <c r="D49" i="9" s="1"/>
  <c r="D54" i="9" a="1"/>
  <c r="D54" i="9" s="1"/>
  <c r="D46" i="9" a="1"/>
  <c r="D46" i="9" s="1"/>
  <c r="D56" i="9" a="1"/>
  <c r="D56" i="9" s="1"/>
  <c r="D42" i="9" a="1"/>
  <c r="D42" i="9" s="1"/>
  <c r="D51" i="9" a="1"/>
  <c r="D51" i="9" s="1"/>
  <c r="D37" i="9" a="1"/>
  <c r="D37" i="9" s="1"/>
  <c r="D41" i="9" a="1"/>
  <c r="D41" i="9" s="1"/>
  <c r="D45" i="9" a="1"/>
  <c r="D45" i="9" s="1"/>
  <c r="D58" i="9" a="1"/>
  <c r="D58" i="9" s="1"/>
  <c r="D47" i="9" a="1"/>
  <c r="D47" i="9" s="1"/>
  <c r="D40" i="9" a="1"/>
  <c r="D40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" authorId="0" shapeId="0" xr:uid="{00000000-0006-0000-0000-000001000000}">
      <text>
        <r>
          <rPr>
            <sz val="10"/>
            <color rgb="FF000000"/>
            <rFont val="Arial"/>
            <scheme val="minor"/>
          </rPr>
          <t>Lease List에 정보가 있는지 확인</t>
        </r>
      </text>
    </comment>
    <comment ref="I1" authorId="0" shapeId="0" xr:uid="{00000000-0006-0000-0000-000002000000}">
      <text>
        <r>
          <rPr>
            <sz val="10"/>
            <color rgb="FF000000"/>
            <rFont val="Arial"/>
            <scheme val="minor"/>
          </rPr>
          <t>Old_List(옛날 옛날 피시 리스트에서 뽑은 데이터들)</t>
        </r>
      </text>
    </comment>
    <comment ref="J1" authorId="0" shapeId="0" xr:uid="{00000000-0006-0000-0000-000003000000}">
      <text>
        <r>
          <rPr>
            <sz val="10"/>
            <color rgb="FF000000"/>
            <rFont val="Arial"/>
            <scheme val="minor"/>
          </rPr>
          <t xml:space="preserve">Lease_List / Old_List 2개 데이터에서도 못 찾는 놈들 서비스 나우에서 검색해서 찾은 놈 폐기해야 할 피씨들임 </t>
        </r>
      </text>
    </comment>
    <comment ref="K1" authorId="0" shapeId="0" xr:uid="{00000000-0006-0000-0000-000004000000}">
      <text>
        <r>
          <rPr>
            <sz val="10"/>
            <color rgb="FF000000"/>
            <rFont val="Arial"/>
            <scheme val="minor"/>
          </rPr>
          <t>Ipad List 자료와 일치하는지 확인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32" authorId="0" shapeId="0" xr:uid="{00000000-0006-0000-0100-000001000000}">
      <text>
        <r>
          <rPr>
            <sz val="10"/>
            <color rgb="FF000000"/>
            <rFont val="Arial"/>
            <scheme val="minor"/>
          </rPr>
          <t>"2024/11월 퇴사
 3개월 연장으로 노트북 후에 반납"</t>
        </r>
      </text>
    </comment>
  </commentList>
</comments>
</file>

<file path=xl/sharedStrings.xml><?xml version="1.0" encoding="utf-8"?>
<sst xmlns="http://schemas.openxmlformats.org/spreadsheetml/2006/main" count="8137" uniqueCount="2760">
  <si>
    <t>NO</t>
  </si>
  <si>
    <t>NAME</t>
  </si>
  <si>
    <t>이름</t>
  </si>
  <si>
    <t>email</t>
  </si>
  <si>
    <t>Business Title</t>
  </si>
  <si>
    <t>BU</t>
  </si>
  <si>
    <t>ROLE</t>
  </si>
  <si>
    <t>Lease_List</t>
  </si>
  <si>
    <t>Old_List</t>
  </si>
  <si>
    <t>ADD_data</t>
  </si>
  <si>
    <t>Ipad_List</t>
  </si>
  <si>
    <t>TeamsNum</t>
  </si>
  <si>
    <t>Printer</t>
  </si>
  <si>
    <t>Monitor</t>
  </si>
  <si>
    <t>영업자 구분</t>
  </si>
  <si>
    <t>퇴사정보</t>
  </si>
  <si>
    <t>Dong Jun Ahn</t>
  </si>
  <si>
    <t>안동준</t>
  </si>
  <si>
    <t>dj.ahn@stryker.com</t>
  </si>
  <si>
    <t>Sales Manager, Neurovascular</t>
  </si>
  <si>
    <t>Sales and Marketing Job Family Group</t>
  </si>
  <si>
    <t>Direct Sales</t>
  </si>
  <si>
    <t>5CG2181LW7</t>
  </si>
  <si>
    <t>Jiyong Ahn</t>
  </si>
  <si>
    <t>안지용</t>
  </si>
  <si>
    <t>gd.ahn@stryker.com</t>
  </si>
  <si>
    <t>Senior Mako Product Specialist</t>
  </si>
  <si>
    <t>Medical Education</t>
  </si>
  <si>
    <t>없음</t>
  </si>
  <si>
    <t>Andrew Ahn</t>
  </si>
  <si>
    <t>안별</t>
  </si>
  <si>
    <t>andrew.ahn@stryker.com</t>
  </si>
  <si>
    <t>Senior Field Service Engineer Medical</t>
  </si>
  <si>
    <t>Customer Services Job Family Group</t>
  </si>
  <si>
    <t>Technical Customer Support</t>
  </si>
  <si>
    <t>04/13/22</t>
  </si>
  <si>
    <t>Ryan Ahn</t>
  </si>
  <si>
    <t>안성현</t>
  </si>
  <si>
    <t>ryan.ahn@stryker.com</t>
  </si>
  <si>
    <t>Senior Kit Representative</t>
  </si>
  <si>
    <t>Supply Chain Job Family Group</t>
  </si>
  <si>
    <t>Materials</t>
  </si>
  <si>
    <t>Hyeran An</t>
  </si>
  <si>
    <t>안혜란</t>
  </si>
  <si>
    <t>hyeran.an@stryker.com</t>
  </si>
  <si>
    <t>Customer Service Specialist</t>
  </si>
  <si>
    <t>Customer Services</t>
  </si>
  <si>
    <t>Sophie Bae</t>
  </si>
  <si>
    <t>배지현</t>
  </si>
  <si>
    <t>sophie.bae@stryker.com</t>
  </si>
  <si>
    <t>Business Operation Specialist, Neurovascular</t>
  </si>
  <si>
    <t>Sales Operations</t>
  </si>
  <si>
    <t>Vincent Bae</t>
  </si>
  <si>
    <t>배성빈</t>
  </si>
  <si>
    <t>vincent.bae@stryker.com</t>
  </si>
  <si>
    <t>Associate Mako Product Specialist</t>
  </si>
  <si>
    <t>Chloe Baek</t>
  </si>
  <si>
    <t>백경남</t>
  </si>
  <si>
    <t>chloe.baek@stryker.com</t>
  </si>
  <si>
    <t>Lead Specialist, Demand Planning, MedSurg</t>
  </si>
  <si>
    <t>Supply Planning</t>
  </si>
  <si>
    <t>Alicia Bang</t>
  </si>
  <si>
    <t>방은영</t>
  </si>
  <si>
    <t>alicia.bang@stryker.com</t>
  </si>
  <si>
    <t>Senior RA Specialist</t>
  </si>
  <si>
    <t>RAQA Job Family Group</t>
  </si>
  <si>
    <t>Regulatory Affairs</t>
  </si>
  <si>
    <t>Bella Bang</t>
  </si>
  <si>
    <t>방선희</t>
  </si>
  <si>
    <t>bella.bang@stryker.com</t>
  </si>
  <si>
    <t>Mako Product Specialist</t>
  </si>
  <si>
    <t>Sung Hoon Bang</t>
  </si>
  <si>
    <t>방성훈</t>
  </si>
  <si>
    <t>sunghoon.bang@stryker.com</t>
  </si>
  <si>
    <t>Lead Sales Representative</t>
  </si>
  <si>
    <t>Indirect Sales</t>
  </si>
  <si>
    <t>Jisoo Byeon</t>
  </si>
  <si>
    <t>변지수</t>
  </si>
  <si>
    <t>jisoo.byeon@stryker.com</t>
  </si>
  <si>
    <t>Business Operation Coordinator</t>
  </si>
  <si>
    <t>Sales Support</t>
  </si>
  <si>
    <t>Jun Seong Byun</t>
  </si>
  <si>
    <t>변준성</t>
  </si>
  <si>
    <t>junseong.byun@stryker.com</t>
  </si>
  <si>
    <t>Bruce Cha</t>
  </si>
  <si>
    <t>차철민</t>
  </si>
  <si>
    <t>Bruce.Cha@stryker.com</t>
  </si>
  <si>
    <t>Mako Account Manager</t>
  </si>
  <si>
    <t>Carl Cha</t>
  </si>
  <si>
    <t>차영훈</t>
  </si>
  <si>
    <t>carl.cha@stryker.com</t>
  </si>
  <si>
    <t>Technical Service Engineer</t>
  </si>
  <si>
    <t>5CD32871LG</t>
  </si>
  <si>
    <t>Willy Chang</t>
  </si>
  <si>
    <t>장훈</t>
  </si>
  <si>
    <t>Willy.Chang@stryker.com</t>
  </si>
  <si>
    <t>5CG2181LVJ</t>
  </si>
  <si>
    <t>Heesun Cho</t>
  </si>
  <si>
    <t>조희선</t>
  </si>
  <si>
    <t>heesun.cho@stryker.com</t>
  </si>
  <si>
    <t>Finance Director, Korea</t>
  </si>
  <si>
    <t>Finance Job Family Group</t>
  </si>
  <si>
    <t>Finance</t>
  </si>
  <si>
    <t>Martin Cho</t>
  </si>
  <si>
    <t>조명수</t>
  </si>
  <si>
    <t>martin.cho@stryker.com</t>
  </si>
  <si>
    <t>Sales Representative, MedSurg, Korea</t>
  </si>
  <si>
    <t>5CG2181LW1</t>
  </si>
  <si>
    <t>Jungshin Cho</t>
  </si>
  <si>
    <t>조정신</t>
  </si>
  <si>
    <t>jungshin.cho@stryker.com</t>
  </si>
  <si>
    <t>CS Manager</t>
  </si>
  <si>
    <t>Roy Choi</t>
  </si>
  <si>
    <t>최호정</t>
  </si>
  <si>
    <t>roy.choi@stryker.com</t>
  </si>
  <si>
    <t>07/25/23</t>
  </si>
  <si>
    <t>Claire Choi</t>
  </si>
  <si>
    <t>claire.choi@stryker.com</t>
  </si>
  <si>
    <t>C6CS1Z2(델?)</t>
  </si>
  <si>
    <t>Brad Choi</t>
  </si>
  <si>
    <t>최동혁</t>
  </si>
  <si>
    <t>brad.choi@stryker.com</t>
  </si>
  <si>
    <t>Senior Sales Representative</t>
  </si>
  <si>
    <t>Kyu Choi</t>
  </si>
  <si>
    <t>최규범</t>
  </si>
  <si>
    <t>kyu.choi@stryker.com</t>
  </si>
  <si>
    <t>Sales Representative, NV</t>
  </si>
  <si>
    <t>Mason Choi</t>
  </si>
  <si>
    <t>최민우</t>
  </si>
  <si>
    <t>mason.choi@stryker.com</t>
  </si>
  <si>
    <t>Jaewook Chung</t>
  </si>
  <si>
    <t>정재욱</t>
  </si>
  <si>
    <t>jae.chung@stryker.com</t>
  </si>
  <si>
    <t>Senior Product Manager</t>
  </si>
  <si>
    <t>Product Management</t>
  </si>
  <si>
    <t>David Chung</t>
  </si>
  <si>
    <t>정석우</t>
  </si>
  <si>
    <t>david.chung@stryker.com</t>
  </si>
  <si>
    <t>Sales Representative</t>
  </si>
  <si>
    <t>Chaeyeon Chung</t>
  </si>
  <si>
    <t>정채연</t>
  </si>
  <si>
    <t>chaeyeon.chung@stryker.com</t>
  </si>
  <si>
    <t>RA Specialist</t>
  </si>
  <si>
    <t>Nathan Eom</t>
  </si>
  <si>
    <t>엄태영</t>
  </si>
  <si>
    <t>Nathan.Eom@stryker.com</t>
  </si>
  <si>
    <t>Sales Manager</t>
  </si>
  <si>
    <t>Jack Eum</t>
  </si>
  <si>
    <t>엄재원</t>
  </si>
  <si>
    <t>jack.eum@stryker.com</t>
  </si>
  <si>
    <t>5CG2261LCR</t>
  </si>
  <si>
    <t>Emma Eun</t>
  </si>
  <si>
    <t>은예석</t>
  </si>
  <si>
    <t>emma.eun@stryker.com</t>
  </si>
  <si>
    <t>Gyolim Gu</t>
  </si>
  <si>
    <t>구교림</t>
  </si>
  <si>
    <t>gyolim.gu@stryker.com</t>
  </si>
  <si>
    <t>Senior Planner</t>
  </si>
  <si>
    <t>5CG2181LVR</t>
  </si>
  <si>
    <t>Alice Han</t>
  </si>
  <si>
    <t>한민주</t>
  </si>
  <si>
    <t>alice.han@stryker.com</t>
  </si>
  <si>
    <t>5CG2181LXB</t>
  </si>
  <si>
    <t>Leo Han</t>
  </si>
  <si>
    <t>한현준</t>
  </si>
  <si>
    <t>leo.han@stryker.com</t>
  </si>
  <si>
    <t>Mihee Han</t>
  </si>
  <si>
    <t>한미희</t>
  </si>
  <si>
    <t>mihee.han@stryker.com</t>
  </si>
  <si>
    <t>Associate Manager, FICM</t>
  </si>
  <si>
    <t>5CG10801FQ(retired)</t>
  </si>
  <si>
    <t>Jason Han</t>
  </si>
  <si>
    <t>한준석</t>
  </si>
  <si>
    <t>jason.han@stryker.com</t>
  </si>
  <si>
    <t>BU Director, Knee, Korea</t>
  </si>
  <si>
    <t>Sales and Marketing</t>
  </si>
  <si>
    <t>5CG2181LWF</t>
  </si>
  <si>
    <t>Arum Han</t>
  </si>
  <si>
    <t>한아름</t>
  </si>
  <si>
    <t>arum.han@stryker.com</t>
  </si>
  <si>
    <t>QA Manager</t>
  </si>
  <si>
    <t>Quality</t>
  </si>
  <si>
    <t>Yejin Heo</t>
  </si>
  <si>
    <t>허예진</t>
  </si>
  <si>
    <t>yejin.heo@stryker.com</t>
  </si>
  <si>
    <t>5CD32081ZB</t>
  </si>
  <si>
    <t>Ashley Hong</t>
  </si>
  <si>
    <t>홍윤경</t>
  </si>
  <si>
    <t>ashley.hong@stryker.com</t>
  </si>
  <si>
    <t>Seo Yeong Hong</t>
  </si>
  <si>
    <t>홍서영</t>
  </si>
  <si>
    <t>seoyeong.hong@stryker.com</t>
  </si>
  <si>
    <t>Operations Specialist, Medical</t>
  </si>
  <si>
    <t>Logistics</t>
  </si>
  <si>
    <t>Cozy Huh</t>
  </si>
  <si>
    <t>허 소현</t>
  </si>
  <si>
    <t>cozy.huh@stryker.com</t>
  </si>
  <si>
    <t>Business Operation Specialist</t>
  </si>
  <si>
    <t>5CD32871LL</t>
  </si>
  <si>
    <t>Sung Youn Hur</t>
  </si>
  <si>
    <t>허성연</t>
  </si>
  <si>
    <t>sungyoun.hur@stryker.com</t>
  </si>
  <si>
    <t>ICM Manager</t>
  </si>
  <si>
    <t>Sales Strategy</t>
  </si>
  <si>
    <t>Oscar Hwang</t>
  </si>
  <si>
    <t>황해수</t>
  </si>
  <si>
    <t>oscar.hwang@stryker.com</t>
  </si>
  <si>
    <t>Senior Technical Service Engineer</t>
  </si>
  <si>
    <t>Young Hwang</t>
  </si>
  <si>
    <t>황우영</t>
  </si>
  <si>
    <t>young.hwang@stryker.com</t>
  </si>
  <si>
    <t>Senior Sales Representative, Neurovascular, Korea</t>
  </si>
  <si>
    <t>5CG2181LWL</t>
  </si>
  <si>
    <t>Theo Hwang</t>
  </si>
  <si>
    <t>황현택</t>
  </si>
  <si>
    <t>theo.hwang@stryker.com</t>
  </si>
  <si>
    <t>Senior Sales Representative, MedSurg</t>
  </si>
  <si>
    <t>Daniel Jang</t>
  </si>
  <si>
    <t>장동혁</t>
  </si>
  <si>
    <t>daniel.jang@stryker.com</t>
  </si>
  <si>
    <t>Ethan Jang</t>
  </si>
  <si>
    <t>장찬희</t>
  </si>
  <si>
    <t>ethan.jang@stryker.com</t>
  </si>
  <si>
    <t>Field Service Engineer</t>
  </si>
  <si>
    <t>Eunhyang Jeon</t>
  </si>
  <si>
    <t>전은향</t>
  </si>
  <si>
    <t>cindy.jeon@stryker.com</t>
  </si>
  <si>
    <t>Lead Specialist, Demand Planning, Orthopedics</t>
  </si>
  <si>
    <t>Lucas Jeon</t>
  </si>
  <si>
    <t>전혁구</t>
  </si>
  <si>
    <t>lucas.jeon@stryker.com</t>
  </si>
  <si>
    <t>Chan Jeon</t>
  </si>
  <si>
    <t>전일찬</t>
  </si>
  <si>
    <t>chan.jeon@stryker.com</t>
  </si>
  <si>
    <t>Yoonbee Jeong</t>
  </si>
  <si>
    <t>정윤비</t>
  </si>
  <si>
    <t>yoonbee.jeong@stryker.com</t>
  </si>
  <si>
    <t>Senior Marketing Specialist, Mako</t>
  </si>
  <si>
    <t>Somi Jeong</t>
  </si>
  <si>
    <t>정소미</t>
  </si>
  <si>
    <t>somi.jeong@stryker.com</t>
  </si>
  <si>
    <t>Dahye Jeong</t>
  </si>
  <si>
    <t>정다혜</t>
  </si>
  <si>
    <t>dahye.jeong@stryker.com</t>
  </si>
  <si>
    <t>HanGil Jeong</t>
  </si>
  <si>
    <t>정한길</t>
  </si>
  <si>
    <t>hangil.jeong@stryker.com</t>
  </si>
  <si>
    <t>Logistics Manager</t>
  </si>
  <si>
    <t>Sunglee Jeun</t>
  </si>
  <si>
    <t>전성이</t>
  </si>
  <si>
    <t>sungyi.jeon@stryker.com</t>
  </si>
  <si>
    <t>FP&amp;A Manager</t>
  </si>
  <si>
    <t>Financial Planning and Analysis</t>
  </si>
  <si>
    <t>JH Ji</t>
  </si>
  <si>
    <t>지정훈</t>
  </si>
  <si>
    <t>jh.ji@stryker.com</t>
  </si>
  <si>
    <t>Commercial Excellence Director</t>
  </si>
  <si>
    <t>Compliance Job Family Group</t>
  </si>
  <si>
    <t>Healthcare Economics</t>
  </si>
  <si>
    <t>Jay Ji</t>
  </si>
  <si>
    <t>지정은</t>
  </si>
  <si>
    <t>jay.ji@stryker.com</t>
  </si>
  <si>
    <t>Product Manager, Shoulder</t>
  </si>
  <si>
    <t>Scott Jo</t>
  </si>
  <si>
    <t>조상혁</t>
  </si>
  <si>
    <t>scott.jo@stryker.com</t>
  </si>
  <si>
    <t>Irene Jun</t>
  </si>
  <si>
    <t>전신영</t>
  </si>
  <si>
    <t>irene.jun@stryker.com</t>
  </si>
  <si>
    <t>Lead Specialist, Regulatory Affairs</t>
  </si>
  <si>
    <t>Jade Jung</t>
  </si>
  <si>
    <t>정지운</t>
  </si>
  <si>
    <t>jade.jung@stryker.com</t>
  </si>
  <si>
    <t>Jenny Jung</t>
  </si>
  <si>
    <t>정진희</t>
  </si>
  <si>
    <t>jenny.jung@stryker.com</t>
  </si>
  <si>
    <t>Associate Marketing Manager</t>
  </si>
  <si>
    <t>Suhwan Jung</t>
  </si>
  <si>
    <t>정수환</t>
  </si>
  <si>
    <t>suhwan.jung@stryker.com</t>
  </si>
  <si>
    <t>Seo Hyun Jung</t>
  </si>
  <si>
    <t>정서현</t>
  </si>
  <si>
    <t>seohyun.jung@stryker.com</t>
  </si>
  <si>
    <t>Celine Jung</t>
  </si>
  <si>
    <t>정혜빈</t>
  </si>
  <si>
    <t>celine.jung@stryker.com</t>
  </si>
  <si>
    <t>Regulatory Affairs Specialist</t>
  </si>
  <si>
    <t>Sol Jung</t>
  </si>
  <si>
    <t>정솔</t>
  </si>
  <si>
    <t>sol.jung@stryker.com</t>
  </si>
  <si>
    <t>5CD32081Z7</t>
  </si>
  <si>
    <t>James Kang</t>
  </si>
  <si>
    <t>James.Kang@stryker.com</t>
  </si>
  <si>
    <t>Director, ICM, East Asia</t>
  </si>
  <si>
    <t>5CG2181LCX</t>
  </si>
  <si>
    <t>Louis Kang</t>
  </si>
  <si>
    <t>강원영</t>
  </si>
  <si>
    <t>louis.kang@stryker.com</t>
  </si>
  <si>
    <t>5CG2181LVF</t>
  </si>
  <si>
    <t>Chloe Kang</t>
  </si>
  <si>
    <t>강혜영</t>
  </si>
  <si>
    <t>chloe.kang@stryker.com</t>
  </si>
  <si>
    <t>Executive Assistant &amp; Office Manager</t>
  </si>
  <si>
    <t>Administration Job Family Group</t>
  </si>
  <si>
    <t>Administration</t>
  </si>
  <si>
    <t>Leslie Kim</t>
  </si>
  <si>
    <t>김지연</t>
  </si>
  <si>
    <t>Leslie.kim@stryker.com</t>
  </si>
  <si>
    <t>Director, RA/QA and Reimbursement</t>
  </si>
  <si>
    <t>RAQA</t>
  </si>
  <si>
    <t>Justin Kim</t>
  </si>
  <si>
    <t>김정오</t>
  </si>
  <si>
    <t>Justin.Kim@stryker.com</t>
  </si>
  <si>
    <t>Mako Capital Sales Manager</t>
  </si>
  <si>
    <t>Sue Kim</t>
  </si>
  <si>
    <t>김정숙</t>
  </si>
  <si>
    <t>Sue.Kim@stryker.com</t>
  </si>
  <si>
    <t>Business Unit Director</t>
  </si>
  <si>
    <t>Danny Kim</t>
  </si>
  <si>
    <t>김문호</t>
  </si>
  <si>
    <t>danny.kim@stryker.com</t>
  </si>
  <si>
    <t>Rayna Kim</t>
  </si>
  <si>
    <t>Rayna.Kim@stryker.com</t>
  </si>
  <si>
    <t>Senior Marketing Specialist, Neurovascular, Korea</t>
  </si>
  <si>
    <t>Advertising/Marketing Communications</t>
  </si>
  <si>
    <t>5CG2181LCT</t>
  </si>
  <si>
    <t>Suhyun Kim</t>
  </si>
  <si>
    <t>김수현</t>
  </si>
  <si>
    <t>Suhyun.Kim@stryker.com</t>
  </si>
  <si>
    <t>Associate Sales Manager</t>
  </si>
  <si>
    <t>Yoori Kim</t>
  </si>
  <si>
    <t>김유리</t>
  </si>
  <si>
    <t>yoori.kim@stryker.com</t>
  </si>
  <si>
    <t>HR Director, Korea and East Asia Functions</t>
  </si>
  <si>
    <t>Human Resources Job Family Group</t>
  </si>
  <si>
    <t>Human Resources Generalist</t>
  </si>
  <si>
    <t>Songmin Kim</t>
  </si>
  <si>
    <t>김송민</t>
  </si>
  <si>
    <t>songmin.kim@stryker.com</t>
  </si>
  <si>
    <t>Manager, Market Access</t>
  </si>
  <si>
    <t>Jackson Kim</t>
  </si>
  <si>
    <t>김정연</t>
  </si>
  <si>
    <t>jackson.kim@stryker.com</t>
  </si>
  <si>
    <t>Product Manager, Neurovascular</t>
  </si>
  <si>
    <t>5CG2181LXH</t>
  </si>
  <si>
    <t>Genie Kim</t>
  </si>
  <si>
    <t>김현진</t>
  </si>
  <si>
    <t>genie.kim@stryker.com</t>
  </si>
  <si>
    <t>5CG2181LW3</t>
  </si>
  <si>
    <t>Jason Kim</t>
  </si>
  <si>
    <t>김재헌</t>
  </si>
  <si>
    <t>jason.kim1@stryker.com</t>
  </si>
  <si>
    <t>5CG2181LVN</t>
  </si>
  <si>
    <t>Henry Kim</t>
  </si>
  <si>
    <t>김한성</t>
  </si>
  <si>
    <t>henry.kim1@stryker.com</t>
  </si>
  <si>
    <t>Yeonjoo Kim</t>
  </si>
  <si>
    <t>김연주</t>
  </si>
  <si>
    <t>yeonjoo.kim@stryker.com</t>
  </si>
  <si>
    <t>Product Manager</t>
  </si>
  <si>
    <t>William Kim</t>
  </si>
  <si>
    <t>김성진</t>
  </si>
  <si>
    <t>william.kim1@stryker.com</t>
  </si>
  <si>
    <t>Finance Manager</t>
  </si>
  <si>
    <t>Accounting</t>
  </si>
  <si>
    <t>Terry Kim</t>
  </si>
  <si>
    <t>김용석</t>
  </si>
  <si>
    <t>terry.kim@stryker.com</t>
  </si>
  <si>
    <t>Lead FP&amp;A Analyst, Finance</t>
  </si>
  <si>
    <t>Ahyoung Kim</t>
  </si>
  <si>
    <t>김아영</t>
  </si>
  <si>
    <t>ahyoung.kim@stryker.com</t>
  </si>
  <si>
    <t>Lead Specialist Regulatory Affairs Quality Assurance</t>
  </si>
  <si>
    <t>RAQA Compliance</t>
  </si>
  <si>
    <t>Jayden Kim</t>
  </si>
  <si>
    <t>김민재</t>
  </si>
  <si>
    <t>jayden.kim@stryker.com</t>
  </si>
  <si>
    <t>Dongkyu Kim</t>
  </si>
  <si>
    <t>김동규</t>
  </si>
  <si>
    <t>dongkyu.kim@stryker.com</t>
  </si>
  <si>
    <t>Minki Kim</t>
  </si>
  <si>
    <t>김민기</t>
  </si>
  <si>
    <t>minki.kim@stryker.com</t>
  </si>
  <si>
    <t>Marketing Manager, Implants, Korea</t>
  </si>
  <si>
    <t>Soyoun Kim</t>
  </si>
  <si>
    <t>김소연</t>
  </si>
  <si>
    <t>soyoun.kim@stryker.com</t>
  </si>
  <si>
    <t>Compliance Officer, East Asia</t>
  </si>
  <si>
    <t>Compliance</t>
  </si>
  <si>
    <t>5CG2181LW5</t>
  </si>
  <si>
    <t>Hailey Kim</t>
  </si>
  <si>
    <t>김정화</t>
  </si>
  <si>
    <t>hailey.kim@stryker.com</t>
  </si>
  <si>
    <t>Senior Accountant</t>
  </si>
  <si>
    <t>Accounts Payable/Receivable</t>
  </si>
  <si>
    <t>5CG2181LXO</t>
  </si>
  <si>
    <t>Mason Kim</t>
  </si>
  <si>
    <t>김오현</t>
  </si>
  <si>
    <t>mason.kim1@stryker.com</t>
  </si>
  <si>
    <t>Associate MAKO Product Specialist</t>
  </si>
  <si>
    <t>Mindo Kim</t>
  </si>
  <si>
    <t>김민도</t>
  </si>
  <si>
    <t>mindo.kim@stryker.com</t>
  </si>
  <si>
    <t>5CG2261LCV</t>
  </si>
  <si>
    <t>Aspyn Kim</t>
  </si>
  <si>
    <t>김주희</t>
  </si>
  <si>
    <t>aspyn.kim@stryker.com</t>
  </si>
  <si>
    <t>5CG2181LWV</t>
  </si>
  <si>
    <t>Minjeong Kim</t>
  </si>
  <si>
    <t>김민정</t>
  </si>
  <si>
    <t>minjeong.kim@stryker.com</t>
  </si>
  <si>
    <t>Lina Kim</t>
  </si>
  <si>
    <t>김인아</t>
  </si>
  <si>
    <t>lina.kim@stryker.com</t>
  </si>
  <si>
    <t>David Kim</t>
  </si>
  <si>
    <t>김성준</t>
  </si>
  <si>
    <t>david.kim3@stryker.com</t>
  </si>
  <si>
    <t>James Kim</t>
  </si>
  <si>
    <t>김재철</t>
  </si>
  <si>
    <t>james.kim@stryker.com</t>
  </si>
  <si>
    <t>5CD32871LF</t>
  </si>
  <si>
    <t>Hannah Kim</t>
  </si>
  <si>
    <t>김예림</t>
  </si>
  <si>
    <t>hannah.kim@stryker.com</t>
  </si>
  <si>
    <t>Greg Kim</t>
  </si>
  <si>
    <t>김형근</t>
  </si>
  <si>
    <t>greg.kim@stryker.com</t>
  </si>
  <si>
    <t>Regional Legal Counsel</t>
  </si>
  <si>
    <t>Legal Affairs Job Family Group</t>
  </si>
  <si>
    <t>Legal Generalist</t>
  </si>
  <si>
    <t>Theo Kim</t>
  </si>
  <si>
    <t>김덕영</t>
  </si>
  <si>
    <t>theo.kim@stryker.com</t>
  </si>
  <si>
    <t>Commercial Reporting Administrator</t>
  </si>
  <si>
    <t>Daphne Kim</t>
  </si>
  <si>
    <t>김다영</t>
  </si>
  <si>
    <t>daphne.kim@stryker.com</t>
  </si>
  <si>
    <t>Customer Service Representative</t>
  </si>
  <si>
    <t>Ara Ko</t>
  </si>
  <si>
    <t>고아라</t>
  </si>
  <si>
    <t>ara.ko@stryker.com</t>
  </si>
  <si>
    <t>Wondae Ko</t>
  </si>
  <si>
    <t>고원대</t>
  </si>
  <si>
    <t>wondae.ko@stryker.com</t>
  </si>
  <si>
    <t>Kit Specialist</t>
  </si>
  <si>
    <t>Arin Ko</t>
  </si>
  <si>
    <t>고현경</t>
  </si>
  <si>
    <t>arin.ko@stryker.com</t>
  </si>
  <si>
    <t>Marketing Assistant</t>
  </si>
  <si>
    <t>Allen Ku</t>
  </si>
  <si>
    <t>구교빈</t>
  </si>
  <si>
    <t>allen.ku@stryker.com</t>
  </si>
  <si>
    <t>5S2Z1Z2</t>
  </si>
  <si>
    <t>Jeff Lee</t>
  </si>
  <si>
    <t>이종원</t>
  </si>
  <si>
    <t>Jeff.Lee@stryker.com</t>
  </si>
  <si>
    <t>BU Director, Mako</t>
  </si>
  <si>
    <t>Joy Lee</t>
  </si>
  <si>
    <t>이윤선</t>
  </si>
  <si>
    <t>joy.lee@stryker.com</t>
  </si>
  <si>
    <t>Demian Lee</t>
  </si>
  <si>
    <t>이동석</t>
  </si>
  <si>
    <t>demian.lee@stryker.com</t>
  </si>
  <si>
    <t>Manager, Credit Control</t>
  </si>
  <si>
    <t>Credit and Collections</t>
  </si>
  <si>
    <t>Chloe Lee</t>
  </si>
  <si>
    <t>이효성</t>
  </si>
  <si>
    <t>chloe.lee@stryker.com</t>
  </si>
  <si>
    <t>Senior RAQA Manager</t>
  </si>
  <si>
    <t>David Lee</t>
  </si>
  <si>
    <t>이상화</t>
  </si>
  <si>
    <t>david.lee4@stryker.com</t>
  </si>
  <si>
    <t>Associate Manager, Field Service</t>
  </si>
  <si>
    <t>Nathan Lee</t>
  </si>
  <si>
    <t>이인재</t>
  </si>
  <si>
    <t>nathan.lee@stryker.com</t>
  </si>
  <si>
    <t>Rosie Lee</t>
  </si>
  <si>
    <t>이지해</t>
  </si>
  <si>
    <t>rosie.lee@stryker.com</t>
  </si>
  <si>
    <t>Daniel Lee</t>
  </si>
  <si>
    <t>이승용</t>
  </si>
  <si>
    <t>daniel.lee1@stryker.com</t>
  </si>
  <si>
    <t>Senior Field Service Engineer, Technical Service</t>
  </si>
  <si>
    <t>Henry Lee</t>
  </si>
  <si>
    <t>이봉학</t>
  </si>
  <si>
    <t>henry.lee@stryker.com</t>
  </si>
  <si>
    <t>Ayaan Lee</t>
  </si>
  <si>
    <t>이근필</t>
  </si>
  <si>
    <t>ayaan.lee@stryker.com</t>
  </si>
  <si>
    <t>5CD3027S4T</t>
  </si>
  <si>
    <t>Jaekyeong Lee</t>
  </si>
  <si>
    <t>이재경</t>
  </si>
  <si>
    <t>jaekyeong.lee@stryker.com</t>
  </si>
  <si>
    <t>Senior Specialist, Market Access &amp; Clinical Research</t>
  </si>
  <si>
    <t>Eunji Lee</t>
  </si>
  <si>
    <t>이은지</t>
  </si>
  <si>
    <t>eunji.lee@stryker.com</t>
  </si>
  <si>
    <t>Planner</t>
  </si>
  <si>
    <t>5CG32871LS</t>
  </si>
  <si>
    <t>Annie Lee</t>
  </si>
  <si>
    <t>이채원</t>
  </si>
  <si>
    <t>annie.lee@stryker.com</t>
  </si>
  <si>
    <t>Suhan Lee</t>
  </si>
  <si>
    <t>이수한</t>
  </si>
  <si>
    <t>suhan.lee@stryker.com</t>
  </si>
  <si>
    <t>TS Coordinator</t>
  </si>
  <si>
    <t>Bruce Lee</t>
  </si>
  <si>
    <t>이현우</t>
  </si>
  <si>
    <t>bruce.lee@stryker.com</t>
  </si>
  <si>
    <t>Associate Manager, Supply Planning</t>
  </si>
  <si>
    <t>Kylie Leem</t>
  </si>
  <si>
    <t>임덕희</t>
  </si>
  <si>
    <t>kylie.leem@stryker.com</t>
  </si>
  <si>
    <t>Roy Lim</t>
  </si>
  <si>
    <t>임영환</t>
  </si>
  <si>
    <t>roy.lim@stryker.com</t>
  </si>
  <si>
    <t>Business Director, MedSurg, Korea</t>
  </si>
  <si>
    <t>5CG136B93K</t>
  </si>
  <si>
    <t>Kyle Lim</t>
  </si>
  <si>
    <t>임채홍</t>
  </si>
  <si>
    <t>kyle.lim@stryker.com</t>
  </si>
  <si>
    <t>Senior Customer Service Specialist</t>
  </si>
  <si>
    <t>Serene Ma</t>
  </si>
  <si>
    <t>마성원</t>
  </si>
  <si>
    <t>serene.ma@stryker.com</t>
  </si>
  <si>
    <t>Senior HR Specialist</t>
  </si>
  <si>
    <t>Jay Moon</t>
  </si>
  <si>
    <t>문지윤</t>
  </si>
  <si>
    <t>jay.moon@stryker.com</t>
  </si>
  <si>
    <t>Manager, Finance Indirect Channel Management</t>
  </si>
  <si>
    <t>Ethan Na</t>
  </si>
  <si>
    <t>나성일</t>
  </si>
  <si>
    <t>ethan.na@stryker.com</t>
  </si>
  <si>
    <t>Changkyu Oh</t>
  </si>
  <si>
    <t>오창규</t>
  </si>
  <si>
    <t>david.oh@stryker.com</t>
  </si>
  <si>
    <t>Peter Oh</t>
  </si>
  <si>
    <t>오인혁</t>
  </si>
  <si>
    <t>peter.oh@stryker.com</t>
  </si>
  <si>
    <t>BU Director, Implants</t>
  </si>
  <si>
    <t>Implants</t>
  </si>
  <si>
    <t>Sales</t>
  </si>
  <si>
    <t>Mason Oh</t>
  </si>
  <si>
    <t>오승민</t>
  </si>
  <si>
    <t>mason.oh@stryker.com</t>
  </si>
  <si>
    <t>Senior Sales Representative, Shoulder</t>
  </si>
  <si>
    <t>01/23/23</t>
  </si>
  <si>
    <t>Joon Oh</t>
  </si>
  <si>
    <t>오준환</t>
  </si>
  <si>
    <t>joon.oh@stryker.com</t>
  </si>
  <si>
    <t>Senior Marketing Specialist</t>
  </si>
  <si>
    <t>5CG2181LXK</t>
  </si>
  <si>
    <t>Jennifer Paek</t>
  </si>
  <si>
    <t>백영수</t>
  </si>
  <si>
    <t>jennifer.paek@stryker.com</t>
  </si>
  <si>
    <t>RA &amp; Market Access Manager</t>
  </si>
  <si>
    <t>Jiyoung Park</t>
  </si>
  <si>
    <t>박지영</t>
  </si>
  <si>
    <t>jy.park@stryker.com</t>
  </si>
  <si>
    <t>Senior Business Operation Specialist</t>
  </si>
  <si>
    <t>5CG1171H62(retired)</t>
  </si>
  <si>
    <t>Tyler Park</t>
  </si>
  <si>
    <t>박래수</t>
  </si>
  <si>
    <t>tyler.park@stryker.com</t>
  </si>
  <si>
    <t>Associate Sales Manager, Neurovascular</t>
  </si>
  <si>
    <t>5CG2181LWT</t>
  </si>
  <si>
    <t>Julie Park</t>
  </si>
  <si>
    <t>박정언</t>
  </si>
  <si>
    <t>julie.park@stryker.com</t>
  </si>
  <si>
    <t>Marketing Manager, Neurovascular Korea</t>
  </si>
  <si>
    <t>Jinny Park</t>
  </si>
  <si>
    <t>박경진</t>
  </si>
  <si>
    <t>jinny.park@stryker.com</t>
  </si>
  <si>
    <t>Commercial Reporting Specialist</t>
  </si>
  <si>
    <t>James Park</t>
  </si>
  <si>
    <t>박종욱</t>
  </si>
  <si>
    <t>james.park@stryker.com</t>
  </si>
  <si>
    <t>IBP Manager, Instruments and Endoscopy</t>
  </si>
  <si>
    <t>Supply Chain and Logistics</t>
  </si>
  <si>
    <t>5CG2181LW6</t>
  </si>
  <si>
    <t>Jackson Park</t>
  </si>
  <si>
    <t>박준영</t>
  </si>
  <si>
    <t>jackson.park@stryker.com</t>
  </si>
  <si>
    <t>Owen Park</t>
  </si>
  <si>
    <t>박기완</t>
  </si>
  <si>
    <t>owen.park@stryker.com</t>
  </si>
  <si>
    <t>Freddy Park</t>
  </si>
  <si>
    <t>박현상</t>
  </si>
  <si>
    <t>freddy.park@stryker.com</t>
  </si>
  <si>
    <t>Associate Finance Manager</t>
  </si>
  <si>
    <t>Peter Park</t>
  </si>
  <si>
    <t>박영철</t>
  </si>
  <si>
    <t>peter.park@stryker.com</t>
  </si>
  <si>
    <t>5CG2181LWN</t>
  </si>
  <si>
    <t>Michelle Park</t>
  </si>
  <si>
    <t>박민영</t>
  </si>
  <si>
    <t>michelle.park@stryker.com</t>
  </si>
  <si>
    <t>Regional Partnership Manager</t>
  </si>
  <si>
    <t>Jin Park</t>
  </si>
  <si>
    <t>박진</t>
  </si>
  <si>
    <t>jin.park@stryker.com</t>
  </si>
  <si>
    <t>Associate ENT Business Development Manager, MedSurg, Korea</t>
  </si>
  <si>
    <t>5CG2181LW9</t>
  </si>
  <si>
    <t>Jack Park</t>
  </si>
  <si>
    <t>박상민</t>
  </si>
  <si>
    <t>jack.park@stryker.com</t>
  </si>
  <si>
    <t>Senior QA Specialist</t>
  </si>
  <si>
    <t>5CG2181LVQ</t>
  </si>
  <si>
    <t>Daniel Park</t>
  </si>
  <si>
    <t>박종문</t>
  </si>
  <si>
    <t>daniel.park@stryker.com</t>
  </si>
  <si>
    <t xml:space="preserve">5CG2181LWB </t>
  </si>
  <si>
    <t>5CG2181LWB</t>
  </si>
  <si>
    <t>Hyoseon Park</t>
  </si>
  <si>
    <t>박효선</t>
  </si>
  <si>
    <t>hyoseon.park@stryker.com</t>
  </si>
  <si>
    <t>Sujin Park</t>
  </si>
  <si>
    <t>박수진</t>
  </si>
  <si>
    <t>sujin.park@stryker.com</t>
  </si>
  <si>
    <t>Marketing Specialist, Mako</t>
  </si>
  <si>
    <t>Lucia Park</t>
  </si>
  <si>
    <t>박지현</t>
  </si>
  <si>
    <t>lucia.park@stryker.com</t>
  </si>
  <si>
    <t>Soyeon Park</t>
  </si>
  <si>
    <t>박소연</t>
  </si>
  <si>
    <t>soyeon.park@stryker.com</t>
  </si>
  <si>
    <t>Marketing Administrator</t>
  </si>
  <si>
    <t>5CG32871LJ</t>
  </si>
  <si>
    <t>YJ Seo</t>
  </si>
  <si>
    <t>서영준</t>
  </si>
  <si>
    <t>yj.seo@stryker.com</t>
  </si>
  <si>
    <t>Director East Asia Planning</t>
  </si>
  <si>
    <t>5CD32081Z9</t>
  </si>
  <si>
    <t>Gregory Seo</t>
  </si>
  <si>
    <t>서진호</t>
  </si>
  <si>
    <t>Gregory.Seo@stryker.com</t>
  </si>
  <si>
    <t>New Technology Manager, Neurovascular</t>
  </si>
  <si>
    <t>5CG2181LX4</t>
  </si>
  <si>
    <t>Junghoon Seo</t>
  </si>
  <si>
    <t>서정훈</t>
  </si>
  <si>
    <t>junghoon.seo@stryker.com</t>
  </si>
  <si>
    <t>Commercial Reporting Manager, CE</t>
  </si>
  <si>
    <t>Jaehee Seo</t>
  </si>
  <si>
    <t>서재희</t>
  </si>
  <si>
    <t>jaehee.seo@stryker.com</t>
  </si>
  <si>
    <t>Compliance Manager, East Asia</t>
  </si>
  <si>
    <t>5CG2181LWJ</t>
  </si>
  <si>
    <t>Kevin Shim</t>
  </si>
  <si>
    <t>심현우</t>
  </si>
  <si>
    <t>kevin.shim@stryker.com</t>
  </si>
  <si>
    <t>Managing Director, Stryker Korea</t>
  </si>
  <si>
    <t>Executive and GM Job Family Group</t>
  </si>
  <si>
    <t>Division Leadership</t>
  </si>
  <si>
    <t>Chris Shin</t>
  </si>
  <si>
    <t>신승용</t>
  </si>
  <si>
    <t>chris.shin@stryker.com</t>
  </si>
  <si>
    <t>검색안됨</t>
  </si>
  <si>
    <t>Hansol Shin</t>
  </si>
  <si>
    <t>신한솔</t>
  </si>
  <si>
    <t>hansol.shin@stryker.com</t>
  </si>
  <si>
    <t>HR Business Partner, Manager</t>
  </si>
  <si>
    <t>Dana Shin</t>
  </si>
  <si>
    <t>신수민</t>
  </si>
  <si>
    <t>dana.shin@stryker.com</t>
  </si>
  <si>
    <t>5CG2181LXJ</t>
  </si>
  <si>
    <t>Huey Sim</t>
  </si>
  <si>
    <t>심종훈</t>
  </si>
  <si>
    <t>Huey.Sim@stryker.com</t>
  </si>
  <si>
    <t>Repair Center (East Asia) &amp; Technical Service (Korea) Manager</t>
  </si>
  <si>
    <t>5CG32871LB</t>
  </si>
  <si>
    <t>Simon Sin</t>
  </si>
  <si>
    <t>신정헌</t>
  </si>
  <si>
    <t>Simon.sin@stryker.com</t>
  </si>
  <si>
    <t>Sales Manager, MedSurg</t>
  </si>
  <si>
    <t>5CG2181LWS</t>
  </si>
  <si>
    <t>Amy Son</t>
  </si>
  <si>
    <t>손현경</t>
  </si>
  <si>
    <t>amy.son@stryker.com</t>
  </si>
  <si>
    <t>Sales &amp; Partnership Coordinator and Translator</t>
  </si>
  <si>
    <t>Mi Na Song</t>
  </si>
  <si>
    <t>송미나</t>
  </si>
  <si>
    <t>mina.song@stryker.com</t>
  </si>
  <si>
    <t>Senior Business Manager, Neurovascular, Korea</t>
  </si>
  <si>
    <t>5CG2181LVH</t>
  </si>
  <si>
    <t>Jun Song</t>
  </si>
  <si>
    <t>송혁준</t>
  </si>
  <si>
    <t>jun.song@stryker.com</t>
  </si>
  <si>
    <t>Senior Manager, IT Business Partner</t>
  </si>
  <si>
    <t>Information Systems Job Family Group</t>
  </si>
  <si>
    <t>Business Systems Analysis</t>
  </si>
  <si>
    <t>Jina Song</t>
  </si>
  <si>
    <t>송주연</t>
  </si>
  <si>
    <t>jina.song@stryker.com</t>
  </si>
  <si>
    <t>Jayden Song</t>
  </si>
  <si>
    <t>송지현</t>
  </si>
  <si>
    <t>jayden.song@stryker.com</t>
  </si>
  <si>
    <t>5CG2181LWM</t>
  </si>
  <si>
    <t>Ethan Song</t>
  </si>
  <si>
    <t>송주영</t>
  </si>
  <si>
    <t>ethan.song@stryker.com</t>
  </si>
  <si>
    <t>Rosey Song</t>
  </si>
  <si>
    <t>송수진</t>
  </si>
  <si>
    <t>rosey.song@stryker.com</t>
  </si>
  <si>
    <t>Hailey Song</t>
  </si>
  <si>
    <t>송하영</t>
  </si>
  <si>
    <t>hailey.song@stryker.com</t>
  </si>
  <si>
    <t>Imsun Won</t>
  </si>
  <si>
    <t>원임선</t>
  </si>
  <si>
    <t>imsun.won@stryker.com</t>
  </si>
  <si>
    <t>Associate Supply and Customs Manager</t>
  </si>
  <si>
    <t>Import/Export</t>
  </si>
  <si>
    <t>David Yang</t>
  </si>
  <si>
    <t>양승현</t>
  </si>
  <si>
    <t>David.Yang@stryker.com</t>
  </si>
  <si>
    <t>5CG2181LVY</t>
  </si>
  <si>
    <t>Owen Yang</t>
  </si>
  <si>
    <t>양희광</t>
  </si>
  <si>
    <t>owen.yang@stryker.com</t>
  </si>
  <si>
    <t>Kit Supervisor</t>
  </si>
  <si>
    <t>5CD32871LQ</t>
  </si>
  <si>
    <t>Clare Yang</t>
  </si>
  <si>
    <t>양희영</t>
  </si>
  <si>
    <t>clare.yang@stryker.com</t>
  </si>
  <si>
    <t>QA Specialist</t>
  </si>
  <si>
    <t>Jisoo Yang</t>
  </si>
  <si>
    <t>양지수</t>
  </si>
  <si>
    <t>jisoo.yang@stryker.com</t>
  </si>
  <si>
    <t>Lead Talent Acquisition Business Partner, East Asia</t>
  </si>
  <si>
    <t>Recruiting</t>
  </si>
  <si>
    <t>Minsu Yi</t>
  </si>
  <si>
    <t>이민수</t>
  </si>
  <si>
    <t>minsu.yi@stryker.com</t>
  </si>
  <si>
    <t>Head of Operations, Korea</t>
  </si>
  <si>
    <t>Jiwon Yoo</t>
  </si>
  <si>
    <t>유지원</t>
  </si>
  <si>
    <t>jiwon.yoo@stryker.com</t>
  </si>
  <si>
    <t>Associate Manager, Regulatory Affairs</t>
  </si>
  <si>
    <t>Jiho Yoo</t>
  </si>
  <si>
    <t>류지호</t>
  </si>
  <si>
    <t>jiho.yoo@stryker.com</t>
  </si>
  <si>
    <t>5CG2181LVZ</t>
  </si>
  <si>
    <t>Jungmin Yoo</t>
  </si>
  <si>
    <t>유정민</t>
  </si>
  <si>
    <t>jenna.yoo@stryker.com</t>
  </si>
  <si>
    <t>Finance Analyst</t>
  </si>
  <si>
    <t>Bella Yoon</t>
  </si>
  <si>
    <t>윤수연</t>
  </si>
  <si>
    <t>bella.yoon@stryker.com</t>
  </si>
  <si>
    <t>Ayaan Yoon</t>
  </si>
  <si>
    <t>윤채훈</t>
  </si>
  <si>
    <t>ayaan.yoon@stryker.com</t>
  </si>
  <si>
    <t>JW Yoon</t>
  </si>
  <si>
    <t>윤주원</t>
  </si>
  <si>
    <t>jw.yoon@stryker.com</t>
  </si>
  <si>
    <t>Senior BD Manager, Knee, Korea</t>
  </si>
  <si>
    <t>Aaron Yoon</t>
  </si>
  <si>
    <t>윤현석</t>
  </si>
  <si>
    <t>aaron.yoon@stryker.com</t>
  </si>
  <si>
    <t>Sarah Youn</t>
  </si>
  <si>
    <t>윤정인</t>
  </si>
  <si>
    <t>sarah.youn@stryker.com</t>
  </si>
  <si>
    <t>Product Manager, Implants</t>
  </si>
  <si>
    <t>5CG051C6S8(retired)</t>
  </si>
  <si>
    <t>kale.lee</t>
  </si>
  <si>
    <t>kale.lee@stryker.com</t>
  </si>
  <si>
    <t>CIS</t>
  </si>
  <si>
    <t>yongma05(깡통)</t>
  </si>
  <si>
    <t>order</t>
  </si>
  <si>
    <t>yongma01(깡통)</t>
  </si>
  <si>
    <t>Financeadmin4.SKL</t>
  </si>
  <si>
    <t>financeadmin4.skl@stryker.com</t>
  </si>
  <si>
    <t>Ellen Oh</t>
  </si>
  <si>
    <t>ellen.oh@stryker.com</t>
  </si>
  <si>
    <t>Demoadmin.ym</t>
  </si>
  <si>
    <t>demoadmin.ym@stryker.com</t>
  </si>
  <si>
    <t>eric.kim</t>
  </si>
  <si>
    <t>eric.kim@stryker.com</t>
  </si>
  <si>
    <t>Yongma, WMS4 /Kit</t>
  </si>
  <si>
    <t>yongma03(깡통)</t>
  </si>
  <si>
    <t>Yongma, Stryker</t>
  </si>
  <si>
    <t>yongma02(깡통)</t>
  </si>
  <si>
    <t>8CC2250YBL</t>
  </si>
  <si>
    <t>Daniel.Han</t>
  </si>
  <si>
    <t>daniel.han@stryker.com</t>
  </si>
  <si>
    <t>ts.korea</t>
  </si>
  <si>
    <t>ts.korea@stryker.com</t>
  </si>
  <si>
    <t>WMS2 /MedSurg</t>
  </si>
  <si>
    <t>yongma04(깡통)</t>
  </si>
  <si>
    <t>neal kim</t>
  </si>
  <si>
    <t>neal.kim@stryker.com</t>
  </si>
  <si>
    <t>Mako</t>
  </si>
  <si>
    <t>orderadmin1.ym</t>
  </si>
  <si>
    <t>orderadmin1.ym@stryker.com</t>
  </si>
  <si>
    <t>medsurg.ym</t>
  </si>
  <si>
    <t>medsurg.ym@stryker.com</t>
  </si>
  <si>
    <t>recon.ym</t>
  </si>
  <si>
    <t>recon.ym@stryker.com</t>
  </si>
  <si>
    <t>stella hwang</t>
  </si>
  <si>
    <t>stella.hwang@stryker.com</t>
  </si>
  <si>
    <t>Sales Medsurge</t>
  </si>
  <si>
    <t>label.ym</t>
  </si>
  <si>
    <t>label.ym@stryker.com</t>
  </si>
  <si>
    <t>orderadmin2.ym</t>
  </si>
  <si>
    <t>orderadmin2.ym@stryker.com</t>
  </si>
  <si>
    <t>NV.SKL(1)</t>
  </si>
  <si>
    <t>NV.SKL@stryker.com-1</t>
  </si>
  <si>
    <t>NV.SKL(2)</t>
  </si>
  <si>
    <t>NV.SKL@stryker.com-2</t>
  </si>
  <si>
    <t>lucas heo</t>
  </si>
  <si>
    <t>lucas.heo@stryker.com</t>
  </si>
  <si>
    <t>cis2.ym</t>
  </si>
  <si>
    <t>cis2.ym@stryker.com</t>
  </si>
  <si>
    <t>cis6.ym</t>
  </si>
  <si>
    <t>cis6.ym@stryker.com</t>
  </si>
  <si>
    <t>cis1.ym</t>
  </si>
  <si>
    <t>cis1.ym@stryker.com</t>
  </si>
  <si>
    <t>cis7.ym</t>
  </si>
  <si>
    <t>cis7.ym@stryker.com</t>
  </si>
  <si>
    <t>cis3.ym</t>
  </si>
  <si>
    <t>cis3.ym@stryker.com</t>
  </si>
  <si>
    <t>kit.ym</t>
  </si>
  <si>
    <t>kit.ym@stryker.com</t>
  </si>
  <si>
    <t>grn.ym</t>
  </si>
  <si>
    <t>grn.ym@stryker.com</t>
  </si>
  <si>
    <t>fixation.ym</t>
  </si>
  <si>
    <t>fixation.ym@stryker.com</t>
  </si>
  <si>
    <t>Gyowon Jeong</t>
  </si>
  <si>
    <t>정교원</t>
  </si>
  <si>
    <t>gyowon.jeong@stryker.com</t>
  </si>
  <si>
    <t>Planning</t>
  </si>
  <si>
    <t>Daeun Kim</t>
  </si>
  <si>
    <t>김다은</t>
  </si>
  <si>
    <t>dawn.kim@stryker.com</t>
  </si>
  <si>
    <t>Medsurg</t>
  </si>
  <si>
    <t>Bryan park</t>
  </si>
  <si>
    <t>박효현</t>
  </si>
  <si>
    <t>bryan.park@stryker.com</t>
  </si>
  <si>
    <t>Marko</t>
  </si>
  <si>
    <t>Bomin Kim</t>
  </si>
  <si>
    <t>김보민</t>
  </si>
  <si>
    <t>Bomin.kim@stryker.com</t>
  </si>
  <si>
    <t>kmultiuser</t>
  </si>
  <si>
    <t>kmultiuser@stryker.com</t>
  </si>
  <si>
    <t>Sally Choi</t>
  </si>
  <si>
    <t>최수빈</t>
  </si>
  <si>
    <t>sally.choi@stryker.com</t>
  </si>
  <si>
    <t>ICM</t>
  </si>
  <si>
    <t>Ian hwang</t>
  </si>
  <si>
    <t>황인재</t>
  </si>
  <si>
    <t>ian.hwang@stryker.com</t>
  </si>
  <si>
    <t>NV</t>
  </si>
  <si>
    <t>Lia Jung</t>
  </si>
  <si>
    <t>정예진</t>
  </si>
  <si>
    <t>lia.jung@stryker.com</t>
  </si>
  <si>
    <t>Shoulder</t>
  </si>
  <si>
    <t>Sazy Park</t>
  </si>
  <si>
    <t>박성희</t>
  </si>
  <si>
    <t>sazy.park@stryker.com</t>
  </si>
  <si>
    <t>Financeadmin3.SKL@stryker.com</t>
  </si>
  <si>
    <t>Financeadmin4.SKL@stryker.com</t>
  </si>
  <si>
    <t>Shawn Kim</t>
  </si>
  <si>
    <t>김근호</t>
  </si>
  <si>
    <t>shawn.kim@stryker.com</t>
  </si>
  <si>
    <t>아셈타워</t>
  </si>
  <si>
    <t>지문 관리 피시</t>
  </si>
  <si>
    <t xml:space="preserve">클로이 </t>
  </si>
  <si>
    <t>아르바이트</t>
  </si>
  <si>
    <t>ab-chloe.kang@stryker.com</t>
  </si>
  <si>
    <t>지평</t>
  </si>
  <si>
    <t>Kunji Yun</t>
  </si>
  <si>
    <t>jpcustoms.skl@stryker.com</t>
  </si>
  <si>
    <t>Andy Kim</t>
  </si>
  <si>
    <t>김건우</t>
  </si>
  <si>
    <t>andy.kim@stryker.com</t>
  </si>
  <si>
    <t>Model</t>
  </si>
  <si>
    <t>종류</t>
  </si>
  <si>
    <t>SNOW Tag</t>
  </si>
  <si>
    <t>S/N</t>
  </si>
  <si>
    <t>lease Date</t>
  </si>
  <si>
    <t>User</t>
  </si>
  <si>
    <t>Additional Information</t>
  </si>
  <si>
    <t>HP Elitebook 640 G10</t>
  </si>
  <si>
    <t>Laptop</t>
  </si>
  <si>
    <t>5CD3469HCY</t>
  </si>
  <si>
    <t>IT</t>
  </si>
  <si>
    <t>STOCK</t>
  </si>
  <si>
    <t>액정파손 수리 완료 / choi kyu(고장)</t>
  </si>
  <si>
    <t>5CD3469HD2</t>
  </si>
  <si>
    <t>5CD3469HCX</t>
  </si>
  <si>
    <t>5CD3469HCZ</t>
  </si>
  <si>
    <t>5CD3469HD0</t>
  </si>
  <si>
    <t>5CD3469HD1</t>
  </si>
  <si>
    <t>5CD3469HD3</t>
  </si>
  <si>
    <t>Sungyi Jeon</t>
  </si>
  <si>
    <t>5CD3469HD4</t>
  </si>
  <si>
    <t>5CD3469HD5</t>
  </si>
  <si>
    <t>Jackson park</t>
  </si>
  <si>
    <t>5CD3469HD6</t>
  </si>
  <si>
    <t>5CD3469HD7</t>
  </si>
  <si>
    <t>RA&amp;QA</t>
  </si>
  <si>
    <t>5CD3469HD8</t>
  </si>
  <si>
    <t>jenna.yoo</t>
  </si>
  <si>
    <t>5CD3469HD9</t>
  </si>
  <si>
    <t>david.oh</t>
  </si>
  <si>
    <r>
      <rPr>
        <u/>
        <sz val="11"/>
        <color rgb="FF1155CC"/>
        <rFont val="&quot;맑은 고딕&quot;, monospace"/>
        <family val="3"/>
        <charset val="129"/>
      </rPr>
      <t>david.oh@stryker.com</t>
    </r>
  </si>
  <si>
    <t>5CD3469HDB</t>
  </si>
  <si>
    <t>mihee.han</t>
  </si>
  <si>
    <r>
      <rPr>
        <u/>
        <sz val="11"/>
        <color rgb="FF1155CC"/>
        <rFont val="&quot;맑은 고딕&quot;, monospace"/>
        <charset val="129"/>
      </rPr>
      <t>mihee.han@stryker.com</t>
    </r>
  </si>
  <si>
    <t>5CD3469HDC</t>
  </si>
  <si>
    <t>TS</t>
  </si>
  <si>
    <t>5CD3469HDD</t>
  </si>
  <si>
    <t>CA</t>
  </si>
  <si>
    <t>5CD3469HDF</t>
  </si>
  <si>
    <t>annie.lee</t>
  </si>
  <si>
    <t>5CD3469HDH</t>
  </si>
  <si>
    <t>5CD3469HDJ</t>
  </si>
  <si>
    <t>5CD3469HDK</t>
  </si>
  <si>
    <t>Yongma</t>
  </si>
  <si>
    <t>5CD3469HDL</t>
  </si>
  <si>
    <t>블루스크린 PC 반납</t>
  </si>
  <si>
    <t>5CD3469HDM</t>
  </si>
  <si>
    <t>HR</t>
  </si>
  <si>
    <t>5CD3469HDN</t>
  </si>
  <si>
    <t>5CD3469HDP</t>
  </si>
  <si>
    <t>도원</t>
  </si>
  <si>
    <t>5CD3469HDQ</t>
  </si>
  <si>
    <t>Cindy Jeon</t>
  </si>
  <si>
    <t>5CD3469HDR</t>
  </si>
  <si>
    <t>5CD3469HDS</t>
  </si>
  <si>
    <t>김포</t>
  </si>
  <si>
    <t>wondae.koh</t>
  </si>
  <si>
    <t>5CD3469HDT</t>
  </si>
  <si>
    <t>Knee</t>
  </si>
  <si>
    <t>5CD3469HDV</t>
  </si>
  <si>
    <t>5CD3469HDG</t>
  </si>
  <si>
    <t>5CD409908H</t>
  </si>
  <si>
    <t>04/22/24</t>
  </si>
  <si>
    <t>STOCK.</t>
  </si>
  <si>
    <t>5CD409908K</t>
  </si>
  <si>
    <t>5CD409908M</t>
  </si>
  <si>
    <t>5CD409908J</t>
  </si>
  <si>
    <t>5CD409908L</t>
  </si>
  <si>
    <t>5CD409908N</t>
  </si>
  <si>
    <t>Kmultiuser</t>
  </si>
  <si>
    <t>5CD4145N3F</t>
  </si>
  <si>
    <r>
      <rPr>
        <u/>
        <sz val="11"/>
        <color rgb="FF1155CC"/>
        <rFont val="&quot;맑은 고딕&quot;, monospace"/>
        <charset val="129"/>
      </rPr>
      <t>demoadmin.ym@stryker.com</t>
    </r>
  </si>
  <si>
    <t>5CD4145N3M</t>
  </si>
  <si>
    <t>키보드 교체(한글 스티커)</t>
  </si>
  <si>
    <t>5CD4145N3Q</t>
  </si>
  <si>
    <t>Bitlocker Error (KB00216607 참고)
 KB00216607 에러 발생 &gt; 조치 카탈로그 KB13320 또한 에러 발생</t>
  </si>
  <si>
    <t>5CD4145N3G</t>
  </si>
  <si>
    <t>Financeadmin3.SKL</t>
  </si>
  <si>
    <t>5CD4145N3S</t>
  </si>
  <si>
    <t>jay.moon</t>
  </si>
  <si>
    <t>5CD4145N3N</t>
  </si>
  <si>
    <t>CS</t>
  </si>
  <si>
    <t>Hyeran Ahn</t>
  </si>
  <si>
    <t>5CD4145N3P</t>
  </si>
  <si>
    <t>Legal</t>
  </si>
  <si>
    <t>5CD4145N3K</t>
  </si>
  <si>
    <t>5CD4145N3R</t>
  </si>
  <si>
    <t>hangil.jeong</t>
  </si>
  <si>
    <t>5CD4145N3H</t>
  </si>
  <si>
    <t>5CD4145N3J</t>
  </si>
  <si>
    <t>지문등록</t>
  </si>
  <si>
    <t>SYKAdmin</t>
  </si>
  <si>
    <t>5CD4145N3L</t>
  </si>
  <si>
    <t>5CD4145N3T</t>
  </si>
  <si>
    <t>5CD4145N3V</t>
  </si>
  <si>
    <t>5CD4232BF6</t>
  </si>
  <si>
    <t>06/20/24</t>
  </si>
  <si>
    <r>
      <rPr>
        <u/>
        <sz val="11"/>
        <color rgb="FF1155CC"/>
        <rFont val="&quot;맑은 고딕&quot;, monospace"/>
        <charset val="129"/>
      </rPr>
      <t>kmultiuser@stryker.com</t>
    </r>
  </si>
  <si>
    <r>
      <rPr>
        <u/>
        <sz val="11"/>
        <color rgb="FF1155CC"/>
        <rFont val="&quot;맑은 고딕&quot;, monospace"/>
        <charset val="129"/>
      </rPr>
      <t>(보드손상 수리)</t>
    </r>
  </si>
  <si>
    <t>chloe님 아르바이트 대여</t>
  </si>
  <si>
    <t>5CD4232BF5</t>
  </si>
  <si>
    <t>SCCM</t>
  </si>
  <si>
    <t>5CD4232BF7</t>
  </si>
  <si>
    <t>MAKO</t>
  </si>
  <si>
    <t>yeonjoo.kim</t>
  </si>
  <si>
    <r>
      <rPr>
        <u/>
        <sz val="11"/>
        <color rgb="FF1155CC"/>
        <rFont val="&quot;맑은 고딕&quot;, monospace"/>
        <charset val="129"/>
      </rPr>
      <t>yeonjoo.kim@stryker.com</t>
    </r>
  </si>
  <si>
    <t>5CD4232BFQ</t>
  </si>
  <si>
    <t>5CD4232BFS</t>
  </si>
  <si>
    <t>5CD4232BFP</t>
  </si>
  <si>
    <t>5CD4232BF1</t>
  </si>
  <si>
    <t>david.chung</t>
  </si>
  <si>
    <t>5CD4232BFN</t>
  </si>
  <si>
    <t>5CD4232BFF</t>
  </si>
  <si>
    <t>5CD4232BF9</t>
  </si>
  <si>
    <t>GM</t>
  </si>
  <si>
    <t>5CD4232BFG</t>
  </si>
  <si>
    <t>5CD4232BFC</t>
  </si>
  <si>
    <t>5CD4232BFT</t>
  </si>
  <si>
    <t>Ara ko</t>
  </si>
  <si>
    <t>5CD4232BFB</t>
  </si>
  <si>
    <t>RA NV</t>
  </si>
  <si>
    <t>jennifer.paek</t>
  </si>
  <si>
    <t>5CD4232BFM</t>
  </si>
  <si>
    <t>5CD4232BF3</t>
  </si>
  <si>
    <t>5CD4232BFD</t>
  </si>
  <si>
    <t>전원 고장</t>
  </si>
  <si>
    <t>5CD4232BF2</t>
  </si>
  <si>
    <t>5CD4232BFL</t>
  </si>
  <si>
    <t>GD Ahn</t>
  </si>
  <si>
    <t>5CD4232BFH</t>
  </si>
  <si>
    <t>Ko Arin</t>
  </si>
  <si>
    <t>5CD4232BF8</t>
  </si>
  <si>
    <t>WMS4 /Kit/yongma03(깡통)</t>
  </si>
  <si>
    <t>5CD4232BFV</t>
  </si>
  <si>
    <t>Hong Ashley</t>
  </si>
  <si>
    <t>5CD4232BFK</t>
  </si>
  <si>
    <t>5CD4232BFJ</t>
  </si>
  <si>
    <t>5CD4232BFR</t>
  </si>
  <si>
    <t>kylie.leem</t>
  </si>
  <si>
    <t>5CD4232BF4</t>
  </si>
  <si>
    <t>sungyoun.hur@stryker.com - 노트북 마이크 노이즈</t>
  </si>
  <si>
    <t>5CD4305D8G</t>
  </si>
  <si>
    <t>08/20/24</t>
  </si>
  <si>
    <t>5CD4305D8W</t>
  </si>
  <si>
    <t>5CD4305D8P</t>
  </si>
  <si>
    <t>설치중</t>
  </si>
  <si>
    <t>5CD4305D8F</t>
  </si>
  <si>
    <t>MedSurg</t>
  </si>
  <si>
    <t>bella yoon</t>
  </si>
  <si>
    <t>5CD4305D8J</t>
  </si>
  <si>
    <r>
      <rPr>
        <u/>
        <sz val="11"/>
        <color rgb="FF1155CC"/>
        <rFont val="&quot;맑은 고딕&quot;, monospace"/>
        <charset val="129"/>
      </rPr>
      <t>sazy.park@stryker.com</t>
    </r>
  </si>
  <si>
    <t>인턴</t>
  </si>
  <si>
    <t>5CD4305D88</t>
  </si>
  <si>
    <t>Medical</t>
  </si>
  <si>
    <t>기존 노트북 미반환</t>
  </si>
  <si>
    <t>5CD4305D8Q</t>
  </si>
  <si>
    <t>5CD4305D94</t>
  </si>
  <si>
    <t>MPS</t>
  </si>
  <si>
    <t>seohyun.jung</t>
  </si>
  <si>
    <r>
      <rPr>
        <u/>
        <sz val="11"/>
        <color rgb="FF1155CC"/>
        <rFont val="&quot;맑은 고딕&quot;, monospace"/>
        <charset val="129"/>
      </rPr>
      <t>seohyun.jung@stryker.com</t>
    </r>
  </si>
  <si>
    <t>미반납</t>
  </si>
  <si>
    <t>5CD4305D85</t>
  </si>
  <si>
    <t>sunghoon.bang</t>
  </si>
  <si>
    <t>5CD4305D92</t>
  </si>
  <si>
    <t>5CD4305D8V</t>
  </si>
  <si>
    <t>5CD4305D8T</t>
  </si>
  <si>
    <t>suhan.lee</t>
  </si>
  <si>
    <t>5CD4305D91</t>
  </si>
  <si>
    <t>5CD4305D8L</t>
  </si>
  <si>
    <t>Son Amy</t>
  </si>
  <si>
    <t>5CD4305D8S</t>
  </si>
  <si>
    <t>5CD4305D8R</t>
  </si>
  <si>
    <t>Ma Serene</t>
  </si>
  <si>
    <t>5CD4305D81</t>
  </si>
  <si>
    <t>dongkyu.kim</t>
  </si>
  <si>
    <t>5CD4305D83</t>
  </si>
  <si>
    <t>사무용 / 캐드용과 중복 계정</t>
  </si>
  <si>
    <t>5CD4305D8C</t>
  </si>
  <si>
    <t>5CD4305D7Z</t>
  </si>
  <si>
    <t>-</t>
  </si>
  <si>
    <t>키보드 수리완료</t>
  </si>
  <si>
    <t>5CD4305D8B</t>
  </si>
  <si>
    <t>OrderAdmin1</t>
  </si>
  <si>
    <t>5CD4305D8X</t>
  </si>
  <si>
    <t>5CD4305D84</t>
  </si>
  <si>
    <t>5CD4305D87</t>
  </si>
  <si>
    <t>demian.lee</t>
  </si>
  <si>
    <t>5CD4305D8M</t>
  </si>
  <si>
    <t>Market Access</t>
  </si>
  <si>
    <t>5CD4305D82</t>
  </si>
  <si>
    <t>5CD4305D8D</t>
  </si>
  <si>
    <r>
      <rPr>
        <u/>
        <sz val="11"/>
        <color rgb="FF1155CC"/>
        <rFont val="&quot;맑은 고딕&quot;, monospace"/>
        <charset val="129"/>
      </rPr>
      <t>lia.jung@stryker.com</t>
    </r>
  </si>
  <si>
    <t>5CD4305D96</t>
  </si>
  <si>
    <t>Operation</t>
  </si>
  <si>
    <t>imsum.won</t>
  </si>
  <si>
    <t>5CD4305D80</t>
  </si>
  <si>
    <t>5CD4305D93</t>
  </si>
  <si>
    <t>kit</t>
  </si>
  <si>
    <t>kit 임시 대여</t>
  </si>
  <si>
    <t>5CD4305D8K</t>
  </si>
  <si>
    <t>5CD4305D95</t>
  </si>
  <si>
    <t>QA</t>
  </si>
  <si>
    <t>Han Arum</t>
  </si>
  <si>
    <t>5CD4305D8H</t>
  </si>
  <si>
    <t>Hong, Seo Yeong</t>
  </si>
  <si>
    <t>5CD4305D89</t>
  </si>
  <si>
    <t>chloe kang</t>
  </si>
  <si>
    <t>알바용</t>
  </si>
  <si>
    <t>5CD4305D86</t>
  </si>
  <si>
    <t>5CD4305D90</t>
  </si>
  <si>
    <t>STOCKw</t>
  </si>
  <si>
    <t>alicia.bang@stryker.com -10/27 G1i 교체 후 반납대기</t>
  </si>
  <si>
    <t>5CD4305D8Y</t>
  </si>
  <si>
    <t>5CD4305D8N</t>
  </si>
  <si>
    <t>Yi Minsu</t>
  </si>
  <si>
    <t>5CD4305D8Z</t>
  </si>
  <si>
    <t>HP Elitebook 640 G11</t>
  </si>
  <si>
    <t>5CD442C07G</t>
  </si>
  <si>
    <t>5CD442C07F</t>
  </si>
  <si>
    <t>MKT</t>
  </si>
  <si>
    <t>minki kim</t>
  </si>
  <si>
    <r>
      <rPr>
        <u/>
        <sz val="11"/>
        <color rgb="FF1155CC"/>
        <rFont val="&quot;맑은 고딕&quot;, monospace"/>
        <charset val="129"/>
      </rPr>
      <t>minki.kim@stryker.com</t>
    </r>
  </si>
  <si>
    <t>서비스나우 2개 검색됨</t>
  </si>
  <si>
    <t>5CD442C074</t>
  </si>
  <si>
    <t>Junseong Byun</t>
  </si>
  <si>
    <t>5CD442C07C</t>
  </si>
  <si>
    <t>Cho, Jungshin</t>
  </si>
  <si>
    <t>5CD442C078</t>
  </si>
  <si>
    <t>5CD442C075</t>
  </si>
  <si>
    <t>5CD442C07L</t>
  </si>
  <si>
    <t>Joy lee</t>
  </si>
  <si>
    <t>5CD442C071</t>
  </si>
  <si>
    <t>김포/OPS</t>
  </si>
  <si>
    <t>5CD442C079</t>
  </si>
  <si>
    <t>5CD442C07B</t>
  </si>
  <si>
    <t>Hailey kim</t>
  </si>
  <si>
    <t>5CD442C07H</t>
  </si>
  <si>
    <t>5CD442C07D</t>
  </si>
  <si>
    <t>daniel jang</t>
  </si>
  <si>
    <t>5CD442C072</t>
  </si>
  <si>
    <t>Jae Chung</t>
  </si>
  <si>
    <t>5CD442C07K</t>
  </si>
  <si>
    <t>Jeff lee</t>
  </si>
  <si>
    <t>5CD442C076</t>
  </si>
  <si>
    <t>5CD442C077</t>
  </si>
  <si>
    <r>
      <rPr>
        <u/>
        <sz val="11"/>
        <color rgb="FF1155CC"/>
        <rFont val="&quot;맑은 고딕&quot;, monospace"/>
        <charset val="129"/>
      </rPr>
      <t>bruce.lee@stryker.com</t>
    </r>
  </si>
  <si>
    <t>5CD442C073</t>
  </si>
  <si>
    <t>Park Hyoseon</t>
  </si>
  <si>
    <t>5CD442C07J</t>
  </si>
  <si>
    <t>5CD5062YDS</t>
  </si>
  <si>
    <t>02/13/25</t>
  </si>
  <si>
    <r>
      <rPr>
        <u/>
        <sz val="11"/>
        <color rgb="FF1155CC"/>
        <rFont val="&quot;맑은 고딕&quot;, monospace"/>
        <charset val="129"/>
      </rPr>
      <t>label.ym@stryker.com</t>
    </r>
  </si>
  <si>
    <t>5CD5062YDZ</t>
  </si>
  <si>
    <t>daniel.lee</t>
  </si>
  <si>
    <t>5CD5062YF5</t>
  </si>
  <si>
    <t>5CD5062YDX</t>
  </si>
  <si>
    <t>CR(장지동)</t>
  </si>
  <si>
    <r>
      <rPr>
        <u/>
        <sz val="11"/>
        <color rgb="FF1155CC"/>
        <rFont val="&quot;맑은 고딕&quot;, monospace"/>
        <charset val="129"/>
      </rPr>
      <t>jinny.park@stryker.com</t>
    </r>
  </si>
  <si>
    <t>5CD5062YF4</t>
  </si>
  <si>
    <t>mason choi</t>
  </si>
  <si>
    <t>5CD5062YDN</t>
  </si>
  <si>
    <t>액정 파손 / Neal kim</t>
  </si>
  <si>
    <t>5CD5062YDG</t>
  </si>
  <si>
    <t>jason kim</t>
  </si>
  <si>
    <t>5CD5062YF8</t>
  </si>
  <si>
    <t>Jung Sol</t>
  </si>
  <si>
    <t>5CD5062YDT</t>
  </si>
  <si>
    <t>chaeyeon chung</t>
  </si>
  <si>
    <t>5CD5062YDH</t>
  </si>
  <si>
    <t>전원 고장/ orderadmin</t>
  </si>
  <si>
    <t>5CD5062YDP</t>
  </si>
  <si>
    <t>lucia park</t>
  </si>
  <si>
    <r>
      <rPr>
        <u/>
        <sz val="11"/>
        <color rgb="FF1155CC"/>
        <rFont val="&quot;맑은 고딕&quot;, monospace"/>
        <charset val="129"/>
      </rPr>
      <t>lucia.park@stryker.com</t>
    </r>
  </si>
  <si>
    <t>5CD5062YDR</t>
  </si>
  <si>
    <t>Yang, Jisoo</t>
  </si>
  <si>
    <t>5CD5062YDL</t>
  </si>
  <si>
    <r>
      <rPr>
        <u/>
        <sz val="11"/>
        <color rgb="FF1155CC"/>
        <rFont val="&quot;맑은 고딕&quot;, monospace"/>
        <charset val="129"/>
      </rPr>
      <t>medsurg.ym@stryker.com</t>
    </r>
  </si>
  <si>
    <t>5CD5062YDM</t>
  </si>
  <si>
    <t>daphne kim</t>
  </si>
  <si>
    <r>
      <rPr>
        <u/>
        <sz val="11"/>
        <color rgb="FF1155CC"/>
        <rFont val="&quot;맑은 고딕&quot;, monospace"/>
        <charset val="129"/>
      </rPr>
      <t>daphne.kim@stryker.com</t>
    </r>
  </si>
  <si>
    <t>5CD5062YDW</t>
  </si>
  <si>
    <t>TS(장지동)</t>
  </si>
  <si>
    <t>ethan jang</t>
  </si>
  <si>
    <r>
      <rPr>
        <u/>
        <sz val="11"/>
        <color rgb="FF1155CC"/>
        <rFont val="&quot;맑은 고딕&quot;, monospace"/>
        <charset val="129"/>
      </rPr>
      <t>ethan.jang@stryker.com</t>
    </r>
  </si>
  <si>
    <t>5CD5062YF1</t>
  </si>
  <si>
    <t>justin kim</t>
  </si>
  <si>
    <r>
      <rPr>
        <u/>
        <sz val="11"/>
        <color rgb="FF1155CC"/>
        <rFont val="&quot;맑은 고딕&quot;, monospace"/>
        <charset val="129"/>
      </rPr>
      <t>justin.kim@stryker.com</t>
    </r>
  </si>
  <si>
    <t>5CD5062YDV</t>
  </si>
  <si>
    <t>andy.kim</t>
  </si>
  <si>
    <t>5CD5062YF7</t>
  </si>
  <si>
    <r>
      <rPr>
        <u/>
        <sz val="11"/>
        <color rgb="FF1155CC"/>
        <rFont val="&quot;맑은 고딕&quot;, monospace"/>
        <charset val="129"/>
      </rPr>
      <t>recon.ym@stryker.com</t>
    </r>
  </si>
  <si>
    <t>5CD5062YF9</t>
  </si>
  <si>
    <r>
      <rPr>
        <u/>
        <sz val="11"/>
        <color rgb="FF1155CC"/>
        <rFont val="&quot;맑은 고딕&quot;, monospace"/>
        <charset val="129"/>
      </rPr>
      <t>stella.hwang@stryker.com</t>
    </r>
  </si>
  <si>
    <t>5CD5062YDD</t>
  </si>
  <si>
    <t>Ian Hwang</t>
  </si>
  <si>
    <t>5CD5062YF2</t>
  </si>
  <si>
    <t>jeong, Gyowon</t>
  </si>
  <si>
    <t>5CD5062YDQ</t>
  </si>
  <si>
    <r>
      <rPr>
        <u/>
        <sz val="11"/>
        <color rgb="FF1155CC"/>
        <rFont val="&quot;맑은 고딕&quot;, monospace"/>
        <charset val="129"/>
      </rPr>
      <t>orderadmin2.ym@stryker.com</t>
    </r>
  </si>
  <si>
    <t>5CD5062YDJ</t>
  </si>
  <si>
    <r>
      <rPr>
        <u/>
        <sz val="11"/>
        <color rgb="FF1155CC"/>
        <rFont val="&quot;맑은 고딕&quot;, monospace"/>
        <charset val="129"/>
      </rPr>
      <t>NV.SKL@stryker.com-1</t>
    </r>
  </si>
  <si>
    <t>5CD5062YDK</t>
  </si>
  <si>
    <t>aaron yoon</t>
  </si>
  <si>
    <t>5CD5062YF3</t>
  </si>
  <si>
    <r>
      <rPr>
        <u/>
        <sz val="11"/>
        <color rgb="FF1155CC"/>
        <rFont val="&quot;맑은 고딕&quot;, monospace"/>
        <charset val="129"/>
      </rPr>
      <t>NV.SKL@stryker.com-2</t>
    </r>
  </si>
  <si>
    <t>5CD5062YF0</t>
  </si>
  <si>
    <t>hannah kim</t>
  </si>
  <si>
    <r>
      <rPr>
        <u/>
        <sz val="11"/>
        <color rgb="FF1155CC"/>
        <rFont val="&quot;맑은 고딕&quot;, monospace"/>
        <charset val="129"/>
      </rPr>
      <t>hannah.kim@stryker.com</t>
    </r>
  </si>
  <si>
    <t>5CD5062YF6</t>
  </si>
  <si>
    <t>Ji Jay</t>
  </si>
  <si>
    <t>5CD5062YDY</t>
  </si>
  <si>
    <t>vincent bae</t>
  </si>
  <si>
    <r>
      <rPr>
        <u/>
        <sz val="11"/>
        <color rgb="FF1155CC"/>
        <rFont val="&quot;맑은 고딕&quot;, monospace"/>
        <charset val="129"/>
      </rPr>
      <t>vincent.bae@stryker.com</t>
    </r>
  </si>
  <si>
    <t>5CD5062YDF</t>
  </si>
  <si>
    <r>
      <rPr>
        <u/>
        <sz val="11"/>
        <color rgb="FF1155CC"/>
        <rFont val="&quot;맑은 고딕&quot;, monospace"/>
        <charset val="129"/>
      </rPr>
      <t>lucas.heo@stryker.com</t>
    </r>
  </si>
  <si>
    <t>5CD5179KHP</t>
  </si>
  <si>
    <t>04/22/25</t>
  </si>
  <si>
    <r>
      <rPr>
        <u/>
        <sz val="11"/>
        <color rgb="FF1155CC"/>
        <rFont val="&quot;맑은 고딕&quot;, monospace"/>
        <charset val="129"/>
      </rPr>
      <t>hailey.song@stryker.com</t>
    </r>
  </si>
  <si>
    <t>5CD5179KJ0</t>
  </si>
  <si>
    <r>
      <rPr>
        <u/>
        <sz val="11"/>
        <color rgb="FF1155CC"/>
        <rFont val="&quot;맑은 고딕&quot;, monospace"/>
        <charset val="129"/>
      </rPr>
      <t>soyeon.park@stryker.com</t>
    </r>
  </si>
  <si>
    <t>5CD5179KH4</t>
  </si>
  <si>
    <r>
      <rPr>
        <u/>
        <sz val="11"/>
        <color rgb="FF1155CC"/>
        <rFont val="&quot;맑은 고딕&quot;, monospace"/>
        <charset val="129"/>
      </rPr>
      <t>sujin.park@stryker.com</t>
    </r>
  </si>
  <si>
    <t>5CD5179KHB</t>
  </si>
  <si>
    <r>
      <rPr>
        <u/>
        <sz val="11"/>
        <color rgb="FF1155CC"/>
        <rFont val="&quot;맑은 고딕&quot;, monospace"/>
        <charset val="129"/>
      </rPr>
      <t>cis2.ym@stryker.com</t>
    </r>
  </si>
  <si>
    <t>5CD5179KJD</t>
  </si>
  <si>
    <r>
      <rPr>
        <u/>
        <sz val="11"/>
        <color rgb="FF1155CC"/>
        <rFont val="&quot;맑은 고딕&quot;, monospace"/>
        <charset val="129"/>
      </rPr>
      <t>cis6.ym@stryker.com</t>
    </r>
  </si>
  <si>
    <t>5CD5179KHV</t>
  </si>
  <si>
    <r>
      <rPr>
        <u/>
        <sz val="11"/>
        <color rgb="FF1155CC"/>
        <rFont val="&quot;맑은 고딕&quot;, monospace"/>
        <charset val="129"/>
      </rPr>
      <t>cis1.ym@stryker.com</t>
    </r>
  </si>
  <si>
    <t>5CD5179KHY</t>
  </si>
  <si>
    <t>5CD5179KJ3</t>
  </si>
  <si>
    <t>5CD5179KJ4</t>
  </si>
  <si>
    <t>Dawn Kim</t>
  </si>
  <si>
    <t>5CD5179KH6</t>
  </si>
  <si>
    <t>5CD5179KHH</t>
  </si>
  <si>
    <t>5CD5179KHZ</t>
  </si>
  <si>
    <t>5CD5179KHJ</t>
  </si>
  <si>
    <t>Kim, Terry</t>
  </si>
  <si>
    <r>
      <rPr>
        <u/>
        <sz val="11"/>
        <color rgb="FF1155CC"/>
        <rFont val="&quot;맑은 고딕&quot;, monospace"/>
        <charset val="129"/>
      </rPr>
      <t>terry.kim@stryker.com</t>
    </r>
  </si>
  <si>
    <t>5CD5179KJ8</t>
  </si>
  <si>
    <r>
      <rPr>
        <u/>
        <sz val="11"/>
        <color rgb="FF1155CC"/>
        <rFont val="&quot;맑은 고딕&quot;, monospace"/>
        <charset val="129"/>
      </rPr>
      <t>neal.kim@stryker.com</t>
    </r>
  </si>
  <si>
    <t>5CD5179KJ1</t>
  </si>
  <si>
    <t>5CD5179KH5</t>
  </si>
  <si>
    <r>
      <rPr>
        <u/>
        <sz val="11"/>
        <color rgb="FF1155CC"/>
        <rFont val="&quot;맑은 고딕&quot;, monospace"/>
        <charset val="129"/>
      </rPr>
      <t>cis7.ym@stryker.com</t>
    </r>
  </si>
  <si>
    <t>5CD5179KH3</t>
  </si>
  <si>
    <t>5CD5179KJ5</t>
  </si>
  <si>
    <r>
      <rPr>
        <u/>
        <sz val="11"/>
        <color rgb="FF1155CC"/>
        <rFont val="&quot;맑은 고딕&quot;, monospace"/>
        <charset val="129"/>
      </rPr>
      <t>cis3.ym@stryker.com</t>
    </r>
  </si>
  <si>
    <t>5CD5179KGZ</t>
  </si>
  <si>
    <t>5CD5179KH1</t>
  </si>
  <si>
    <t>5CD5179KJ7</t>
  </si>
  <si>
    <t>Kim Bomin</t>
  </si>
  <si>
    <r>
      <rPr>
        <u/>
        <sz val="11"/>
        <color rgb="FF1155CC"/>
        <rFont val="&quot;맑은 고딕&quot;, monospace"/>
        <charset val="129"/>
      </rPr>
      <t>Bomin.kim@stryker.com</t>
    </r>
  </si>
  <si>
    <t>5CD5179KHG</t>
  </si>
  <si>
    <t>5CD5179KHC</t>
  </si>
  <si>
    <t>5CD5179KJC</t>
  </si>
  <si>
    <t>5CD5179KH9</t>
  </si>
  <si>
    <t>5CD5179KHW</t>
  </si>
  <si>
    <t>Madsurg</t>
  </si>
  <si>
    <t>Antonio Cho</t>
  </si>
  <si>
    <t>antonio.cho@stryker.com</t>
  </si>
  <si>
    <t>5CD5179KHD</t>
  </si>
  <si>
    <t>Jeong Dahye</t>
  </si>
  <si>
    <r>
      <rPr>
        <u/>
        <sz val="11"/>
        <color rgb="FF1155CC"/>
        <rFont val="&quot;맑은 고딕&quot;, monospace"/>
        <charset val="129"/>
      </rPr>
      <t>dahye.jeong@stryker.com</t>
    </r>
  </si>
  <si>
    <t>5CD5179KHL</t>
  </si>
  <si>
    <t>5CD5179KHX</t>
  </si>
  <si>
    <t>5CD5179KH0</t>
  </si>
  <si>
    <t>구 노트북 미반납</t>
  </si>
  <si>
    <t>5CD5179KJB</t>
  </si>
  <si>
    <r>
      <rPr>
        <u/>
        <sz val="11"/>
        <color rgb="FF1155CC"/>
        <rFont val="&quot;맑은 고딕&quot;, monospace"/>
        <charset val="129"/>
      </rPr>
      <t>rayna.kim@stryker.com</t>
    </r>
  </si>
  <si>
    <t>5CD5179KJ2</t>
  </si>
  <si>
    <t>5CD5179KH2</t>
  </si>
  <si>
    <t>5CD5179KJ6</t>
  </si>
  <si>
    <t>Abdrew.Ahn</t>
  </si>
  <si>
    <t>5CD5179KHS</t>
  </si>
  <si>
    <t>Choi, Kyu</t>
  </si>
  <si>
    <t>5CD5179KHQ</t>
  </si>
  <si>
    <r>
      <rPr>
        <u/>
        <sz val="11"/>
        <color rgb="FF1155CC"/>
        <rFont val="&quot;맑은 고딕&quot;, monospace"/>
        <charset val="129"/>
      </rPr>
      <t>james.kim@stryker.com</t>
    </r>
  </si>
  <si>
    <t>5CD5179KHN</t>
  </si>
  <si>
    <r>
      <rPr>
        <u/>
        <sz val="11"/>
        <color rgb="FF1155CC"/>
        <rFont val="&quot;맑은 고딕&quot;, monospace"/>
        <charset val="129"/>
      </rPr>
      <t>sally.choi@stryker.com</t>
    </r>
  </si>
  <si>
    <t>5CD5179KH8</t>
  </si>
  <si>
    <t>5CD5179KJ9</t>
  </si>
  <si>
    <t>Bryan Park</t>
  </si>
  <si>
    <r>
      <rPr>
        <u/>
        <sz val="11"/>
        <color rgb="FF1155CC"/>
        <rFont val="&quot;맑은 고딕&quot;, monospace"/>
        <charset val="129"/>
      </rPr>
      <t>bryan.park@stryker.com</t>
    </r>
  </si>
  <si>
    <t>5CD5179KHT</t>
  </si>
  <si>
    <r>
      <rPr>
        <u/>
        <sz val="11"/>
        <color rgb="FF1155CC"/>
        <rFont val="&quot;맑은 고딕&quot;, monospace"/>
        <charset val="129"/>
      </rPr>
      <t>kit.ym@stryker.com</t>
    </r>
  </si>
  <si>
    <t>5CD5179KHK</t>
  </si>
  <si>
    <r>
      <rPr>
        <u/>
        <sz val="11"/>
        <color rgb="FF1155CC"/>
        <rFont val="&quot;맑은 고딕&quot;, monospace"/>
        <charset val="129"/>
      </rPr>
      <t>grn.ym@stryker.com</t>
    </r>
  </si>
  <si>
    <t>5CD5179KHF</t>
  </si>
  <si>
    <r>
      <rPr>
        <u/>
        <sz val="11"/>
        <color rgb="FF1155CC"/>
        <rFont val="&quot;맑은 고딕&quot;, monospace"/>
        <charset val="129"/>
      </rPr>
      <t>fixation.ym@stryker.com</t>
    </r>
  </si>
  <si>
    <t>5CD5179KHR</t>
  </si>
  <si>
    <r>
      <rPr>
        <u/>
        <sz val="11"/>
        <color rgb="FF1155CC"/>
        <rFont val="&quot;맑은 고딕&quot;, monospace"/>
        <charset val="129"/>
      </rPr>
      <t>alice.han@stryker.com</t>
    </r>
  </si>
  <si>
    <t>5CD5179KH7</t>
  </si>
  <si>
    <t>Sim Huey</t>
  </si>
  <si>
    <r>
      <rPr>
        <u/>
        <sz val="11"/>
        <color rgb="FF1155CC"/>
        <rFont val="&quot;맑은 고딕&quot;, monospace"/>
        <charset val="129"/>
      </rPr>
      <t>huey.sim@stryker.com</t>
    </r>
  </si>
  <si>
    <t>5CD5179KHM</t>
  </si>
  <si>
    <t>HP EB8 G1i 14</t>
  </si>
  <si>
    <t>5CG53403CW</t>
  </si>
  <si>
    <t>08/30/25</t>
  </si>
  <si>
    <t>5CG53403CX</t>
  </si>
  <si>
    <t>5CG53403CY</t>
  </si>
  <si>
    <t>5CG53403CZ</t>
  </si>
  <si>
    <t>5CG53403D0</t>
  </si>
  <si>
    <t>alicia.bang</t>
  </si>
  <si>
    <t>5CG53403D1</t>
  </si>
  <si>
    <t>5CG53403D2</t>
  </si>
  <si>
    <t>5CG53403D3</t>
  </si>
  <si>
    <t>5CG53403D4</t>
  </si>
  <si>
    <t>JY Park</t>
  </si>
  <si>
    <t>5CG53403D5</t>
  </si>
  <si>
    <t>5CG53403D6</t>
  </si>
  <si>
    <t>5CG53403D7</t>
  </si>
  <si>
    <t>5CG53403D8</t>
  </si>
  <si>
    <t>5CG53403D9</t>
  </si>
  <si>
    <t>5CG53403DB</t>
  </si>
  <si>
    <t>CR</t>
  </si>
  <si>
    <t>5CG53403DC</t>
  </si>
  <si>
    <t>5CG53403DD</t>
  </si>
  <si>
    <t>5CG53403DF</t>
  </si>
  <si>
    <t>5CG53403DG</t>
  </si>
  <si>
    <t>5CG53403DH</t>
  </si>
  <si>
    <t>5CG53403DJ</t>
  </si>
  <si>
    <t>5CG53403DK</t>
  </si>
  <si>
    <t>5CG53403DL</t>
  </si>
  <si>
    <t>5CG53403DM</t>
  </si>
  <si>
    <t>5CG53403DN</t>
  </si>
  <si>
    <t>HP ZBOOK</t>
  </si>
  <si>
    <t>5CD5428PHM</t>
  </si>
  <si>
    <t>10/30/25</t>
  </si>
  <si>
    <t>캐드용으로 / 사무용과 중복 계정</t>
  </si>
  <si>
    <t>Extension</t>
  </si>
  <si>
    <t>LineURI</t>
  </si>
  <si>
    <t>Number formated for Country</t>
  </si>
  <si>
    <t>ID</t>
  </si>
  <si>
    <t>tel:+82234517500</t>
  </si>
  <si>
    <t>=+82 2 3451 7500</t>
  </si>
  <si>
    <t>대표번호 할당 불가</t>
  </si>
  <si>
    <t>tel:+82234517501</t>
  </si>
  <si>
    <t>=+82 2 3451 7501</t>
  </si>
  <si>
    <t>tel:+82234517502</t>
  </si>
  <si>
    <t>=+82 2 3451 7502</t>
  </si>
  <si>
    <t>tel:+82234517503</t>
  </si>
  <si>
    <t>=+82 2 3451 7503</t>
  </si>
  <si>
    <t>hr.sklasem@stryker.com</t>
  </si>
  <si>
    <t>tel:+82234517504</t>
  </si>
  <si>
    <t>=+82 2 3451 7504</t>
  </si>
  <si>
    <t>leadership.sklasem@stryker.com</t>
  </si>
  <si>
    <t>tel:+82234517505</t>
  </si>
  <si>
    <t>=+82 2 3451 7505</t>
  </si>
  <si>
    <t>mahwah.sklasem@stryker.com</t>
  </si>
  <si>
    <t>tel:+82234517506</t>
  </si>
  <si>
    <t>=+82 2 3451 7506</t>
  </si>
  <si>
    <t>mako.sklasem@stryker.com</t>
  </si>
  <si>
    <t>tel:+82234517507</t>
  </si>
  <si>
    <t>=+82 2 3451 7507</t>
  </si>
  <si>
    <t>nv.sklasem@stryker.com</t>
  </si>
  <si>
    <t>tel:+82234517508</t>
  </si>
  <si>
    <t>=+82 2 3451 7508</t>
  </si>
  <si>
    <t>raqa.sklasem@stryker.com</t>
  </si>
  <si>
    <t>tel:+82234517509</t>
  </si>
  <si>
    <t>=+82 2 3451 7509</t>
  </si>
  <si>
    <t>target.sklasem@stryker.com</t>
  </si>
  <si>
    <t>tel:+82234517510</t>
  </si>
  <si>
    <t>=+82 2 3451 7510</t>
  </si>
  <si>
    <t>drsouthkorea.teams@stryker.com</t>
  </si>
  <si>
    <t>tel:+82234517511</t>
  </si>
  <si>
    <t>=+82 2 3451 7511</t>
  </si>
  <si>
    <t>tel:+82234517512</t>
  </si>
  <si>
    <t>=+82 2 3451 7512</t>
  </si>
  <si>
    <t>tel:+82234517513</t>
  </si>
  <si>
    <t>=+82 2 3451 7513</t>
  </si>
  <si>
    <t>tel:+82234517514</t>
  </si>
  <si>
    <t>=+82 2 3451 7514</t>
  </si>
  <si>
    <t>triathlon.sklasem@stryker.com</t>
  </si>
  <si>
    <t>tel:+82234517515</t>
  </si>
  <si>
    <t>=+82 2 3451 7515</t>
  </si>
  <si>
    <t>tel:+82234517516</t>
  </si>
  <si>
    <t>=+82 2 3451 7516</t>
  </si>
  <si>
    <t>tel:+82234517517</t>
  </si>
  <si>
    <t>=+82 2 3451 7517</t>
  </si>
  <si>
    <t>tel:+82234517518</t>
  </si>
  <si>
    <t>=+82 2 3451 7518</t>
  </si>
  <si>
    <t>kita.ym@stryker.com</t>
  </si>
  <si>
    <t>용마 키트 Admin</t>
  </si>
  <si>
    <t>tel:+82234517519</t>
  </si>
  <si>
    <t>=+82 2 3451 7519</t>
  </si>
  <si>
    <t>tel:+82234517520</t>
  </si>
  <si>
    <t>=+82 2 3451 7520</t>
  </si>
  <si>
    <t>tel:+82234517521</t>
  </si>
  <si>
    <t>=+82 2 3451 7521</t>
  </si>
  <si>
    <t>tel:+82234517522</t>
  </si>
  <si>
    <t>=+82 2 3451 7522</t>
  </si>
  <si>
    <t>tel:+82234517523</t>
  </si>
  <si>
    <t>=+82 2 3451 7523</t>
  </si>
  <si>
    <t>tel:+82234517524</t>
  </si>
  <si>
    <t>=+82 2 3451 7524</t>
  </si>
  <si>
    <t>leslie.kim@stryker.com</t>
  </si>
  <si>
    <t>tel:+82234517525</t>
  </si>
  <si>
    <t>=+82 2 3451 7525</t>
  </si>
  <si>
    <t>tel:+82234517526</t>
  </si>
  <si>
    <t>=+82 2 3451 7526</t>
  </si>
  <si>
    <t>tel:+82234517527</t>
  </si>
  <si>
    <t>=+82 2 3451 7527</t>
  </si>
  <si>
    <t>tel:+82234517528</t>
  </si>
  <si>
    <t>=+82 2 3451 7528</t>
  </si>
  <si>
    <t>tel:+82234517529</t>
  </si>
  <si>
    <t>=+82 2 3451 7529</t>
  </si>
  <si>
    <t>tel:+82234517530</t>
  </si>
  <si>
    <t>=+82 2 3451 7530</t>
  </si>
  <si>
    <t>tel:+82234517531</t>
  </si>
  <si>
    <t>=+82 2 3451 7531</t>
  </si>
  <si>
    <t>tel:+82234517532</t>
  </si>
  <si>
    <t>=+82 2 3451 7532</t>
  </si>
  <si>
    <t>tel:+82234517533</t>
  </si>
  <si>
    <t>=+82 2 3451 7533</t>
  </si>
  <si>
    <t>david.yang@stryker.com</t>
  </si>
  <si>
    <t>tel:+82234517534</t>
  </si>
  <si>
    <t>=+82 2 3451 7534</t>
  </si>
  <si>
    <t>Shoulder KLT 사용하던 것</t>
  </si>
  <si>
    <t>tel:+82234517535</t>
  </si>
  <si>
    <t>=+82 2 3451 7535</t>
  </si>
  <si>
    <t>tel:+82234517536</t>
  </si>
  <si>
    <t>=+82 2 3451 7536</t>
  </si>
  <si>
    <t>tel:+82234517537</t>
  </si>
  <si>
    <t>=+82 2 3451 7537</t>
  </si>
  <si>
    <t>tel:+82234517538</t>
  </si>
  <si>
    <t>=+82 2 3451 7538</t>
  </si>
  <si>
    <t>Elin KIM / knee 사용</t>
  </si>
  <si>
    <t>tel:+82234517539</t>
  </si>
  <si>
    <t>=+82 2 3451 7539</t>
  </si>
  <si>
    <t>Legal KLT 사용하던 것</t>
  </si>
  <si>
    <t>tel:+82234517540</t>
  </si>
  <si>
    <t>=+82 2 3451 7540</t>
  </si>
  <si>
    <t>tel:+82234517541</t>
  </si>
  <si>
    <t>=+82 2 3451 7541</t>
  </si>
  <si>
    <t>tel:+82234517542</t>
  </si>
  <si>
    <t>=+82 2 3451 7542</t>
  </si>
  <si>
    <t>tel:+82234517543</t>
  </si>
  <si>
    <t>=+82 2 3451 7543</t>
  </si>
  <si>
    <t>tel:+82234517544</t>
  </si>
  <si>
    <t>=+82 2 3451 7544</t>
  </si>
  <si>
    <t>tel:+82234517545</t>
  </si>
  <si>
    <t>=+82 2 3451 7545</t>
  </si>
  <si>
    <t>tel:+82234517546</t>
  </si>
  <si>
    <t>=+82 2 3451 7546</t>
  </si>
  <si>
    <t>tel:+82234517547</t>
  </si>
  <si>
    <t>=+82 2 3451 7547</t>
  </si>
  <si>
    <t>jeff.lee@stryker.com</t>
  </si>
  <si>
    <t>tel:+82234517548</t>
  </si>
  <si>
    <t>=+82 2 3451 7548</t>
  </si>
  <si>
    <t>gregory.seo@stryker.com</t>
  </si>
  <si>
    <t>tel:+82234517549</t>
  </si>
  <si>
    <t>=+82 2 3451 7549</t>
  </si>
  <si>
    <t>bruce.cha@stryker.com</t>
  </si>
  <si>
    <t>tel:+82234517550</t>
  </si>
  <si>
    <t>=+82 2 3451 7550</t>
  </si>
  <si>
    <t>tel:+82234517551</t>
  </si>
  <si>
    <t>=+82 2 3451 7551</t>
  </si>
  <si>
    <t>tel:+82234517552</t>
  </si>
  <si>
    <t>=+82 2 3451 7552</t>
  </si>
  <si>
    <t>tel:+82234517553</t>
  </si>
  <si>
    <t>=+82 2 3451 7553</t>
  </si>
  <si>
    <t>tel:+82234517554</t>
  </si>
  <si>
    <t>=+82 2 3451 7554</t>
  </si>
  <si>
    <t>Sales/tony.kang@stryker.com</t>
  </si>
  <si>
    <t>tel:+82234517555</t>
  </si>
  <si>
    <t>=+82 2 3451 7555</t>
  </si>
  <si>
    <t>tel:+82234517556</t>
  </si>
  <si>
    <t>=+82 2 3451 7556</t>
  </si>
  <si>
    <t>tel:+82234517557</t>
  </si>
  <si>
    <t>=+82 2 3451 7557</t>
  </si>
  <si>
    <t>willy.chang@stryker.com</t>
  </si>
  <si>
    <t>tel:+82234517558</t>
  </si>
  <si>
    <t>=+82 2 3451 7558</t>
  </si>
  <si>
    <t>justin.kim@stryker.com</t>
  </si>
  <si>
    <t>tel:+82234517559</t>
  </si>
  <si>
    <t>=+82 2 3451 7559</t>
  </si>
  <si>
    <t>tel:+82234517560</t>
  </si>
  <si>
    <t>=+82 2 3451 7560</t>
  </si>
  <si>
    <t>tel:+82234517561</t>
  </si>
  <si>
    <t>=+82 2 3451 7561</t>
  </si>
  <si>
    <t>Bella.yoon@stryker.com</t>
  </si>
  <si>
    <t>tel:+82234517562</t>
  </si>
  <si>
    <t>=+82 2 3451 7562</t>
  </si>
  <si>
    <t>tel:+82234517563</t>
  </si>
  <si>
    <t>=+82 2 3451 7563</t>
  </si>
  <si>
    <t>tel:+82234517564</t>
  </si>
  <si>
    <t>=+82 2 3451 7564</t>
  </si>
  <si>
    <t>tel:+82234517565</t>
  </si>
  <si>
    <t>=+82 2 3451 7565</t>
  </si>
  <si>
    <t>Sales Manager / william.chai@stryker.com</t>
  </si>
  <si>
    <t>tel:+82234517566</t>
  </si>
  <si>
    <t>=+82 2 3451 7566</t>
  </si>
  <si>
    <t>tel:+82234517567</t>
  </si>
  <si>
    <t>=+82 2 3451 7567</t>
  </si>
  <si>
    <t>tel:+82234517568</t>
  </si>
  <si>
    <t>=+82 2 3451 7568</t>
  </si>
  <si>
    <t>tel:+82234517569</t>
  </si>
  <si>
    <t>=+82 2 3451 7569</t>
  </si>
  <si>
    <t>tel:+82234517570</t>
  </si>
  <si>
    <t>=+82 2 3451 7570</t>
  </si>
  <si>
    <t>james.kang@stryker.com</t>
  </si>
  <si>
    <t>tel:+82234517571</t>
  </si>
  <si>
    <t>=+82 2 3451 7571</t>
  </si>
  <si>
    <t>tel:+82234517572</t>
  </si>
  <si>
    <t>=+82 2 3451 7572</t>
  </si>
  <si>
    <t>tel:+82234517573</t>
  </si>
  <si>
    <t>=+82 2 3451 7573</t>
  </si>
  <si>
    <t>tel:+82234517574</t>
  </si>
  <si>
    <t>=+82 2 3451 7574</t>
  </si>
  <si>
    <t>tel:+82234517575</t>
  </si>
  <si>
    <t>=+82 2 3451 7575</t>
  </si>
  <si>
    <t>tel:+82234517576</t>
  </si>
  <si>
    <t>=+82 2 3451 7576</t>
  </si>
  <si>
    <t>tel:+82234517577</t>
  </si>
  <si>
    <t>=+82 2 3451 7577</t>
  </si>
  <si>
    <t>tel:+82234517578</t>
  </si>
  <si>
    <t>=+82 2 3451 7578</t>
  </si>
  <si>
    <t>tel:+82234517579</t>
  </si>
  <si>
    <t>=+82 2 3451 7579</t>
  </si>
  <si>
    <t>tel:+82234517580</t>
  </si>
  <si>
    <t>=+82 2 3451 7580</t>
  </si>
  <si>
    <t>tel:+82234517581</t>
  </si>
  <si>
    <t>=+82 2 3451 7581</t>
  </si>
  <si>
    <t>tel:+82234517582</t>
  </si>
  <si>
    <t>=+82 2 3451 7582</t>
  </si>
  <si>
    <t>tel:+82234517583</t>
  </si>
  <si>
    <t>=+82 2 3451 7583</t>
  </si>
  <si>
    <t>tel:+82234517584</t>
  </si>
  <si>
    <t>=+82 2 3451 7584</t>
  </si>
  <si>
    <t>tel:+82234517585</t>
  </si>
  <si>
    <t>=+82 2 3451 7585</t>
  </si>
  <si>
    <t>tel:+82234517586</t>
  </si>
  <si>
    <t>=+82 2 3451 7586</t>
  </si>
  <si>
    <t>tel:+82234517587</t>
  </si>
  <si>
    <t>=+82 2 3451 7587</t>
  </si>
  <si>
    <t>tel:+82234517588</t>
  </si>
  <si>
    <t>=+82 2 3451 7588</t>
  </si>
  <si>
    <t>tel:+82234517589</t>
  </si>
  <si>
    <t>=+82 2 3451 7589</t>
  </si>
  <si>
    <t>tel:+82234517590</t>
  </si>
  <si>
    <t>=+82 2 3451 7590</t>
  </si>
  <si>
    <t>tel:+82234517591</t>
  </si>
  <si>
    <t>=+82 2 3451 7591</t>
  </si>
  <si>
    <t>tel:+82234517592</t>
  </si>
  <si>
    <t>=+82 2 3451 7592</t>
  </si>
  <si>
    <t>simon.sin@stryker.com</t>
  </si>
  <si>
    <t>tel:+82234517593</t>
  </si>
  <si>
    <t>=+82 2 3451 7593</t>
  </si>
  <si>
    <t>tel:+82234517594</t>
  </si>
  <si>
    <t>=+82 2 3451 7594</t>
  </si>
  <si>
    <t>tel:+82234517595</t>
  </si>
  <si>
    <t>=+82 2 3451 7595</t>
  </si>
  <si>
    <t>tel:+82234517596</t>
  </si>
  <si>
    <t>=+82 2 3451 7596</t>
  </si>
  <si>
    <t>tel:+82234517597</t>
  </si>
  <si>
    <t>=+82 2 3451 7597</t>
  </si>
  <si>
    <t>tel:+82234517598</t>
  </si>
  <si>
    <t>=+82 2 3451 7598</t>
  </si>
  <si>
    <t>suhyun.kim@stryker.com</t>
  </si>
  <si>
    <t>tel:+82234517599</t>
  </si>
  <si>
    <t>=+82 2 3451 7599</t>
  </si>
  <si>
    <t>Medsurg / harim shin 사용하던것</t>
  </si>
  <si>
    <t>tel:+82234517600</t>
  </si>
  <si>
    <t>=+82 2 3451 7600</t>
  </si>
  <si>
    <t>tel:+82234517601</t>
  </si>
  <si>
    <t>=+82 2 3451 7601</t>
  </si>
  <si>
    <t>tel:+82234517602</t>
  </si>
  <si>
    <t>=+82 2 3451 7602</t>
  </si>
  <si>
    <t>Medsurg / shin yoojin shin 사용하던것</t>
  </si>
  <si>
    <t>tel:+82234517603</t>
  </si>
  <si>
    <t>=+82 2 3451 7603</t>
  </si>
  <si>
    <t>tel:+82234517604</t>
  </si>
  <si>
    <t>=+82 2 3451 7604</t>
  </si>
  <si>
    <t>tel:+82234517605</t>
  </si>
  <si>
    <t>=+82 2 3451 7605</t>
  </si>
  <si>
    <t>Jenny.jung@stryker.com</t>
  </si>
  <si>
    <t>tel:+82234517606</t>
  </si>
  <si>
    <t>=+82 2 3451 7606</t>
  </si>
  <si>
    <t>tel:+82234517607</t>
  </si>
  <si>
    <t>=+82 2 3451 7607</t>
  </si>
  <si>
    <t>tel:+82234517608</t>
  </si>
  <si>
    <t>=+82 2 3451 7608</t>
  </si>
  <si>
    <t>tel:+82234517609</t>
  </si>
  <si>
    <t>=+82 2 3451 7609</t>
  </si>
  <si>
    <t>tel:+82234517610</t>
  </si>
  <si>
    <t>=+82 2 3451 7610</t>
  </si>
  <si>
    <t>tel:+82234517611</t>
  </si>
  <si>
    <t>=+82 2 3451 7611</t>
  </si>
  <si>
    <t>nathan.eom@stryker.com</t>
  </si>
  <si>
    <t>tel:+82234517612</t>
  </si>
  <si>
    <t>=+82 2 3451 7612</t>
  </si>
  <si>
    <t>tel:+82234517613</t>
  </si>
  <si>
    <t>=+82 2 3451 7613</t>
  </si>
  <si>
    <t>tel:+82234517614</t>
  </si>
  <si>
    <t>=+82 2 3451 7614</t>
  </si>
  <si>
    <t>tel:+82234517615</t>
  </si>
  <si>
    <t>=+82 2 3451 7615</t>
  </si>
  <si>
    <t>tel:+82234517616</t>
  </si>
  <si>
    <t>=+82 2 3451 7616</t>
  </si>
  <si>
    <t>tel:+82234517617</t>
  </si>
  <si>
    <t>=+82 2 3451 7617</t>
  </si>
  <si>
    <t>tel:+82234517618</t>
  </si>
  <si>
    <t>=+82 2 3451 7618</t>
  </si>
  <si>
    <t>tel:+82234517619</t>
  </si>
  <si>
    <t>=+82 2 3451 7619</t>
  </si>
  <si>
    <t>tel:+82234517620</t>
  </si>
  <si>
    <t>=+82 2 3451 7620</t>
  </si>
  <si>
    <t>tel:+82234517621</t>
  </si>
  <si>
    <t>=+82 2 3451 7621</t>
  </si>
  <si>
    <t>Medsurg / jayden shin 사용하던것</t>
  </si>
  <si>
    <t>tel:+82234517622</t>
  </si>
  <si>
    <t>=+82 2 3451 7622</t>
  </si>
  <si>
    <t>tel:+82234517623</t>
  </si>
  <si>
    <t>=+82 2 3451 7623</t>
  </si>
  <si>
    <t>tel:+82234517624</t>
  </si>
  <si>
    <t>=+82 2 3451 7624</t>
  </si>
  <si>
    <t>tel:+82234517625</t>
  </si>
  <si>
    <t>=+82 2 3451 7625</t>
  </si>
  <si>
    <t>tel:+82234517626</t>
  </si>
  <si>
    <t>=+82 2 3451 7626</t>
  </si>
  <si>
    <t>daeun.kim@stryker.com</t>
  </si>
  <si>
    <t>tel:+82234517627</t>
  </si>
  <si>
    <t>=+82 2 3451 7627</t>
  </si>
  <si>
    <t>tel:+82234517628</t>
  </si>
  <si>
    <t>=+82 2 3451 7628</t>
  </si>
  <si>
    <t>tel:+82234517629</t>
  </si>
  <si>
    <t>=+82 2 3451 7629</t>
  </si>
  <si>
    <t>Medsurg / johnny choi 사용하던것</t>
  </si>
  <si>
    <t>tel:+82234517630</t>
  </si>
  <si>
    <t>=+82 2 3451 7630</t>
  </si>
  <si>
    <t>tel:+82234517631</t>
  </si>
  <si>
    <t>=+82 2 3451 7631</t>
  </si>
  <si>
    <t>tel:+82234517632</t>
  </si>
  <si>
    <t>=+82 2 3451 7632</t>
  </si>
  <si>
    <t>tel:+82234517633</t>
  </si>
  <si>
    <t>=+82 2 3451 7633</t>
  </si>
  <si>
    <t>tel:+82234517634</t>
  </si>
  <si>
    <t>=+82 2 3451 7634</t>
  </si>
  <si>
    <t>tel:+82234517635</t>
  </si>
  <si>
    <t>=+82 2 3451 7635</t>
  </si>
  <si>
    <t>tel:+82234517636</t>
  </si>
  <si>
    <t>=+82 2 3451 7636</t>
  </si>
  <si>
    <t>tel:+82234517637</t>
  </si>
  <si>
    <t>=+82 2 3451 7637</t>
  </si>
  <si>
    <t>tel:+82234517638</t>
  </si>
  <si>
    <t>=+82 2 3451 7638</t>
  </si>
  <si>
    <t>tel:+82234517639</t>
  </si>
  <si>
    <t>=+82 2 3451 7639</t>
  </si>
  <si>
    <t>tel:+82234517640</t>
  </si>
  <si>
    <t>=+82 2 3451 7640</t>
  </si>
  <si>
    <t>tel:+82234517641</t>
  </si>
  <si>
    <t>=+82 2 3451 7641</t>
  </si>
  <si>
    <t>cs / donna.park@stryker.com</t>
  </si>
  <si>
    <t>tel:+82234517642</t>
  </si>
  <si>
    <t>=+82 2 3451 7642</t>
  </si>
  <si>
    <t>tel:+82234517643</t>
  </si>
  <si>
    <t>=+82 2 3451 7643</t>
  </si>
  <si>
    <t>tel:+82234517644</t>
  </si>
  <si>
    <t>=+82 2 3451 7644</t>
  </si>
  <si>
    <t>tel:+82234517645</t>
  </si>
  <si>
    <t>=+82 2 3451 7645</t>
  </si>
  <si>
    <t>tel:+82234517646</t>
  </si>
  <si>
    <t>=+82 2 3451 7646</t>
  </si>
  <si>
    <t>tel:+82234517647</t>
  </si>
  <si>
    <t>=+82 2 3451 7647</t>
  </si>
  <si>
    <t>tel:+82234517648</t>
  </si>
  <si>
    <t>=+82 2 3451 7648</t>
  </si>
  <si>
    <t>tel:+82234517649</t>
  </si>
  <si>
    <t>=+82 2 3451 7649</t>
  </si>
  <si>
    <t>tel:+82234517650</t>
  </si>
  <si>
    <t>=+82 2 3451 7650</t>
  </si>
  <si>
    <t>tel:+82234517651</t>
  </si>
  <si>
    <t>=+82 2 3451 7651</t>
  </si>
  <si>
    <t>tel:+82234517652</t>
  </si>
  <si>
    <t>=+82 2 3451 7652</t>
  </si>
  <si>
    <t>이전 사용자 파이넨스 부서 chaerin님</t>
  </si>
  <si>
    <t>tel:+82234517653</t>
  </si>
  <si>
    <t>=+82 2 3451 7653</t>
  </si>
  <si>
    <t>tel:+82234517654</t>
  </si>
  <si>
    <t>=+82 2 3451 7654</t>
  </si>
  <si>
    <t>amy.chung@stryker.com</t>
  </si>
  <si>
    <t>tel:+82234517655</t>
  </si>
  <si>
    <t>=+82 2 3451 7655</t>
  </si>
  <si>
    <t>tel:+82234517656</t>
  </si>
  <si>
    <t>=+82 2 3451 7656</t>
  </si>
  <si>
    <t>tel:+82234517657</t>
  </si>
  <si>
    <t>=+82 2 3451 7657</t>
  </si>
  <si>
    <t>tel:+82234517658</t>
  </si>
  <si>
    <t>=+82 2 3451 7658</t>
  </si>
  <si>
    <t>tel:+82234517659</t>
  </si>
  <si>
    <t>=+82 2 3451 7659</t>
  </si>
  <si>
    <t>tel:+82234517660</t>
  </si>
  <si>
    <t>=+82 2 3451 7660</t>
  </si>
  <si>
    <t>tel:+82234517661</t>
  </si>
  <si>
    <t>=+82 2 3451 7661</t>
  </si>
  <si>
    <t>tel:+82234517662</t>
  </si>
  <si>
    <t>=+82 2 3451 7662</t>
  </si>
  <si>
    <t>tel:+82234517663</t>
  </si>
  <si>
    <t>=+82 2 3451 7663</t>
  </si>
  <si>
    <t>tel:+82234517664</t>
  </si>
  <si>
    <t>=+82 2 3451 7664</t>
  </si>
  <si>
    <t>tel:+82234517665</t>
  </si>
  <si>
    <t>=+82 2 3451 7665</t>
  </si>
  <si>
    <t>tel:+82234517666</t>
  </si>
  <si>
    <t>=+82 2 3451 7666</t>
  </si>
  <si>
    <t>tel:+82234517667</t>
  </si>
  <si>
    <t>=+82 2 3451 7667</t>
  </si>
  <si>
    <t>huey.sim@stryker.com</t>
  </si>
  <si>
    <t>tel:+82234517668</t>
  </si>
  <si>
    <t>=+82 2 3451 7668</t>
  </si>
  <si>
    <t>tel:+82234517669</t>
  </si>
  <si>
    <t>=+82 2 3451 7669</t>
  </si>
  <si>
    <t>tel:+82234517670</t>
  </si>
  <si>
    <t>=+82 2 3451 7670</t>
  </si>
  <si>
    <t>hr_korea_aa@stryker.onmicrosoft.com</t>
  </si>
  <si>
    <t>tel:+82234517671</t>
  </si>
  <si>
    <t>=+82 2 3451 7671</t>
  </si>
  <si>
    <t>tel:+82234517672</t>
  </si>
  <si>
    <t>=+82 2 3451 7672</t>
  </si>
  <si>
    <t>tel:+82234517673</t>
  </si>
  <si>
    <t>=+82 2 3451 7673</t>
  </si>
  <si>
    <t>tel:+82234517674</t>
  </si>
  <si>
    <t>=+82 2 3451 7674</t>
  </si>
  <si>
    <t>tel:+82234517675</t>
  </si>
  <si>
    <t>=+82 2 3451 7675</t>
  </si>
  <si>
    <t>ts.sklasem@stryker.com</t>
  </si>
  <si>
    <t>tel:+82234517676</t>
  </si>
  <si>
    <t>=+82 2 3451 7676</t>
  </si>
  <si>
    <t>sue.kim@stryker.com</t>
  </si>
  <si>
    <t>tel:+82234517677</t>
  </si>
  <si>
    <t>=+82 2 3451 7677</t>
  </si>
  <si>
    <t>Senior IT Support Analyst</t>
  </si>
  <si>
    <t>tel:+82234517678</t>
  </si>
  <si>
    <t>=+82 2 3451 7678</t>
  </si>
  <si>
    <t>tel:+82234517679</t>
  </si>
  <si>
    <t>=+82 2 3451 7679</t>
  </si>
  <si>
    <t>tel:+82234517680</t>
  </si>
  <si>
    <t>=+82 2 3451 7680</t>
  </si>
  <si>
    <t>rayna.kim@stryker.com</t>
  </si>
  <si>
    <t>tel:+82234517681</t>
  </si>
  <si>
    <t>=+82 2 3451 7681</t>
  </si>
  <si>
    <t>tel:+82234517682</t>
  </si>
  <si>
    <t>=+82 2 3451 7682</t>
  </si>
  <si>
    <t>tel:+82234517683</t>
  </si>
  <si>
    <t>=+82 2 3451 7683</t>
  </si>
  <si>
    <t>tel:+82234517684</t>
  </si>
  <si>
    <t>=+82 2 3451 7684</t>
  </si>
  <si>
    <t>tel:+82234517685</t>
  </si>
  <si>
    <t>=+82 2 3451 7685</t>
  </si>
  <si>
    <t>tel:+82234517686</t>
  </si>
  <si>
    <t>=+82 2 3451 7686</t>
  </si>
  <si>
    <t>tel:+82234517687</t>
  </si>
  <si>
    <t>=+82 2 3451 7687</t>
  </si>
  <si>
    <t>tel:+82234517688</t>
  </si>
  <si>
    <t>=+82 2 3451 7688</t>
  </si>
  <si>
    <t>tel:+82234517689</t>
  </si>
  <si>
    <t>=+82 2 3451 7689</t>
  </si>
  <si>
    <t>tel:+82234517690</t>
  </si>
  <si>
    <t>=+82 2 3451 7690</t>
  </si>
  <si>
    <t>tel:+82234517691</t>
  </si>
  <si>
    <t>=+82 2 3451 7691</t>
  </si>
  <si>
    <t>tel:+82234517692</t>
  </si>
  <si>
    <t>=+82 2 3451 7692</t>
  </si>
  <si>
    <t>tel:+82234517693</t>
  </si>
  <si>
    <t>=+82 2 3451 7693</t>
  </si>
  <si>
    <t>RAQA julie.son 사용하던 것</t>
  </si>
  <si>
    <t>tel:+82234517694</t>
  </si>
  <si>
    <t>=+82 2 3451 7694</t>
  </si>
  <si>
    <t>tel:+82234517695</t>
  </si>
  <si>
    <t>=+82 2 3451 7695</t>
  </si>
  <si>
    <t>tel:+82234517696</t>
  </si>
  <si>
    <t>=+82 2 3451 7696</t>
  </si>
  <si>
    <t>tel:+82234517697</t>
  </si>
  <si>
    <t>=+82 2 3451 7697</t>
  </si>
  <si>
    <t>tel:+82234517698</t>
  </si>
  <si>
    <t>=+82 2 3451 7698</t>
  </si>
  <si>
    <t>tel:+82234517699</t>
  </si>
  <si>
    <t>=+82 2 3451 7699</t>
  </si>
  <si>
    <t>개수</t>
  </si>
  <si>
    <t>Date</t>
  </si>
  <si>
    <t>전화 번호</t>
  </si>
  <si>
    <t>애플펜슬 2세대</t>
  </si>
  <si>
    <t>Role</t>
  </si>
  <si>
    <t>해지유무</t>
  </si>
  <si>
    <t>참고</t>
  </si>
  <si>
    <t>iPAD_Pro_12.9_Gen3_64</t>
  </si>
  <si>
    <t>DLXZX04QKC5Q</t>
  </si>
  <si>
    <t>010-4352-6949</t>
  </si>
  <si>
    <t>Johnny Choi 반납 / 펜슬 미반납</t>
  </si>
  <si>
    <t>해지완료</t>
  </si>
  <si>
    <t>2025.03.19 재약정 / 위약금 발생</t>
  </si>
  <si>
    <t>iPAD_Air_Gen5_256</t>
  </si>
  <si>
    <t>KG27H3Q1J1</t>
  </si>
  <si>
    <t>010-6681-6949</t>
  </si>
  <si>
    <t>KLT</t>
  </si>
  <si>
    <t>2025.03.19 재약정</t>
  </si>
  <si>
    <t>DLXCC00MKC43</t>
  </si>
  <si>
    <t>010-9984-6182</t>
  </si>
  <si>
    <t>DLXCC0M0KC43</t>
  </si>
  <si>
    <t>해지 완료</t>
  </si>
  <si>
    <t>IPADP4_11-128</t>
  </si>
  <si>
    <t>FQ29PC2NKJ</t>
  </si>
  <si>
    <t>010-6878-0164</t>
  </si>
  <si>
    <t>Spare</t>
  </si>
  <si>
    <t>TESTing by Jun</t>
  </si>
  <si>
    <t>K9J441WF9W</t>
  </si>
  <si>
    <t>010-6878-0172</t>
  </si>
  <si>
    <t>Sujin park</t>
  </si>
  <si>
    <r>
      <rPr>
        <u/>
        <sz val="11"/>
        <color rgb="FF1155CC"/>
        <rFont val="&quot;맑은 고딕&quot;, monospace"/>
        <charset val="129"/>
      </rPr>
      <t>sujin.park@stryker.com</t>
    </r>
  </si>
  <si>
    <t>J1XWPW66YY</t>
  </si>
  <si>
    <t>Kale Lee</t>
  </si>
  <si>
    <r>
      <rPr>
        <u/>
        <sz val="11"/>
        <color rgb="FF1155CC"/>
        <rFont val="&quot;맑은 고딕&quot;, monospace"/>
        <charset val="129"/>
      </rPr>
      <t>kale.lee@stryker.com</t>
    </r>
  </si>
  <si>
    <t>CK7JHKH443</t>
  </si>
  <si>
    <t>010-6878-0256</t>
  </si>
  <si>
    <t>stock</t>
  </si>
  <si>
    <t>수리완료
오른쪽 라인 터치 안됨</t>
  </si>
  <si>
    <t>G9YWDFP14H</t>
  </si>
  <si>
    <t>010-6878-0276</t>
  </si>
  <si>
    <t>HL7Q0T6MHW</t>
  </si>
  <si>
    <t>010-6878-0299</t>
  </si>
  <si>
    <t>Vincent Bea</t>
  </si>
  <si>
    <r>
      <rPr>
        <u/>
        <sz val="11"/>
        <color rgb="FF1155CC"/>
        <rFont val="&quot;맑은 고딕&quot;, monospace"/>
        <charset val="129"/>
      </rPr>
      <t>vincent.bae@stryker.com</t>
    </r>
  </si>
  <si>
    <t>J2Y7TQ0Y79</t>
  </si>
  <si>
    <t>010-6878-0340</t>
  </si>
  <si>
    <t>Tony Kang 쓰던거
IPAD부족할때 사용</t>
  </si>
  <si>
    <t>MP2C9F46FN</t>
  </si>
  <si>
    <t>010-6878-0446</t>
  </si>
  <si>
    <t>J9157FQXYM</t>
  </si>
  <si>
    <t>010-6878-0449</t>
  </si>
  <si>
    <t>D50QVTWX76</t>
  </si>
  <si>
    <t>010-6878-0457</t>
  </si>
  <si>
    <t>GXDWV9GT62</t>
  </si>
  <si>
    <t>010-6878-0458</t>
  </si>
  <si>
    <t>david oh</t>
  </si>
  <si>
    <r>
      <rPr>
        <u/>
        <sz val="11"/>
        <color rgb="FF1155CC"/>
        <rFont val="&quot;맑은 고딕&quot;, monospace"/>
        <charset val="129"/>
      </rPr>
      <t>david.oh@stryker.com</t>
    </r>
  </si>
  <si>
    <t>G09WDG49T4</t>
  </si>
  <si>
    <t>010-6878-0459</t>
  </si>
  <si>
    <t>Sol jung</t>
  </si>
  <si>
    <t>M9CN2VYJ46</t>
  </si>
  <si>
    <t>010-6878-0463</t>
  </si>
  <si>
    <t>C14X1226DV</t>
  </si>
  <si>
    <t>010-6878-0464</t>
  </si>
  <si>
    <t>TRW5JJG7JP</t>
  </si>
  <si>
    <t>010-6878-0465</t>
  </si>
  <si>
    <t>J6YXV33LDP</t>
  </si>
  <si>
    <t>010-6878-0359</t>
  </si>
  <si>
    <t>KJ44CP93XQ</t>
  </si>
  <si>
    <t>010-6878-0381</t>
  </si>
  <si>
    <t>HW21HF1YCH</t>
  </si>
  <si>
    <t>010-6878-0382</t>
  </si>
  <si>
    <t>MA</t>
  </si>
  <si>
    <t>KXDGGF9C90</t>
  </si>
  <si>
    <t>010-6878-0389</t>
  </si>
  <si>
    <t>Medusrg</t>
  </si>
  <si>
    <t>HC0FP2JHG7</t>
  </si>
  <si>
    <t>010-6878-0392</t>
  </si>
  <si>
    <t>DG3XL2W5VX</t>
  </si>
  <si>
    <t>010-6878-0394</t>
  </si>
  <si>
    <t>C19HH7PP2V</t>
  </si>
  <si>
    <t>010-6878-0395</t>
  </si>
  <si>
    <t>KVKXR477HX</t>
  </si>
  <si>
    <t>010-6878-0398</t>
  </si>
  <si>
    <t>william chai 사용한것</t>
  </si>
  <si>
    <t>JN14143DQC</t>
  </si>
  <si>
    <t>010-6878-0437</t>
  </si>
  <si>
    <t>C2QFHGVW92</t>
  </si>
  <si>
    <t>010-6878-0443</t>
  </si>
  <si>
    <t>DP77MWKXNR</t>
  </si>
  <si>
    <t>010-6878-0534</t>
  </si>
  <si>
    <t>GWR3CYT2GJ</t>
  </si>
  <si>
    <t>010-6878-0536</t>
  </si>
  <si>
    <t>HYC714DK25</t>
  </si>
  <si>
    <t>010-6878-0541</t>
  </si>
  <si>
    <t>L4J4KPXGPN</t>
  </si>
  <si>
    <t>010-6878-0548</t>
  </si>
  <si>
    <t>김자영마지막 : Legal / KLT
IPAD부족할때 사용</t>
  </si>
  <si>
    <t>L2717D33PM</t>
  </si>
  <si>
    <t>010-6878-0562</t>
  </si>
  <si>
    <r>
      <rPr>
        <u/>
        <sz val="11"/>
        <color rgb="FF1155CC"/>
        <rFont val="&quot;맑은 고딕&quot;, monospace"/>
        <charset val="129"/>
      </rPr>
      <t>lucia.park@stryker.com</t>
    </r>
  </si>
  <si>
    <t>CXVPVQXG09</t>
  </si>
  <si>
    <t>010-6878-0481</t>
  </si>
  <si>
    <t>P7Q3X0HYFW</t>
  </si>
  <si>
    <t>010-6878-0483</t>
  </si>
  <si>
    <t>CQ0MQK66GM</t>
  </si>
  <si>
    <t>010-6878-0485</t>
  </si>
  <si>
    <t>XCYDTQ4H1F</t>
  </si>
  <si>
    <t>010-6878-0487</t>
  </si>
  <si>
    <t>LR4DPX93T4</t>
  </si>
  <si>
    <t>010-6878-0490</t>
  </si>
  <si>
    <t>JWXX9D7C0H</t>
  </si>
  <si>
    <t>010-6878-0491</t>
  </si>
  <si>
    <t>D1HJ9KM7XJ</t>
  </si>
  <si>
    <t>010-6878-0492</t>
  </si>
  <si>
    <t>M6T0VJHK6P</t>
  </si>
  <si>
    <t>010-6878-0496</t>
  </si>
  <si>
    <t>DWFLMWX243</t>
  </si>
  <si>
    <t>010-6878-0498</t>
  </si>
  <si>
    <t>H7Q22YXYWF</t>
  </si>
  <si>
    <t>010-6878-0499</t>
  </si>
  <si>
    <t>J99N6MMPMT</t>
  </si>
  <si>
    <t>010-6878-0461</t>
  </si>
  <si>
    <t>JYVMXW3RWV</t>
  </si>
  <si>
    <t>010-6878-0467</t>
  </si>
  <si>
    <t>데이터0</t>
  </si>
  <si>
    <t>M2FKP9T7QX</t>
  </si>
  <si>
    <t>010-6878-0469</t>
  </si>
  <si>
    <t>CJ66CPWXQ2</t>
  </si>
  <si>
    <t>010-6878-0471</t>
  </si>
  <si>
    <t>JFK7CC9090</t>
  </si>
  <si>
    <t>010-6878-0472</t>
  </si>
  <si>
    <t>MK21Q5L65C</t>
  </si>
  <si>
    <t>010-6878-0473</t>
  </si>
  <si>
    <t>GXK670F7DH</t>
  </si>
  <si>
    <t>010-6878-0474</t>
  </si>
  <si>
    <t>F9XWF4345F</t>
  </si>
  <si>
    <t>010-6878-0475</t>
  </si>
  <si>
    <t>DXP5W6NH22</t>
  </si>
  <si>
    <t>010-6878-0476</t>
  </si>
  <si>
    <t>MNPXXL2C5X</t>
  </si>
  <si>
    <t>010-6878-0479</t>
  </si>
  <si>
    <t>JJWL6VTHKK</t>
  </si>
  <si>
    <t>010-6878-0571</t>
  </si>
  <si>
    <t>DFC7V7Q9X3</t>
  </si>
  <si>
    <t>010-6878-0568</t>
  </si>
  <si>
    <t>K9NWHMWT44</t>
  </si>
  <si>
    <t>010-6878-0573</t>
  </si>
  <si>
    <t>LY9JGJQMTP</t>
  </si>
  <si>
    <t>010-6878-0348</t>
  </si>
  <si>
    <t>DYQP729JPM</t>
  </si>
  <si>
    <t>010-6878-0575</t>
  </si>
  <si>
    <t>FQPW2GVP7C</t>
  </si>
  <si>
    <t>010-6878-0640</t>
  </si>
  <si>
    <t>GYGG3N90Y4</t>
  </si>
  <si>
    <t>010-6878-0644</t>
  </si>
  <si>
    <t>MX224565CF</t>
  </si>
  <si>
    <t>010-6878-0649</t>
  </si>
  <si>
    <t>DMW34MWM7C</t>
  </si>
  <si>
    <t>010-6878-0652</t>
  </si>
  <si>
    <t>GGWR7NXY2D</t>
  </si>
  <si>
    <t>010-6878-0657</t>
  </si>
  <si>
    <t>C4RQH3W74V</t>
  </si>
  <si>
    <t>010-6878-0659</t>
  </si>
  <si>
    <t>LHJDGDMQCH</t>
  </si>
  <si>
    <t>010-6878-0670</t>
  </si>
  <si>
    <t>HYFKQFR4RD</t>
  </si>
  <si>
    <t>010-6878-0672</t>
  </si>
  <si>
    <t>iPadP4_11-128GB</t>
  </si>
  <si>
    <t>GD2WG3K71P</t>
  </si>
  <si>
    <t>010-6878-0138</t>
  </si>
  <si>
    <t>MKTFHJRWT2</t>
  </si>
  <si>
    <t>010-6878-0237</t>
  </si>
  <si>
    <t>Q4VGFW40QV</t>
  </si>
  <si>
    <t>010-6878-0769</t>
  </si>
  <si>
    <t>IPADP_M4-11-256</t>
  </si>
  <si>
    <t>XYGFK42KQP</t>
  </si>
  <si>
    <t>010-6804-6949</t>
  </si>
  <si>
    <t>Q5M6F1YX19</t>
  </si>
  <si>
    <t>010-7306-6949</t>
  </si>
  <si>
    <t>GW245H3KYL</t>
  </si>
  <si>
    <t>010-5168-6949</t>
  </si>
  <si>
    <t>VHJMJWTK6N</t>
  </si>
  <si>
    <t>010-4339-6949</t>
  </si>
  <si>
    <t>kim hannah</t>
  </si>
  <si>
    <r>
      <rPr>
        <u/>
        <sz val="11"/>
        <color rgb="FF1155CC"/>
        <rFont val="&quot;맑은 고딕&quot;, monospace"/>
        <charset val="129"/>
      </rPr>
      <t>hannah.kim@stryker.com</t>
    </r>
  </si>
  <si>
    <t>YWFN4L7RQJ</t>
  </si>
  <si>
    <t>010-9528-6949</t>
  </si>
  <si>
    <t>J7J79LY961</t>
  </si>
  <si>
    <t>010-9627-6949</t>
  </si>
  <si>
    <t>LD0W924NX3</t>
  </si>
  <si>
    <t>010-6847-6949</t>
  </si>
  <si>
    <t>QT422FMH26</t>
  </si>
  <si>
    <t>010-7434-6949</t>
  </si>
  <si>
    <t>P40KK7NLQG</t>
  </si>
  <si>
    <t>010-9725-6949</t>
  </si>
  <si>
    <t>M90KHK7Y1F</t>
  </si>
  <si>
    <t>010-3414-6949</t>
  </si>
  <si>
    <t>L2Q9F70301</t>
  </si>
  <si>
    <t>010-6704-6949</t>
  </si>
  <si>
    <t>OQ2GGXF3FK</t>
  </si>
  <si>
    <t>010-9548-6949</t>
  </si>
  <si>
    <t>sung hoon bang</t>
  </si>
  <si>
    <t>Q9JKF6RRK4</t>
  </si>
  <si>
    <t>010-6725-6949</t>
  </si>
  <si>
    <t>Daniel jang</t>
  </si>
  <si>
    <t>MXK59D7LPL</t>
  </si>
  <si>
    <t>010-9787-6949</t>
  </si>
  <si>
    <t>M7WVNHQ0YQ</t>
  </si>
  <si>
    <t>010-4459-6949</t>
  </si>
  <si>
    <t>XGH27YLWQM</t>
  </si>
  <si>
    <t>010-7458-6949</t>
  </si>
  <si>
    <t>VKGPQR7276</t>
  </si>
  <si>
    <t>010-7254-6949</t>
  </si>
  <si>
    <t>RVF25297YV</t>
  </si>
  <si>
    <t>010-6860-6949</t>
  </si>
  <si>
    <t>MQ6X021QX2</t>
  </si>
  <si>
    <t>010-4468-6949</t>
  </si>
  <si>
    <t>GHL46K1F9M</t>
  </si>
  <si>
    <t>010-9723-6949</t>
  </si>
  <si>
    <t>10/28 esim삭제로 재등록 , 비용 2700원 발생 /Jayden Shin 반납한것</t>
  </si>
  <si>
    <t>FNP3C7WRP2</t>
  </si>
  <si>
    <t>010-6852-6949</t>
  </si>
  <si>
    <t>FWJG39XV9Q</t>
  </si>
  <si>
    <t>010-7350-6949</t>
  </si>
  <si>
    <t>FN47DRXYYW</t>
  </si>
  <si>
    <t>010-9594-6949</t>
  </si>
  <si>
    <t>W6RQPLQLJY</t>
  </si>
  <si>
    <t>010-9606-6949</t>
  </si>
  <si>
    <t>HP6F2M6GJ7</t>
  </si>
  <si>
    <t>010-3409-6949</t>
  </si>
  <si>
    <t>Kyu choi</t>
  </si>
  <si>
    <t>THD6Q4W3LT</t>
  </si>
  <si>
    <t>010-4365-6949</t>
  </si>
  <si>
    <t>WR34FVRW4C</t>
  </si>
  <si>
    <t>010-6517-6949</t>
  </si>
  <si>
    <r>
      <rPr>
        <u/>
        <sz val="11"/>
        <color rgb="FF1155CC"/>
        <rFont val="&quot;맑은 고딕&quot;, monospace"/>
        <charset val="129"/>
      </rPr>
      <t>bryan.park@stryker.com</t>
    </r>
  </si>
  <si>
    <t>Shoulder KLT 사용하던것</t>
  </si>
  <si>
    <t>L69V0Q1VT3</t>
  </si>
  <si>
    <t>010-9604-6949</t>
  </si>
  <si>
    <t>RFJJ97J4YG</t>
  </si>
  <si>
    <t>010-9539-6949</t>
  </si>
  <si>
    <t>GMF3VLXNKG</t>
  </si>
  <si>
    <t>010-4467-6949</t>
  </si>
  <si>
    <t>JWR90CCXJ3</t>
  </si>
  <si>
    <t>010-6816-6949</t>
  </si>
  <si>
    <t>VCF25MJ6YY</t>
  </si>
  <si>
    <t>010-3448-6949</t>
  </si>
  <si>
    <t>DDPWWYNVPX</t>
  </si>
  <si>
    <t>010-5167-6949</t>
  </si>
  <si>
    <t>D64QK42W36</t>
  </si>
  <si>
    <t>010-4462-6949</t>
  </si>
  <si>
    <t>본인사유로 분실 중</t>
  </si>
  <si>
    <t>GVYCM2VJKW</t>
  </si>
  <si>
    <t>010-7415-6949</t>
  </si>
  <si>
    <t>dahye jeong</t>
  </si>
  <si>
    <t>R75T7C9N17</t>
  </si>
  <si>
    <t>010-9667-6949</t>
  </si>
  <si>
    <t>QC36D93T16</t>
  </si>
  <si>
    <t>010-2542-6949</t>
  </si>
  <si>
    <t>Choi Mason</t>
  </si>
  <si>
    <r>
      <rPr>
        <u/>
        <sz val="11"/>
        <color rgb="FF1155CC"/>
        <rFont val="&quot;맑은 고딕&quot;, monospace"/>
        <charset val="129"/>
      </rPr>
      <t>mason.choi@stryker.com</t>
    </r>
  </si>
  <si>
    <t>F3720LW0J0</t>
  </si>
  <si>
    <t>010-2638-6949</t>
  </si>
  <si>
    <r>
      <rPr>
        <u/>
        <sz val="11"/>
        <color rgb="FF1155CC"/>
        <rFont val="&quot;맑은 고딕&quot;, monospace"/>
        <charset val="129"/>
      </rPr>
      <t>rosey.song@stryker.com</t>
    </r>
  </si>
  <si>
    <t>Q4VMC2579N</t>
  </si>
  <si>
    <t>010-2653-6949</t>
  </si>
  <si>
    <t>Willy chang</t>
  </si>
  <si>
    <t>T32JYKMQQF</t>
  </si>
  <si>
    <t>010-2657-6949</t>
  </si>
  <si>
    <t>QWG7C19T9N</t>
  </si>
  <si>
    <t>010-2670-6949</t>
  </si>
  <si>
    <t>DJ Ahn(2)</t>
  </si>
  <si>
    <t>TK79FYYWPV</t>
  </si>
  <si>
    <t>010-2671-6949</t>
  </si>
  <si>
    <t>LXDC4F97QM</t>
  </si>
  <si>
    <t>010-2681-6949</t>
  </si>
  <si>
    <t>DY5F770LQ3</t>
  </si>
  <si>
    <t>010-2687-6949</t>
  </si>
  <si>
    <t>QXKLQ74WYW</t>
  </si>
  <si>
    <t>010-2688-6949</t>
  </si>
  <si>
    <t>DPX6TM2FG4</t>
  </si>
  <si>
    <t>010-2732-6949</t>
  </si>
  <si>
    <t>F2PL7Y4JWM</t>
  </si>
  <si>
    <t>010-2738-6949</t>
  </si>
  <si>
    <t>XD791W017Y</t>
  </si>
  <si>
    <t>010-2745-6949</t>
  </si>
  <si>
    <t>R34F5XVT2M</t>
  </si>
  <si>
    <t>010-2753-6949</t>
  </si>
  <si>
    <t>WHYPLVY40L</t>
  </si>
  <si>
    <t>010-2761-6949</t>
  </si>
  <si>
    <t>FHTK4GJCF9</t>
  </si>
  <si>
    <t>010-2763-6949</t>
  </si>
  <si>
    <r>
      <rPr>
        <u/>
        <sz val="11"/>
        <color rgb="FF1155CC"/>
        <rFont val="&quot;맑은 고딕&quot;, monospace"/>
        <charset val="129"/>
      </rPr>
      <t>neal.kim@stryker.com</t>
    </r>
  </si>
  <si>
    <t>Q0C6LC7F3X</t>
  </si>
  <si>
    <t>010-2768-6949</t>
  </si>
  <si>
    <t>G2N40G61WM</t>
  </si>
  <si>
    <t>010-2781-6949</t>
  </si>
  <si>
    <t>신규입사자 배정예정</t>
  </si>
  <si>
    <t>M90G1Q6XFP</t>
  </si>
  <si>
    <t>010-2784-6949</t>
  </si>
  <si>
    <t>G7CV2M99YM</t>
  </si>
  <si>
    <t>010-2793-6949</t>
  </si>
  <si>
    <t>H2JWWY6V5C</t>
  </si>
  <si>
    <t>010-2796-6949</t>
  </si>
  <si>
    <r>
      <rPr>
        <u/>
        <sz val="11"/>
        <color rgb="FF1155CC"/>
        <rFont val="&quot;맑은 고딕&quot;, monospace"/>
        <charset val="129"/>
      </rPr>
      <t>lucas.heo@stryker.com</t>
    </r>
  </si>
  <si>
    <t>DWJX4VVTX2</t>
  </si>
  <si>
    <t>010-2819-6949</t>
  </si>
  <si>
    <r>
      <rPr>
        <u/>
        <sz val="11"/>
        <color rgb="FF1155CC"/>
        <rFont val="&quot;맑은 고딕&quot;, monospace"/>
        <charset val="129"/>
      </rPr>
      <t>david.chung@stryker.com</t>
    </r>
  </si>
  <si>
    <t>D4C9Q50Q09</t>
  </si>
  <si>
    <t>010-2826-6949</t>
  </si>
  <si>
    <t>IPAD Air 4세대</t>
  </si>
  <si>
    <t xml:space="preserve">F6PHK00AQ195 </t>
  </si>
  <si>
    <t>Daniel Han</t>
  </si>
  <si>
    <t>액정 손상</t>
  </si>
  <si>
    <t>date</t>
  </si>
  <si>
    <t>Additional Information 2</t>
  </si>
  <si>
    <t>카트리지 사용 내역</t>
  </si>
  <si>
    <t>삼성복합기</t>
  </si>
  <si>
    <t>SL-C486FW</t>
  </si>
  <si>
    <t>OA Room</t>
  </si>
  <si>
    <t>oa</t>
  </si>
  <si>
    <t>2차 조사 정보 없음</t>
  </si>
  <si>
    <t>반납</t>
  </si>
  <si>
    <t>SL-C563W</t>
  </si>
  <si>
    <t>SCLT-510Y (1)</t>
  </si>
  <si>
    <t>2023년 9월 4색토너</t>
  </si>
  <si>
    <t>SL-C438W</t>
  </si>
  <si>
    <r>
      <rPr>
        <u/>
        <sz val="11"/>
        <color rgb="FF1155CC"/>
        <rFont val="&quot;맑은 고딕&quot;, monospace"/>
        <charset val="129"/>
      </rPr>
      <t>james.kim@stryker.com</t>
    </r>
  </si>
  <si>
    <t>확인중</t>
  </si>
  <si>
    <t>SL-C483FW</t>
  </si>
  <si>
    <t>2023년 12월 4색 토너</t>
  </si>
  <si>
    <t>SL-C565W</t>
  </si>
  <si>
    <t>SL-C565FW</t>
  </si>
  <si>
    <t>David Oh</t>
  </si>
  <si>
    <r>
      <rPr>
        <u/>
        <sz val="11"/>
        <color rgb="FF1155CC"/>
        <rFont val="&quot;맑은 고딕&quot;, monospace"/>
        <charset val="129"/>
      </rPr>
      <t>david.oh@stryker.com</t>
    </r>
  </si>
  <si>
    <r>
      <rPr>
        <u/>
        <sz val="11"/>
        <color rgb="FF1155CC"/>
        <rFont val="&quot;맑은 고딕&quot;, monospace"/>
        <charset val="129"/>
      </rPr>
      <t>gd.ahn@stryker.com</t>
    </r>
  </si>
  <si>
    <t>폐기</t>
  </si>
  <si>
    <t>SL-C483W</t>
  </si>
  <si>
    <t>SCLT-510Y, C, M (3)</t>
  </si>
  <si>
    <t>폐기함</t>
  </si>
  <si>
    <t>Jayden Shin</t>
  </si>
  <si>
    <t>jayden.shin@stryker.com</t>
  </si>
  <si>
    <t>모델명 확인요망</t>
  </si>
  <si>
    <t>Andy Lee</t>
  </si>
  <si>
    <t>Andy.Lee@stryker.com</t>
  </si>
  <si>
    <t>C486</t>
  </si>
  <si>
    <t>DJ Ahn</t>
  </si>
  <si>
    <t>24년 2월 22일 4색 토너</t>
  </si>
  <si>
    <t>24년 8월 지급</t>
  </si>
  <si>
    <t>Commercial Excellence</t>
  </si>
  <si>
    <t>23년 8월 4색 토너</t>
  </si>
  <si>
    <t>기술부</t>
  </si>
  <si>
    <t>Song Rosey</t>
  </si>
  <si>
    <r>
      <rPr>
        <u/>
        <sz val="11"/>
        <color rgb="FF1155CC"/>
        <rFont val="&quot;맑은 고딕&quot;, monospace"/>
        <charset val="129"/>
      </rPr>
      <t>Rosey.song@stryker.com</t>
    </r>
  </si>
  <si>
    <t>Cha Bruce</t>
  </si>
  <si>
    <r>
      <rPr>
        <u/>
        <sz val="11"/>
        <color rgb="FF1155CC"/>
        <rFont val="&quot;맑은 고딕&quot;, monospace"/>
        <charset val="129"/>
      </rPr>
      <t>Bruce.Cha@stryker.com</t>
    </r>
  </si>
  <si>
    <t>Kim Neal</t>
  </si>
  <si>
    <r>
      <rPr>
        <u/>
        <sz val="11"/>
        <color rgb="FF1155CC"/>
        <rFont val="&quot;맑은 고딕&quot;, monospace"/>
        <charset val="129"/>
      </rPr>
      <t>neal.kim@stryker.com</t>
    </r>
  </si>
  <si>
    <t>TS 창고</t>
  </si>
  <si>
    <t>Stock</t>
  </si>
  <si>
    <t>정상작동</t>
  </si>
  <si>
    <t>롤러 잔 복사</t>
  </si>
  <si>
    <t>기술부1</t>
  </si>
  <si>
    <t>기술부2</t>
  </si>
  <si>
    <t>기술부3</t>
  </si>
  <si>
    <t>LCD 모니터</t>
  </si>
  <si>
    <t>HP 모니터</t>
  </si>
  <si>
    <t>Shinhye Park</t>
  </si>
  <si>
    <t>퇴사</t>
  </si>
  <si>
    <t>Seran Jung</t>
  </si>
  <si>
    <t>Julie Son</t>
  </si>
  <si>
    <t>julie.son@stryker.com</t>
  </si>
  <si>
    <t>Ju Lee</t>
  </si>
  <si>
    <t>반납완료</t>
  </si>
  <si>
    <t>TS 장지동</t>
  </si>
  <si>
    <t>Lucy Han</t>
  </si>
  <si>
    <t>lucy.han@stryker.com</t>
  </si>
  <si>
    <t>jay ji</t>
  </si>
  <si>
    <t>Kim Lina</t>
  </si>
  <si>
    <r>
      <rPr>
        <u/>
        <sz val="11"/>
        <color rgb="FF1155CC"/>
        <rFont val="&quot;맑은 고딕&quot;, monospace"/>
        <charset val="129"/>
      </rPr>
      <t>lina.kim@stryker.com</t>
    </r>
  </si>
  <si>
    <t>won imsun</t>
  </si>
  <si>
    <r>
      <rPr>
        <u/>
        <sz val="11"/>
        <color rgb="FF1155CC"/>
        <rFont val="&quot;맑은 고딕&quot;, monospace"/>
        <charset val="129"/>
      </rPr>
      <t>imsun.won@stryker.com</t>
    </r>
  </si>
  <si>
    <t>Hwang Stella</t>
  </si>
  <si>
    <r>
      <rPr>
        <u/>
        <sz val="11"/>
        <color rgb="FF1155CC"/>
        <rFont val="&quot;맑은 고딕&quot;, monospace"/>
        <charset val="129"/>
      </rPr>
      <t>stella.hwang@stryker.com</t>
    </r>
  </si>
  <si>
    <t>E2422H</t>
  </si>
  <si>
    <t>용마</t>
  </si>
  <si>
    <t>보유 모니터 지급</t>
  </si>
  <si>
    <t>SE2425H</t>
  </si>
  <si>
    <t>sally choi</t>
  </si>
  <si>
    <t>기존 모니터 파손으로 인한 교체</t>
  </si>
  <si>
    <t>andy kim</t>
  </si>
  <si>
    <t>Andy.kim@stryker.com</t>
  </si>
  <si>
    <t>sujin park</t>
  </si>
  <si>
    <t>dept</t>
  </si>
  <si>
    <t>EMAIL</t>
  </si>
  <si>
    <t>셋팅완료</t>
  </si>
  <si>
    <t>수령확인</t>
  </si>
  <si>
    <t>기존노트북 반납</t>
  </si>
  <si>
    <t>PW</t>
  </si>
  <si>
    <t>HWP사용</t>
  </si>
  <si>
    <t>account</t>
  </si>
  <si>
    <t>공유폴더</t>
  </si>
  <si>
    <t>추가사항</t>
  </si>
  <si>
    <t>작업자</t>
  </si>
  <si>
    <r>
      <rPr>
        <u/>
        <sz val="11"/>
        <color rgb="FF1155CC"/>
        <rFont val="&quot;맑은 고딕&quot;, monospace"/>
        <charset val="129"/>
      </rPr>
      <t>Gregory.Seo@stryker.com</t>
    </r>
  </si>
  <si>
    <t>---</t>
  </si>
  <si>
    <t>O</t>
  </si>
  <si>
    <t>Poiu1234</t>
  </si>
  <si>
    <t>YES</t>
  </si>
  <si>
    <t>kkhjang</t>
  </si>
  <si>
    <t>Asdf4321</t>
  </si>
  <si>
    <t>kkshyang</t>
  </si>
  <si>
    <t>Asdf1234##</t>
  </si>
  <si>
    <t>JYoo1</t>
  </si>
  <si>
    <t>Qwer1111</t>
  </si>
  <si>
    <t>kkwykang</t>
  </si>
  <si>
    <t>Dnwk135135!!!!</t>
  </si>
  <si>
    <t>yhwang</t>
  </si>
  <si>
    <t>Kuntaman4$</t>
  </si>
  <si>
    <t>jhan</t>
  </si>
  <si>
    <t>Faith0327</t>
  </si>
  <si>
    <t>skim10</t>
  </si>
  <si>
    <t>Instrument</t>
  </si>
  <si>
    <t>WHAUDTN199!!</t>
  </si>
  <si>
    <t>mcho1</t>
  </si>
  <si>
    <t>Sumin126!!</t>
  </si>
  <si>
    <t>dshin1</t>
  </si>
  <si>
    <t>Jhse2222@</t>
  </si>
  <si>
    <t>jseo2</t>
  </si>
  <si>
    <t>Kelly2324$</t>
  </si>
  <si>
    <t>kfjykang</t>
  </si>
  <si>
    <r>
      <rPr>
        <u/>
        <sz val="11"/>
        <color rgb="FF1155CC"/>
        <rFont val="&quot;맑은 고딕&quot;, monospace"/>
        <charset val="129"/>
      </rPr>
      <t>henry.lee@stryker.com</t>
    </r>
  </si>
  <si>
    <t>nEEEEEEEa*521478</t>
  </si>
  <si>
    <t>hlee6</t>
  </si>
  <si>
    <t>Asdf1234</t>
  </si>
  <si>
    <t>Qwer1234</t>
  </si>
  <si>
    <t>Stryker2#</t>
  </si>
  <si>
    <t>koyjseo</t>
  </si>
  <si>
    <t>kkjhsim</t>
  </si>
  <si>
    <t>!Shoulder1</t>
  </si>
  <si>
    <t>jkim22</t>
  </si>
  <si>
    <r>
      <rPr>
        <u/>
        <sz val="11"/>
        <color rgb="FF1155CC"/>
        <rFont val="&quot;맑은 고딕&quot;, monospace"/>
        <charset val="129"/>
      </rPr>
      <t>kyu.choi@stryker.com</t>
    </r>
  </si>
  <si>
    <t>Lindermen7&amp;</t>
  </si>
  <si>
    <t>kchoi2</t>
  </si>
  <si>
    <t>주소 : 서울시 강남구 언주로 110 10동 102호
 성함 : 최규범
 연락처 : 010-8910-2798</t>
  </si>
  <si>
    <t>Kim Yeonjoo</t>
  </si>
  <si>
    <t>Stryker9</t>
  </si>
  <si>
    <t>ykim3</t>
  </si>
  <si>
    <t>Mihee han</t>
  </si>
  <si>
    <r>
      <rPr>
        <u/>
        <sz val="11"/>
        <color rgb="FF1155CC"/>
        <rFont val="&quot;맑은 고딕&quot;, monospace"/>
        <charset val="129"/>
      </rPr>
      <t>mihee.han@stryker.com</t>
    </r>
  </si>
  <si>
    <t>Icandoit202509!!</t>
  </si>
  <si>
    <t>mhan1</t>
  </si>
  <si>
    <r>
      <rPr>
        <u/>
        <sz val="11"/>
        <color rgb="FF1155CC"/>
        <rFont val="&quot;맑은 고딕&quot;, monospace"/>
        <charset val="129"/>
      </rPr>
      <t>minki.kim@stryker.com</t>
    </r>
  </si>
  <si>
    <t>Happywombat93!</t>
  </si>
  <si>
    <t>kradmin</t>
  </si>
  <si>
    <t>대기</t>
  </si>
  <si>
    <t>ZBOOK</t>
  </si>
  <si>
    <t>kts</t>
  </si>
  <si>
    <t>월</t>
  </si>
  <si>
    <t>날짜</t>
  </si>
  <si>
    <t>FTE/Cont.</t>
  </si>
  <si>
    <t>노트북</t>
  </si>
  <si>
    <t>아이패드</t>
  </si>
  <si>
    <t>모니터</t>
  </si>
  <si>
    <t>복합기</t>
  </si>
  <si>
    <t>Teams</t>
  </si>
  <si>
    <r>
      <rPr>
        <u/>
        <sz val="11"/>
        <color rgb="FF1155CC"/>
        <rFont val="&quot;맑은 고딕&quot;, monospace"/>
        <charset val="129"/>
      </rPr>
      <t>kale.lee@stryker.com</t>
    </r>
  </si>
  <si>
    <t>샘플 삭제 금지</t>
  </si>
  <si>
    <t>강지희</t>
  </si>
  <si>
    <t>jihee.kang</t>
  </si>
  <si>
    <r>
      <rPr>
        <u/>
        <sz val="11"/>
        <color rgb="FF1155CC"/>
        <rFont val="&quot;맑은 고딕&quot;, monospace"/>
        <charset val="129"/>
      </rPr>
      <t>jihee.kang@stryker.com</t>
    </r>
  </si>
  <si>
    <t>5개월 계약</t>
  </si>
  <si>
    <t>bruce.lee</t>
  </si>
  <si>
    <r>
      <rPr>
        <u/>
        <sz val="11"/>
        <color rgb="FF1155CC"/>
        <rFont val="&quot;맑은 고딕&quot;, monospace"/>
        <charset val="129"/>
      </rPr>
      <t>bruce.lee@stryker.com</t>
    </r>
  </si>
  <si>
    <t>FTE</t>
  </si>
  <si>
    <t>김푸른강</t>
  </si>
  <si>
    <t>neal.kim</t>
  </si>
  <si>
    <r>
      <rPr>
        <u/>
        <sz val="11"/>
        <color rgb="FF1155CC"/>
        <rFont val="&quot;맑은 고딕&quot;, monospace"/>
        <charset val="129"/>
      </rPr>
      <t>neal.kim@stryker.com</t>
    </r>
  </si>
  <si>
    <t>허윤재</t>
  </si>
  <si>
    <t>lucas.heo</t>
  </si>
  <si>
    <r>
      <rPr>
        <u/>
        <sz val="11"/>
        <color rgb="FF1155CC"/>
        <rFont val="&quot;맑은 고딕&quot;, monospace"/>
        <charset val="129"/>
      </rPr>
      <t>lucas.heo@stryker.com</t>
    </r>
  </si>
  <si>
    <t>황지영</t>
  </si>
  <si>
    <t>Stella Hwang</t>
  </si>
  <si>
    <r>
      <rPr>
        <u/>
        <sz val="11"/>
        <color rgb="FF1155CC"/>
        <rFont val="&quot;맑은 고딕&quot;, monospace"/>
        <charset val="129"/>
      </rPr>
      <t>stella.hwang@stryker.com</t>
    </r>
  </si>
  <si>
    <t>1년 계약(Contingent)</t>
  </si>
  <si>
    <r>
      <rPr>
        <u/>
        <sz val="11"/>
        <color rgb="FF1155CC"/>
        <rFont val="&quot;맑은 고딕&quot;, monospace"/>
        <charset val="129"/>
      </rPr>
      <t>gyowon.jeong@stryker.com</t>
    </r>
  </si>
  <si>
    <t>6개월 계약</t>
  </si>
  <si>
    <r>
      <rPr>
        <u/>
        <sz val="11"/>
        <color rgb="FF1155CC"/>
        <rFont val="&quot;맑은 고딕&quot;, monospace"/>
        <charset val="129"/>
      </rPr>
      <t>kmultiuser@stryker.com</t>
    </r>
  </si>
  <si>
    <t>1개월 계약</t>
  </si>
  <si>
    <r>
      <rPr>
        <u/>
        <sz val="11"/>
        <color rgb="FF1155CC"/>
        <rFont val="&quot;맑은 고딕&quot;, monospace"/>
        <charset val="129"/>
      </rPr>
      <t>Bomin.kim@stryker.com</t>
    </r>
  </si>
  <si>
    <r>
      <rPr>
        <u/>
        <sz val="11"/>
        <color rgb="FF1155CC"/>
        <rFont val="&quot;맑은 고딕&quot;, monospace"/>
        <charset val="129"/>
      </rPr>
      <t>sally.choi@stryker.com</t>
    </r>
  </si>
  <si>
    <t>schoi2</t>
  </si>
  <si>
    <t>ihwang</t>
  </si>
  <si>
    <r>
      <rPr>
        <u/>
        <sz val="11"/>
        <color rgb="FF1155CC"/>
        <rFont val="&quot;맑은 고딕&quot;, monospace"/>
        <charset val="129"/>
      </rPr>
      <t>lia.jung@stryker.com</t>
    </r>
  </si>
  <si>
    <t>ljung2</t>
  </si>
  <si>
    <r>
      <rPr>
        <u/>
        <sz val="11"/>
        <color rgb="FF1155CC"/>
        <rFont val="&quot;맑은 고딕&quot;, monospace"/>
        <charset val="129"/>
      </rPr>
      <t>sazy.park@stryker.com</t>
    </r>
  </si>
  <si>
    <t>spark10</t>
  </si>
  <si>
    <t>shawn.kim</t>
  </si>
  <si>
    <t>1년 계약</t>
  </si>
  <si>
    <t>조홍준</t>
  </si>
  <si>
    <t>정윤</t>
  </si>
  <si>
    <t>Yoon Chung</t>
  </si>
  <si>
    <t>yoon.chung@stryker.com</t>
  </si>
  <si>
    <t>name</t>
  </si>
  <si>
    <t>model</t>
  </si>
  <si>
    <t>ROle</t>
  </si>
  <si>
    <t>HP Elitebook 840 G8</t>
  </si>
  <si>
    <t>HP Elitebook 640 G9</t>
  </si>
  <si>
    <t>모델명 확인 불가</t>
  </si>
  <si>
    <t>Caps PC</t>
  </si>
  <si>
    <t>IT ROOM</t>
  </si>
  <si>
    <t>HP EliteDesk G6 Mini</t>
  </si>
  <si>
    <t>SeoYeon Hong</t>
  </si>
  <si>
    <t>Workday ID</t>
  </si>
  <si>
    <t>Preferred Name</t>
  </si>
  <si>
    <t>Category 1</t>
  </si>
  <si>
    <t>Job Title</t>
  </si>
  <si>
    <t>프린터정보</t>
  </si>
  <si>
    <t>IPAD</t>
  </si>
  <si>
    <t>확인</t>
  </si>
  <si>
    <t>Willy Chang （장훈）</t>
  </si>
  <si>
    <t>완료</t>
  </si>
  <si>
    <t>David Yang （양승현）</t>
  </si>
  <si>
    <t>Mi Na Song （송미나）</t>
  </si>
  <si>
    <t>DJ Ahn （안동준）</t>
  </si>
  <si>
    <t>Nathan Eom （엄태영）</t>
  </si>
  <si>
    <t>Bruce Cha （차철민）</t>
  </si>
  <si>
    <t>Danny Kim （김문호）</t>
  </si>
  <si>
    <t>Simon Sin （신정헌）</t>
  </si>
  <si>
    <t>Suhyun Kim （김수현）</t>
  </si>
  <si>
    <t>Tyler Park （박래수）</t>
  </si>
  <si>
    <t>Joy Lee （이윤선）</t>
  </si>
  <si>
    <t>Justin Kim （김정오）</t>
  </si>
  <si>
    <t>Louis Kang （강원영）</t>
  </si>
  <si>
    <t>Ethan Na （나성일）</t>
  </si>
  <si>
    <t>Genie Kim （김현진）</t>
  </si>
  <si>
    <t>Jason Kim （김재헌）</t>
  </si>
  <si>
    <t>Jiho Yoo （류지호）</t>
  </si>
  <si>
    <t>Henry Kim （김한성）</t>
  </si>
  <si>
    <t>Changkyu Oh （오창규）</t>
  </si>
  <si>
    <t>Bella Bang （방선희）</t>
  </si>
  <si>
    <t>Young Hwang （황우영）</t>
  </si>
  <si>
    <t>Jade Jung （정지운）</t>
  </si>
  <si>
    <t>Ethan Song （송주영）</t>
  </si>
  <si>
    <t>Nathan Lee （이인재）</t>
  </si>
  <si>
    <t>Rosey Song （송수진）</t>
  </si>
  <si>
    <t>Jackson Park （박준영）</t>
  </si>
  <si>
    <t>Allen Ku （구교빈）</t>
  </si>
  <si>
    <t>Suhwan Jung （정수환）</t>
  </si>
  <si>
    <t>Hailey Song （송하영）</t>
  </si>
  <si>
    <t>Ashley Hong （홍윤경）</t>
  </si>
  <si>
    <t>Jayden Kim （김민재）</t>
  </si>
  <si>
    <t>Chris Shin （신승용）</t>
  </si>
  <si>
    <t>Ara Ko （고아라）</t>
  </si>
  <si>
    <t>Leo Han （한현준）</t>
  </si>
  <si>
    <t>Claire Choi （최윤하）</t>
  </si>
  <si>
    <t>Ayaan Yoon （윤채훈）</t>
  </si>
  <si>
    <t>Peter Park （박영철）</t>
  </si>
  <si>
    <t>Michelle Park （박민영）</t>
  </si>
  <si>
    <t>Seo Hyun Jung （정서현）</t>
  </si>
  <si>
    <t>Jun Seong Byun （변준성）</t>
  </si>
  <si>
    <t>Jin Park （박진）</t>
  </si>
  <si>
    <t>Dana Shin （신수민）</t>
  </si>
  <si>
    <t>Martin Cho （조명수）</t>
  </si>
  <si>
    <t>JW Yoon （윤주원）</t>
  </si>
  <si>
    <t>Henry Lee （이봉학）</t>
  </si>
  <si>
    <t>Somi Jeong （정소미）</t>
  </si>
  <si>
    <t>Mindo Kim （김민도）</t>
  </si>
  <si>
    <t>Aspyn Kim （김주희）</t>
  </si>
  <si>
    <t>Minjeong Kim （김민정）</t>
  </si>
  <si>
    <t>Jack Eum （엄재원）</t>
  </si>
  <si>
    <t>Daniel Park （박종문）</t>
  </si>
  <si>
    <t>Mason Oh （오승민）</t>
  </si>
  <si>
    <t>Brad Choi （최동혁）</t>
  </si>
  <si>
    <t>Ayaan Lee （이근필 - 李根馝）</t>
  </si>
  <si>
    <t>Scott Jo （조상혁）</t>
  </si>
  <si>
    <t>Sol Jung （정솔）</t>
  </si>
  <si>
    <t>Hyoseon Park （박효선）</t>
  </si>
  <si>
    <t>Yejin Heo （허예진）</t>
  </si>
  <si>
    <t>James Kim （김재철）</t>
  </si>
  <si>
    <t>David Kim （김성준）</t>
  </si>
  <si>
    <t>Lucas Jeon （전혁구）</t>
  </si>
  <si>
    <t>Kyu Choi （최규범）</t>
  </si>
  <si>
    <t>Theo Hwang （황현택）</t>
  </si>
  <si>
    <t>Chan Jeon （전일찬）</t>
  </si>
  <si>
    <t>Mason Kim （김오현）</t>
  </si>
  <si>
    <t>Dahye Jeong （정다혜）</t>
  </si>
  <si>
    <t>David Chung （정석우）</t>
  </si>
  <si>
    <t>Sung Hoon Bang （방성훈）</t>
  </si>
  <si>
    <t>Daniel Jang （장동혁）</t>
  </si>
  <si>
    <t>Dongkyu Kim （김동규）</t>
  </si>
  <si>
    <t>Mason Choi （최민우）</t>
  </si>
  <si>
    <t>Aaron Yoon （윤현석）</t>
  </si>
  <si>
    <t>Hannah Kim （김예림）</t>
  </si>
  <si>
    <t>Vincent Bae （배성빈）</t>
  </si>
  <si>
    <t>Lucia Park （박지현）</t>
  </si>
  <si>
    <t>Neal Kim （김푸른강）</t>
  </si>
  <si>
    <t>Lucas Heo （허윤재）</t>
  </si>
  <si>
    <t>Bryan Park （박효현）</t>
  </si>
  <si>
    <t>Oh Peter</t>
  </si>
  <si>
    <t>Implate</t>
  </si>
  <si>
    <t>Park JY</t>
  </si>
  <si>
    <t>설명</t>
  </si>
  <si>
    <t>Yeji Lee</t>
  </si>
  <si>
    <t>yeji.lee@stryker.com</t>
  </si>
  <si>
    <t>퇴사자</t>
  </si>
  <si>
    <t>Dell 반납</t>
  </si>
  <si>
    <t>Hyeonjin YU</t>
  </si>
  <si>
    <t>hyeonjin.yoo@stryker.com</t>
  </si>
  <si>
    <t>Inyoung Baek</t>
  </si>
  <si>
    <t>inyoung.baek@stryker.com</t>
  </si>
  <si>
    <t>Hailey Na</t>
  </si>
  <si>
    <r>
      <rPr>
        <u/>
        <sz val="11"/>
        <color rgb="FF1155CC"/>
        <rFont val="&quot;맑은 고딕&quot;, monospace"/>
        <charset val="129"/>
      </rPr>
      <t>hailey.na@stryker.com</t>
    </r>
  </si>
  <si>
    <t>Seyeon Choi</t>
  </si>
  <si>
    <r>
      <rPr>
        <u/>
        <sz val="11"/>
        <color rgb="FF1155CC"/>
        <rFont val="&quot;맑은 고딕&quot;, monospace"/>
        <charset val="129"/>
      </rPr>
      <t>seyeon.choi@stryker.com</t>
    </r>
  </si>
  <si>
    <t>Dawn Lim</t>
  </si>
  <si>
    <r>
      <rPr>
        <u/>
        <sz val="11"/>
        <color rgb="FF1155CC"/>
        <rFont val="&quot;맑은 고딕&quot;, monospace"/>
        <charset val="129"/>
      </rPr>
      <t>dawn.lim@stryker.com</t>
    </r>
  </si>
  <si>
    <t>복합기, 모니터 반납완료</t>
  </si>
  <si>
    <t>Kim, Dohyeon</t>
  </si>
  <si>
    <t>dohyeon.kim@stryker.com</t>
  </si>
  <si>
    <t>Mo Yunju</t>
  </si>
  <si>
    <r>
      <rPr>
        <u/>
        <sz val="11"/>
        <color rgb="FF1155CC"/>
        <rFont val="&quot;맑은 고딕&quot;, monospace"/>
        <charset val="129"/>
      </rPr>
      <t>yunju.mo@stryker.com</t>
    </r>
  </si>
  <si>
    <t>Stacy Im</t>
  </si>
  <si>
    <r>
      <rPr>
        <u/>
        <sz val="11"/>
        <color rgb="FF1155CC"/>
        <rFont val="&quot;맑은 고딕&quot;, monospace"/>
        <charset val="129"/>
      </rPr>
      <t>stacy.im@stryker.com</t>
    </r>
  </si>
  <si>
    <r>
      <rPr>
        <u/>
        <sz val="11"/>
        <color rgb="FF1155CC"/>
        <rFont val="&quot;맑은 고딕&quot;, monospace"/>
        <charset val="129"/>
      </rPr>
      <t>lucy.han@stryker.com</t>
    </r>
  </si>
  <si>
    <t>모니터 반납 완료</t>
  </si>
  <si>
    <t>&lt; 여기까지 지문, 복합기 삭제 완료</t>
  </si>
  <si>
    <t>Jayoung Kim</t>
  </si>
  <si>
    <r>
      <rPr>
        <u/>
        <sz val="11"/>
        <color rgb="FF1155CC"/>
        <rFont val="&quot;맑은 고딕&quot;, monospace"/>
        <charset val="129"/>
      </rPr>
      <t>jayoung.kim@stryker.com</t>
    </r>
  </si>
  <si>
    <t>Harim Shin</t>
  </si>
  <si>
    <r>
      <rPr>
        <u/>
        <sz val="11"/>
        <color rgb="FF1155CC"/>
        <rFont val="&quot;맑은 고딕&quot;, monospace"/>
        <charset val="129"/>
      </rPr>
      <t>harim.shin@stryker.com</t>
    </r>
  </si>
  <si>
    <t>Yulie Choi</t>
  </si>
  <si>
    <r>
      <rPr>
        <u/>
        <sz val="11"/>
        <color rgb="FF1155CC"/>
        <rFont val="&quot;맑은 고딕&quot;, monospace"/>
        <charset val="129"/>
      </rPr>
      <t>yulie.choi@stryker.com</t>
    </r>
  </si>
  <si>
    <t>Tony Kang</t>
  </si>
  <si>
    <r>
      <rPr>
        <u/>
        <sz val="11"/>
        <color rgb="FF1155CC"/>
        <rFont val="&quot;맑은 고딕&quot;, monospace"/>
        <charset val="129"/>
      </rPr>
      <t>tony.kang@stryker.com</t>
    </r>
  </si>
  <si>
    <t>복합기 반납완료</t>
  </si>
  <si>
    <t>Elin Kim</t>
  </si>
  <si>
    <r>
      <rPr>
        <u/>
        <sz val="11"/>
        <color rgb="FF1155CC"/>
        <rFont val="&quot;맑은 고딕&quot;, monospace"/>
        <charset val="129"/>
      </rPr>
      <t>elin.kim@stryker.com</t>
    </r>
  </si>
  <si>
    <t>아이패드 반납완료</t>
  </si>
  <si>
    <t>William Chai</t>
  </si>
  <si>
    <r>
      <rPr>
        <u/>
        <sz val="11"/>
        <color rgb="FF1155CC"/>
        <rFont val="&quot;맑은 고딕&quot;, monospace"/>
        <charset val="129"/>
      </rPr>
      <t>chai.william@stryker.com</t>
    </r>
  </si>
  <si>
    <t>아이패드, 복합기 반납완료</t>
  </si>
  <si>
    <t>Donna Park</t>
  </si>
  <si>
    <r>
      <rPr>
        <u/>
        <sz val="11"/>
        <color rgb="FF1155CC"/>
        <rFont val="&quot;맑은 고딕&quot;, monospace"/>
        <charset val="129"/>
      </rPr>
      <t>donna.park@stryker.com</t>
    </r>
  </si>
  <si>
    <t>Operations</t>
  </si>
  <si>
    <r>
      <rPr>
        <u/>
        <sz val="11"/>
        <color rgb="FF1155CC"/>
        <rFont val="&quot;맑은 고딕&quot;, monospace"/>
        <charset val="129"/>
      </rPr>
      <t>julie.son@stryker.com</t>
    </r>
  </si>
  <si>
    <r>
      <rPr>
        <u/>
        <sz val="11"/>
        <color rgb="FF1155CC"/>
        <rFont val="&quot;맑은 고딕&quot;, monospace"/>
        <charset val="129"/>
      </rPr>
      <t>jayden.shin@stryker.com</t>
    </r>
  </si>
  <si>
    <t>복합기는 사용 7년 폐기함</t>
  </si>
  <si>
    <t>Yoojin.Shin</t>
  </si>
  <si>
    <r>
      <rPr>
        <u/>
        <sz val="11"/>
        <color rgb="FF1155CC"/>
        <rFont val="&quot;맑은 고딕&quot;, monospace"/>
        <charset val="129"/>
      </rPr>
      <t>shin.yoojin@stryker.com</t>
    </r>
  </si>
  <si>
    <t>Johnny Choi</t>
  </si>
  <si>
    <r>
      <rPr>
        <u/>
        <sz val="11"/>
        <color rgb="FF1155CC"/>
        <rFont val="&quot;맑은 고딕&quot;, monospace"/>
        <charset val="129"/>
      </rPr>
      <t>johnny.choi@stryker.com</t>
    </r>
  </si>
  <si>
    <t>아이패드반납완료/복합기 없다고함</t>
  </si>
  <si>
    <t>Kang Jihee</t>
  </si>
  <si>
    <t>jihee.kang@stryker.com</t>
  </si>
  <si>
    <t>Minjeon Kim</t>
  </si>
  <si>
    <t>채원병</t>
  </si>
  <si>
    <t>william.chai@stryker.com</t>
  </si>
  <si>
    <t>8/31 퇴사</t>
  </si>
  <si>
    <t>최승수</t>
  </si>
  <si>
    <t>johnny.choi@stryker.com</t>
  </si>
  <si>
    <t>Marketing Manager</t>
  </si>
  <si>
    <t>5CG2181LWD</t>
  </si>
  <si>
    <t>최율리</t>
  </si>
  <si>
    <t>yulie.choi@stryker.com</t>
  </si>
  <si>
    <t>한승주</t>
  </si>
  <si>
    <t>Planning Data Analyst</t>
  </si>
  <si>
    <t>임세임</t>
  </si>
  <si>
    <t>stacy.im@stryker.com</t>
  </si>
  <si>
    <t>ICM Administrator</t>
  </si>
  <si>
    <t>강병국</t>
  </si>
  <si>
    <t>tony.kang@stryker.com</t>
  </si>
  <si>
    <t>Senior Mako Account Manager</t>
  </si>
  <si>
    <t>5CG2181LW2</t>
  </si>
  <si>
    <t>Jihee Kang</t>
  </si>
  <si>
    <t>김서윤</t>
  </si>
  <si>
    <r>
      <rPr>
        <u/>
        <sz val="11"/>
        <color rgb="FF1155CC"/>
        <rFont val="&quot;맑은 고딕&quot;, monospace"/>
        <charset val="129"/>
      </rPr>
      <t>elin.kim@stryker.com</t>
    </r>
  </si>
  <si>
    <t>김자영</t>
  </si>
  <si>
    <t>jayoung.kim@stryker.com</t>
  </si>
  <si>
    <t>Senior Regional Counsel, East Asia</t>
  </si>
  <si>
    <t>박동은</t>
  </si>
  <si>
    <t>donna.park@stryker.com</t>
  </si>
  <si>
    <t>신준상</t>
  </si>
  <si>
    <t>5CG10801FS(retired)</t>
  </si>
  <si>
    <t>신하림</t>
  </si>
  <si>
    <t>harim.shin@stryker.com</t>
  </si>
  <si>
    <t>Marketing Coordinator</t>
  </si>
  <si>
    <t>Yoojin Shin</t>
  </si>
  <si>
    <t>신유진</t>
  </si>
  <si>
    <t>yoojin.shin@stryker.com</t>
  </si>
  <si>
    <t>Sales Administrator</t>
  </si>
  <si>
    <t>손지원</t>
  </si>
  <si>
    <t>5CG2181LVL</t>
  </si>
  <si>
    <t xml:space="preserve"> -&gt;</t>
  </si>
  <si>
    <t xml:space="preserve">implant </t>
  </si>
  <si>
    <t>sales</t>
  </si>
  <si>
    <t>메일 주소</t>
  </si>
  <si>
    <t>Sin, Simon</t>
  </si>
  <si>
    <t>Kim, Suhyun</t>
  </si>
  <si>
    <t>Kim, Rayna</t>
  </si>
  <si>
    <t>Seo, Gregory</t>
  </si>
  <si>
    <t>Cha, Bruce</t>
  </si>
  <si>
    <t>Song, Mi Na</t>
  </si>
  <si>
    <t>Sim, Huey</t>
  </si>
  <si>
    <t>Lee, Jeff</t>
  </si>
  <si>
    <t>Chang, Willy</t>
  </si>
  <si>
    <t>Kim, Jung Sook</t>
  </si>
  <si>
    <t>Kim, Leslie</t>
  </si>
  <si>
    <t>Kim, Danny</t>
  </si>
  <si>
    <t>Ahn, Dong Jun</t>
  </si>
  <si>
    <t>Yang, David</t>
  </si>
  <si>
    <t>Song, Jun</t>
  </si>
  <si>
    <t>Eom, Nathan</t>
  </si>
  <si>
    <t>Kang, James</t>
  </si>
  <si>
    <t>Park, JY</t>
  </si>
  <si>
    <t>Seo, YJ</t>
  </si>
  <si>
    <t>Park, Tyler</t>
  </si>
  <si>
    <t>Baek, Chloe</t>
  </si>
  <si>
    <t>Lee, Joy</t>
  </si>
  <si>
    <t>Kim, Yoori</t>
  </si>
  <si>
    <t>Jung, Jade</t>
  </si>
  <si>
    <t>Kim, Justin</t>
  </si>
  <si>
    <t>Yang, Owen</t>
  </si>
  <si>
    <t>Korea, Kmultiuser</t>
  </si>
  <si>
    <t>Choi, Roy</t>
  </si>
  <si>
    <t>Lee, Demian</t>
  </si>
  <si>
    <t>Bang, Alicia</t>
  </si>
  <si>
    <t>Kang, Louis</t>
  </si>
  <si>
    <t>Na, Ethan</t>
  </si>
  <si>
    <t>Yoo, Jiwon</t>
  </si>
  <si>
    <t>Lee, Chloe</t>
  </si>
  <si>
    <t>Kim, Songmin</t>
  </si>
  <si>
    <t>Kim, Jackson</t>
  </si>
  <si>
    <t>Kim, Genie</t>
  </si>
  <si>
    <t>Shim, Kevin</t>
  </si>
  <si>
    <t>Chung, Jae</t>
  </si>
  <si>
    <t>Song, Jina</t>
  </si>
  <si>
    <t>Ahn, GD</t>
  </si>
  <si>
    <t>Jeon, Cindy</t>
  </si>
  <si>
    <t>Park, Julie</t>
  </si>
  <si>
    <t>Oh, David</t>
  </si>
  <si>
    <t>Park, Jinny</t>
  </si>
  <si>
    <t>Hwang, Oscar</t>
  </si>
  <si>
    <t>Yoo, Jiho</t>
  </si>
  <si>
    <t>Cho, Heesun</t>
  </si>
  <si>
    <t>Kim, Jason</t>
  </si>
  <si>
    <t>Kim, Henry</t>
  </si>
  <si>
    <t>Bang, Bella</t>
  </si>
  <si>
    <t>Song, Jayden</t>
  </si>
  <si>
    <t>Kim, Yeonjoo</t>
  </si>
  <si>
    <t>Hwang, Young</t>
  </si>
  <si>
    <t>Lee, David</t>
  </si>
  <si>
    <t>Park, James</t>
  </si>
  <si>
    <t>Han, Alice</t>
  </si>
  <si>
    <t>Song, Ethan</t>
  </si>
  <si>
    <t>Lee, Nathan</t>
  </si>
  <si>
    <t>Park, Jackson</t>
  </si>
  <si>
    <t>Song, Rosey</t>
  </si>
  <si>
    <t>Rosey.song@stryker.com</t>
  </si>
  <si>
    <t>Ku, Allen</t>
  </si>
  <si>
    <t>Jun, Irene</t>
  </si>
  <si>
    <t>Kim, William</t>
  </si>
  <si>
    <t>Park, Owen</t>
  </si>
  <si>
    <t>Ji, JH</t>
  </si>
  <si>
    <t>Jung, Jenny</t>
  </si>
  <si>
    <t>Yoon, Bella</t>
  </si>
  <si>
    <t>Youn, Sarah</t>
  </si>
  <si>
    <t>Kim, Ahyoung</t>
  </si>
  <si>
    <t>Oh, Peter</t>
  </si>
  <si>
    <t>Han, Leo</t>
  </si>
  <si>
    <t>Ko, Ara</t>
  </si>
  <si>
    <t>Jeong, Yoonbee</t>
  </si>
  <si>
    <t>Song, Hailey</t>
  </si>
  <si>
    <t>Choi, Claire</t>
  </si>
  <si>
    <t>Jung, Suhwan</t>
  </si>
  <si>
    <t>Shin, Chris</t>
  </si>
  <si>
    <t>Kim, Jayden</t>
  </si>
  <si>
    <t>Hong, Ashley</t>
  </si>
  <si>
    <t>Yang, Clare</t>
  </si>
  <si>
    <t>Lee, Rosie</t>
  </si>
  <si>
    <t>Han, Mihee</t>
  </si>
  <si>
    <t>Shin, Hansol</t>
  </si>
  <si>
    <t>Kang, Chloe</t>
  </si>
  <si>
    <t>Park, Freddy</t>
  </si>
  <si>
    <t>Jung, Celine</t>
  </si>
  <si>
    <t>Lee, Daniel</t>
  </si>
  <si>
    <t>Yoon, Ayaan</t>
  </si>
  <si>
    <t>Huh, Cozy</t>
  </si>
  <si>
    <t>Park, Peter</t>
  </si>
  <si>
    <t>Seo, Junghoon</t>
  </si>
  <si>
    <t>Lim, Roy</t>
  </si>
  <si>
    <t>Kim, Min Ki</t>
  </si>
  <si>
    <t>Park, Michelle</t>
  </si>
  <si>
    <t>Jung, Seo Hyun</t>
  </si>
  <si>
    <t>Byun, Jun Seong</t>
  </si>
  <si>
    <t>Park, Jin</t>
  </si>
  <si>
    <t>Han, Jason</t>
  </si>
  <si>
    <t>Kim, Hailey</t>
  </si>
  <si>
    <t>Kim, Soyoun</t>
  </si>
  <si>
    <t>Yoo, Jenna</t>
  </si>
  <si>
    <t>Bae, Sophie</t>
  </si>
  <si>
    <t>Shin, Dana</t>
  </si>
  <si>
    <t>Cho, Martin</t>
  </si>
  <si>
    <t>Seo, Jaehee</t>
  </si>
  <si>
    <t>Yoon, JW</t>
  </si>
  <si>
    <t>Lee, Eunji</t>
  </si>
  <si>
    <t>Kim, Lina</t>
  </si>
  <si>
    <t>Ahn, Andrew</t>
  </si>
  <si>
    <t>Lee, Henry</t>
  </si>
  <si>
    <t>Park, Jack</t>
  </si>
  <si>
    <t>Ma, Serene</t>
  </si>
  <si>
    <t>Gu, Gyolim</t>
  </si>
  <si>
    <t>Kim, Mindo</t>
  </si>
  <si>
    <t>Jeong, somi</t>
  </si>
  <si>
    <t>Kim, Aspyn</t>
  </si>
  <si>
    <t>Ahn, Ryan</t>
  </si>
  <si>
    <t>Yi, Minsu</t>
  </si>
  <si>
    <t>Kim, Minjeong</t>
  </si>
  <si>
    <t>Park, Daniel</t>
  </si>
  <si>
    <t>Son, Amy</t>
  </si>
  <si>
    <t>Oh, Mason</t>
  </si>
  <si>
    <t>Eum, Jack</t>
  </si>
  <si>
    <t>Choi, Brad</t>
  </si>
  <si>
    <t>Jo, Scott</t>
  </si>
  <si>
    <t>Scott.Jo@stryker.com</t>
  </si>
  <si>
    <t>Lee, Ayaan</t>
  </si>
  <si>
    <t>Oh, Joon</t>
  </si>
  <si>
    <t>Jung, Sol</t>
  </si>
  <si>
    <t>Park, Hyoseon</t>
  </si>
  <si>
    <t>Heo, Yejin</t>
  </si>
  <si>
    <t>Kim, James</t>
  </si>
  <si>
    <t>Lee, Jaekyeong</t>
  </si>
  <si>
    <t>Park, Soyeon</t>
  </si>
  <si>
    <t>Kim, David</t>
  </si>
  <si>
    <t>Jeon, Lucas</t>
  </si>
  <si>
    <t>Hwang, Theo</t>
  </si>
  <si>
    <t>Eun, Emma</t>
  </si>
  <si>
    <t>Cha, Carl</t>
  </si>
  <si>
    <t>Lim, Kyle</t>
  </si>
  <si>
    <t>Jeon, Chan</t>
  </si>
  <si>
    <t>Moon, Jay</t>
  </si>
  <si>
    <t>Kim, Greg</t>
  </si>
  <si>
    <t>Jeon, Sungyi</t>
  </si>
  <si>
    <t>Lee, Annie</t>
  </si>
  <si>
    <t>Kim, Mason</t>
  </si>
  <si>
    <t>AN, Hyeran</t>
  </si>
  <si>
    <t>Hur, Sung Youn</t>
  </si>
  <si>
    <t>Jeong, Dahye</t>
  </si>
  <si>
    <t>Byeon, Jisoo</t>
  </si>
  <si>
    <t>Leem, Kylie</t>
  </si>
  <si>
    <t>Paek, Jennifer</t>
  </si>
  <si>
    <t>Chung, David</t>
  </si>
  <si>
    <t>Jeong, HanGil</t>
  </si>
  <si>
    <t>Bang, Sung Hoon</t>
  </si>
  <si>
    <t>Ko, Wondae</t>
  </si>
  <si>
    <t>Jang, Daniel</t>
  </si>
  <si>
    <t>Han, Daniel</t>
  </si>
  <si>
    <t>Han, Arum</t>
  </si>
  <si>
    <t>Lee, Suhan</t>
  </si>
  <si>
    <t>Won, Imsun</t>
  </si>
  <si>
    <t>Kim, DongKyu</t>
  </si>
  <si>
    <t>Jang, Ethan</t>
  </si>
  <si>
    <t>Choi, Mason</t>
  </si>
  <si>
    <t>Yoon, Aaron</t>
  </si>
  <si>
    <t>Chung, Amy</t>
  </si>
  <si>
    <t>Amy.Chung@stryker.com</t>
  </si>
  <si>
    <t>Ji, Jay</t>
  </si>
  <si>
    <t>Park, Sujin</t>
  </si>
  <si>
    <t>Bae, Vincent</t>
  </si>
  <si>
    <t>Kim, Daphne</t>
  </si>
  <si>
    <t>Park, Lucia</t>
  </si>
  <si>
    <t>Kim, Hannah</t>
  </si>
  <si>
    <t>Lee, Bruce</t>
  </si>
  <si>
    <t>Kim, Neal</t>
  </si>
  <si>
    <t>Heo, Lucas</t>
  </si>
  <si>
    <t>Jeong, Gyowon</t>
  </si>
  <si>
    <t>Park, Bryan</t>
  </si>
  <si>
    <t>Kim, Dawn</t>
  </si>
  <si>
    <t>Kim, Bomin</t>
  </si>
  <si>
    <t>Bomin.Kim@stryker.com</t>
  </si>
  <si>
    <t>Hwang, Ian</t>
  </si>
  <si>
    <t>Choi, Sally</t>
  </si>
  <si>
    <t>Jung, Lia</t>
  </si>
  <si>
    <t>Park, Sazy</t>
  </si>
  <si>
    <t>Kim, Shawn</t>
  </si>
  <si>
    <t>Kim, Andy</t>
  </si>
  <si>
    <t>Department</t>
  </si>
  <si>
    <t>Status</t>
  </si>
  <si>
    <t>위치</t>
  </si>
  <si>
    <t>Asset</t>
  </si>
  <si>
    <t>JDE Asset</t>
  </si>
  <si>
    <t>IT Tag</t>
  </si>
  <si>
    <t>Laptop/Desktop</t>
  </si>
  <si>
    <t>Remark</t>
  </si>
  <si>
    <t>All_Uer_Lease</t>
  </si>
  <si>
    <t>Email</t>
  </si>
  <si>
    <t>Ops</t>
  </si>
  <si>
    <t>HP Elitebook 840 G9</t>
  </si>
  <si>
    <t>서버룸</t>
  </si>
  <si>
    <t>교체 안함 /계속 사용하길 원함(2024년 4월)</t>
  </si>
  <si>
    <t>지급</t>
  </si>
  <si>
    <t>Jacky 퇴사 후 회수</t>
  </si>
  <si>
    <t>5CG2181LWH</t>
  </si>
  <si>
    <t>Haley Choi</t>
  </si>
  <si>
    <t>5CG2181LWZ</t>
  </si>
  <si>
    <t>2025년 Q2 교체 예정자</t>
  </si>
  <si>
    <t>5CG2181LX3</t>
  </si>
  <si>
    <t>Sean Jang</t>
  </si>
  <si>
    <t>Phil Lee</t>
  </si>
  <si>
    <t>5CG2181LW0</t>
  </si>
  <si>
    <t>Heeyeong Lee</t>
  </si>
  <si>
    <t>5CG2181LVX</t>
  </si>
  <si>
    <t>Olivia Seo</t>
  </si>
  <si>
    <t>5CG2181LX2</t>
  </si>
  <si>
    <t>Isabella Moon</t>
  </si>
  <si>
    <t>5CG2181LVV</t>
  </si>
  <si>
    <t>Austin Kim</t>
  </si>
  <si>
    <t>5CG2181LWK</t>
  </si>
  <si>
    <t>Junghun Kim</t>
  </si>
  <si>
    <t>25-05-15 반납(Jennifer Park)
 Deprovisioned 24-Feb-25</t>
  </si>
  <si>
    <t>5CG2181LWC</t>
  </si>
  <si>
    <t>5CG2181LWW</t>
  </si>
  <si>
    <t>2024/4/29 jinny 반납</t>
  </si>
  <si>
    <t>5CG2181LWY</t>
  </si>
  <si>
    <t>OPS(Jipyeong)</t>
  </si>
  <si>
    <t>Kwanwoo Lee</t>
  </si>
  <si>
    <t>지평 사무실</t>
  </si>
  <si>
    <t>5CG2181LWQ</t>
  </si>
  <si>
    <t>Isabel Jung</t>
  </si>
  <si>
    <t>5CG2181LVS</t>
  </si>
  <si>
    <t>Yongma, 반납</t>
  </si>
  <si>
    <t>5CG2181LVM</t>
  </si>
  <si>
    <t>5CG2181LVK</t>
  </si>
  <si>
    <t>Linda Kim</t>
  </si>
  <si>
    <t>5CG2181LWG</t>
  </si>
  <si>
    <t>Celine Lee</t>
  </si>
  <si>
    <t>5CG2181LXG</t>
  </si>
  <si>
    <t>5CG2181LWR</t>
  </si>
  <si>
    <t>5CG2181LCV</t>
  </si>
  <si>
    <t>Kunji Yun
 jpcustoms.skl</t>
  </si>
  <si>
    <t>5CG2181LCW</t>
  </si>
  <si>
    <t>5CG2261LCY(5CG2181LCY)</t>
  </si>
  <si>
    <t>5CG2181LVG</t>
  </si>
  <si>
    <t>5CG2181LX5</t>
  </si>
  <si>
    <t>5CG2181LVT</t>
  </si>
  <si>
    <t>5CG2181LVW</t>
  </si>
  <si>
    <t>5CG2181LX7</t>
  </si>
  <si>
    <t>Desktop</t>
  </si>
  <si>
    <t>용마 사무실</t>
  </si>
  <si>
    <t>8CC2250YBR</t>
  </si>
  <si>
    <t>YongMa, Recon</t>
  </si>
  <si>
    <t>8CC2250YBJ</t>
  </si>
  <si>
    <t>YongMa, Medsurg</t>
  </si>
  <si>
    <t>8CC2250YBM</t>
  </si>
  <si>
    <t>YongMa, Fixation</t>
  </si>
  <si>
    <t>8CC2250YBQ</t>
  </si>
  <si>
    <t>YongMa, Label</t>
  </si>
  <si>
    <t>8CC2250YBK</t>
  </si>
  <si>
    <t>Yongma, Operator</t>
  </si>
  <si>
    <t>8CC2250YBT</t>
  </si>
  <si>
    <t>YongMa, Operator01</t>
  </si>
  <si>
    <t>8CC2250YBV</t>
  </si>
  <si>
    <t>Yongma, Kit - Instrument /5.8 반납</t>
  </si>
  <si>
    <t>8CC2250YBS</t>
  </si>
  <si>
    <t>Yongma, Kit - Implant /5.8.반납</t>
  </si>
  <si>
    <t>8CC2250YBN</t>
  </si>
  <si>
    <t>Yongma, NV</t>
  </si>
  <si>
    <t>8CC2250YBP</t>
  </si>
  <si>
    <t>8CC2250YBW</t>
  </si>
  <si>
    <t>07/06/22</t>
  </si>
  <si>
    <t>Michelle Kim</t>
  </si>
  <si>
    <t>5CG2181LXD</t>
  </si>
  <si>
    <t>5CG2181LCR</t>
  </si>
  <si>
    <t>5CG2181LX8</t>
  </si>
  <si>
    <t>5CG2181LW4</t>
  </si>
  <si>
    <t>5CD3O27S4N</t>
  </si>
  <si>
    <t>5CD3O27S4T</t>
  </si>
  <si>
    <t>5CD3O27S4S</t>
  </si>
  <si>
    <t>Jason Son</t>
  </si>
  <si>
    <t>5CD3O27S4R</t>
  </si>
  <si>
    <t>SCG218ILXK</t>
  </si>
  <si>
    <t>5CD3O27S4V</t>
  </si>
  <si>
    <t>5CD32O81Z8</t>
  </si>
  <si>
    <t>Leo song</t>
  </si>
  <si>
    <t>HP EliteX360 830 G9</t>
  </si>
  <si>
    <t>5CG31941MQ</t>
  </si>
  <si>
    <t>5CD3027S4Q</t>
  </si>
  <si>
    <t>5CG32871LP</t>
  </si>
  <si>
    <t>5CG32871LW</t>
  </si>
  <si>
    <t>5CG32871LV</t>
  </si>
  <si>
    <t>5CG32871LX</t>
  </si>
  <si>
    <t>5CG32871LZ</t>
  </si>
  <si>
    <t>5CG32871LM</t>
  </si>
  <si>
    <t>5CG32871LR</t>
  </si>
  <si>
    <t>5CG32871LC</t>
  </si>
  <si>
    <t>5CG32871LL</t>
  </si>
  <si>
    <t>Seyoeng chun</t>
  </si>
  <si>
    <t>5CG32871LY</t>
  </si>
  <si>
    <t>Yeonjoo Kim / 키보드 고장</t>
  </si>
  <si>
    <t>퇴사 Mo Yunju 반납/L키 빠짐</t>
  </si>
  <si>
    <t>chloe.kang / 노트북 M키 파손</t>
  </si>
  <si>
    <t>Sujin Park / 액정 파손</t>
  </si>
  <si>
    <t>6/9 액정파손(dahye.jeong)</t>
  </si>
  <si>
    <r>
      <rPr>
        <u/>
        <sz val="11"/>
        <color rgb="FF1155CC"/>
        <rFont val="&quot;맑은 고딕&quot;, monospace"/>
        <charset val="129"/>
      </rPr>
      <t>kmultiuser@stryker.com</t>
    </r>
  </si>
  <si>
    <r>
      <rPr>
        <u/>
        <sz val="11"/>
        <color rgb="FF1155CC"/>
        <rFont val="&quot;맑은 고딕&quot;, monospace"/>
        <charset val="129"/>
      </rPr>
      <t>(보드손상 수리) / william chai</t>
    </r>
  </si>
  <si>
    <r>
      <rPr>
        <u/>
        <sz val="11"/>
        <color rgb="FF1155CC"/>
        <rFont val="&quot;맑은 고딕&quot;, monospace"/>
        <charset val="129"/>
      </rPr>
      <t>neal.kim@stryker.com</t>
    </r>
  </si>
  <si>
    <t>액정 파손 neal.kim</t>
  </si>
  <si>
    <t>#ERROR!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</si>
</sst>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m&quot;월&quot;\ d&quot;일&quot;"/>
    <numFmt numFmtId="177" formatCode="yy/mm/dd"/>
    <numFmt numFmtId="178" formatCode="yyyy\-mm\-dd"/>
    <numFmt numFmtId="179" formatCode="yyyy&quot;년&quot;\ m&quot;월&quot;"/>
    <numFmt numFmtId="180" formatCode="mm&quot;월&quot;\ dd&quot;일&quot;"/>
  </numFmts>
  <fonts count="73">
    <font>
      <sz val="10"/>
      <color rgb="FF000000"/>
      <name val="Arial"/>
      <scheme val="minor"/>
    </font>
    <font>
      <b/>
      <sz val="10"/>
      <color theme="1"/>
      <name val="Microsoft GothicNeo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8"/>
      <color rgb="FF222222"/>
      <name val="Google Sans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b/>
      <sz val="11"/>
      <color rgb="FF222222"/>
      <name val="Google Sans"/>
    </font>
    <font>
      <sz val="10"/>
      <color rgb="FF000000"/>
      <name val="&quot;Microsoft GothicNeo&quot;"/>
    </font>
    <font>
      <sz val="10"/>
      <color rgb="FF000000"/>
      <name val="Arial"/>
      <family val="2"/>
    </font>
    <font>
      <sz val="10"/>
      <color theme="1"/>
      <name val="&quot;Microsoft GothicNeo&quot;"/>
    </font>
    <font>
      <sz val="8"/>
      <color rgb="FF1F1F1F"/>
      <name val="&quot;Google Sans Mono&quot;"/>
    </font>
    <font>
      <sz val="8"/>
      <color rgb="FF000000"/>
      <name val="Aptos"/>
    </font>
    <font>
      <sz val="10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sz val="10"/>
      <color rgb="FF1F1F1F"/>
      <name val="&quot;Google Sans Mono&quot;"/>
    </font>
    <font>
      <b/>
      <sz val="10"/>
      <color rgb="FF000000"/>
      <name val="&quot;Microsoft GothicNeo&quot;"/>
    </font>
    <font>
      <sz val="11"/>
      <color theme="1"/>
      <name val="&quot;맑은 고딕&quot;"/>
      <family val="3"/>
      <charset val="129"/>
    </font>
    <font>
      <sz val="11"/>
      <color rgb="FF000000"/>
      <name val="Aptos"/>
    </font>
    <font>
      <sz val="11"/>
      <color rgb="FF000000"/>
      <name val="Calibri"/>
      <family val="2"/>
    </font>
    <font>
      <sz val="10"/>
      <color rgb="FF000000"/>
      <name val="&quot;맑은 고딕&quot;"/>
      <charset val="129"/>
    </font>
    <font>
      <sz val="10"/>
      <color theme="1"/>
      <name val="Arial"/>
      <family val="2"/>
    </font>
    <font>
      <sz val="11"/>
      <color rgb="FF000000"/>
      <name val="&quot;맑은 고딕&quot;"/>
      <charset val="129"/>
    </font>
    <font>
      <sz val="11"/>
      <color rgb="FF000000"/>
      <name val="&quot;Arial Unicode MS&quot;"/>
    </font>
    <font>
      <b/>
      <sz val="11"/>
      <color rgb="FF000000"/>
      <name val="Calibri"/>
      <family val="2"/>
    </font>
    <font>
      <b/>
      <sz val="11"/>
      <color rgb="FF000000"/>
      <name val="&quot;맑은 고딕&quot;"/>
      <charset val="129"/>
    </font>
    <font>
      <sz val="9"/>
      <color theme="1"/>
      <name val="Calibri"/>
      <family val="2"/>
    </font>
    <font>
      <b/>
      <sz val="8"/>
      <color rgb="FF000000"/>
      <name val="&quot;맑은 고딕&quot;"/>
      <charset val="129"/>
    </font>
    <font>
      <sz val="12"/>
      <color rgb="FF000000"/>
      <name val="Arial"/>
      <family val="2"/>
    </font>
    <font>
      <sz val="12"/>
      <color rgb="FF000000"/>
      <name val="&quot;Segoe UI&quot;"/>
    </font>
    <font>
      <u/>
      <sz val="11"/>
      <color rgb="FF0000FF"/>
      <name val="&quot;맑은 고딕&quot;"/>
      <charset val="129"/>
    </font>
    <font>
      <sz val="8"/>
      <color rgb="FF000000"/>
      <name val="&quot;맑은 고딕&quot;"/>
      <charset val="129"/>
    </font>
    <font>
      <sz val="10"/>
      <color theme="1"/>
      <name val="&quot;맑은 고딕&quot;"/>
      <charset val="129"/>
    </font>
    <font>
      <u/>
      <sz val="11"/>
      <color rgb="FF0000FF"/>
      <name val="&quot;맑은 고딕&quot;"/>
      <charset val="129"/>
    </font>
    <font>
      <u/>
      <sz val="11"/>
      <color rgb="FF0000FF"/>
      <name val="&quot;맑은 고딕&quot;"/>
      <charset val="129"/>
    </font>
    <font>
      <u/>
      <sz val="11"/>
      <color rgb="FF0000FF"/>
      <name val="&quot;맑은 고딕&quot;"/>
      <charset val="129"/>
    </font>
    <font>
      <u/>
      <sz val="11"/>
      <color rgb="FF0000FF"/>
      <name val="&quot;맑은 고딕&quot;"/>
      <charset val="129"/>
    </font>
    <font>
      <sz val="10"/>
      <color rgb="FF000000"/>
      <name val="Aptos"/>
    </font>
    <font>
      <sz val="11"/>
      <color theme="1"/>
      <name val="돋움"/>
      <family val="2"/>
      <charset val="129"/>
    </font>
    <font>
      <u/>
      <sz val="11"/>
      <color rgb="FF0000FF"/>
      <name val="&quot;맑은 고딕&quot;"/>
      <charset val="129"/>
    </font>
    <font>
      <u/>
      <sz val="11"/>
      <color rgb="FF0000FF"/>
      <name val="&quot;맑은 고딕&quot;"/>
      <charset val="129"/>
    </font>
    <font>
      <u/>
      <sz val="11"/>
      <color rgb="FF0000FF"/>
      <name val="&quot;맑은 고딕&quot;"/>
      <charset val="129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1"/>
      <color theme="1"/>
      <name val="Aptos"/>
    </font>
    <font>
      <b/>
      <sz val="10"/>
      <color theme="1"/>
      <name val="Aptos"/>
    </font>
    <font>
      <u/>
      <sz val="11"/>
      <color rgb="FF0000FF"/>
      <name val="&quot;맑은 고딕&quot;"/>
      <charset val="129"/>
    </font>
    <font>
      <sz val="12"/>
      <color rgb="FF000000"/>
      <name val="Aptos"/>
    </font>
    <font>
      <sz val="10"/>
      <name val="Arial"/>
      <family val="2"/>
    </font>
    <font>
      <u/>
      <sz val="11"/>
      <color rgb="FF0000FF"/>
      <name val="&quot;맑은 고딕&quot;"/>
      <charset val="129"/>
    </font>
    <font>
      <u/>
      <sz val="11"/>
      <color rgb="FF0000FF"/>
      <name val="&quot;맑은 고딕&quot;"/>
      <charset val="129"/>
    </font>
    <font>
      <sz val="9"/>
      <color rgb="FF000000"/>
      <name val="Calibri"/>
      <family val="2"/>
    </font>
    <font>
      <sz val="9"/>
      <color theme="1"/>
      <name val="Arial"/>
      <family val="2"/>
      <scheme val="minor"/>
    </font>
    <font>
      <sz val="9"/>
      <color theme="1"/>
      <name val="&quot;Microsoft GothicNeo&quot;"/>
    </font>
    <font>
      <sz val="9"/>
      <color rgb="FF000000"/>
      <name val="&quot;Microsoft GothicNeo&quot;"/>
    </font>
    <font>
      <sz val="9"/>
      <color rgb="FF000000"/>
      <name val="Arial"/>
      <family val="2"/>
    </font>
    <font>
      <b/>
      <sz val="10"/>
      <color theme="1"/>
      <name val="Arial"/>
      <family val="2"/>
      <scheme val="minor"/>
    </font>
    <font>
      <u/>
      <sz val="11"/>
      <color rgb="FF0000FF"/>
      <name val="&quot;맑은 고딕&quot;"/>
      <charset val="129"/>
    </font>
    <font>
      <u/>
      <sz val="11"/>
      <color rgb="FF0000FF"/>
      <name val="&quot;맑은 고딕&quot;"/>
      <charset val="129"/>
    </font>
    <font>
      <sz val="11"/>
      <color theme="1"/>
      <name val="Arial"/>
      <family val="2"/>
      <scheme val="minor"/>
    </font>
    <font>
      <sz val="10"/>
      <color theme="1"/>
      <name val="Microsoft GothicNeo"/>
    </font>
    <font>
      <sz val="10"/>
      <color rgb="FF1F1F1F"/>
      <name val="Google Sans Mono"/>
    </font>
    <font>
      <u/>
      <sz val="11"/>
      <color rgb="FF1155CC"/>
      <name val="Arial"/>
      <family val="2"/>
    </font>
    <font>
      <sz val="11"/>
      <color rgb="FF000000"/>
      <name val="굴림"/>
      <family val="2"/>
      <charset val="129"/>
    </font>
    <font>
      <sz val="11"/>
      <color rgb="FF000000"/>
      <name val="&quot;Microsoft Sans Serif&quot;"/>
    </font>
    <font>
      <b/>
      <sz val="11"/>
      <color rgb="FF000000"/>
      <name val="&quot;Arial Unicode MS&quot;"/>
    </font>
    <font>
      <b/>
      <sz val="11"/>
      <color rgb="FF000000"/>
      <name val="&quot;Microsoft Sans Serif&quot;"/>
    </font>
    <font>
      <b/>
      <sz val="9"/>
      <color theme="1"/>
      <name val="Calibri"/>
      <family val="2"/>
    </font>
    <font>
      <b/>
      <sz val="11"/>
      <color rgb="FF000000"/>
      <name val="굴림"/>
      <family val="2"/>
      <charset val="129"/>
    </font>
    <font>
      <u/>
      <sz val="11"/>
      <color rgb="FF0000FF"/>
      <name val="&quot;맑은 고딕&quot;"/>
      <charset val="129"/>
    </font>
    <font>
      <u/>
      <sz val="11"/>
      <color rgb="FF1155CC"/>
      <name val="&quot;맑은 고딕&quot;, monospace"/>
      <family val="3"/>
      <charset val="129"/>
    </font>
    <font>
      <u/>
      <sz val="11"/>
      <color rgb="FF1155CC"/>
      <name val="&quot;맑은 고딕&quot;, monospace"/>
      <charset val="129"/>
    </font>
    <font>
      <sz val="8"/>
      <name val="Arial"/>
      <family val="3"/>
      <charset val="129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FF9900"/>
        <bgColor rgb="FFFF9900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F0F4F9"/>
        <bgColor rgb="FFF0F4F9"/>
      </patternFill>
    </fill>
    <fill>
      <patternFill patternType="solid">
        <fgColor rgb="FFFFA500"/>
        <bgColor rgb="FFFFA500"/>
      </patternFill>
    </fill>
    <fill>
      <patternFill patternType="solid">
        <fgColor rgb="FFF2F2F2"/>
        <bgColor rgb="FFF2F2F2"/>
      </patternFill>
    </fill>
    <fill>
      <patternFill patternType="solid">
        <fgColor rgb="FFC1F0C8"/>
        <bgColor rgb="FFC1F0C8"/>
      </patternFill>
    </fill>
    <fill>
      <patternFill patternType="solid">
        <fgColor rgb="FFDCE6F1"/>
        <bgColor rgb="FFDCE6F1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DE9D9"/>
        <bgColor rgb="FFFDE9D9"/>
      </patternFill>
    </fill>
    <fill>
      <patternFill patternType="solid">
        <fgColor rgb="FF4F81BD"/>
        <bgColor rgb="FF4F81BD"/>
      </patternFill>
    </fill>
    <fill>
      <patternFill patternType="solid">
        <fgColor rgb="FFB7B7B7"/>
        <bgColor rgb="FFB7B7B7"/>
      </patternFill>
    </fill>
    <fill>
      <patternFill patternType="solid">
        <fgColor rgb="FFDAEEF3"/>
        <bgColor rgb="FFDAEEF3"/>
      </patternFill>
    </fill>
    <fill>
      <patternFill patternType="solid">
        <fgColor rgb="FFEBF1DE"/>
        <bgColor rgb="FFEBF1DE"/>
      </patternFill>
    </fill>
    <fill>
      <patternFill patternType="solid">
        <fgColor rgb="FFFCD5B4"/>
        <bgColor rgb="FFFCD5B4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B7DEE8"/>
        <bgColor rgb="FFB7DEE8"/>
      </patternFill>
    </fill>
    <fill>
      <patternFill patternType="solid">
        <fgColor rgb="FFE6B8B7"/>
        <bgColor rgb="FFE6B8B7"/>
      </patternFill>
    </fill>
    <fill>
      <patternFill patternType="solid">
        <fgColor rgb="FFE4DFEC"/>
        <bgColor rgb="FFE4DFEC"/>
      </patternFill>
    </fill>
    <fill>
      <patternFill patternType="solid">
        <fgColor rgb="FFFABF8F"/>
        <bgColor rgb="FFFABF8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 wrapText="1"/>
    </xf>
    <xf numFmtId="0" fontId="8" fillId="6" borderId="1" xfId="0" applyFont="1" applyFill="1" applyBorder="1" applyAlignment="1">
      <alignment horizontal="center"/>
    </xf>
    <xf numFmtId="0" fontId="9" fillId="6" borderId="1" xfId="0" applyFont="1" applyFill="1" applyBorder="1"/>
    <xf numFmtId="0" fontId="8" fillId="6" borderId="1" xfId="0" applyFont="1" applyFill="1" applyBorder="1"/>
    <xf numFmtId="0" fontId="10" fillId="6" borderId="1" xfId="0" applyFont="1" applyFill="1" applyBorder="1"/>
    <xf numFmtId="0" fontId="11" fillId="7" borderId="1" xfId="0" applyFont="1" applyFill="1" applyBorder="1"/>
    <xf numFmtId="0" fontId="12" fillId="0" borderId="0" xfId="0" applyFont="1"/>
    <xf numFmtId="0" fontId="13" fillId="6" borderId="1" xfId="0" applyFont="1" applyFill="1" applyBorder="1"/>
    <xf numFmtId="0" fontId="14" fillId="6" borderId="1" xfId="0" applyFont="1" applyFill="1" applyBorder="1"/>
    <xf numFmtId="0" fontId="14" fillId="6" borderId="0" xfId="0" applyFont="1" applyFill="1"/>
    <xf numFmtId="0" fontId="13" fillId="6" borderId="0" xfId="0" applyFont="1" applyFill="1"/>
    <xf numFmtId="0" fontId="15" fillId="7" borderId="1" xfId="0" applyFont="1" applyFill="1" applyBorder="1"/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/>
    <xf numFmtId="0" fontId="15" fillId="4" borderId="1" xfId="0" applyFont="1" applyFill="1" applyBorder="1"/>
    <xf numFmtId="0" fontId="13" fillId="4" borderId="1" xfId="0" applyFont="1" applyFill="1" applyBorder="1"/>
    <xf numFmtId="0" fontId="13" fillId="4" borderId="0" xfId="0" applyFont="1" applyFill="1"/>
    <xf numFmtId="0" fontId="8" fillId="8" borderId="1" xfId="0" applyFont="1" applyFill="1" applyBorder="1" applyAlignment="1">
      <alignment horizontal="center"/>
    </xf>
    <xf numFmtId="0" fontId="8" fillId="8" borderId="1" xfId="0" applyFont="1" applyFill="1" applyBorder="1"/>
    <xf numFmtId="0" fontId="15" fillId="8" borderId="1" xfId="0" applyFont="1" applyFill="1" applyBorder="1"/>
    <xf numFmtId="0" fontId="13" fillId="8" borderId="1" xfId="0" applyFont="1" applyFill="1" applyBorder="1"/>
    <xf numFmtId="0" fontId="13" fillId="8" borderId="0" xfId="0" applyFont="1" applyFill="1"/>
    <xf numFmtId="176" fontId="13" fillId="8" borderId="0" xfId="0" applyNumberFormat="1" applyFont="1" applyFill="1"/>
    <xf numFmtId="0" fontId="16" fillId="6" borderId="1" xfId="0" applyFont="1" applyFill="1" applyBorder="1" applyAlignment="1">
      <alignment horizontal="center"/>
    </xf>
    <xf numFmtId="0" fontId="16" fillId="6" borderId="1" xfId="0" applyFont="1" applyFill="1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11" fillId="0" borderId="1" xfId="0" applyFont="1" applyBorder="1"/>
    <xf numFmtId="0" fontId="14" fillId="0" borderId="1" xfId="0" applyFont="1" applyBorder="1"/>
    <xf numFmtId="0" fontId="13" fillId="0" borderId="1" xfId="0" applyFont="1" applyBorder="1"/>
    <xf numFmtId="0" fontId="14" fillId="0" borderId="0" xfId="0" applyFont="1"/>
    <xf numFmtId="0" fontId="13" fillId="0" borderId="0" xfId="0" applyFont="1"/>
    <xf numFmtId="0" fontId="17" fillId="8" borderId="1" xfId="0" applyFont="1" applyFill="1" applyBorder="1" applyAlignment="1">
      <alignment horizontal="center"/>
    </xf>
    <xf numFmtId="0" fontId="18" fillId="0" borderId="0" xfId="0" applyFont="1"/>
    <xf numFmtId="0" fontId="19" fillId="9" borderId="2" xfId="0" applyFont="1" applyFill="1" applyBorder="1" applyAlignment="1">
      <alignment horizontal="center"/>
    </xf>
    <xf numFmtId="0" fontId="15" fillId="0" borderId="1" xfId="0" applyFont="1" applyBorder="1"/>
    <xf numFmtId="0" fontId="8" fillId="10" borderId="1" xfId="0" applyFont="1" applyFill="1" applyBorder="1" applyAlignment="1">
      <alignment horizontal="center"/>
    </xf>
    <xf numFmtId="0" fontId="8" fillId="10" borderId="1" xfId="0" applyFont="1" applyFill="1" applyBorder="1"/>
    <xf numFmtId="0" fontId="9" fillId="0" borderId="1" xfId="0" applyFont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8" fillId="6" borderId="3" xfId="0" applyFont="1" applyFill="1" applyBorder="1"/>
    <xf numFmtId="0" fontId="8" fillId="6" borderId="4" xfId="0" applyFont="1" applyFill="1" applyBorder="1"/>
    <xf numFmtId="0" fontId="19" fillId="6" borderId="1" xfId="0" applyFont="1" applyFill="1" applyBorder="1" applyAlignment="1">
      <alignment horizontal="center"/>
    </xf>
    <xf numFmtId="0" fontId="20" fillId="6" borderId="1" xfId="0" applyFont="1" applyFill="1" applyBorder="1"/>
    <xf numFmtId="0" fontId="21" fillId="6" borderId="1" xfId="0" applyFont="1" applyFill="1" applyBorder="1"/>
    <xf numFmtId="0" fontId="8" fillId="6" borderId="1" xfId="0" applyFont="1" applyFill="1" applyBorder="1" applyAlignment="1">
      <alignment horizontal="left"/>
    </xf>
    <xf numFmtId="0" fontId="9" fillId="6" borderId="1" xfId="0" applyFont="1" applyFill="1" applyBorder="1" applyAlignment="1">
      <alignment horizontal="left"/>
    </xf>
    <xf numFmtId="0" fontId="21" fillId="0" borderId="0" xfId="0" applyFont="1"/>
    <xf numFmtId="0" fontId="9" fillId="6" borderId="0" xfId="0" applyFont="1" applyFill="1" applyAlignment="1">
      <alignment horizontal="center"/>
    </xf>
    <xf numFmtId="0" fontId="22" fillId="6" borderId="1" xfId="0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9" fillId="0" borderId="1" xfId="0" applyFont="1" applyBorder="1"/>
    <xf numFmtId="0" fontId="9" fillId="0" borderId="0" xfId="0" applyFont="1" applyAlignment="1">
      <alignment horizontal="center"/>
    </xf>
    <xf numFmtId="0" fontId="23" fillId="6" borderId="2" xfId="0" applyFont="1" applyFill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19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1" fillId="7" borderId="0" xfId="0" applyFont="1" applyFill="1"/>
    <xf numFmtId="0" fontId="24" fillId="3" borderId="1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2" fillId="0" borderId="0" xfId="0" applyFont="1"/>
    <xf numFmtId="0" fontId="22" fillId="0" borderId="1" xfId="0" applyFont="1" applyBorder="1"/>
    <xf numFmtId="177" fontId="26" fillId="0" borderId="1" xfId="0" applyNumberFormat="1" applyFont="1" applyBorder="1" applyAlignment="1">
      <alignment horizontal="center"/>
    </xf>
    <xf numFmtId="0" fontId="27" fillId="6" borderId="1" xfId="0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22" fillId="6" borderId="1" xfId="0" applyFont="1" applyFill="1" applyBorder="1"/>
    <xf numFmtId="177" fontId="26" fillId="6" borderId="1" xfId="0" applyNumberFormat="1" applyFont="1" applyFill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25" fillId="6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vertical="center"/>
    </xf>
    <xf numFmtId="0" fontId="26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31" fillId="11" borderId="1" xfId="0" applyFont="1" applyFill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6" fillId="6" borderId="1" xfId="0" applyFont="1" applyFill="1" applyBorder="1" applyAlignment="1">
      <alignment horizontal="center"/>
    </xf>
    <xf numFmtId="0" fontId="32" fillId="0" borderId="0" xfId="0" applyFont="1"/>
    <xf numFmtId="0" fontId="22" fillId="12" borderId="1" xfId="0" applyFont="1" applyFill="1" applyBorder="1" applyAlignment="1">
      <alignment horizontal="center"/>
    </xf>
    <xf numFmtId="0" fontId="19" fillId="0" borderId="1" xfId="0" applyFont="1" applyBorder="1"/>
    <xf numFmtId="0" fontId="19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9" fillId="13" borderId="1" xfId="0" applyFont="1" applyFill="1" applyBorder="1" applyAlignment="1">
      <alignment horizontal="center"/>
    </xf>
    <xf numFmtId="0" fontId="22" fillId="13" borderId="1" xfId="0" applyFont="1" applyFill="1" applyBorder="1"/>
    <xf numFmtId="177" fontId="26" fillId="13" borderId="1" xfId="0" applyNumberFormat="1" applyFont="1" applyFill="1" applyBorder="1" applyAlignment="1">
      <alignment horizontal="center"/>
    </xf>
    <xf numFmtId="0" fontId="22" fillId="13" borderId="1" xfId="0" applyFont="1" applyFill="1" applyBorder="1" applyAlignment="1">
      <alignment horizontal="center"/>
    </xf>
    <xf numFmtId="0" fontId="33" fillId="13" borderId="1" xfId="0" applyFont="1" applyFill="1" applyBorder="1" applyAlignment="1">
      <alignment horizontal="center"/>
    </xf>
    <xf numFmtId="0" fontId="25" fillId="13" borderId="1" xfId="0" applyFont="1" applyFill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0" fontId="35" fillId="6" borderId="1" xfId="0" applyFont="1" applyFill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vertical="top"/>
    </xf>
    <xf numFmtId="0" fontId="26" fillId="0" borderId="0" xfId="0" applyFont="1" applyAlignment="1">
      <alignment horizontal="center"/>
    </xf>
    <xf numFmtId="0" fontId="37" fillId="0" borderId="0" xfId="0" applyFont="1"/>
    <xf numFmtId="49" fontId="13" fillId="0" borderId="0" xfId="0" applyNumberFormat="1" applyFont="1"/>
    <xf numFmtId="49" fontId="38" fillId="14" borderId="1" xfId="0" quotePrefix="1" applyNumberFormat="1" applyFont="1" applyFill="1" applyBorder="1"/>
    <xf numFmtId="0" fontId="24" fillId="3" borderId="5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3" borderId="8" xfId="0" applyFont="1" applyFill="1" applyBorder="1" applyAlignment="1">
      <alignment horizontal="center"/>
    </xf>
    <xf numFmtId="0" fontId="20" fillId="15" borderId="1" xfId="0" applyFont="1" applyFill="1" applyBorder="1" applyAlignment="1">
      <alignment horizontal="center"/>
    </xf>
    <xf numFmtId="0" fontId="22" fillId="15" borderId="1" xfId="0" applyFont="1" applyFill="1" applyBorder="1" applyAlignment="1">
      <alignment horizontal="center"/>
    </xf>
    <xf numFmtId="0" fontId="22" fillId="15" borderId="1" xfId="0" applyFont="1" applyFill="1" applyBorder="1"/>
    <xf numFmtId="0" fontId="24" fillId="15" borderId="0" xfId="0" applyFont="1" applyFill="1" applyAlignment="1">
      <alignment horizontal="center"/>
    </xf>
    <xf numFmtId="0" fontId="25" fillId="15" borderId="0" xfId="0" applyFont="1" applyFill="1" applyAlignment="1">
      <alignment horizontal="center"/>
    </xf>
    <xf numFmtId="0" fontId="25" fillId="15" borderId="1" xfId="0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178" fontId="20" fillId="0" borderId="1" xfId="0" applyNumberFormat="1" applyFont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9" fillId="0" borderId="1" xfId="0" applyFont="1" applyBorder="1" applyAlignment="1">
      <alignment vertical="top"/>
    </xf>
    <xf numFmtId="0" fontId="25" fillId="0" borderId="9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178" fontId="20" fillId="0" borderId="2" xfId="0" applyNumberFormat="1" applyFont="1" applyBorder="1" applyAlignment="1">
      <alignment horizontal="center"/>
    </xf>
    <xf numFmtId="0" fontId="22" fillId="0" borderId="2" xfId="0" applyFont="1" applyBorder="1"/>
    <xf numFmtId="0" fontId="22" fillId="0" borderId="9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2" fillId="0" borderId="10" xfId="0" applyFont="1" applyBorder="1"/>
    <xf numFmtId="0" fontId="25" fillId="0" borderId="1" xfId="0" applyFont="1" applyBorder="1"/>
    <xf numFmtId="0" fontId="39" fillId="0" borderId="1" xfId="0" applyFont="1" applyBorder="1"/>
    <xf numFmtId="0" fontId="22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178" fontId="20" fillId="6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25" fillId="6" borderId="1" xfId="0" applyFont="1" applyFill="1" applyBorder="1" applyAlignment="1">
      <alignment vertical="center"/>
    </xf>
    <xf numFmtId="0" fontId="25" fillId="6" borderId="9" xfId="0" applyFont="1" applyFill="1" applyBorder="1" applyAlignment="1">
      <alignment horizontal="center" vertical="center"/>
    </xf>
    <xf numFmtId="0" fontId="20" fillId="0" borderId="11" xfId="0" applyFont="1" applyBorder="1" applyAlignment="1">
      <alignment horizontal="center"/>
    </xf>
    <xf numFmtId="0" fontId="20" fillId="6" borderId="1" xfId="0" applyFont="1" applyFill="1" applyBorder="1" applyAlignment="1">
      <alignment horizontal="center"/>
    </xf>
    <xf numFmtId="178" fontId="20" fillId="6" borderId="1" xfId="0" applyNumberFormat="1" applyFont="1" applyFill="1" applyBorder="1" applyAlignment="1">
      <alignment horizontal="center"/>
    </xf>
    <xf numFmtId="0" fontId="20" fillId="6" borderId="2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178" fontId="20" fillId="0" borderId="5" xfId="0" applyNumberFormat="1" applyFont="1" applyBorder="1" applyAlignment="1">
      <alignment horizontal="center"/>
    </xf>
    <xf numFmtId="0" fontId="22" fillId="0" borderId="5" xfId="0" applyFont="1" applyBorder="1"/>
    <xf numFmtId="0" fontId="20" fillId="13" borderId="1" xfId="0" applyFont="1" applyFill="1" applyBorder="1" applyAlignment="1">
      <alignment horizontal="center"/>
    </xf>
    <xf numFmtId="178" fontId="20" fillId="13" borderId="1" xfId="0" applyNumberFormat="1" applyFont="1" applyFill="1" applyBorder="1" applyAlignment="1">
      <alignment horizontal="center"/>
    </xf>
    <xf numFmtId="0" fontId="40" fillId="6" borderId="1" xfId="0" applyFont="1" applyFill="1" applyBorder="1"/>
    <xf numFmtId="0" fontId="20" fillId="16" borderId="1" xfId="0" applyFont="1" applyFill="1" applyBorder="1" applyAlignment="1">
      <alignment horizontal="center"/>
    </xf>
    <xf numFmtId="178" fontId="20" fillId="16" borderId="1" xfId="0" applyNumberFormat="1" applyFont="1" applyFill="1" applyBorder="1" applyAlignment="1">
      <alignment horizontal="center"/>
    </xf>
    <xf numFmtId="0" fontId="22" fillId="16" borderId="1" xfId="0" applyFont="1" applyFill="1" applyBorder="1" applyAlignment="1">
      <alignment horizontal="center"/>
    </xf>
    <xf numFmtId="0" fontId="22" fillId="16" borderId="1" xfId="0" applyFont="1" applyFill="1" applyBorder="1"/>
    <xf numFmtId="0" fontId="31" fillId="16" borderId="1" xfId="0" applyFont="1" applyFill="1" applyBorder="1"/>
    <xf numFmtId="0" fontId="22" fillId="16" borderId="9" xfId="0" applyFont="1" applyFill="1" applyBorder="1" applyAlignment="1">
      <alignment horizontal="center"/>
    </xf>
    <xf numFmtId="0" fontId="22" fillId="4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178" fontId="20" fillId="4" borderId="1" xfId="0" applyNumberFormat="1" applyFont="1" applyFill="1" applyBorder="1" applyAlignment="1">
      <alignment horizontal="center"/>
    </xf>
    <xf numFmtId="0" fontId="22" fillId="4" borderId="1" xfId="0" applyFont="1" applyFill="1" applyBorder="1"/>
    <xf numFmtId="0" fontId="22" fillId="4" borderId="9" xfId="0" applyFont="1" applyFill="1" applyBorder="1" applyAlignment="1">
      <alignment horizontal="center"/>
    </xf>
    <xf numFmtId="0" fontId="41" fillId="0" borderId="1" xfId="0" applyFont="1" applyBorder="1"/>
    <xf numFmtId="0" fontId="20" fillId="0" borderId="0" xfId="0" applyFont="1"/>
    <xf numFmtId="0" fontId="42" fillId="3" borderId="7" xfId="0" applyFont="1" applyFill="1" applyBorder="1" applyAlignment="1">
      <alignment horizontal="center"/>
    </xf>
    <xf numFmtId="0" fontId="42" fillId="3" borderId="1" xfId="0" applyFont="1" applyFill="1" applyBorder="1" applyAlignment="1">
      <alignment horizontal="center"/>
    </xf>
    <xf numFmtId="0" fontId="42" fillId="3" borderId="5" xfId="0" applyFont="1" applyFill="1" applyBorder="1" applyAlignment="1">
      <alignment horizontal="center"/>
    </xf>
    <xf numFmtId="0" fontId="42" fillId="3" borderId="2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20" fillId="14" borderId="1" xfId="0" applyFont="1" applyFill="1" applyBorder="1" applyAlignment="1">
      <alignment horizontal="center"/>
    </xf>
    <xf numFmtId="0" fontId="20" fillId="0" borderId="1" xfId="0" applyFont="1" applyBorder="1"/>
    <xf numFmtId="179" fontId="20" fillId="0" borderId="1" xfId="0" applyNumberFormat="1" applyFont="1" applyBorder="1" applyAlignment="1">
      <alignment horizontal="center"/>
    </xf>
    <xf numFmtId="0" fontId="18" fillId="0" borderId="0" xfId="0" applyFont="1" applyAlignment="1">
      <alignment horizontal="center"/>
    </xf>
    <xf numFmtId="0" fontId="20" fillId="17" borderId="1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20" fillId="18" borderId="1" xfId="0" applyFont="1" applyFill="1" applyBorder="1" applyAlignment="1">
      <alignment horizontal="center"/>
    </xf>
    <xf numFmtId="0" fontId="44" fillId="0" borderId="0" xfId="0" applyFont="1" applyAlignment="1">
      <alignment horizontal="center"/>
    </xf>
    <xf numFmtId="0" fontId="20" fillId="11" borderId="1" xfId="0" applyFont="1" applyFill="1" applyBorder="1" applyAlignment="1">
      <alignment horizontal="center"/>
    </xf>
    <xf numFmtId="0" fontId="20" fillId="9" borderId="1" xfId="0" applyFont="1" applyFill="1" applyBorder="1" applyAlignment="1">
      <alignment horizontal="center"/>
    </xf>
    <xf numFmtId="0" fontId="20" fillId="12" borderId="1" xfId="0" applyFont="1" applyFill="1" applyBorder="1"/>
    <xf numFmtId="0" fontId="13" fillId="12" borderId="0" xfId="0" applyFont="1" applyFill="1"/>
    <xf numFmtId="179" fontId="20" fillId="12" borderId="1" xfId="0" applyNumberFormat="1" applyFont="1" applyFill="1" applyBorder="1" applyAlignment="1">
      <alignment horizontal="center"/>
    </xf>
    <xf numFmtId="0" fontId="22" fillId="12" borderId="1" xfId="0" applyFont="1" applyFill="1" applyBorder="1"/>
    <xf numFmtId="0" fontId="32" fillId="0" borderId="0" xfId="0" applyFont="1" applyAlignment="1">
      <alignment horizontal="center"/>
    </xf>
    <xf numFmtId="0" fontId="20" fillId="5" borderId="1" xfId="0" applyFont="1" applyFill="1" applyBorder="1" applyAlignment="1">
      <alignment horizontal="center"/>
    </xf>
    <xf numFmtId="0" fontId="20" fillId="19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45" fillId="6" borderId="1" xfId="0" applyFont="1" applyFill="1" applyBorder="1" applyAlignment="1">
      <alignment horizontal="center"/>
    </xf>
    <xf numFmtId="0" fontId="45" fillId="0" borderId="1" xfId="0" applyFont="1" applyBorder="1" applyAlignment="1">
      <alignment horizontal="center"/>
    </xf>
    <xf numFmtId="179" fontId="19" fillId="6" borderId="1" xfId="0" applyNumberFormat="1" applyFont="1" applyFill="1" applyBorder="1" applyAlignment="1">
      <alignment horizontal="center"/>
    </xf>
    <xf numFmtId="180" fontId="19" fillId="6" borderId="1" xfId="0" applyNumberFormat="1" applyFont="1" applyFill="1" applyBorder="1" applyAlignment="1">
      <alignment horizontal="center"/>
    </xf>
    <xf numFmtId="176" fontId="13" fillId="0" borderId="1" xfId="0" applyNumberFormat="1" applyFont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46" fillId="0" borderId="1" xfId="0" applyFont="1" applyBorder="1" applyAlignment="1">
      <alignment vertical="top"/>
    </xf>
    <xf numFmtId="0" fontId="47" fillId="0" borderId="1" xfId="0" applyFont="1" applyBorder="1"/>
    <xf numFmtId="0" fontId="44" fillId="0" borderId="1" xfId="0" applyFont="1" applyBorder="1"/>
    <xf numFmtId="0" fontId="20" fillId="20" borderId="1" xfId="0" applyFont="1" applyFill="1" applyBorder="1" applyAlignment="1">
      <alignment horizontal="center"/>
    </xf>
    <xf numFmtId="0" fontId="32" fillId="20" borderId="1" xfId="0" applyFont="1" applyFill="1" applyBorder="1" applyAlignment="1">
      <alignment horizontal="center"/>
    </xf>
    <xf numFmtId="0" fontId="20" fillId="20" borderId="1" xfId="0" applyFont="1" applyFill="1" applyBorder="1" applyAlignment="1">
      <alignment horizontal="center" vertical="top"/>
    </xf>
    <xf numFmtId="0" fontId="22" fillId="0" borderId="1" xfId="0" applyFont="1" applyBorder="1" applyAlignment="1">
      <alignment horizontal="left" vertical="top"/>
    </xf>
    <xf numFmtId="0" fontId="22" fillId="20" borderId="1" xfId="0" applyFont="1" applyFill="1" applyBorder="1"/>
    <xf numFmtId="0" fontId="20" fillId="20" borderId="1" xfId="0" applyFont="1" applyFill="1" applyBorder="1" applyAlignment="1">
      <alignment horizontal="center" vertical="center"/>
    </xf>
    <xf numFmtId="0" fontId="19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6" fillId="20" borderId="1" xfId="0" applyFont="1" applyFill="1" applyBorder="1" applyAlignment="1">
      <alignment horizontal="center" vertical="center"/>
    </xf>
    <xf numFmtId="0" fontId="49" fillId="0" borderId="1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22" fillId="20" borderId="1" xfId="0" applyFont="1" applyFill="1" applyBorder="1" applyAlignment="1">
      <alignment horizontal="center"/>
    </xf>
    <xf numFmtId="0" fontId="22" fillId="20" borderId="5" xfId="0" applyFont="1" applyFill="1" applyBorder="1" applyAlignment="1">
      <alignment horizontal="center"/>
    </xf>
    <xf numFmtId="0" fontId="22" fillId="21" borderId="1" xfId="0" applyFont="1" applyFill="1" applyBorder="1" applyAlignment="1">
      <alignment horizontal="center"/>
    </xf>
    <xf numFmtId="0" fontId="19" fillId="21" borderId="1" xfId="0" applyFont="1" applyFill="1" applyBorder="1" applyAlignment="1">
      <alignment horizontal="center"/>
    </xf>
    <xf numFmtId="0" fontId="22" fillId="21" borderId="1" xfId="0" applyFont="1" applyFill="1" applyBorder="1"/>
    <xf numFmtId="0" fontId="22" fillId="21" borderId="14" xfId="0" applyFont="1" applyFill="1" applyBorder="1" applyAlignment="1">
      <alignment horizontal="center"/>
    </xf>
    <xf numFmtId="0" fontId="22" fillId="21" borderId="10" xfId="0" applyFont="1" applyFill="1" applyBorder="1" applyAlignment="1">
      <alignment horizontal="center"/>
    </xf>
    <xf numFmtId="0" fontId="50" fillId="0" borderId="0" xfId="0" applyFont="1"/>
    <xf numFmtId="0" fontId="22" fillId="6" borderId="10" xfId="0" applyFont="1" applyFill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0" fontId="19" fillId="9" borderId="0" xfId="0" applyFont="1" applyFill="1" applyAlignment="1">
      <alignment horizontal="center"/>
    </xf>
    <xf numFmtId="0" fontId="52" fillId="0" borderId="1" xfId="0" applyFont="1" applyBorder="1"/>
    <xf numFmtId="0" fontId="19" fillId="9" borderId="1" xfId="0" applyFont="1" applyFill="1" applyBorder="1" applyAlignment="1">
      <alignment horizontal="center"/>
    </xf>
    <xf numFmtId="0" fontId="53" fillId="0" borderId="1" xfId="0" applyFont="1" applyBorder="1"/>
    <xf numFmtId="0" fontId="54" fillId="0" borderId="1" xfId="0" applyFont="1" applyBorder="1"/>
    <xf numFmtId="0" fontId="55" fillId="0" borderId="1" xfId="0" applyFont="1" applyBorder="1" applyAlignment="1">
      <alignment horizontal="center"/>
    </xf>
    <xf numFmtId="0" fontId="19" fillId="9" borderId="11" xfId="0" applyFont="1" applyFill="1" applyBorder="1" applyAlignment="1">
      <alignment horizontal="center"/>
    </xf>
    <xf numFmtId="0" fontId="24" fillId="9" borderId="11" xfId="0" applyFont="1" applyFill="1" applyBorder="1" applyAlignment="1">
      <alignment horizontal="center"/>
    </xf>
    <xf numFmtId="0" fontId="2" fillId="5" borderId="0" xfId="0" applyFont="1" applyFill="1" applyAlignment="1">
      <alignment horizontal="center" vertical="top"/>
    </xf>
    <xf numFmtId="0" fontId="56" fillId="20" borderId="0" xfId="0" applyFont="1" applyFill="1" applyAlignment="1">
      <alignment horizontal="center"/>
    </xf>
    <xf numFmtId="0" fontId="9" fillId="0" borderId="0" xfId="0" applyFont="1" applyAlignment="1">
      <alignment vertical="top"/>
    </xf>
    <xf numFmtId="0" fontId="8" fillId="6" borderId="0" xfId="0" applyFont="1" applyFill="1"/>
    <xf numFmtId="0" fontId="16" fillId="6" borderId="0" xfId="0" applyFont="1" applyFill="1"/>
    <xf numFmtId="0" fontId="22" fillId="22" borderId="1" xfId="0" applyFont="1" applyFill="1" applyBorder="1" applyAlignment="1">
      <alignment horizontal="center"/>
    </xf>
    <xf numFmtId="0" fontId="17" fillId="22" borderId="1" xfId="0" applyFont="1" applyFill="1" applyBorder="1" applyAlignment="1">
      <alignment horizontal="center"/>
    </xf>
    <xf numFmtId="0" fontId="22" fillId="22" borderId="1" xfId="0" applyFont="1" applyFill="1" applyBorder="1"/>
    <xf numFmtId="0" fontId="22" fillId="23" borderId="1" xfId="0" applyFont="1" applyFill="1" applyBorder="1" applyAlignment="1">
      <alignment horizontal="center"/>
    </xf>
    <xf numFmtId="0" fontId="22" fillId="23" borderId="0" xfId="0" applyFont="1" applyFill="1" applyAlignment="1">
      <alignment horizontal="center"/>
    </xf>
    <xf numFmtId="0" fontId="57" fillId="23" borderId="1" xfId="0" applyFont="1" applyFill="1" applyBorder="1" applyAlignment="1">
      <alignment horizontal="center"/>
    </xf>
    <xf numFmtId="0" fontId="22" fillId="23" borderId="1" xfId="0" applyFont="1" applyFill="1" applyBorder="1"/>
    <xf numFmtId="0" fontId="22" fillId="23" borderId="11" xfId="0" applyFont="1" applyFill="1" applyBorder="1" applyAlignment="1">
      <alignment horizontal="center"/>
    </xf>
    <xf numFmtId="0" fontId="22" fillId="23" borderId="2" xfId="0" applyFont="1" applyFill="1" applyBorder="1" applyAlignment="1">
      <alignment horizontal="center"/>
    </xf>
    <xf numFmtId="0" fontId="58" fillId="23" borderId="2" xfId="0" applyFont="1" applyFill="1" applyBorder="1" applyAlignment="1">
      <alignment horizontal="center"/>
    </xf>
    <xf numFmtId="0" fontId="22" fillId="23" borderId="2" xfId="0" applyFont="1" applyFill="1" applyBorder="1"/>
    <xf numFmtId="0" fontId="22" fillId="23" borderId="7" xfId="0" applyFont="1" applyFill="1" applyBorder="1" applyAlignment="1">
      <alignment horizontal="center"/>
    </xf>
    <xf numFmtId="0" fontId="22" fillId="23" borderId="10" xfId="0" applyFont="1" applyFill="1" applyBorder="1" applyAlignment="1">
      <alignment horizontal="center"/>
    </xf>
    <xf numFmtId="0" fontId="59" fillId="23" borderId="1" xfId="0" applyFont="1" applyFill="1" applyBorder="1" applyAlignment="1">
      <alignment horizontal="center"/>
    </xf>
    <xf numFmtId="0" fontId="59" fillId="0" borderId="1" xfId="0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60" fillId="4" borderId="1" xfId="0" applyFont="1" applyFill="1" applyBorder="1" applyAlignment="1">
      <alignment horizontal="center"/>
    </xf>
    <xf numFmtId="0" fontId="60" fillId="4" borderId="1" xfId="0" applyFont="1" applyFill="1" applyBorder="1"/>
    <xf numFmtId="0" fontId="61" fillId="4" borderId="1" xfId="0" applyFont="1" applyFill="1" applyBorder="1"/>
    <xf numFmtId="0" fontId="21" fillId="4" borderId="1" xfId="0" applyFont="1" applyFill="1" applyBorder="1"/>
    <xf numFmtId="0" fontId="21" fillId="4" borderId="0" xfId="0" applyFont="1" applyFill="1"/>
    <xf numFmtId="0" fontId="60" fillId="8" borderId="1" xfId="0" applyFont="1" applyFill="1" applyBorder="1" applyAlignment="1">
      <alignment horizontal="center"/>
    </xf>
    <xf numFmtId="0" fontId="60" fillId="8" borderId="1" xfId="0" applyFont="1" applyFill="1" applyBorder="1"/>
    <xf numFmtId="0" fontId="61" fillId="8" borderId="1" xfId="0" applyFont="1" applyFill="1" applyBorder="1"/>
    <xf numFmtId="0" fontId="21" fillId="8" borderId="1" xfId="0" applyFont="1" applyFill="1" applyBorder="1"/>
    <xf numFmtId="0" fontId="21" fillId="8" borderId="0" xfId="0" applyFont="1" applyFill="1"/>
    <xf numFmtId="176" fontId="21" fillId="8" borderId="0" xfId="0" applyNumberFormat="1" applyFont="1" applyFill="1"/>
    <xf numFmtId="176" fontId="21" fillId="8" borderId="0" xfId="0" applyNumberFormat="1" applyFont="1" applyFill="1" applyAlignment="1">
      <alignment horizontal="right"/>
    </xf>
    <xf numFmtId="0" fontId="62" fillId="8" borderId="1" xfId="0" applyFont="1" applyFill="1" applyBorder="1" applyAlignment="1">
      <alignment horizontal="center"/>
    </xf>
    <xf numFmtId="0" fontId="2" fillId="0" borderId="0" xfId="0" applyFont="1"/>
    <xf numFmtId="0" fontId="56" fillId="0" borderId="0" xfId="0" applyFont="1"/>
    <xf numFmtId="0" fontId="24" fillId="6" borderId="4" xfId="0" applyFont="1" applyFill="1" applyBorder="1" applyAlignment="1">
      <alignment horizontal="center"/>
    </xf>
    <xf numFmtId="0" fontId="24" fillId="3" borderId="4" xfId="0" applyFont="1" applyFill="1" applyBorder="1" applyAlignment="1">
      <alignment horizontal="center"/>
    </xf>
    <xf numFmtId="0" fontId="24" fillId="3" borderId="0" xfId="0" applyFont="1" applyFill="1" applyAlignment="1">
      <alignment horizontal="center"/>
    </xf>
    <xf numFmtId="0" fontId="19" fillId="24" borderId="11" xfId="0" applyFont="1" applyFill="1" applyBorder="1" applyAlignment="1">
      <alignment horizontal="center"/>
    </xf>
    <xf numFmtId="0" fontId="19" fillId="24" borderId="2" xfId="0" applyFont="1" applyFill="1" applyBorder="1" applyAlignment="1">
      <alignment horizontal="center"/>
    </xf>
    <xf numFmtId="0" fontId="23" fillId="24" borderId="2" xfId="0" applyFont="1" applyFill="1" applyBorder="1" applyAlignment="1">
      <alignment horizontal="center"/>
    </xf>
    <xf numFmtId="0" fontId="63" fillId="24" borderId="2" xfId="0" applyFont="1" applyFill="1" applyBorder="1" applyAlignment="1">
      <alignment horizontal="center"/>
    </xf>
    <xf numFmtId="0" fontId="64" fillId="24" borderId="0" xfId="0" applyFont="1" applyFill="1" applyAlignment="1">
      <alignment horizontal="left"/>
    </xf>
    <xf numFmtId="0" fontId="19" fillId="24" borderId="1" xfId="0" applyFont="1" applyFill="1" applyBorder="1" applyAlignment="1">
      <alignment horizontal="center"/>
    </xf>
    <xf numFmtId="0" fontId="26" fillId="24" borderId="1" xfId="0" applyFont="1" applyFill="1" applyBorder="1" applyAlignment="1">
      <alignment horizontal="center"/>
    </xf>
    <xf numFmtId="177" fontId="26" fillId="0" borderId="0" xfId="0" applyNumberFormat="1" applyFont="1" applyAlignment="1">
      <alignment horizontal="center"/>
    </xf>
    <xf numFmtId="0" fontId="19" fillId="0" borderId="11" xfId="0" applyFont="1" applyBorder="1" applyAlignment="1">
      <alignment horizontal="center"/>
    </xf>
    <xf numFmtId="0" fontId="19" fillId="6" borderId="2" xfId="0" applyFont="1" applyFill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64" fillId="11" borderId="0" xfId="0" applyFont="1" applyFill="1" applyAlignment="1">
      <alignment horizontal="left"/>
    </xf>
    <xf numFmtId="0" fontId="24" fillId="0" borderId="11" xfId="0" applyFont="1" applyBorder="1" applyAlignment="1">
      <alignment horizontal="center"/>
    </xf>
    <xf numFmtId="0" fontId="24" fillId="6" borderId="2" xfId="0" applyFont="1" applyFill="1" applyBorder="1" applyAlignment="1">
      <alignment horizontal="center"/>
    </xf>
    <xf numFmtId="0" fontId="24" fillId="0" borderId="2" xfId="0" applyFont="1" applyBorder="1" applyAlignment="1">
      <alignment horizontal="center"/>
    </xf>
    <xf numFmtId="0" fontId="65" fillId="0" borderId="2" xfId="0" applyFont="1" applyBorder="1" applyAlignment="1">
      <alignment horizontal="center"/>
    </xf>
    <xf numFmtId="0" fontId="66" fillId="11" borderId="0" xfId="0" applyFont="1" applyFill="1" applyAlignment="1">
      <alignment horizontal="left"/>
    </xf>
    <xf numFmtId="0" fontId="24" fillId="0" borderId="1" xfId="0" applyFont="1" applyBorder="1" applyAlignment="1">
      <alignment horizontal="center"/>
    </xf>
    <xf numFmtId="0" fontId="67" fillId="0" borderId="1" xfId="0" applyFont="1" applyBorder="1" applyAlignment="1">
      <alignment horizontal="center"/>
    </xf>
    <xf numFmtId="0" fontId="68" fillId="0" borderId="2" xfId="0" applyFont="1" applyBorder="1" applyAlignment="1">
      <alignment horizontal="center"/>
    </xf>
    <xf numFmtId="0" fontId="63" fillId="0" borderId="2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24" borderId="2" xfId="0" applyFont="1" applyFill="1" applyBorder="1" applyAlignment="1">
      <alignment horizontal="center"/>
    </xf>
    <xf numFmtId="0" fontId="64" fillId="0" borderId="0" xfId="0" applyFont="1" applyAlignment="1">
      <alignment horizontal="left"/>
    </xf>
    <xf numFmtId="0" fontId="63" fillId="0" borderId="11" xfId="0" applyFont="1" applyBorder="1" applyAlignment="1">
      <alignment horizontal="center"/>
    </xf>
    <xf numFmtId="177" fontId="26" fillId="24" borderId="1" xfId="0" applyNumberFormat="1" applyFont="1" applyFill="1" applyBorder="1" applyAlignment="1">
      <alignment horizontal="center"/>
    </xf>
    <xf numFmtId="49" fontId="26" fillId="0" borderId="1" xfId="0" applyNumberFormat="1" applyFont="1" applyBorder="1" applyAlignment="1">
      <alignment horizontal="center"/>
    </xf>
    <xf numFmtId="0" fontId="19" fillId="20" borderId="11" xfId="0" applyFont="1" applyFill="1" applyBorder="1" applyAlignment="1">
      <alignment horizontal="center"/>
    </xf>
    <xf numFmtId="0" fontId="19" fillId="20" borderId="2" xfId="0" applyFont="1" applyFill="1" applyBorder="1" applyAlignment="1">
      <alignment horizontal="center"/>
    </xf>
    <xf numFmtId="0" fontId="23" fillId="20" borderId="2" xfId="0" applyFont="1" applyFill="1" applyBorder="1" applyAlignment="1">
      <alignment horizontal="center"/>
    </xf>
    <xf numFmtId="0" fontId="63" fillId="20" borderId="2" xfId="0" applyFont="1" applyFill="1" applyBorder="1" applyAlignment="1">
      <alignment horizontal="center"/>
    </xf>
    <xf numFmtId="0" fontId="64" fillId="20" borderId="0" xfId="0" applyFont="1" applyFill="1" applyAlignment="1">
      <alignment horizontal="left"/>
    </xf>
    <xf numFmtId="0" fontId="19" fillId="20" borderId="1" xfId="0" applyFont="1" applyFill="1" applyBorder="1" applyAlignment="1">
      <alignment horizontal="center"/>
    </xf>
    <xf numFmtId="0" fontId="26" fillId="20" borderId="1" xfId="0" applyFont="1" applyFill="1" applyBorder="1" applyAlignment="1">
      <alignment horizontal="center"/>
    </xf>
    <xf numFmtId="0" fontId="22" fillId="0" borderId="11" xfId="0" applyFont="1" applyBorder="1" applyAlignment="1">
      <alignment horizontal="center"/>
    </xf>
    <xf numFmtId="0" fontId="19" fillId="25" borderId="2" xfId="0" applyFont="1" applyFill="1" applyBorder="1" applyAlignment="1">
      <alignment horizontal="center"/>
    </xf>
    <xf numFmtId="0" fontId="19" fillId="26" borderId="11" xfId="0" applyFont="1" applyFill="1" applyBorder="1" applyAlignment="1">
      <alignment horizontal="center"/>
    </xf>
    <xf numFmtId="0" fontId="19" fillId="26" borderId="2" xfId="0" applyFont="1" applyFill="1" applyBorder="1" applyAlignment="1">
      <alignment horizontal="center"/>
    </xf>
    <xf numFmtId="0" fontId="23" fillId="26" borderId="2" xfId="0" applyFont="1" applyFill="1" applyBorder="1" applyAlignment="1">
      <alignment horizontal="center"/>
    </xf>
    <xf numFmtId="0" fontId="63" fillId="26" borderId="2" xfId="0" applyFont="1" applyFill="1" applyBorder="1" applyAlignment="1">
      <alignment horizontal="center"/>
    </xf>
    <xf numFmtId="0" fontId="64" fillId="26" borderId="0" xfId="0" applyFont="1" applyFill="1" applyAlignment="1">
      <alignment horizontal="left"/>
    </xf>
    <xf numFmtId="0" fontId="19" fillId="26" borderId="1" xfId="0" applyFont="1" applyFill="1" applyBorder="1" applyAlignment="1">
      <alignment horizontal="center"/>
    </xf>
    <xf numFmtId="0" fontId="26" fillId="26" borderId="1" xfId="0" applyFont="1" applyFill="1" applyBorder="1" applyAlignment="1">
      <alignment horizontal="center"/>
    </xf>
    <xf numFmtId="0" fontId="69" fillId="0" borderId="1" xfId="0" applyFont="1" applyBorder="1" applyAlignment="1">
      <alignment horizontal="center"/>
    </xf>
    <xf numFmtId="0" fontId="19" fillId="27" borderId="1" xfId="0" applyFont="1" applyFill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48" fillId="0" borderId="5" xfId="0" applyFont="1" applyBorder="1"/>
    <xf numFmtId="0" fontId="48" fillId="0" borderId="13" xfId="0" applyFont="1" applyBorder="1"/>
    <xf numFmtId="0" fontId="48" fillId="0" borderId="10" xfId="0" applyFont="1" applyBorder="1"/>
  </cellXfs>
  <cellStyles count="1">
    <cellStyle name="표준" xfId="0" builtinId="0"/>
  </cellStyles>
  <dxfs count="5">
    <dxf>
      <fill>
        <patternFill patternType="solid">
          <fgColor rgb="FFB7E1CD"/>
          <bgColor rgb="FFB7E1CD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theme="6"/>
          <bgColor theme="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jinny.park@stryker.com" TargetMode="External"/><Relationship Id="rId18" Type="http://schemas.openxmlformats.org/officeDocument/2006/relationships/hyperlink" Target="mailto:justin.kim@stryker.com" TargetMode="External"/><Relationship Id="rId26" Type="http://schemas.openxmlformats.org/officeDocument/2006/relationships/hyperlink" Target="mailto:lucas.heo@stryker.com" TargetMode="External"/><Relationship Id="rId39" Type="http://schemas.openxmlformats.org/officeDocument/2006/relationships/hyperlink" Target="mailto:rayna.kim@stryker.com" TargetMode="External"/><Relationship Id="rId21" Type="http://schemas.openxmlformats.org/officeDocument/2006/relationships/hyperlink" Target="mailto:orderadmin2.ym@stryker.com" TargetMode="External"/><Relationship Id="rId34" Type="http://schemas.openxmlformats.org/officeDocument/2006/relationships/hyperlink" Target="mailto:neal.kim@stryker.com" TargetMode="External"/><Relationship Id="rId42" Type="http://schemas.openxmlformats.org/officeDocument/2006/relationships/hyperlink" Target="mailto:bryan.park@stryker.com" TargetMode="External"/><Relationship Id="rId47" Type="http://schemas.openxmlformats.org/officeDocument/2006/relationships/hyperlink" Target="mailto:huey.sim@stryker.com" TargetMode="External"/><Relationship Id="rId7" Type="http://schemas.openxmlformats.org/officeDocument/2006/relationships/hyperlink" Target="mailto:sazy.park@stryker.com" TargetMode="External"/><Relationship Id="rId2" Type="http://schemas.openxmlformats.org/officeDocument/2006/relationships/hyperlink" Target="mailto:mihee.han@stryker.com" TargetMode="External"/><Relationship Id="rId16" Type="http://schemas.openxmlformats.org/officeDocument/2006/relationships/hyperlink" Target="mailto:daphne.kim@stryker.com" TargetMode="External"/><Relationship Id="rId29" Type="http://schemas.openxmlformats.org/officeDocument/2006/relationships/hyperlink" Target="mailto:sujin.park@stryker.com" TargetMode="External"/><Relationship Id="rId11" Type="http://schemas.openxmlformats.org/officeDocument/2006/relationships/hyperlink" Target="mailto:bruce.lee@stryker.com" TargetMode="External"/><Relationship Id="rId24" Type="http://schemas.openxmlformats.org/officeDocument/2006/relationships/hyperlink" Target="mailto:hannah.kim@stryker.com" TargetMode="External"/><Relationship Id="rId32" Type="http://schemas.openxmlformats.org/officeDocument/2006/relationships/hyperlink" Target="mailto:cis1.ym@stryker.com" TargetMode="External"/><Relationship Id="rId37" Type="http://schemas.openxmlformats.org/officeDocument/2006/relationships/hyperlink" Target="mailto:Bomin.kim@stryker.com" TargetMode="External"/><Relationship Id="rId40" Type="http://schemas.openxmlformats.org/officeDocument/2006/relationships/hyperlink" Target="mailto:james.kim@stryker.com" TargetMode="External"/><Relationship Id="rId45" Type="http://schemas.openxmlformats.org/officeDocument/2006/relationships/hyperlink" Target="mailto:fixation.ym@stryker.com" TargetMode="External"/><Relationship Id="rId5" Type="http://schemas.openxmlformats.org/officeDocument/2006/relationships/hyperlink" Target="about:blank" TargetMode="External"/><Relationship Id="rId15" Type="http://schemas.openxmlformats.org/officeDocument/2006/relationships/hyperlink" Target="mailto:medsurg.ym@stryker.com" TargetMode="External"/><Relationship Id="rId23" Type="http://schemas.openxmlformats.org/officeDocument/2006/relationships/hyperlink" Target="about:blank" TargetMode="External"/><Relationship Id="rId28" Type="http://schemas.openxmlformats.org/officeDocument/2006/relationships/hyperlink" Target="mailto:soyeon.park@stryker.com" TargetMode="External"/><Relationship Id="rId36" Type="http://schemas.openxmlformats.org/officeDocument/2006/relationships/hyperlink" Target="mailto:cis3.ym@stryker.com" TargetMode="External"/><Relationship Id="rId49" Type="http://schemas.openxmlformats.org/officeDocument/2006/relationships/comments" Target="../comments2.xml"/><Relationship Id="rId10" Type="http://schemas.openxmlformats.org/officeDocument/2006/relationships/hyperlink" Target="mailto:minki.kim@stryker.com" TargetMode="External"/><Relationship Id="rId19" Type="http://schemas.openxmlformats.org/officeDocument/2006/relationships/hyperlink" Target="mailto:recon.ym@stryker.com" TargetMode="External"/><Relationship Id="rId31" Type="http://schemas.openxmlformats.org/officeDocument/2006/relationships/hyperlink" Target="mailto:cis6.ym@stryker.com" TargetMode="External"/><Relationship Id="rId44" Type="http://schemas.openxmlformats.org/officeDocument/2006/relationships/hyperlink" Target="mailto:grn.ym@stryker.com" TargetMode="External"/><Relationship Id="rId4" Type="http://schemas.openxmlformats.org/officeDocument/2006/relationships/hyperlink" Target="mailto:kmultiuser@stryker.com" TargetMode="External"/><Relationship Id="rId9" Type="http://schemas.openxmlformats.org/officeDocument/2006/relationships/hyperlink" Target="mailto:lia.jung@stryker.com" TargetMode="External"/><Relationship Id="rId14" Type="http://schemas.openxmlformats.org/officeDocument/2006/relationships/hyperlink" Target="mailto:lucia.park@stryker.com" TargetMode="External"/><Relationship Id="rId22" Type="http://schemas.openxmlformats.org/officeDocument/2006/relationships/hyperlink" Target="about:blank" TargetMode="External"/><Relationship Id="rId27" Type="http://schemas.openxmlformats.org/officeDocument/2006/relationships/hyperlink" Target="mailto:hailey.song@stryker.com" TargetMode="External"/><Relationship Id="rId30" Type="http://schemas.openxmlformats.org/officeDocument/2006/relationships/hyperlink" Target="mailto:cis2.ym@stryker.com" TargetMode="External"/><Relationship Id="rId35" Type="http://schemas.openxmlformats.org/officeDocument/2006/relationships/hyperlink" Target="mailto:cis7.ym@stryker.com" TargetMode="External"/><Relationship Id="rId43" Type="http://schemas.openxmlformats.org/officeDocument/2006/relationships/hyperlink" Target="mailto:kit.ym@stryker.com" TargetMode="External"/><Relationship Id="rId48" Type="http://schemas.openxmlformats.org/officeDocument/2006/relationships/vmlDrawing" Target="../drawings/vmlDrawing2.vml"/><Relationship Id="rId8" Type="http://schemas.openxmlformats.org/officeDocument/2006/relationships/hyperlink" Target="mailto:seohyun.jung@stryker.com" TargetMode="External"/><Relationship Id="rId3" Type="http://schemas.openxmlformats.org/officeDocument/2006/relationships/hyperlink" Target="mailto:demoadmin.ym@stryker.com" TargetMode="External"/><Relationship Id="rId12" Type="http://schemas.openxmlformats.org/officeDocument/2006/relationships/hyperlink" Target="mailto:label.ym@stryker.com" TargetMode="External"/><Relationship Id="rId17" Type="http://schemas.openxmlformats.org/officeDocument/2006/relationships/hyperlink" Target="mailto:ethan.jang@stryker.com" TargetMode="External"/><Relationship Id="rId25" Type="http://schemas.openxmlformats.org/officeDocument/2006/relationships/hyperlink" Target="mailto:vincent.bae@stryker.com" TargetMode="External"/><Relationship Id="rId33" Type="http://schemas.openxmlformats.org/officeDocument/2006/relationships/hyperlink" Target="mailto:terry.kim@stryker.com" TargetMode="External"/><Relationship Id="rId38" Type="http://schemas.openxmlformats.org/officeDocument/2006/relationships/hyperlink" Target="mailto:dahye.jeong@stryker.com" TargetMode="External"/><Relationship Id="rId46" Type="http://schemas.openxmlformats.org/officeDocument/2006/relationships/hyperlink" Target="mailto:alice.han@stryker.com" TargetMode="External"/><Relationship Id="rId20" Type="http://schemas.openxmlformats.org/officeDocument/2006/relationships/hyperlink" Target="mailto:stella.hwang@stryker.com" TargetMode="External"/><Relationship Id="rId41" Type="http://schemas.openxmlformats.org/officeDocument/2006/relationships/hyperlink" Target="mailto:sally.choi@stryker.com" TargetMode="External"/><Relationship Id="rId1" Type="http://schemas.openxmlformats.org/officeDocument/2006/relationships/hyperlink" Target="mailto:david.oh@stryker.com" TargetMode="External"/><Relationship Id="rId6" Type="http://schemas.openxmlformats.org/officeDocument/2006/relationships/hyperlink" Target="mailto:yeonjoo.kim@stryker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mason.choi@stryker.com" TargetMode="External"/><Relationship Id="rId13" Type="http://schemas.openxmlformats.org/officeDocument/2006/relationships/hyperlink" Target="mailto:kale.lee@stryker.com" TargetMode="External"/><Relationship Id="rId3" Type="http://schemas.openxmlformats.org/officeDocument/2006/relationships/hyperlink" Target="mailto:vincent.bae@stryker.com" TargetMode="External"/><Relationship Id="rId7" Type="http://schemas.openxmlformats.org/officeDocument/2006/relationships/hyperlink" Target="mailto:bryan.park@stryker.com" TargetMode="External"/><Relationship Id="rId12" Type="http://schemas.openxmlformats.org/officeDocument/2006/relationships/hyperlink" Target="mailto:david.chung@stryker.com" TargetMode="External"/><Relationship Id="rId2" Type="http://schemas.openxmlformats.org/officeDocument/2006/relationships/hyperlink" Target="mailto:kale.lee@stryker.com" TargetMode="External"/><Relationship Id="rId1" Type="http://schemas.openxmlformats.org/officeDocument/2006/relationships/hyperlink" Target="mailto:sujin.park@stryker.com" TargetMode="External"/><Relationship Id="rId6" Type="http://schemas.openxmlformats.org/officeDocument/2006/relationships/hyperlink" Target="mailto:hannah.kim@stryker.com" TargetMode="External"/><Relationship Id="rId11" Type="http://schemas.openxmlformats.org/officeDocument/2006/relationships/hyperlink" Target="mailto:lucas.heo@stryker.com" TargetMode="External"/><Relationship Id="rId5" Type="http://schemas.openxmlformats.org/officeDocument/2006/relationships/hyperlink" Target="mailto:lucia.park@stryker.com" TargetMode="External"/><Relationship Id="rId10" Type="http://schemas.openxmlformats.org/officeDocument/2006/relationships/hyperlink" Target="mailto:neal.kim@stryker.com" TargetMode="External"/><Relationship Id="rId4" Type="http://schemas.openxmlformats.org/officeDocument/2006/relationships/hyperlink" Target="mailto:david.oh@stryker.com" TargetMode="External"/><Relationship Id="rId9" Type="http://schemas.openxmlformats.org/officeDocument/2006/relationships/hyperlink" Target="mailto:rosey.song@stryker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gd.ahn@stryker.com" TargetMode="External"/><Relationship Id="rId2" Type="http://schemas.openxmlformats.org/officeDocument/2006/relationships/hyperlink" Target="mailto:david.oh@stryker.com" TargetMode="External"/><Relationship Id="rId1" Type="http://schemas.openxmlformats.org/officeDocument/2006/relationships/hyperlink" Target="mailto:james.kim@stryker.com" TargetMode="External"/><Relationship Id="rId6" Type="http://schemas.openxmlformats.org/officeDocument/2006/relationships/hyperlink" Target="mailto:neal.kim@stryker.com" TargetMode="External"/><Relationship Id="rId5" Type="http://schemas.openxmlformats.org/officeDocument/2006/relationships/hyperlink" Target="mailto:Bruce.Cha@stryker.com" TargetMode="External"/><Relationship Id="rId4" Type="http://schemas.openxmlformats.org/officeDocument/2006/relationships/hyperlink" Target="mailto:Rosey.song@stryker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stella.hwang@stryker.com" TargetMode="External"/><Relationship Id="rId2" Type="http://schemas.openxmlformats.org/officeDocument/2006/relationships/hyperlink" Target="mailto:imsun.won@stryker.com" TargetMode="External"/><Relationship Id="rId1" Type="http://schemas.openxmlformats.org/officeDocument/2006/relationships/hyperlink" Target="mailto:lina.kim@stryker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kyu.choi@stryker.com" TargetMode="External"/><Relationship Id="rId2" Type="http://schemas.openxmlformats.org/officeDocument/2006/relationships/hyperlink" Target="mailto:henry.lee@stryker.com" TargetMode="External"/><Relationship Id="rId1" Type="http://schemas.openxmlformats.org/officeDocument/2006/relationships/hyperlink" Target="mailto:Gregory.Seo@stryker.com" TargetMode="External"/><Relationship Id="rId5" Type="http://schemas.openxmlformats.org/officeDocument/2006/relationships/hyperlink" Target="mailto:minki.kim@stryker.com" TargetMode="External"/><Relationship Id="rId4" Type="http://schemas.openxmlformats.org/officeDocument/2006/relationships/hyperlink" Target="mailto:mihee.han@stryker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kmultiuser@stryker.com" TargetMode="External"/><Relationship Id="rId13" Type="http://schemas.openxmlformats.org/officeDocument/2006/relationships/hyperlink" Target="mailto:ian.hwang@stryker.com" TargetMode="External"/><Relationship Id="rId3" Type="http://schemas.openxmlformats.org/officeDocument/2006/relationships/hyperlink" Target="mailto:bruce.lee@stryker.com" TargetMode="External"/><Relationship Id="rId7" Type="http://schemas.openxmlformats.org/officeDocument/2006/relationships/hyperlink" Target="mailto:gyowon.jeong@stryker.com" TargetMode="External"/><Relationship Id="rId12" Type="http://schemas.openxmlformats.org/officeDocument/2006/relationships/hyperlink" Target="mailto:sally.choi@stryker.com" TargetMode="External"/><Relationship Id="rId2" Type="http://schemas.openxmlformats.org/officeDocument/2006/relationships/hyperlink" Target="mailto:jihee.kang@stryker.com" TargetMode="External"/><Relationship Id="rId16" Type="http://schemas.openxmlformats.org/officeDocument/2006/relationships/hyperlink" Target="mailto:ian.hwang@stryker.com" TargetMode="External"/><Relationship Id="rId1" Type="http://schemas.openxmlformats.org/officeDocument/2006/relationships/hyperlink" Target="mailto:kale.lee@stryker.com" TargetMode="External"/><Relationship Id="rId6" Type="http://schemas.openxmlformats.org/officeDocument/2006/relationships/hyperlink" Target="mailto:stella.hwang@stryker.com" TargetMode="External"/><Relationship Id="rId11" Type="http://schemas.openxmlformats.org/officeDocument/2006/relationships/hyperlink" Target="mailto:Bomin.kim@stryker.com" TargetMode="External"/><Relationship Id="rId5" Type="http://schemas.openxmlformats.org/officeDocument/2006/relationships/hyperlink" Target="mailto:lucas.heo@stryker.com" TargetMode="External"/><Relationship Id="rId15" Type="http://schemas.openxmlformats.org/officeDocument/2006/relationships/hyperlink" Target="mailto:sazy.park@stryker.com" TargetMode="External"/><Relationship Id="rId10" Type="http://schemas.openxmlformats.org/officeDocument/2006/relationships/hyperlink" Target="mailto:bryan.park@stryker.com" TargetMode="External"/><Relationship Id="rId4" Type="http://schemas.openxmlformats.org/officeDocument/2006/relationships/hyperlink" Target="mailto:neal.kim@stryker.com" TargetMode="External"/><Relationship Id="rId9" Type="http://schemas.openxmlformats.org/officeDocument/2006/relationships/hyperlink" Target="mailto:daeun.kim@stryker.com" TargetMode="External"/><Relationship Id="rId14" Type="http://schemas.openxmlformats.org/officeDocument/2006/relationships/hyperlink" Target="mailto:lia.jung@stryker.com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mailto:harim.shin@stryker.com" TargetMode="External"/><Relationship Id="rId13" Type="http://schemas.openxmlformats.org/officeDocument/2006/relationships/hyperlink" Target="mailto:donna.park@stryker.com" TargetMode="External"/><Relationship Id="rId3" Type="http://schemas.openxmlformats.org/officeDocument/2006/relationships/hyperlink" Target="mailto:dawn.lim@stryker.com" TargetMode="External"/><Relationship Id="rId7" Type="http://schemas.openxmlformats.org/officeDocument/2006/relationships/hyperlink" Target="mailto:jayoung.kim@stryker.com" TargetMode="External"/><Relationship Id="rId12" Type="http://schemas.openxmlformats.org/officeDocument/2006/relationships/hyperlink" Target="mailto:chai.william@stryker.com" TargetMode="External"/><Relationship Id="rId17" Type="http://schemas.openxmlformats.org/officeDocument/2006/relationships/hyperlink" Target="mailto:johnny.choi@stryker.com" TargetMode="External"/><Relationship Id="rId2" Type="http://schemas.openxmlformats.org/officeDocument/2006/relationships/hyperlink" Target="mailto:seyeon.choi@stryker.com" TargetMode="External"/><Relationship Id="rId16" Type="http://schemas.openxmlformats.org/officeDocument/2006/relationships/hyperlink" Target="mailto:shin.yoojin@stryker.com" TargetMode="External"/><Relationship Id="rId1" Type="http://schemas.openxmlformats.org/officeDocument/2006/relationships/hyperlink" Target="mailto:hailey.na@stryker.com" TargetMode="External"/><Relationship Id="rId6" Type="http://schemas.openxmlformats.org/officeDocument/2006/relationships/hyperlink" Target="mailto:lucy.han@stryker.com" TargetMode="External"/><Relationship Id="rId11" Type="http://schemas.openxmlformats.org/officeDocument/2006/relationships/hyperlink" Target="mailto:elin.kim@stryker.com" TargetMode="External"/><Relationship Id="rId5" Type="http://schemas.openxmlformats.org/officeDocument/2006/relationships/hyperlink" Target="mailto:stacy.im@stryker.com" TargetMode="External"/><Relationship Id="rId15" Type="http://schemas.openxmlformats.org/officeDocument/2006/relationships/hyperlink" Target="mailto:jayden.shin@stryker.com" TargetMode="External"/><Relationship Id="rId10" Type="http://schemas.openxmlformats.org/officeDocument/2006/relationships/hyperlink" Target="mailto:tony.kang@stryker.com" TargetMode="External"/><Relationship Id="rId4" Type="http://schemas.openxmlformats.org/officeDocument/2006/relationships/hyperlink" Target="mailto:yunju.mo@stryker.com" TargetMode="External"/><Relationship Id="rId9" Type="http://schemas.openxmlformats.org/officeDocument/2006/relationships/hyperlink" Target="mailto:yulie.choi@stryker.com" TargetMode="External"/><Relationship Id="rId14" Type="http://schemas.openxmlformats.org/officeDocument/2006/relationships/hyperlink" Target="mailto:julie.son@stryker.com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mailto:elin.kim@stryker.com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mailto:neal.kim@stryker.com" TargetMode="External"/><Relationship Id="rId2" Type="http://schemas.openxmlformats.org/officeDocument/2006/relationships/hyperlink" Target="about:blank" TargetMode="External"/><Relationship Id="rId1" Type="http://schemas.openxmlformats.org/officeDocument/2006/relationships/hyperlink" Target="mailto:kmultiuser@stryk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061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2" max="2" width="16" customWidth="1"/>
    <col min="3" max="3" width="12.6640625" customWidth="1"/>
    <col min="4" max="4" width="26.1640625" customWidth="1"/>
    <col min="5" max="5" width="14.33203125" customWidth="1"/>
    <col min="6" max="6" width="11.1640625" customWidth="1"/>
    <col min="7" max="7" width="7" customWidth="1"/>
    <col min="8" max="8" width="10.1640625" customWidth="1"/>
    <col min="9" max="9" width="9.83203125" customWidth="1"/>
    <col min="10" max="10" width="5.5" customWidth="1"/>
    <col min="11" max="11" width="11" customWidth="1"/>
    <col min="12" max="12" width="7.6640625" customWidth="1"/>
    <col min="13" max="13" width="7.1640625" customWidth="1"/>
    <col min="14" max="14" width="8.33203125" customWidth="1"/>
    <col min="17" max="18" width="10.1640625" customWidth="1"/>
  </cols>
  <sheetData>
    <row r="1" spans="1:18" ht="42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4" t="s">
        <v>10</v>
      </c>
      <c r="L1" s="7" t="s">
        <v>11</v>
      </c>
      <c r="M1" s="7" t="s">
        <v>12</v>
      </c>
      <c r="N1" s="8" t="s">
        <v>13</v>
      </c>
      <c r="O1" s="8" t="s">
        <v>5</v>
      </c>
      <c r="P1" s="8" t="s">
        <v>14</v>
      </c>
      <c r="Q1" s="9"/>
      <c r="R1" s="9" t="s">
        <v>15</v>
      </c>
    </row>
    <row r="2" spans="1:18" ht="13">
      <c r="A2" s="10">
        <v>1</v>
      </c>
      <c r="B2" s="11" t="s">
        <v>16</v>
      </c>
      <c r="C2" s="12" t="s">
        <v>17</v>
      </c>
      <c r="D2" s="13" t="s">
        <v>18</v>
      </c>
      <c r="E2" s="12" t="s">
        <v>19</v>
      </c>
      <c r="F2" s="12" t="s">
        <v>20</v>
      </c>
      <c r="G2" s="12" t="s">
        <v>21</v>
      </c>
      <c r="H2" s="14" t="str">
        <f t="array" ref="H2">IFERROR(INDEX(Lease_List!D:D,MATCH(All_User!D2,Lease_List!H:H,0)),"없음")</f>
        <v>없음</v>
      </c>
      <c r="I2" s="15" t="s">
        <v>22</v>
      </c>
      <c r="J2" s="16"/>
      <c r="K2" s="17" t="str">
        <f t="array" ref="K2">IFERROR(INDEX(Ipad_List!C:C,MATCH(All_User!D2,Ipad_List!J:J,0)),"없음")</f>
        <v>QWG7C19T9N</v>
      </c>
      <c r="L2" s="18" t="str">
        <f t="array" ref="L2">IFERROR(INDEX(TeamsNumber!B:B,MATCH(All_User!D2,TeamsNumber!D:D,0)),"없음")</f>
        <v>tel:+82234517682</v>
      </c>
      <c r="M2" s="18" t="str">
        <f t="array" ref="M2">IFERROR(INDEX(Printer!D:D,MATCH(All_User!D2,Printer!G:G,0)),"없음")</f>
        <v>없음</v>
      </c>
      <c r="N2" s="19" t="str">
        <f t="array" ref="N2">IFERROR(INDEX(Monitor!A:A,MATCH(D2,Monitor!D:D,0)),"없음")</f>
        <v>없음</v>
      </c>
      <c r="O2" s="19" t="str">
        <f t="array" ref="O2">IFERROR(INDEX(sales!D:D,MATCH(D2,sales!C:C,0)),"없음")</f>
        <v>NV</v>
      </c>
      <c r="P2" s="19" t="str">
        <f t="array" ref="P2">IFERROR(INDEX(sales!E:E,MATCH(D2,sales!C:C,0)),"없음")</f>
        <v>NV</v>
      </c>
      <c r="Q2" s="19" t="str">
        <f t="array" ref="Q2">IFERROR(INDEX(sales!C:C,MATCH(D2,sales!C:C,0)),"list없음")</f>
        <v>dj.ahn@stryker.com</v>
      </c>
      <c r="R2" s="19"/>
    </row>
    <row r="3" spans="1:18" ht="13">
      <c r="A3" s="10">
        <v>2</v>
      </c>
      <c r="B3" s="12" t="s">
        <v>23</v>
      </c>
      <c r="C3" s="12" t="s">
        <v>24</v>
      </c>
      <c r="D3" s="12" t="s">
        <v>25</v>
      </c>
      <c r="E3" s="12" t="s">
        <v>26</v>
      </c>
      <c r="F3" s="12" t="s">
        <v>20</v>
      </c>
      <c r="G3" s="12" t="s">
        <v>27</v>
      </c>
      <c r="H3" s="20" t="str">
        <f t="array" ref="H3">IFERROR(INDEX(Lease_List!D:D,MATCH(All_User!D3,Lease_List!H:H,0)),"없음")</f>
        <v>5CD4232BFL</v>
      </c>
      <c r="I3" s="16" t="s">
        <v>28</v>
      </c>
      <c r="J3" s="16"/>
      <c r="K3" s="16" t="str">
        <f t="array" ref="K3">IFERROR(INDEX(Ipad_List!C:C,MATCH(All_User!D3,Ipad_List!J:J,0)),"없음")</f>
        <v>L69V0Q1VT3</v>
      </c>
      <c r="L3" s="19" t="str">
        <f t="array" ref="L3">IFERROR(INDEX(TeamsNumber!B:B,MATCH(All_User!D3,TeamsNumber!D:D,0)),"없음")</f>
        <v>tel:+82234517566</v>
      </c>
      <c r="M3" s="19" t="str">
        <f t="array" ref="M3">IFERROR(INDEX(Printer!D:D,MATCH(All_User!D3,Printer!H:H,0)),"없음")</f>
        <v>확인중</v>
      </c>
      <c r="N3" s="19" t="str">
        <f t="array" ref="N3">IFERROR(INDEX(Monitor!A:A,MATCH(D3,Monitor!D:D,0)),"없음")</f>
        <v>없음</v>
      </c>
      <c r="O3" s="19">
        <f t="array" ref="O3">IFERROR(INDEX(sales!D:D,MATCH(D3,sales!C:C,0)),"없음")</f>
        <v>0</v>
      </c>
      <c r="P3" s="19">
        <f t="array" ref="P3">IFERROR(INDEX(sales!E:E,MATCH(D3,sales!C:C,0)),"없음")</f>
        <v>0</v>
      </c>
      <c r="Q3" s="19"/>
      <c r="R3" s="19"/>
    </row>
    <row r="4" spans="1:18" ht="13">
      <c r="A4" s="10">
        <v>3</v>
      </c>
      <c r="B4" s="12" t="s">
        <v>29</v>
      </c>
      <c r="C4" s="12" t="s">
        <v>30</v>
      </c>
      <c r="D4" s="12" t="s">
        <v>31</v>
      </c>
      <c r="E4" s="12" t="s">
        <v>32</v>
      </c>
      <c r="F4" s="12" t="s">
        <v>33</v>
      </c>
      <c r="G4" s="12" t="s">
        <v>34</v>
      </c>
      <c r="H4" s="14" t="str">
        <f t="array" ref="H4">IFERROR(INDEX(Lease_List!D:D,MATCH(All_User!D4,Lease_List!H:H,0)),"없음")</f>
        <v>5CD5179KJ6</v>
      </c>
      <c r="I4" s="17" t="s">
        <v>35</v>
      </c>
      <c r="J4" s="16"/>
      <c r="K4" s="17" t="str">
        <f t="array" ref="K4">IFERROR(INDEX(Ipad_List!C:C,MATCH(All_User!D4,Ipad_List!J:J,0)),"없음")</f>
        <v>C4RQH3W74V</v>
      </c>
      <c r="L4" s="18" t="str">
        <f t="array" ref="L4">IFERROR(INDEX(TeamsNumber!B:B,MATCH(All_User!D4,TeamsNumber!D:D,0)),"없음")</f>
        <v>tel:+82234517512</v>
      </c>
      <c r="M4" s="18" t="str">
        <f t="array" ref="M4">IFERROR(INDEX(Printer!D:D,MATCH(All_User!D4,Printer!H:H,0)),"없음")</f>
        <v>없음</v>
      </c>
      <c r="N4" s="19" t="str">
        <f t="array" ref="N4">IFERROR(INDEX(Monitor!A:A,MATCH(D4,Monitor!D:D,0)),"없음")</f>
        <v>없음</v>
      </c>
      <c r="O4" s="19">
        <f t="array" ref="O4">IFERROR(INDEX(sales!D:D,MATCH(D4,sales!C:C,0)),"없음")</f>
        <v>0</v>
      </c>
      <c r="P4" s="19" t="str">
        <f t="array" ref="P4">IFERROR(INDEX(sales!E:E,MATCH(D4,sales!C:C,0)),"없음")</f>
        <v>TS</v>
      </c>
      <c r="Q4" s="19" t="str">
        <f t="array" ref="Q4">IFERROR(INDEX(sales!C:C,MATCH(D4,sales!C:C,0)),"list없음")</f>
        <v>andrew.ahn@stryker.com</v>
      </c>
      <c r="R4" s="19"/>
    </row>
    <row r="5" spans="1:18" ht="13">
      <c r="A5" s="10">
        <v>4</v>
      </c>
      <c r="B5" s="12" t="s">
        <v>36</v>
      </c>
      <c r="C5" s="12" t="s">
        <v>37</v>
      </c>
      <c r="D5" s="12" t="s">
        <v>38</v>
      </c>
      <c r="E5" s="12" t="s">
        <v>39</v>
      </c>
      <c r="F5" s="12" t="s">
        <v>40</v>
      </c>
      <c r="G5" s="12" t="s">
        <v>41</v>
      </c>
      <c r="H5" s="20" t="str">
        <f t="array" ref="H5">IFERROR(INDEX(Lease_List!D:D,MATCH(All_User!D5,Lease_List!H:H,0)),"없음")</f>
        <v>5CD442C071</v>
      </c>
      <c r="I5" s="16" t="s">
        <v>28</v>
      </c>
      <c r="J5" s="16"/>
      <c r="K5" s="16" t="str">
        <f t="array" ref="K5">IFERROR(INDEX(Ipad_List!C:C,MATCH(All_User!D5,Ipad_List!J:J,0)),"없음")</f>
        <v>없음</v>
      </c>
      <c r="L5" s="19" t="str">
        <f t="array" ref="L5">IFERROR(INDEX(TeamsNumber!B:B,MATCH(All_User!D5,TeamsNumber!D:D,0)),"없음")</f>
        <v>tel:+82234517594</v>
      </c>
      <c r="M5" s="19" t="str">
        <f t="array" ref="M5">IFERROR(INDEX(Printer!D:D,MATCH(All_User!D5,Printer!H:H,0)),"없음")</f>
        <v>없음</v>
      </c>
      <c r="N5" s="19" t="str">
        <f t="array" ref="N5">IFERROR(INDEX(Monitor!A:A,MATCH(D5,Monitor!D:D,0)),"없음")</f>
        <v>없음</v>
      </c>
      <c r="O5" s="19" t="str">
        <f t="array" ref="O5">IFERROR(INDEX(sales!D:D,MATCH(D5,sales!C:C,0)),"없음")</f>
        <v>없음</v>
      </c>
      <c r="P5" s="19" t="str">
        <f t="array" ref="P5">IFERROR(INDEX(sales!E:E,MATCH(D5,sales!C:C,0)),"없음")</f>
        <v>없음</v>
      </c>
      <c r="Q5" s="19"/>
      <c r="R5" s="19"/>
    </row>
    <row r="6" spans="1:18" ht="13">
      <c r="A6" s="10">
        <v>5</v>
      </c>
      <c r="B6" s="12" t="s">
        <v>42</v>
      </c>
      <c r="C6" s="12" t="s">
        <v>43</v>
      </c>
      <c r="D6" s="12" t="s">
        <v>44</v>
      </c>
      <c r="E6" s="12" t="s">
        <v>45</v>
      </c>
      <c r="F6" s="12" t="s">
        <v>33</v>
      </c>
      <c r="G6" s="12" t="s">
        <v>46</v>
      </c>
      <c r="H6" s="20" t="str">
        <f t="array" ref="H6">IFERROR(INDEX(Lease_List!D:D,MATCH(All_User!D6,Lease_List!H:H,0)),"없음")</f>
        <v>5CD4145N3N</v>
      </c>
      <c r="I6" s="16" t="s">
        <v>28</v>
      </c>
      <c r="J6" s="16"/>
      <c r="K6" s="16" t="str">
        <f t="array" ref="K6">IFERROR(INDEX(Ipad_List!C:C,MATCH(All_User!D6,Ipad_List!J:J,0)),"없음")</f>
        <v>없음</v>
      </c>
      <c r="L6" s="19" t="str">
        <f t="array" ref="L6">IFERROR(INDEX(TeamsNumber!B:B,MATCH(All_User!D6,TeamsNumber!D:D,0)),"없음")</f>
        <v>tel:+82234517662</v>
      </c>
      <c r="M6" s="19" t="str">
        <f t="array" ref="M6">IFERROR(INDEX(Printer!D:D,MATCH(All_User!D6,Printer!H:H,0)),"없음")</f>
        <v>없음</v>
      </c>
      <c r="N6" s="19" t="str">
        <f t="array" ref="N6">IFERROR(INDEX(Monitor!A:A,MATCH(D6,Monitor!D:D,0)),"없음")</f>
        <v>없음</v>
      </c>
      <c r="O6" s="19" t="str">
        <f t="array" ref="O6">IFERROR(INDEX(sales!D:D,MATCH(D6,sales!C:C,0)),"없음")</f>
        <v>없음</v>
      </c>
      <c r="P6" s="19" t="str">
        <f t="array" ref="P6">IFERROR(INDEX(sales!E:E,MATCH(D6,sales!C:C,0)),"없음")</f>
        <v>없음</v>
      </c>
      <c r="Q6" s="19"/>
      <c r="R6" s="19"/>
    </row>
    <row r="7" spans="1:18" ht="13">
      <c r="A7" s="10">
        <v>6</v>
      </c>
      <c r="B7" s="12" t="s">
        <v>47</v>
      </c>
      <c r="C7" s="12" t="s">
        <v>48</v>
      </c>
      <c r="D7" s="12" t="s">
        <v>49</v>
      </c>
      <c r="E7" s="12" t="s">
        <v>50</v>
      </c>
      <c r="F7" s="12" t="s">
        <v>20</v>
      </c>
      <c r="G7" s="12" t="s">
        <v>51</v>
      </c>
      <c r="H7" s="20" t="str">
        <f t="array" ref="H7">IFERROR(INDEX(Lease_List!D:D,MATCH(All_User!D7,Lease_List!H:H,0)),"없음")</f>
        <v>5CD3469HD0</v>
      </c>
      <c r="I7" s="16" t="s">
        <v>28</v>
      </c>
      <c r="J7" s="16"/>
      <c r="K7" s="16" t="str">
        <f t="array" ref="K7">IFERROR(INDEX(Ipad_List!C:C,MATCH(All_User!D7,Ipad_List!J:J,0)),"없음")</f>
        <v>없음</v>
      </c>
      <c r="L7" s="19" t="str">
        <f t="array" ref="L7">IFERROR(INDEX(TeamsNumber!B:B,MATCH(All_User!D7,TeamsNumber!D:D,0)),"없음")</f>
        <v>tel:+82234517661</v>
      </c>
      <c r="M7" s="19" t="str">
        <f t="array" ref="M7">IFERROR(INDEX(Printer!D:D,MATCH(All_User!D7,Printer!H:H,0)),"없음")</f>
        <v>없음</v>
      </c>
      <c r="N7" s="19" t="str">
        <f t="array" ref="N7">IFERROR(INDEX(Monitor!A:A,MATCH(D7,Monitor!D:D,0)),"없음")</f>
        <v>없음</v>
      </c>
      <c r="O7" s="19" t="str">
        <f t="array" ref="O7">IFERROR(INDEX(sales!D:D,MATCH(D7,sales!C:C,0)),"없음")</f>
        <v>없음</v>
      </c>
      <c r="P7" s="19" t="str">
        <f t="array" ref="P7">IFERROR(INDEX(sales!E:E,MATCH(D7,sales!C:C,0)),"없음")</f>
        <v>없음</v>
      </c>
      <c r="Q7" s="19"/>
      <c r="R7" s="19"/>
    </row>
    <row r="8" spans="1:18" ht="13">
      <c r="A8" s="10">
        <v>7</v>
      </c>
      <c r="B8" s="12" t="s">
        <v>52</v>
      </c>
      <c r="C8" s="12" t="s">
        <v>53</v>
      </c>
      <c r="D8" s="12" t="s">
        <v>54</v>
      </c>
      <c r="E8" s="12" t="s">
        <v>55</v>
      </c>
      <c r="F8" s="12" t="s">
        <v>20</v>
      </c>
      <c r="G8" s="12" t="s">
        <v>27</v>
      </c>
      <c r="H8" s="14" t="str">
        <f t="array" ref="H8">IFERROR(INDEX(Lease_List!D:D,MATCH(All_User!D8,Lease_List!H:H,0)),"없음")</f>
        <v>5CD5062YDY</v>
      </c>
      <c r="I8" s="17" t="s">
        <v>28</v>
      </c>
      <c r="J8" s="16"/>
      <c r="K8" s="17" t="str">
        <f t="array" ref="K8">IFERROR(INDEX(Ipad_List!C:C,MATCH(All_User!D8,Ipad_List!J:J,0)),"없음")</f>
        <v>HL7Q0T6MHW</v>
      </c>
      <c r="L8" s="18" t="str">
        <f t="array" ref="L8">IFERROR(INDEX(TeamsNumber!B:B,MATCH(All_User!D8,TeamsNumber!D:D,0)),"없음")</f>
        <v>없음</v>
      </c>
      <c r="M8" s="18" t="str">
        <f t="array" ref="M8">IFERROR(INDEX(Printer!D:D,MATCH(All_User!D8,Printer!H:H,0)),"없음")</f>
        <v>없음</v>
      </c>
      <c r="N8" s="19" t="str">
        <f t="array" ref="N8">IFERROR(INDEX(Monitor!A:A,MATCH(D8,Monitor!D:D,0)),"없음")</f>
        <v>없음</v>
      </c>
      <c r="O8" s="19" t="str">
        <f t="array" ref="O8">IFERROR(INDEX(sales!D:D,MATCH(D8,sales!C:C,0)),"없음")</f>
        <v>Mako</v>
      </c>
      <c r="P8" s="19" t="str">
        <f t="array" ref="P8">IFERROR(INDEX(sales!E:E,MATCH(D8,sales!C:C,0)),"없음")</f>
        <v>MPS</v>
      </c>
      <c r="Q8" s="19" t="str">
        <f t="array" ref="Q8">IFERROR(INDEX(sales!C:C,MATCH(D8,sales!C:C,0)),"list없음")</f>
        <v>vincent.bae@stryker.com</v>
      </c>
      <c r="R8" s="19"/>
    </row>
    <row r="9" spans="1:18" ht="13">
      <c r="A9" s="10">
        <v>8</v>
      </c>
      <c r="B9" s="12" t="s">
        <v>56</v>
      </c>
      <c r="C9" s="12" t="s">
        <v>57</v>
      </c>
      <c r="D9" s="12" t="s">
        <v>58</v>
      </c>
      <c r="E9" s="12" t="s">
        <v>59</v>
      </c>
      <c r="F9" s="12" t="s">
        <v>40</v>
      </c>
      <c r="G9" s="12" t="s">
        <v>60</v>
      </c>
      <c r="H9" s="20" t="str">
        <f t="array" ref="H9">IFERROR(INDEX(Lease_List!D:D,MATCH(All_User!D9,Lease_List!H:H,0)),"없음")</f>
        <v>5CD3469HDN</v>
      </c>
      <c r="I9" s="16" t="s">
        <v>28</v>
      </c>
      <c r="J9" s="16"/>
      <c r="K9" s="16" t="str">
        <f t="array" ref="K9">IFERROR(INDEX(Ipad_List!C:C,MATCH(All_User!D9,Ipad_List!J:J,0)),"없음")</f>
        <v>없음</v>
      </c>
      <c r="L9" s="19" t="str">
        <f t="array" ref="L9">IFERROR(INDEX(TeamsNumber!B:B,MATCH(All_User!D9,TeamsNumber!D:D,0)),"없음")</f>
        <v>tel:+82234517519</v>
      </c>
      <c r="M9" s="19" t="str">
        <f t="array" ref="M9">IFERROR(INDEX(Printer!D:D,MATCH(All_User!D9,Printer!H:H,0)),"없음")</f>
        <v>없음</v>
      </c>
      <c r="N9" s="19" t="str">
        <f t="array" ref="N9">IFERROR(INDEX(Monitor!A:A,MATCH(D9,Monitor!D:D,0)),"없음")</f>
        <v>없음</v>
      </c>
      <c r="O9" s="19" t="str">
        <f t="array" ref="O9">IFERROR(INDEX(sales!D:D,MATCH(D9,sales!C:C,0)),"없음")</f>
        <v>없음</v>
      </c>
      <c r="P9" s="19" t="str">
        <f t="array" ref="P9">IFERROR(INDEX(sales!E:E,MATCH(D9,sales!C:C,0)),"없음")</f>
        <v>없음</v>
      </c>
      <c r="Q9" s="19"/>
      <c r="R9" s="19"/>
    </row>
    <row r="10" spans="1:18" ht="13">
      <c r="A10" s="10">
        <v>10</v>
      </c>
      <c r="B10" s="12" t="s">
        <v>61</v>
      </c>
      <c r="C10" s="12" t="s">
        <v>62</v>
      </c>
      <c r="D10" s="12" t="s">
        <v>63</v>
      </c>
      <c r="E10" s="12" t="s">
        <v>64</v>
      </c>
      <c r="F10" s="11" t="s">
        <v>65</v>
      </c>
      <c r="G10" s="12" t="s">
        <v>66</v>
      </c>
      <c r="H10" s="20" t="str">
        <f t="array" ref="H10">IFERROR(INDEX(Lease_List!D:D,MATCH(All_User!D10,Lease_List!H:H,0)),"없음")</f>
        <v>5CG53403D0</v>
      </c>
      <c r="I10" s="16" t="s">
        <v>28</v>
      </c>
      <c r="J10" s="16"/>
      <c r="K10" s="16" t="str">
        <f t="array" ref="K10">IFERROR(INDEX(Ipad_List!C:C,MATCH(All_User!D10,Ipad_List!J:J,0)),"없음")</f>
        <v>없음</v>
      </c>
      <c r="L10" s="19" t="str">
        <f t="array" ref="L10">IFERROR(INDEX(TeamsNumber!B:B,MATCH(All_User!D10,TeamsNumber!D:D,0)),"없음")</f>
        <v>tel:+82234517637</v>
      </c>
      <c r="M10" s="19" t="str">
        <f t="array" ref="M10">IFERROR(INDEX(Printer!D:D,MATCH(All_User!D10,Printer!H:H,0)),"없음")</f>
        <v>없음</v>
      </c>
      <c r="N10" s="19" t="str">
        <f t="array" ref="N10">IFERROR(INDEX(Monitor!A:A,MATCH(D10,Monitor!D:D,0)),"없음")</f>
        <v>LCD 모니터</v>
      </c>
      <c r="O10" s="19" t="str">
        <f t="array" ref="O10">IFERROR(INDEX(sales!D:D,MATCH(D10,sales!C:C,0)),"없음")</f>
        <v>없음</v>
      </c>
      <c r="P10" s="19" t="str">
        <f t="array" ref="P10">IFERROR(INDEX(sales!E:E,MATCH(D10,sales!C:C,0)),"없음")</f>
        <v>없음</v>
      </c>
      <c r="Q10" s="19"/>
      <c r="R10" s="19"/>
    </row>
    <row r="11" spans="1:18" ht="13">
      <c r="A11" s="10">
        <v>11</v>
      </c>
      <c r="B11" s="12" t="s">
        <v>67</v>
      </c>
      <c r="C11" s="12" t="s">
        <v>68</v>
      </c>
      <c r="D11" s="12" t="s">
        <v>69</v>
      </c>
      <c r="E11" s="12" t="s">
        <v>70</v>
      </c>
      <c r="F11" s="12" t="s">
        <v>20</v>
      </c>
      <c r="G11" s="12" t="s">
        <v>27</v>
      </c>
      <c r="H11" s="14" t="str">
        <f t="array" ref="H11">IFERROR(INDEX(Lease_List!D:D,MATCH(All_User!D11,Lease_List!H:H,0)),"없음")</f>
        <v>5CD5062YF5</v>
      </c>
      <c r="I11" s="17" t="s">
        <v>28</v>
      </c>
      <c r="J11" s="16"/>
      <c r="K11" s="17" t="str">
        <f t="array" ref="K11">IFERROR(INDEX(Ipad_List!C:C,MATCH(All_User!D11,Ipad_List!J:J,0)),"없음")</f>
        <v>QXKLQ74WYW</v>
      </c>
      <c r="L11" s="18" t="str">
        <f t="array" ref="L11">IFERROR(INDEX(TeamsNumber!B:B,MATCH(All_User!D11,TeamsNumber!D:D,0)),"없음")</f>
        <v>tel:+82234517568</v>
      </c>
      <c r="M11" s="18" t="str">
        <f t="array" ref="M11">IFERROR(INDEX(Printer!D:D,MATCH(All_User!D11,Printer!H:H,0)),"없음")</f>
        <v>없음</v>
      </c>
      <c r="N11" s="19" t="str">
        <f t="array" ref="N11">IFERROR(INDEX(Monitor!A:A,MATCH(D11,Monitor!D:D,0)),"없음")</f>
        <v>없음</v>
      </c>
      <c r="O11" s="19" t="str">
        <f t="array" ref="O11">IFERROR(INDEX(sales!D:D,MATCH(D11,sales!C:C,0)),"없음")</f>
        <v>Mako</v>
      </c>
      <c r="P11" s="19" t="str">
        <f t="array" ref="P11">IFERROR(INDEX(sales!E:E,MATCH(D11,sales!C:C,0)),"없음")</f>
        <v>MPS</v>
      </c>
      <c r="Q11" s="19" t="str">
        <f t="array" ref="Q11">IFERROR(INDEX(sales!C:C,MATCH(D11,sales!C:C,0)),"list없음")</f>
        <v>bella.bang@stryker.com</v>
      </c>
      <c r="R11" s="19"/>
    </row>
    <row r="12" spans="1:18" ht="13">
      <c r="A12" s="10">
        <v>12</v>
      </c>
      <c r="B12" s="12" t="s">
        <v>71</v>
      </c>
      <c r="C12" s="12" t="s">
        <v>72</v>
      </c>
      <c r="D12" s="12" t="s">
        <v>73</v>
      </c>
      <c r="E12" s="12" t="s">
        <v>74</v>
      </c>
      <c r="F12" s="12" t="s">
        <v>20</v>
      </c>
      <c r="G12" s="12" t="s">
        <v>75</v>
      </c>
      <c r="H12" s="14" t="str">
        <f t="array" ref="H12">IFERROR(INDEX(Lease_List!D:D,MATCH(All_User!D12,Lease_List!H:H,0)),"없음")</f>
        <v>5CD4305D85</v>
      </c>
      <c r="I12" s="17" t="s">
        <v>28</v>
      </c>
      <c r="J12" s="16"/>
      <c r="K12" s="17" t="str">
        <f t="array" ref="K12">IFERROR(INDEX(Ipad_List!C:C,MATCH(All_User!D12,Ipad_List!J:J,0)),"없음")</f>
        <v>OQ2GGXF3FK</v>
      </c>
      <c r="L12" s="18" t="str">
        <f t="array" ref="L12">IFERROR(INDEX(TeamsNumber!B:B,MATCH(All_User!D12,TeamsNumber!D:D,0)),"없음")</f>
        <v>tel:+82234517591</v>
      </c>
      <c r="M12" s="18" t="str">
        <f t="array" ref="M12">IFERROR(INDEX(Printer!D:D,MATCH(All_User!D12,Printer!H:H,0)),"없음")</f>
        <v>없음</v>
      </c>
      <c r="N12" s="19" t="str">
        <f t="array" ref="N12">IFERROR(INDEX(Monitor!A:A,MATCH(D12,Monitor!D:D,0)),"없음")</f>
        <v>없음</v>
      </c>
      <c r="O12" s="19" t="str">
        <f t="array" ref="O12">IFERROR(INDEX(sales!D:D,MATCH(D12,sales!C:C,0)),"없음")</f>
        <v>Knee</v>
      </c>
      <c r="P12" s="19" t="str">
        <f t="array" ref="P12">IFERROR(INDEX(sales!E:E,MATCH(D12,sales!C:C,0)),"없음")</f>
        <v>Sales</v>
      </c>
      <c r="Q12" s="19" t="str">
        <f t="array" ref="Q12">IFERROR(INDEX(sales!C:C,MATCH(D12,sales!C:C,0)),"list없음")</f>
        <v>sunghoon.bang@stryker.com</v>
      </c>
      <c r="R12" s="19"/>
    </row>
    <row r="13" spans="1:18" ht="13">
      <c r="A13" s="10">
        <v>13</v>
      </c>
      <c r="B13" s="12" t="s">
        <v>76</v>
      </c>
      <c r="C13" s="12" t="s">
        <v>77</v>
      </c>
      <c r="D13" s="12" t="s">
        <v>78</v>
      </c>
      <c r="E13" s="12" t="s">
        <v>79</v>
      </c>
      <c r="F13" s="12" t="s">
        <v>20</v>
      </c>
      <c r="G13" s="12" t="s">
        <v>80</v>
      </c>
      <c r="H13" s="20" t="str">
        <f t="array" ref="H13">IFERROR(INDEX(Lease_List!D:D,MATCH(All_User!D13,Lease_List!H:H,0)),"없음")</f>
        <v>5CD4232BFF</v>
      </c>
      <c r="I13" s="16" t="s">
        <v>28</v>
      </c>
      <c r="J13" s="16"/>
      <c r="K13" s="16" t="str">
        <f t="array" ref="K13">IFERROR(INDEX(Ipad_List!C:C,MATCH(All_User!D13,Ipad_List!J:J,0)),"없음")</f>
        <v>없음</v>
      </c>
      <c r="L13" s="19" t="str">
        <f t="array" ref="L13">IFERROR(INDEX(TeamsNumber!B:B,MATCH(All_User!D13,TeamsNumber!D:D,0)),"없음")</f>
        <v>tel:+82234517513</v>
      </c>
      <c r="M13" s="19" t="str">
        <f t="array" ref="M13">IFERROR(INDEX(Printer!D:D,MATCH(All_User!D13,Printer!H:H,0)),"없음")</f>
        <v>없음</v>
      </c>
      <c r="N13" s="19" t="str">
        <f t="array" ref="N13">IFERROR(INDEX(Monitor!A:A,MATCH(D13,Monitor!D:D,0)),"없음")</f>
        <v>없음</v>
      </c>
      <c r="O13" s="19" t="str">
        <f t="array" ref="O13">IFERROR(INDEX(sales!D:D,MATCH(D13,sales!C:C,0)),"없음")</f>
        <v>없음</v>
      </c>
      <c r="P13" s="19" t="str">
        <f t="array" ref="P13">IFERROR(INDEX(sales!E:E,MATCH(D13,sales!C:C,0)),"없음")</f>
        <v>없음</v>
      </c>
      <c r="Q13" s="19"/>
      <c r="R13" s="19"/>
    </row>
    <row r="14" spans="1:18" ht="13">
      <c r="A14" s="10">
        <v>14</v>
      </c>
      <c r="B14" s="12" t="s">
        <v>81</v>
      </c>
      <c r="C14" s="12" t="s">
        <v>82</v>
      </c>
      <c r="D14" s="12" t="s">
        <v>83</v>
      </c>
      <c r="E14" s="12" t="s">
        <v>70</v>
      </c>
      <c r="F14" s="12" t="s">
        <v>20</v>
      </c>
      <c r="G14" s="12" t="s">
        <v>27</v>
      </c>
      <c r="H14" s="14" t="str">
        <f t="array" ref="H14">IFERROR(INDEX(Lease_List!D:D,MATCH(All_User!D14,Lease_List!H:H,0)),"없음")</f>
        <v>5CD442C074</v>
      </c>
      <c r="I14" s="17" t="s">
        <v>28</v>
      </c>
      <c r="J14" s="16"/>
      <c r="K14" s="17" t="str">
        <f t="array" ref="K14">IFERROR(INDEX(Ipad_List!C:C,MATCH(All_User!D14,Ipad_List!J:J,0)),"없음")</f>
        <v>R34F5XVT2M</v>
      </c>
      <c r="L14" s="18" t="str">
        <f t="array" ref="L14">IFERROR(INDEX(TeamsNumber!B:B,MATCH(All_User!D14,TeamsNumber!D:D,0)),"없음")</f>
        <v>tel:+82234517659</v>
      </c>
      <c r="M14" s="18" t="str">
        <f t="array" ref="M14">IFERROR(INDEX(Printer!D:D,MATCH(All_User!D14,Printer!H:H,0)),"없음")</f>
        <v>없음</v>
      </c>
      <c r="N14" s="19" t="str">
        <f t="array" ref="N14">IFERROR(INDEX(Monitor!A:A,MATCH(D14,Monitor!D:D,0)),"없음")</f>
        <v>없음</v>
      </c>
      <c r="O14" s="19" t="str">
        <f t="array" ref="O14">IFERROR(INDEX(sales!D:D,MATCH(D14,sales!C:C,0)),"없음")</f>
        <v>Mako</v>
      </c>
      <c r="P14" s="19" t="str">
        <f t="array" ref="P14">IFERROR(INDEX(sales!E:E,MATCH(D14,sales!C:C,0)),"없음")</f>
        <v>MPS</v>
      </c>
      <c r="Q14" s="19" t="str">
        <f t="array" ref="Q14">IFERROR(INDEX(sales!C:C,MATCH(D14,sales!C:C,0)),"list없음")</f>
        <v>junseong.byun@stryker.com</v>
      </c>
      <c r="R14" s="19"/>
    </row>
    <row r="15" spans="1:18" ht="13">
      <c r="A15" s="10">
        <v>15</v>
      </c>
      <c r="B15" s="12" t="s">
        <v>84</v>
      </c>
      <c r="C15" s="12" t="s">
        <v>85</v>
      </c>
      <c r="D15" s="12" t="s">
        <v>86</v>
      </c>
      <c r="E15" s="12" t="s">
        <v>87</v>
      </c>
      <c r="F15" s="12" t="s">
        <v>20</v>
      </c>
      <c r="G15" s="12" t="s">
        <v>27</v>
      </c>
      <c r="H15" s="14" t="str">
        <f t="array" ref="H15">IFERROR(INDEX(Lease_List!D:D,MATCH(All_User!D15,Lease_List!H:H,0)),"없음")</f>
        <v>5CD3469HD6</v>
      </c>
      <c r="I15" s="17" t="s">
        <v>28</v>
      </c>
      <c r="J15" s="16"/>
      <c r="K15" s="17" t="str">
        <f t="array" ref="K15">IFERROR(INDEX(Ipad_List!C:C,MATCH(All_User!D15,Ipad_List!J:J,0)),"없음")</f>
        <v>LXDC4F97QM</v>
      </c>
      <c r="L15" s="18" t="str">
        <f t="array" ref="L15">IFERROR(INDEX(TeamsNumber!B:B,MATCH(All_User!D15,TeamsNumber!D:D,0)),"없음")</f>
        <v>tel:+82234517549</v>
      </c>
      <c r="M15" s="18" t="str">
        <f t="array" ref="M15">IFERROR(INDEX(Printer!D:D,MATCH(All_User!D15,Printer!H:H,0)),"없음")</f>
        <v>SL-C563W</v>
      </c>
      <c r="N15" s="19" t="str">
        <f t="array" ref="N15">IFERROR(INDEX(Monitor!A:A,MATCH(D15,Monitor!D:D,0)),"없음")</f>
        <v>없음</v>
      </c>
      <c r="O15" s="19" t="str">
        <f t="array" ref="O15">IFERROR(INDEX(sales!D:D,MATCH(D15,sales!C:C,0)),"없음")</f>
        <v>Mako</v>
      </c>
      <c r="P15" s="19" t="str">
        <f t="array" ref="P15">IFERROR(INDEX(sales!E:E,MATCH(D15,sales!C:C,0)),"없음")</f>
        <v>Sales</v>
      </c>
      <c r="Q15" s="19" t="str">
        <f t="array" ref="Q15">IFERROR(INDEX(sales!C:C,MATCH(D15,sales!C:C,0)),"list없음")</f>
        <v>Bruce.Cha@stryker.com</v>
      </c>
      <c r="R15" s="19"/>
    </row>
    <row r="16" spans="1:18" ht="13">
      <c r="A16" s="10">
        <v>16</v>
      </c>
      <c r="B16" s="12" t="s">
        <v>88</v>
      </c>
      <c r="C16" s="12" t="s">
        <v>89</v>
      </c>
      <c r="D16" s="12" t="s">
        <v>90</v>
      </c>
      <c r="E16" s="12" t="s">
        <v>91</v>
      </c>
      <c r="F16" s="12" t="s">
        <v>33</v>
      </c>
      <c r="G16" s="12" t="s">
        <v>34</v>
      </c>
      <c r="H16" s="14" t="str">
        <f t="array" ref="H16">IFERROR(INDEX(Lease_List!D:D,MATCH(All_User!D16,Lease_List!H:H,0)),"없음")</f>
        <v>없음</v>
      </c>
      <c r="I16" s="17" t="s">
        <v>28</v>
      </c>
      <c r="J16" s="16" t="s">
        <v>92</v>
      </c>
      <c r="K16" s="17" t="str">
        <f t="array" ref="K16">IFERROR(INDEX(Ipad_List!C:C,MATCH(All_User!D16,Ipad_List!J:J,0)),"없음")</f>
        <v>Q4VGFW40QV</v>
      </c>
      <c r="L16" s="18" t="str">
        <f t="array" ref="L16">IFERROR(INDEX(TeamsNumber!B:B,MATCH(All_User!D16,TeamsNumber!D:D,0)),"없음")</f>
        <v>tel:+82234517668</v>
      </c>
      <c r="M16" s="18" t="str">
        <f t="array" ref="M16">IFERROR(INDEX(Printer!D:D,MATCH(All_User!D16,Printer!G:G,0)),"없음")</f>
        <v>없음</v>
      </c>
      <c r="N16" s="19" t="str">
        <f t="array" ref="N16">IFERROR(INDEX(Monitor!A:A,MATCH(D16,Monitor!D:D,0)),"없음")</f>
        <v>없음</v>
      </c>
      <c r="O16" s="19">
        <f t="array" ref="O16">IFERROR(INDEX(sales!D:D,MATCH(D16,sales!C:C,0)),"없음")</f>
        <v>0</v>
      </c>
      <c r="P16" s="19" t="str">
        <f t="array" ref="P16">IFERROR(INDEX(sales!E:E,MATCH(D16,sales!C:C,0)),"없음")</f>
        <v>TS</v>
      </c>
      <c r="Q16" s="19" t="str">
        <f t="array" ref="Q16">IFERROR(INDEX(sales!C:C,MATCH(D16,sales!C:C,0)),"list없음")</f>
        <v>carl.cha@stryker.com</v>
      </c>
      <c r="R16" s="19"/>
    </row>
    <row r="17" spans="1:18" ht="13">
      <c r="A17" s="21"/>
      <c r="B17" s="22"/>
      <c r="C17" s="22"/>
      <c r="D17" s="22"/>
      <c r="E17" s="22"/>
      <c r="F17" s="22"/>
      <c r="G17" s="22"/>
      <c r="H17" s="23"/>
      <c r="I17" s="24"/>
      <c r="J17" s="24"/>
      <c r="K17" s="24"/>
      <c r="L17" s="25"/>
      <c r="M17" s="25"/>
      <c r="N17" s="25"/>
      <c r="O17" s="25"/>
      <c r="P17" s="25"/>
      <c r="Q17" s="25"/>
      <c r="R17" s="25"/>
    </row>
    <row r="18" spans="1:18" ht="13">
      <c r="A18" s="10">
        <v>18</v>
      </c>
      <c r="B18" s="12" t="s">
        <v>93</v>
      </c>
      <c r="C18" s="12" t="s">
        <v>94</v>
      </c>
      <c r="D18" s="12" t="s">
        <v>95</v>
      </c>
      <c r="E18" s="12" t="s">
        <v>87</v>
      </c>
      <c r="F18" s="12" t="s">
        <v>20</v>
      </c>
      <c r="G18" s="12" t="s">
        <v>27</v>
      </c>
      <c r="H18" s="14" t="str">
        <f t="array" ref="H18">IFERROR(INDEX(Lease_List!D:D,MATCH(All_User!D18,Lease_List!H:H,0)),"없음")</f>
        <v>5CD5179KHY</v>
      </c>
      <c r="I18" s="17" t="s">
        <v>96</v>
      </c>
      <c r="J18" s="16"/>
      <c r="K18" s="17" t="str">
        <f t="array" ref="K18">IFERROR(INDEX(Ipad_List!C:C,MATCH(All_User!D18,Ipad_List!J:J,0)),"없음")</f>
        <v>Q4VMC2579N</v>
      </c>
      <c r="L18" s="18" t="str">
        <f t="array" ref="L18">IFERROR(INDEX(TeamsNumber!B:B,MATCH(All_User!D18,TeamsNumber!D:D,0)),"없음")</f>
        <v>tel:+82234517557</v>
      </c>
      <c r="M18" s="18" t="str">
        <f t="array" ref="M18">IFERROR(INDEX(Printer!D:D,MATCH(All_User!D18,Printer!H:H,0)),"없음")</f>
        <v>SL-C565FW</v>
      </c>
      <c r="N18" s="19" t="str">
        <f t="array" ref="N18">IFERROR(INDEX(Monitor!A:A,MATCH(D18,Monitor!D:D,0)),"없음")</f>
        <v>없음</v>
      </c>
      <c r="O18" s="19" t="str">
        <f t="array" ref="O18">IFERROR(INDEX(sales!D:D,MATCH(D18,sales!C:C,0)),"없음")</f>
        <v>Mako</v>
      </c>
      <c r="P18" s="19" t="str">
        <f t="array" ref="P18">IFERROR(INDEX(sales!E:E,MATCH(D18,sales!C:C,0)),"없음")</f>
        <v>Sales</v>
      </c>
      <c r="Q18" s="19" t="str">
        <f t="array" ref="Q18">IFERROR(INDEX(sales!C:C,MATCH(D18,sales!C:C,0)),"list없음")</f>
        <v>Willy.Chang@stryker.com</v>
      </c>
      <c r="R18" s="19"/>
    </row>
    <row r="19" spans="1:18" ht="13">
      <c r="A19" s="10">
        <v>19</v>
      </c>
      <c r="B19" s="12" t="s">
        <v>97</v>
      </c>
      <c r="C19" s="12" t="s">
        <v>98</v>
      </c>
      <c r="D19" s="12" t="s">
        <v>99</v>
      </c>
      <c r="E19" s="12" t="s">
        <v>100</v>
      </c>
      <c r="F19" s="12" t="s">
        <v>101</v>
      </c>
      <c r="G19" s="12" t="s">
        <v>102</v>
      </c>
      <c r="H19" s="20" t="str">
        <f t="array" ref="H19">IFERROR(INDEX(Lease_List!D:D,MATCH(All_User!D19,Lease_List!H:H,0)),"없음")</f>
        <v>5CD442C07H</v>
      </c>
      <c r="I19" s="16" t="s">
        <v>28</v>
      </c>
      <c r="J19" s="16"/>
      <c r="K19" s="16" t="str">
        <f t="array" ref="K19">IFERROR(INDEX(Ipad_List!C:C,MATCH(All_User!D19,Ipad_List!J:J,0)),"없음")</f>
        <v>DLXCC0M0KC43</v>
      </c>
      <c r="L19" s="19" t="str">
        <f t="array" ref="L19">IFERROR(INDEX(TeamsNumber!B:B,MATCH(All_User!D19,TeamsNumber!D:D,0)),"없음")</f>
        <v>tel:+82234517644</v>
      </c>
      <c r="M19" s="19" t="str">
        <f t="array" ref="M19">IFERROR(INDEX(Printer!D:D,MATCH(All_User!D19,Printer!H:H,0)),"없음")</f>
        <v>없음</v>
      </c>
      <c r="N19" s="19" t="str">
        <f t="array" ref="N19">IFERROR(INDEX(Monitor!A:A,MATCH(D19,Monitor!D:D,0)),"없음")</f>
        <v>LCD 모니터</v>
      </c>
      <c r="O19" s="19" t="str">
        <f t="array" ref="O19">IFERROR(INDEX(sales!D:D,MATCH(D19,sales!C:C,0)),"없음")</f>
        <v>없음</v>
      </c>
      <c r="P19" s="19" t="str">
        <f t="array" ref="P19">IFERROR(INDEX(sales!E:E,MATCH(D19,sales!C:C,0)),"없음")</f>
        <v>없음</v>
      </c>
      <c r="Q19" s="19"/>
      <c r="R19" s="19"/>
    </row>
    <row r="20" spans="1:18" ht="13">
      <c r="A20" s="10">
        <v>20</v>
      </c>
      <c r="B20" s="12" t="s">
        <v>103</v>
      </c>
      <c r="C20" s="12" t="s">
        <v>104</v>
      </c>
      <c r="D20" s="11" t="s">
        <v>105</v>
      </c>
      <c r="E20" s="12" t="s">
        <v>106</v>
      </c>
      <c r="F20" s="12" t="s">
        <v>20</v>
      </c>
      <c r="G20" s="12" t="s">
        <v>75</v>
      </c>
      <c r="H20" s="14" t="str">
        <f t="array" ref="H20">IFERROR(INDEX(Lease_List!D:D,MATCH(All_User!D20,Lease_List!H:H,0)),"없음")</f>
        <v>5CD5179KHG</v>
      </c>
      <c r="I20" s="17" t="s">
        <v>107</v>
      </c>
      <c r="J20" s="16"/>
      <c r="K20" s="17" t="str">
        <f t="array" ref="K20">IFERROR(INDEX(Ipad_List!C:C,MATCH(All_User!D20,Ipad_List!J:J,0)),"없음")</f>
        <v>L2Q9F70301</v>
      </c>
      <c r="L20" s="18" t="str">
        <f t="array" ref="L20">IFERROR(INDEX(TeamsNumber!B:B,MATCH(All_User!D20,TeamsNumber!D:D,0)),"없음")</f>
        <v>tel:+82234517699</v>
      </c>
      <c r="M20" s="18" t="str">
        <f t="array" ref="M20">IFERROR(INDEX(Printer!D:D,MATCH(All_User!D20,Printer!H:H,0)),"없음")</f>
        <v>SL-C563W</v>
      </c>
      <c r="N20" s="19" t="str">
        <f t="array" ref="N20">IFERROR(INDEX(Monitor!A:A,MATCH(D20,Monitor!D:D,0)),"없음")</f>
        <v>없음</v>
      </c>
      <c r="O20" s="19" t="str">
        <f t="array" ref="O20">IFERROR(INDEX(sales!D:D,MATCH(D20,sales!C:C,0)),"없음")</f>
        <v>MedSurg</v>
      </c>
      <c r="P20" s="19" t="str">
        <f t="array" ref="P20">IFERROR(INDEX(sales!E:E,MATCH(D20,sales!C:C,0)),"없음")</f>
        <v>Sales</v>
      </c>
      <c r="Q20" s="19" t="str">
        <f t="array" ref="Q20">IFERROR(INDEX(sales!C:C,MATCH(D20,sales!C:C,0)),"list없음")</f>
        <v>martin.cho@stryker.com</v>
      </c>
      <c r="R20" s="19"/>
    </row>
    <row r="21" spans="1:18" ht="13">
      <c r="A21" s="10">
        <v>21</v>
      </c>
      <c r="B21" s="12" t="s">
        <v>108</v>
      </c>
      <c r="C21" s="12" t="s">
        <v>109</v>
      </c>
      <c r="D21" s="12" t="s">
        <v>110</v>
      </c>
      <c r="E21" s="12" t="s">
        <v>111</v>
      </c>
      <c r="F21" s="12" t="s">
        <v>33</v>
      </c>
      <c r="G21" s="12" t="s">
        <v>46</v>
      </c>
      <c r="H21" s="20" t="str">
        <f t="array" ref="H21">IFERROR(INDEX(Lease_List!D:D,MATCH(All_User!D21,Lease_List!H:H,0)),"없음")</f>
        <v>5CD442C07C</v>
      </c>
      <c r="I21" s="16" t="s">
        <v>28</v>
      </c>
      <c r="J21" s="16"/>
      <c r="K21" s="16" t="str">
        <f t="array" ref="K21">IFERROR(INDEX(Ipad_List!C:C,MATCH(All_User!D21,Ipad_List!J:J,0)),"없음")</f>
        <v>없음</v>
      </c>
      <c r="L21" s="19" t="str">
        <f t="array" ref="L21">IFERROR(INDEX(TeamsNumber!B:B,MATCH(All_User!D21,TeamsNumber!D:D,0)),"없음")</f>
        <v>tel:+82234517658</v>
      </c>
      <c r="M21" s="19" t="str">
        <f t="array" ref="M21">IFERROR(INDEX(Printer!D:D,MATCH(All_User!D21,Printer!H:H,0)),"없음")</f>
        <v>없음</v>
      </c>
      <c r="N21" s="19" t="str">
        <f t="array" ref="N21">IFERROR(INDEX(Monitor!A:A,MATCH(D21,Monitor!D:D,0)),"없음")</f>
        <v>없음</v>
      </c>
      <c r="O21" s="19" t="str">
        <f t="array" ref="O21">IFERROR(INDEX(sales!D:D,MATCH(D21,sales!C:C,0)),"없음")</f>
        <v>없음</v>
      </c>
      <c r="P21" s="19" t="str">
        <f t="array" ref="P21">IFERROR(INDEX(sales!E:E,MATCH(D21,sales!C:C,0)),"없음")</f>
        <v>없음</v>
      </c>
      <c r="Q21" s="19"/>
      <c r="R21" s="19"/>
    </row>
    <row r="22" spans="1:18" ht="13">
      <c r="A22" s="26"/>
      <c r="B22" s="27"/>
      <c r="C22" s="27"/>
      <c r="D22" s="27"/>
      <c r="E22" s="27"/>
      <c r="F22" s="27"/>
      <c r="G22" s="27"/>
      <c r="H22" s="28"/>
      <c r="I22" s="29"/>
      <c r="J22" s="29"/>
      <c r="K22" s="29"/>
      <c r="L22" s="30"/>
      <c r="M22" s="30"/>
      <c r="N22" s="30"/>
      <c r="O22" s="30"/>
      <c r="P22" s="30"/>
      <c r="Q22" s="31"/>
      <c r="R22" s="31"/>
    </row>
    <row r="23" spans="1:18" ht="13">
      <c r="A23" s="10">
        <v>23</v>
      </c>
      <c r="B23" s="12" t="s">
        <v>112</v>
      </c>
      <c r="C23" s="12" t="s">
        <v>113</v>
      </c>
      <c r="D23" s="12" t="s">
        <v>114</v>
      </c>
      <c r="E23" s="12" t="s">
        <v>26</v>
      </c>
      <c r="F23" s="12" t="s">
        <v>20</v>
      </c>
      <c r="G23" s="12" t="s">
        <v>27</v>
      </c>
      <c r="H23" s="20" t="str">
        <f t="array" ref="H23">IFERROR(INDEX(Lease_List!D:D,MATCH(All_User!D23,Lease_List!H:H,0)),"없음")</f>
        <v>없음</v>
      </c>
      <c r="I23" s="16" t="s">
        <v>115</v>
      </c>
      <c r="J23" s="16"/>
      <c r="K23" s="16" t="str">
        <f t="array" ref="K23">IFERROR(INDEX(Ipad_List!C:C,MATCH(All_User!D23,Ipad_List!J:J,0)),"없음")</f>
        <v>LD0W924NX3</v>
      </c>
      <c r="L23" s="19" t="str">
        <f t="array" ref="L23">IFERROR(INDEX(TeamsNumber!B:B,MATCH(All_User!D23,TeamsNumber!D:D,0)),"없음")</f>
        <v>tel:+82234517567</v>
      </c>
      <c r="M23" s="19" t="str">
        <f t="array" ref="M23">IFERROR(INDEX(Printer!D:D,MATCH(All_User!D23,Printer!G:G,0)),"없음")</f>
        <v>없음</v>
      </c>
      <c r="N23" s="19" t="str">
        <f t="array" ref="N23">IFERROR(INDEX(Monitor!A:A,MATCH(D23,Monitor!D:D,0)),"없음")</f>
        <v>없음</v>
      </c>
      <c r="O23" s="19">
        <f t="array" ref="O23">IFERROR(INDEX(sales!D:D,MATCH(D23,sales!C:C,0)),"없음")</f>
        <v>0</v>
      </c>
      <c r="P23" s="19">
        <f t="array" ref="P23">IFERROR(INDEX(sales!E:E,MATCH(D23,sales!C:C,0)),"없음")</f>
        <v>0</v>
      </c>
      <c r="Q23" s="19"/>
      <c r="R23" s="19"/>
    </row>
    <row r="24" spans="1:18" ht="13">
      <c r="A24" s="32">
        <v>24</v>
      </c>
      <c r="B24" s="33" t="s">
        <v>116</v>
      </c>
      <c r="C24" s="33"/>
      <c r="D24" s="33" t="s">
        <v>117</v>
      </c>
      <c r="E24" s="33" t="s">
        <v>70</v>
      </c>
      <c r="F24" s="33" t="s">
        <v>20</v>
      </c>
      <c r="G24" s="33" t="s">
        <v>27</v>
      </c>
      <c r="H24" s="14" t="str">
        <f t="array" ref="H24">IFERROR(INDEX(Lease_List!D:D,MATCH(All_User!D24,Lease_List!H:H,0)),"없음")</f>
        <v>없음</v>
      </c>
      <c r="I24" s="17" t="s">
        <v>28</v>
      </c>
      <c r="J24" s="16" t="s">
        <v>118</v>
      </c>
      <c r="K24" s="17" t="str">
        <f t="array" ref="K24">IFERROR(INDEX(Ipad_List!C:C,MATCH(All_User!D24,Ipad_List!J:J,0)),"없음")</f>
        <v>CQ0MQK66GM</v>
      </c>
      <c r="L24" s="18" t="str">
        <f t="array" ref="L24">IFERROR(INDEX(TeamsNumber!B:B,MATCH(All_User!D24,TeamsNumber!D:D,0)),"없음")</f>
        <v>tel:+82234517525</v>
      </c>
      <c r="M24" s="18" t="str">
        <f t="array" ref="M24">IFERROR(INDEX(Printer!D:D,MATCH(All_User!D24,Printer!G:G,0)),"없음")</f>
        <v>없음</v>
      </c>
      <c r="N24" s="19" t="str">
        <f t="array" ref="N24">IFERROR(INDEX(Monitor!A:A,MATCH(D24,Monitor!D:D,0)),"없음")</f>
        <v>없음</v>
      </c>
      <c r="O24" s="19" t="str">
        <f t="array" ref="O24">IFERROR(INDEX(sales!D:D,MATCH(D24,sales!C:C,0)),"없음")</f>
        <v>Mako</v>
      </c>
      <c r="P24" s="19" t="str">
        <f t="array" ref="P24">IFERROR(INDEX(sales!E:E,MATCH(D24,sales!C:C,0)),"없음")</f>
        <v>MPS</v>
      </c>
      <c r="Q24" s="19" t="str">
        <f t="array" ref="Q24">IFERROR(INDEX(sales!C:C,MATCH(D24,sales!C:C,0)),"list없음")</f>
        <v>claire.choi@stryker.com</v>
      </c>
      <c r="R24" s="19"/>
    </row>
    <row r="25" spans="1:18" ht="13">
      <c r="A25" s="10">
        <v>25</v>
      </c>
      <c r="B25" s="12" t="s">
        <v>119</v>
      </c>
      <c r="C25" s="12" t="s">
        <v>120</v>
      </c>
      <c r="D25" s="12" t="s">
        <v>121</v>
      </c>
      <c r="E25" s="12" t="s">
        <v>122</v>
      </c>
      <c r="F25" s="12" t="s">
        <v>20</v>
      </c>
      <c r="G25" s="12" t="s">
        <v>75</v>
      </c>
      <c r="H25" s="14" t="str">
        <f t="array" ref="H25">IFERROR(INDEX(Lease_List!D:D,MATCH(All_User!D25,Lease_List!H:H,0)),"없음")</f>
        <v>5CD4145N3V</v>
      </c>
      <c r="I25" s="17" t="s">
        <v>28</v>
      </c>
      <c r="J25" s="16"/>
      <c r="K25" s="17" t="str">
        <f t="array" ref="K25">IFERROR(INDEX(Ipad_List!C:C,MATCH(All_User!D25,Ipad_List!J:J,0)),"없음")</f>
        <v>MKTFHJRWT2</v>
      </c>
      <c r="L25" s="18" t="str">
        <f t="array" ref="L25">IFERROR(INDEX(TeamsNumber!B:B,MATCH(All_User!D25,TeamsNumber!D:D,0)),"없음")</f>
        <v>tel:+82234517559</v>
      </c>
      <c r="M25" s="18" t="str">
        <f t="array" ref="M25">IFERROR(INDEX(Printer!D:D,MATCH(All_User!D25,Printer!H:H,0)),"없음")</f>
        <v>SL-C563W</v>
      </c>
      <c r="N25" s="19" t="str">
        <f t="array" ref="N25">IFERROR(INDEX(Monitor!A:A,MATCH(D25,Monitor!D:D,0)),"없음")</f>
        <v>없음</v>
      </c>
      <c r="O25" s="19" t="str">
        <f t="array" ref="O25">IFERROR(INDEX(sales!D:D,MATCH(D25,sales!C:C,0)),"없음")</f>
        <v>Implants</v>
      </c>
      <c r="P25" s="19" t="str">
        <f t="array" ref="P25">IFERROR(INDEX(sales!E:E,MATCH(D25,sales!C:C,0)),"없음")</f>
        <v>Sales</v>
      </c>
      <c r="Q25" s="19" t="str">
        <f t="array" ref="Q25">IFERROR(INDEX(sales!C:C,MATCH(D25,sales!C:C,0)),"list없음")</f>
        <v>brad.choi@stryker.com</v>
      </c>
      <c r="R25" s="19"/>
    </row>
    <row r="26" spans="1:18" ht="13">
      <c r="A26" s="10">
        <v>26</v>
      </c>
      <c r="B26" s="12" t="s">
        <v>123</v>
      </c>
      <c r="C26" s="12" t="s">
        <v>124</v>
      </c>
      <c r="D26" s="12" t="s">
        <v>125</v>
      </c>
      <c r="E26" s="12" t="s">
        <v>126</v>
      </c>
      <c r="F26" s="12" t="s">
        <v>20</v>
      </c>
      <c r="G26" s="12" t="s">
        <v>21</v>
      </c>
      <c r="H26" s="14" t="str">
        <f t="array" ref="H26">IFERROR(INDEX(Lease_List!D:D,MATCH(All_User!D26,Lease_List!H:H,0)),"없음")</f>
        <v>5CD5179KHS</v>
      </c>
      <c r="I26" s="17" t="s">
        <v>115</v>
      </c>
      <c r="J26" s="16"/>
      <c r="K26" s="17" t="str">
        <f t="array" ref="K26">IFERROR(INDEX(Ipad_List!C:C,MATCH(All_User!D26,Ipad_List!J:J,0)),"없음")</f>
        <v>HP6F2M6GJ7</v>
      </c>
      <c r="L26" s="18" t="str">
        <f t="array" ref="L26">IFERROR(INDEX(TeamsNumber!B:B,MATCH(All_User!D26,TeamsNumber!D:D,0)),"없음")</f>
        <v>tel:+82234517623</v>
      </c>
      <c r="M26" s="18" t="str">
        <f t="array" ref="M26">IFERROR(INDEX(Printer!D:D,MATCH(All_User!D26,Printer!H:H,0)),"없음")</f>
        <v>SL-C565FW</v>
      </c>
      <c r="N26" s="19" t="str">
        <f t="array" ref="N26">IFERROR(INDEX(Monitor!A:A,MATCH(D26,Monitor!D:D,0)),"없음")</f>
        <v>없음</v>
      </c>
      <c r="O26" s="19" t="str">
        <f t="array" ref="O26">IFERROR(INDEX(sales!D:D,MATCH(D26,sales!C:C,0)),"없음")</f>
        <v>NV</v>
      </c>
      <c r="P26" s="19" t="str">
        <f t="array" ref="P26">IFERROR(INDEX(sales!E:E,MATCH(D26,sales!C:C,0)),"없음")</f>
        <v>NV</v>
      </c>
      <c r="Q26" s="19" t="str">
        <f t="array" ref="Q26">IFERROR(INDEX(sales!C:C,MATCH(D26,sales!C:C,0)),"list없음")</f>
        <v>kyu.choi@stryker.com</v>
      </c>
      <c r="R26" s="19"/>
    </row>
    <row r="27" spans="1:18" ht="13">
      <c r="A27" s="26"/>
      <c r="B27" s="27"/>
      <c r="C27" s="27"/>
      <c r="D27" s="27"/>
      <c r="E27" s="27"/>
      <c r="F27" s="27"/>
      <c r="G27" s="27"/>
      <c r="H27" s="28"/>
      <c r="I27" s="29"/>
      <c r="J27" s="29"/>
      <c r="K27" s="29"/>
      <c r="L27" s="30"/>
      <c r="M27" s="30"/>
      <c r="N27" s="30"/>
      <c r="O27" s="30"/>
      <c r="P27" s="30"/>
      <c r="Q27" s="31"/>
      <c r="R27" s="31"/>
    </row>
    <row r="28" spans="1:18" ht="13">
      <c r="A28" s="10">
        <v>28</v>
      </c>
      <c r="B28" s="12" t="s">
        <v>127</v>
      </c>
      <c r="C28" s="12" t="s">
        <v>128</v>
      </c>
      <c r="D28" s="12" t="s">
        <v>129</v>
      </c>
      <c r="E28" s="12" t="s">
        <v>55</v>
      </c>
      <c r="F28" s="12" t="s">
        <v>20</v>
      </c>
      <c r="G28" s="12" t="s">
        <v>27</v>
      </c>
      <c r="H28" s="14" t="str">
        <f t="array" ref="H28">IFERROR(INDEX(Lease_List!D:D,MATCH(All_User!D28,Lease_List!H:H,0)),"없음")</f>
        <v>5CD5062YF4</v>
      </c>
      <c r="I28" s="17" t="s">
        <v>28</v>
      </c>
      <c r="J28" s="16"/>
      <c r="K28" s="17" t="str">
        <f t="array" ref="K28">IFERROR(INDEX(Ipad_List!C:C,MATCH(All_User!D28,Ipad_List!J:J,0)),"없음")</f>
        <v>QC36D93T16</v>
      </c>
      <c r="L28" s="18" t="str">
        <f t="array" ref="L28">IFERROR(INDEX(TeamsNumber!B:B,MATCH(All_User!D28,TeamsNumber!D:D,0)),"없음")</f>
        <v>tel:+82234517517</v>
      </c>
      <c r="M28" s="18" t="str">
        <f t="array" ref="M28">IFERROR(INDEX(Printer!D:D,MATCH(All_User!D28,Printer!H:H,0)),"없음")</f>
        <v>없음</v>
      </c>
      <c r="N28" s="19" t="str">
        <f t="array" ref="N28">IFERROR(INDEX(Monitor!A:A,MATCH(D28,Monitor!D:D,0)),"없음")</f>
        <v>없음</v>
      </c>
      <c r="O28" s="19" t="str">
        <f t="array" ref="O28">IFERROR(INDEX(sales!D:D,MATCH(D28,sales!C:C,0)),"없음")</f>
        <v>Mako</v>
      </c>
      <c r="P28" s="19" t="str">
        <f t="array" ref="P28">IFERROR(INDEX(sales!E:E,MATCH(D28,sales!C:C,0)),"없음")</f>
        <v>MPS</v>
      </c>
      <c r="Q28" s="19" t="str">
        <f t="array" ref="Q28">IFERROR(INDEX(sales!C:C,MATCH(D28,sales!C:C,0)),"list없음")</f>
        <v>mason.choi@stryker.com</v>
      </c>
      <c r="R28" s="19"/>
    </row>
    <row r="29" spans="1:18" ht="13">
      <c r="A29" s="10">
        <v>29</v>
      </c>
      <c r="B29" s="12" t="s">
        <v>130</v>
      </c>
      <c r="C29" s="12" t="s">
        <v>131</v>
      </c>
      <c r="D29" s="12" t="s">
        <v>132</v>
      </c>
      <c r="E29" s="12" t="s">
        <v>133</v>
      </c>
      <c r="F29" s="12" t="s">
        <v>20</v>
      </c>
      <c r="G29" s="12" t="s">
        <v>134</v>
      </c>
      <c r="H29" s="14" t="str">
        <f t="array" ref="H29">IFERROR(INDEX(Lease_List!D:D,MATCH(All_User!D29,Lease_List!H:H,0)),"없음")</f>
        <v>5CD442C072</v>
      </c>
      <c r="I29" s="17" t="s">
        <v>28</v>
      </c>
      <c r="J29" s="16"/>
      <c r="K29" s="17" t="str">
        <f t="array" ref="K29">IFERROR(INDEX(Ipad_List!C:C,MATCH(All_User!D29,Ipad_List!J:J,0)),"없음")</f>
        <v>GMF3VLXNKG</v>
      </c>
      <c r="L29" s="18" t="str">
        <f t="array" ref="L29">IFERROR(INDEX(TeamsNumber!B:B,MATCH(All_User!D29,TeamsNumber!D:D,0)),"없음")</f>
        <v>tel:+82234517618</v>
      </c>
      <c r="M29" s="18" t="str">
        <f t="array" ref="M29">IFERROR(INDEX(Printer!D:D,MATCH(All_User!D29,Printer!H:H,0)),"없음")</f>
        <v>SL-C483W</v>
      </c>
      <c r="N29" s="19" t="str">
        <f t="array" ref="N29">IFERROR(INDEX(Monitor!A:A,MATCH(D29,Monitor!D:D,0)),"없음")</f>
        <v>LCD 모니터</v>
      </c>
      <c r="O29" s="19">
        <f t="array" ref="O29">IFERROR(INDEX(sales!D:D,MATCH(D29,sales!C:C,0)),"없음")</f>
        <v>0</v>
      </c>
      <c r="P29" s="19" t="str">
        <f t="array" ref="P29">IFERROR(INDEX(sales!E:E,MATCH(D29,sales!C:C,0)),"없음")</f>
        <v>MKT</v>
      </c>
      <c r="Q29" s="19" t="str">
        <f t="array" ref="Q29">IFERROR(INDEX(sales!C:C,MATCH(D29,sales!C:C,0)),"list없음")</f>
        <v>jae.chung@stryker.com</v>
      </c>
      <c r="R29" s="19"/>
    </row>
    <row r="30" spans="1:18" ht="13">
      <c r="A30" s="10">
        <v>30</v>
      </c>
      <c r="B30" s="12" t="s">
        <v>135</v>
      </c>
      <c r="C30" s="12" t="s">
        <v>136</v>
      </c>
      <c r="D30" s="12" t="s">
        <v>137</v>
      </c>
      <c r="E30" s="12" t="s">
        <v>138</v>
      </c>
      <c r="F30" s="12" t="s">
        <v>20</v>
      </c>
      <c r="G30" s="12" t="s">
        <v>75</v>
      </c>
      <c r="H30" s="14" t="str">
        <f t="array" ref="H30">IFERROR(INDEX(Lease_List!D:D,MATCH(All_User!D30,Lease_List!H:H,0)),"없음")</f>
        <v>5CD4232BF1</v>
      </c>
      <c r="I30" s="17" t="s">
        <v>28</v>
      </c>
      <c r="J30" s="16"/>
      <c r="K30" s="17" t="str">
        <f t="array" ref="K30">IFERROR(INDEX(Ipad_List!C:C,MATCH(All_User!D30,Ipad_List!J:J,0)),"없음")</f>
        <v>DWJX4VVTX2</v>
      </c>
      <c r="L30" s="18" t="str">
        <f t="array" ref="L30">IFERROR(INDEX(TeamsNumber!B:B,MATCH(All_User!D30,TeamsNumber!D:D,0)),"없음")</f>
        <v>tel:+82234517648</v>
      </c>
      <c r="M30" s="18" t="str">
        <f t="array" ref="M30">IFERROR(INDEX(Printer!D:D,MATCH(All_User!D30,Printer!H:H,0)),"없음")</f>
        <v>없음</v>
      </c>
      <c r="N30" s="19" t="str">
        <f t="array" ref="N30">IFERROR(INDEX(Monitor!A:A,MATCH(D30,Monitor!D:D,0)),"없음")</f>
        <v>없음</v>
      </c>
      <c r="O30" s="19" t="str">
        <f t="array" ref="O30">IFERROR(INDEX(sales!D:D,MATCH(D30,sales!C:C,0)),"없음")</f>
        <v>Knee</v>
      </c>
      <c r="P30" s="19" t="str">
        <f t="array" ref="P30">IFERROR(INDEX(sales!E:E,MATCH(D30,sales!C:C,0)),"없음")</f>
        <v>Sales</v>
      </c>
      <c r="Q30" s="19" t="str">
        <f t="array" ref="Q30">IFERROR(INDEX(sales!C:C,MATCH(D30,sales!C:C,0)),"list없음")</f>
        <v>david.chung@stryker.com</v>
      </c>
      <c r="R30" s="19"/>
    </row>
    <row r="31" spans="1:18" ht="13">
      <c r="A31" s="10">
        <v>31</v>
      </c>
      <c r="B31" s="12" t="s">
        <v>139</v>
      </c>
      <c r="C31" s="12" t="s">
        <v>140</v>
      </c>
      <c r="D31" s="12" t="s">
        <v>141</v>
      </c>
      <c r="E31" s="12" t="s">
        <v>142</v>
      </c>
      <c r="F31" s="12" t="s">
        <v>65</v>
      </c>
      <c r="G31" s="12" t="s">
        <v>66</v>
      </c>
      <c r="H31" s="20" t="str">
        <f t="array" ref="H31">IFERROR(INDEX(Lease_List!D:D,MATCH(All_User!D31,Lease_List!H:H,0)),"없음")</f>
        <v>5CD5062YDT</v>
      </c>
      <c r="I31" s="16" t="s">
        <v>28</v>
      </c>
      <c r="J31" s="16"/>
      <c r="K31" s="16" t="str">
        <f t="array" ref="K31">IFERROR(INDEX(Ipad_List!C:C,MATCH(All_User!D31,Ipad_List!J:J,0)),"없음")</f>
        <v>없음</v>
      </c>
      <c r="L31" s="19" t="str">
        <f t="array" ref="L31">IFERROR(INDEX(TeamsNumber!B:B,MATCH(All_User!D31,TeamsNumber!D:D,0)),"없음")</f>
        <v>없음</v>
      </c>
      <c r="M31" s="19" t="str">
        <f t="array" ref="M31">IFERROR(INDEX(Printer!D:D,MATCH(All_User!D31,Printer!H:H,0)),"없음")</f>
        <v>없음</v>
      </c>
      <c r="N31" s="19" t="str">
        <f t="array" ref="N31">IFERROR(INDEX(Monitor!A:A,MATCH(D31,Monitor!D:D,0)),"없음")</f>
        <v>없음</v>
      </c>
      <c r="O31" s="19" t="str">
        <f t="array" ref="O31">IFERROR(INDEX(sales!D:D,MATCH(D31,sales!C:C,0)),"없음")</f>
        <v>없음</v>
      </c>
      <c r="P31" s="19" t="str">
        <f t="array" ref="P31">IFERROR(INDEX(sales!E:E,MATCH(D31,sales!C:C,0)),"없음")</f>
        <v>없음</v>
      </c>
      <c r="Q31" s="19"/>
      <c r="R31" s="19"/>
    </row>
    <row r="32" spans="1:18" ht="13">
      <c r="A32" s="10">
        <v>32</v>
      </c>
      <c r="B32" s="12" t="s">
        <v>143</v>
      </c>
      <c r="C32" s="12" t="s">
        <v>144</v>
      </c>
      <c r="D32" s="12" t="s">
        <v>145</v>
      </c>
      <c r="E32" s="12" t="s">
        <v>146</v>
      </c>
      <c r="F32" s="12" t="s">
        <v>20</v>
      </c>
      <c r="G32" s="12" t="s">
        <v>75</v>
      </c>
      <c r="H32" s="14" t="str">
        <f t="array" ref="H32">IFERROR(INDEX(Lease_List!D:D,MATCH(All_User!D32,Lease_List!H:H,0)),"없음")</f>
        <v>5CD4305D8C</v>
      </c>
      <c r="I32" s="17" t="s">
        <v>28</v>
      </c>
      <c r="J32" s="16"/>
      <c r="K32" s="17" t="str">
        <f t="array" ref="K32">IFERROR(INDEX(Ipad_List!C:C,MATCH(All_User!D32,Ipad_List!J:J,0)),"없음")</f>
        <v>GW245H3KYL</v>
      </c>
      <c r="L32" s="18" t="str">
        <f t="array" ref="L32">IFERROR(INDEX(TeamsNumber!B:B,MATCH(All_User!D32,TeamsNumber!D:D,0)),"없음")</f>
        <v>tel:+82234517611</v>
      </c>
      <c r="M32" s="18" t="str">
        <f t="array" ref="M32">IFERROR(INDEX(Printer!D:D,MATCH(All_User!D32,Printer!H:H,0)),"없음")</f>
        <v>SL-C486FW</v>
      </c>
      <c r="N32" s="19" t="str">
        <f t="array" ref="N32">IFERROR(INDEX(Monitor!A:A,MATCH(D32,Monitor!D:D,0)),"없음")</f>
        <v>없음</v>
      </c>
      <c r="O32" s="19" t="str">
        <f t="array" ref="O32">IFERROR(INDEX(sales!D:D,MATCH(D32,sales!C:C,0)),"없음")</f>
        <v>MedSurg</v>
      </c>
      <c r="P32" s="19" t="str">
        <f t="array" ref="P32">IFERROR(INDEX(sales!E:E,MATCH(D32,sales!C:C,0)),"없음")</f>
        <v>Sales</v>
      </c>
      <c r="Q32" s="19" t="str">
        <f t="array" ref="Q32">IFERROR(INDEX(sales!C:C,MATCH(D32,sales!C:C,0)),"list없음")</f>
        <v>Nathan.Eom@stryker.com</v>
      </c>
      <c r="R32" s="19"/>
    </row>
    <row r="33" spans="1:18" ht="13">
      <c r="A33" s="10">
        <v>33</v>
      </c>
      <c r="B33" s="12" t="s">
        <v>147</v>
      </c>
      <c r="C33" s="12" t="s">
        <v>148</v>
      </c>
      <c r="D33" s="12" t="s">
        <v>149</v>
      </c>
      <c r="E33" s="12" t="s">
        <v>122</v>
      </c>
      <c r="F33" s="12" t="s">
        <v>20</v>
      </c>
      <c r="G33" s="12" t="s">
        <v>75</v>
      </c>
      <c r="H33" s="14" t="str">
        <f t="array" ref="H33">IFERROR(INDEX(Lease_List!D:D,MATCH(All_User!D33,Lease_List!H:H,0)),"없음")</f>
        <v>없음</v>
      </c>
      <c r="I33" s="15" t="s">
        <v>150</v>
      </c>
      <c r="J33" s="16"/>
      <c r="K33" s="17" t="str">
        <f t="array" ref="K33">IFERROR(INDEX(Ipad_List!C:C,MATCH(All_User!D33,Ipad_List!J:J,0)),"없음")</f>
        <v>D64QK42W36</v>
      </c>
      <c r="L33" s="18" t="str">
        <f t="array" ref="L33">IFERROR(INDEX(TeamsNumber!B:B,MATCH(All_User!D33,TeamsNumber!D:D,0)),"없음")</f>
        <v>tel:+82234517610</v>
      </c>
      <c r="M33" s="18" t="str">
        <f t="array" ref="M33">IFERROR(INDEX(Printer!D:D,MATCH(All_User!D33,Printer!G:G,0)),"없음")</f>
        <v>없음</v>
      </c>
      <c r="N33" s="19" t="str">
        <f t="array" ref="N33">IFERROR(INDEX(Monitor!A:A,MATCH(D33,Monitor!D:D,0)),"없음")</f>
        <v>없음</v>
      </c>
      <c r="O33" s="19" t="str">
        <f t="array" ref="O33">IFERROR(INDEX(sales!D:D,MATCH(D33,sales!C:C,0)),"없음")</f>
        <v>Knee</v>
      </c>
      <c r="P33" s="19" t="str">
        <f t="array" ref="P33">IFERROR(INDEX(sales!E:E,MATCH(D33,sales!C:C,0)),"없음")</f>
        <v>Sales</v>
      </c>
      <c r="Q33" s="19" t="str">
        <f t="array" ref="Q33">IFERROR(INDEX(sales!C:C,MATCH(D33,sales!C:C,0)),"list없음")</f>
        <v>jack.eum@stryker.com</v>
      </c>
      <c r="R33" s="19"/>
    </row>
    <row r="34" spans="1:18" ht="13">
      <c r="A34" s="10">
        <v>34</v>
      </c>
      <c r="B34" s="12" t="s">
        <v>151</v>
      </c>
      <c r="C34" s="12" t="s">
        <v>152</v>
      </c>
      <c r="D34" s="12" t="s">
        <v>153</v>
      </c>
      <c r="E34" s="12" t="s">
        <v>79</v>
      </c>
      <c r="F34" s="12" t="s">
        <v>20</v>
      </c>
      <c r="G34" s="12" t="s">
        <v>80</v>
      </c>
      <c r="H34" s="20" t="str">
        <f t="array" ref="H34">IFERROR(INDEX(Lease_List!D:D,MATCH(All_User!D34,Lease_List!H:H,0)),"없음")</f>
        <v>없음</v>
      </c>
      <c r="I34" s="16" t="s">
        <v>115</v>
      </c>
      <c r="J34" s="16"/>
      <c r="K34" s="16" t="str">
        <f t="array" ref="K34">IFERROR(INDEX(Ipad_List!C:C,MATCH(All_User!D34,Ipad_List!J:J,0)),"없음")</f>
        <v>없음</v>
      </c>
      <c r="L34" s="19" t="str">
        <f t="array" ref="L34">IFERROR(INDEX(TeamsNumber!B:B,MATCH(All_User!D34,TeamsNumber!D:D,0)),"없음")</f>
        <v>없음</v>
      </c>
      <c r="M34" s="19" t="str">
        <f t="array" ref="M34">IFERROR(INDEX(Printer!D:D,MATCH(All_User!D34,Printer!G:G,0)),"없음")</f>
        <v>없음</v>
      </c>
      <c r="N34" s="19" t="str">
        <f t="array" ref="N34">IFERROR(INDEX(Monitor!A:A,MATCH(D34,Monitor!D:D,0)),"없음")</f>
        <v>없음</v>
      </c>
      <c r="O34" s="19" t="str">
        <f t="array" ref="O34">IFERROR(INDEX(sales!D:D,MATCH(D34,sales!C:C,0)),"없음")</f>
        <v>없음</v>
      </c>
      <c r="P34" s="19" t="str">
        <f t="array" ref="P34">IFERROR(INDEX(sales!E:E,MATCH(D34,sales!C:C,0)),"없음")</f>
        <v>없음</v>
      </c>
      <c r="Q34" s="19"/>
      <c r="R34" s="19"/>
    </row>
    <row r="35" spans="1:18" ht="13">
      <c r="A35" s="10">
        <v>35</v>
      </c>
      <c r="B35" s="12" t="s">
        <v>154</v>
      </c>
      <c r="C35" s="12" t="s">
        <v>155</v>
      </c>
      <c r="D35" s="12" t="s">
        <v>156</v>
      </c>
      <c r="E35" s="12" t="s">
        <v>157</v>
      </c>
      <c r="F35" s="12" t="s">
        <v>40</v>
      </c>
      <c r="G35" s="12" t="s">
        <v>60</v>
      </c>
      <c r="H35" s="20" t="str">
        <f t="array" ref="H35">IFERROR(INDEX(Lease_List!D:D,MATCH(All_User!D35,Lease_List!H:H,0)),"없음")</f>
        <v>5CD442C076</v>
      </c>
      <c r="I35" s="16" t="s">
        <v>158</v>
      </c>
      <c r="J35" s="16"/>
      <c r="K35" s="16" t="str">
        <f t="array" ref="K35">IFERROR(INDEX(Ipad_List!C:C,MATCH(All_User!D35,Ipad_List!J:J,0)),"없음")</f>
        <v>없음</v>
      </c>
      <c r="L35" s="19" t="str">
        <f t="array" ref="L35">IFERROR(INDEX(TeamsNumber!B:B,MATCH(All_User!D35,TeamsNumber!D:D,0)),"없음")</f>
        <v>tel:+82234517600</v>
      </c>
      <c r="M35" s="19" t="str">
        <f t="array" ref="M35">IFERROR(INDEX(Printer!D:D,MATCH(All_User!D35,Printer!H:H,0)),"없음")</f>
        <v>없음</v>
      </c>
      <c r="N35" s="19" t="str">
        <f t="array" ref="N35">IFERROR(INDEX(Monitor!A:A,MATCH(D35,Monitor!D:D,0)),"없음")</f>
        <v>없음</v>
      </c>
      <c r="O35" s="19" t="str">
        <f t="array" ref="O35">IFERROR(INDEX(sales!D:D,MATCH(D35,sales!C:C,0)),"없음")</f>
        <v>없음</v>
      </c>
      <c r="P35" s="19" t="str">
        <f t="array" ref="P35">IFERROR(INDEX(sales!E:E,MATCH(D35,sales!C:C,0)),"없음")</f>
        <v>없음</v>
      </c>
      <c r="Q35" s="19"/>
      <c r="R35" s="19"/>
    </row>
    <row r="36" spans="1:18" ht="13">
      <c r="A36" s="10">
        <v>36</v>
      </c>
      <c r="B36" s="12" t="s">
        <v>159</v>
      </c>
      <c r="C36" s="12" t="s">
        <v>160</v>
      </c>
      <c r="D36" s="12" t="s">
        <v>161</v>
      </c>
      <c r="E36" s="12" t="s">
        <v>64</v>
      </c>
      <c r="F36" s="12" t="s">
        <v>65</v>
      </c>
      <c r="G36" s="12" t="s">
        <v>66</v>
      </c>
      <c r="H36" s="20" t="str">
        <f t="array" ref="H36">IFERROR(INDEX(Lease_List!D:D,MATCH(All_User!D36,Lease_List!H:H,0)),"없음")</f>
        <v>5CD5179KHR</v>
      </c>
      <c r="I36" s="16" t="s">
        <v>162</v>
      </c>
      <c r="J36" s="16"/>
      <c r="K36" s="16" t="str">
        <f t="array" ref="K36">IFERROR(INDEX(Ipad_List!C:C,MATCH(All_User!D36,Ipad_List!J:J,0)),"없음")</f>
        <v>없음</v>
      </c>
      <c r="L36" s="19" t="str">
        <f t="array" ref="L36">IFERROR(INDEX(TeamsNumber!B:B,MATCH(All_User!D36,TeamsNumber!D:D,0)),"없음")</f>
        <v>tel:+82234517639</v>
      </c>
      <c r="M36" s="19" t="str">
        <f t="array" ref="M36">IFERROR(INDEX(Printer!D:D,MATCH(All_User!D36,Printer!H:H,0)),"없음")</f>
        <v>없음</v>
      </c>
      <c r="N36" s="19" t="str">
        <f t="array" ref="N36">IFERROR(INDEX(Monitor!A:A,MATCH(D36,Monitor!D:D,0)),"없음")</f>
        <v>LCD 모니터</v>
      </c>
      <c r="O36" s="19" t="str">
        <f t="array" ref="O36">IFERROR(INDEX(sales!D:D,MATCH(D36,sales!C:C,0)),"없음")</f>
        <v>없음</v>
      </c>
      <c r="P36" s="19" t="str">
        <f t="array" ref="P36">IFERROR(INDEX(sales!E:E,MATCH(D36,sales!C:C,0)),"없음")</f>
        <v>없음</v>
      </c>
      <c r="Q36" s="19"/>
      <c r="R36" s="19"/>
    </row>
    <row r="37" spans="1:18" ht="13">
      <c r="A37" s="10">
        <v>37</v>
      </c>
      <c r="B37" s="12" t="s">
        <v>163</v>
      </c>
      <c r="C37" s="12" t="s">
        <v>164</v>
      </c>
      <c r="D37" s="12" t="s">
        <v>165</v>
      </c>
      <c r="E37" s="12" t="s">
        <v>70</v>
      </c>
      <c r="F37" s="12" t="s">
        <v>20</v>
      </c>
      <c r="G37" s="12" t="s">
        <v>27</v>
      </c>
      <c r="H37" s="14" t="str">
        <f t="array" ref="H37">IFERROR(INDEX(Lease_List!D:D,MATCH(All_User!D37,Lease_List!H:H,0)),"없음")</f>
        <v>5CD4305D8Y</v>
      </c>
      <c r="I37" s="17" t="s">
        <v>28</v>
      </c>
      <c r="J37" s="16"/>
      <c r="K37" s="17" t="str">
        <f t="array" ref="K37">IFERROR(INDEX(Ipad_List!C:C,MATCH(All_User!D37,Ipad_List!J:J,0)),"없음")</f>
        <v>CXVPVQXG09</v>
      </c>
      <c r="L37" s="18" t="str">
        <f t="array" ref="L37">IFERROR(INDEX(TeamsNumber!B:B,MATCH(All_User!D37,TeamsNumber!D:D,0)),"없음")</f>
        <v>tel:+82234517588</v>
      </c>
      <c r="M37" s="18" t="str">
        <f t="array" ref="M37">IFERROR(INDEX(Printer!D:D,MATCH(All_User!D37,Printer!H:H,0)),"없음")</f>
        <v>SL-C563W</v>
      </c>
      <c r="N37" s="19" t="str">
        <f t="array" ref="N37">IFERROR(INDEX(Monitor!A:A,MATCH(D37,Monitor!D:D,0)),"없음")</f>
        <v>없음</v>
      </c>
      <c r="O37" s="19" t="str">
        <f t="array" ref="O37">IFERROR(INDEX(sales!D:D,MATCH(D37,sales!C:C,0)),"없음")</f>
        <v>Mako</v>
      </c>
      <c r="P37" s="19" t="str">
        <f t="array" ref="P37">IFERROR(INDEX(sales!E:E,MATCH(D37,sales!C:C,0)),"없음")</f>
        <v>MPS</v>
      </c>
      <c r="Q37" s="19" t="str">
        <f t="array" ref="Q37">IFERROR(INDEX(sales!C:C,MATCH(D37,sales!C:C,0)),"list없음")</f>
        <v>leo.han@stryker.com</v>
      </c>
      <c r="R37" s="19"/>
    </row>
    <row r="38" spans="1:18" ht="13">
      <c r="A38" s="10">
        <v>38</v>
      </c>
      <c r="B38" s="12" t="s">
        <v>166</v>
      </c>
      <c r="C38" s="12" t="s">
        <v>167</v>
      </c>
      <c r="D38" s="12" t="s">
        <v>168</v>
      </c>
      <c r="E38" s="12" t="s">
        <v>169</v>
      </c>
      <c r="F38" s="12" t="s">
        <v>101</v>
      </c>
      <c r="G38" s="12" t="s">
        <v>102</v>
      </c>
      <c r="H38" s="20" t="str">
        <f t="array" ref="H38">IFERROR(INDEX(Lease_List!D:D,MATCH(All_User!D38,Lease_List!H:H,0)),"없음")</f>
        <v>5CD3469HDB</v>
      </c>
      <c r="I38" s="16" t="s">
        <v>28</v>
      </c>
      <c r="J38" s="16" t="s">
        <v>170</v>
      </c>
      <c r="K38" s="16" t="str">
        <f t="array" ref="K38">IFERROR(INDEX(Ipad_List!C:C,MATCH(All_User!D38,Ipad_List!J:J,0)),"없음")</f>
        <v>없음</v>
      </c>
      <c r="L38" s="19" t="str">
        <f t="array" ref="L38">IFERROR(INDEX(TeamsNumber!B:B,MATCH(All_User!D38,TeamsNumber!D:D,0)),"없음")</f>
        <v>tel:+82234517546</v>
      </c>
      <c r="M38" s="19" t="str">
        <f t="array" ref="M38">IFERROR(INDEX(Printer!D:D,MATCH(All_User!D38,Printer!G:G,0)),"없음")</f>
        <v>없음</v>
      </c>
      <c r="N38" s="19" t="str">
        <f t="array" ref="N38">IFERROR(INDEX(Monitor!A:A,MATCH(D38,Monitor!D:D,0)),"없음")</f>
        <v>없음</v>
      </c>
      <c r="O38" s="19" t="str">
        <f t="array" ref="O38">IFERROR(INDEX(sales!D:D,MATCH(D38,sales!C:C,0)),"없음")</f>
        <v>없음</v>
      </c>
      <c r="P38" s="19" t="str">
        <f t="array" ref="P38">IFERROR(INDEX(sales!E:E,MATCH(D38,sales!C:C,0)),"없음")</f>
        <v>없음</v>
      </c>
      <c r="Q38" s="19"/>
      <c r="R38" s="19"/>
    </row>
    <row r="39" spans="1:18" ht="13">
      <c r="A39" s="10">
        <v>39</v>
      </c>
      <c r="B39" s="12" t="s">
        <v>171</v>
      </c>
      <c r="C39" s="12" t="s">
        <v>172</v>
      </c>
      <c r="D39" s="12" t="s">
        <v>173</v>
      </c>
      <c r="E39" s="12" t="s">
        <v>174</v>
      </c>
      <c r="F39" s="12" t="s">
        <v>20</v>
      </c>
      <c r="G39" s="12" t="s">
        <v>175</v>
      </c>
      <c r="H39" s="20" t="str">
        <f t="array" ref="H39">IFERROR(INDEX(Lease_List!D:D,MATCH(All_User!D39,Lease_List!H:H,0)),"없음")</f>
        <v>5CD5179KGZ</v>
      </c>
      <c r="I39" s="16" t="s">
        <v>176</v>
      </c>
      <c r="J39" s="16"/>
      <c r="K39" s="16" t="str">
        <f t="array" ref="K39">IFERROR(INDEX(Ipad_List!C:C,MATCH(All_User!D39,Ipad_List!J:J,0)),"없음")</f>
        <v>KG27H3Q1J1</v>
      </c>
      <c r="L39" s="19" t="str">
        <f t="array" ref="L39">IFERROR(INDEX(TeamsNumber!B:B,MATCH(All_User!D39,TeamsNumber!D:D,0)),"없음")</f>
        <v>tel:+82234517516</v>
      </c>
      <c r="M39" s="19" t="str">
        <f t="array" ref="M39">IFERROR(INDEX(Printer!D:D,MATCH(All_User!D39,Printer!H:H,0)),"없음")</f>
        <v>없음</v>
      </c>
      <c r="N39" s="19" t="str">
        <f t="array" ref="N39">IFERROR(INDEX(Monitor!A:A,MATCH(D39,Monitor!D:D,0)),"없음")</f>
        <v>없음</v>
      </c>
      <c r="O39" s="19" t="str">
        <f t="array" ref="O39">IFERROR(INDEX(sales!D:D,MATCH(D39,sales!C:C,0)),"없음")</f>
        <v>없음</v>
      </c>
      <c r="P39" s="19" t="str">
        <f t="array" ref="P39">IFERROR(INDEX(sales!E:E,MATCH(D39,sales!C:C,0)),"없음")</f>
        <v>없음</v>
      </c>
      <c r="Q39" s="19"/>
      <c r="R39" s="19"/>
    </row>
    <row r="40" spans="1:18" ht="13">
      <c r="A40" s="26"/>
      <c r="B40" s="27"/>
      <c r="C40" s="27"/>
      <c r="D40" s="27"/>
      <c r="E40" s="27"/>
      <c r="F40" s="27"/>
      <c r="G40" s="27"/>
      <c r="H40" s="28"/>
      <c r="I40" s="29"/>
      <c r="J40" s="29"/>
      <c r="K40" s="29"/>
      <c r="L40" s="30"/>
      <c r="M40" s="30"/>
      <c r="N40" s="30"/>
      <c r="O40" s="30"/>
      <c r="P40" s="30"/>
      <c r="Q40" s="31"/>
      <c r="R40" s="31"/>
    </row>
    <row r="41" spans="1:18" ht="13">
      <c r="A41" s="10">
        <v>41</v>
      </c>
      <c r="B41" s="12" t="s">
        <v>177</v>
      </c>
      <c r="C41" s="12" t="s">
        <v>178</v>
      </c>
      <c r="D41" s="12" t="s">
        <v>179</v>
      </c>
      <c r="E41" s="12" t="s">
        <v>180</v>
      </c>
      <c r="F41" s="12" t="s">
        <v>65</v>
      </c>
      <c r="G41" s="12" t="s">
        <v>181</v>
      </c>
      <c r="H41" s="20" t="str">
        <f t="array" ref="H41">IFERROR(INDEX(Lease_List!D:D,MATCH(All_User!D41,Lease_List!H:H,0)),"없음")</f>
        <v>5CD4305D95</v>
      </c>
      <c r="I41" s="16" t="s">
        <v>28</v>
      </c>
      <c r="J41" s="16"/>
      <c r="K41" s="16" t="str">
        <f t="array" ref="K41">IFERROR(INDEX(Ipad_List!C:C,MATCH(All_User!D41,Ipad_List!J:J,0)),"없음")</f>
        <v>없음</v>
      </c>
      <c r="L41" s="19" t="str">
        <f t="array" ref="L41">IFERROR(INDEX(TeamsNumber!B:B,MATCH(All_User!D41,TeamsNumber!D:D,0)),"없음")</f>
        <v>tel:+82234517634</v>
      </c>
      <c r="M41" s="19" t="str">
        <f t="array" ref="M41">IFERROR(INDEX(Printer!D:D,MATCH(All_User!D41,Printer!H:H,0)),"없음")</f>
        <v>없음</v>
      </c>
      <c r="N41" s="19" t="str">
        <f t="array" ref="N41">IFERROR(INDEX(Monitor!A:A,MATCH(D41,Monitor!D:D,0)),"없음")</f>
        <v>없음</v>
      </c>
      <c r="O41" s="19" t="str">
        <f t="array" ref="O41">IFERROR(INDEX(sales!D:D,MATCH(D41,sales!C:C,0)),"없음")</f>
        <v>없음</v>
      </c>
      <c r="P41" s="19" t="str">
        <f t="array" ref="P41">IFERROR(INDEX(sales!E:E,MATCH(D41,sales!C:C,0)),"없음")</f>
        <v>없음</v>
      </c>
      <c r="Q41" s="19"/>
      <c r="R41" s="19"/>
    </row>
    <row r="42" spans="1:18" ht="13">
      <c r="A42" s="10">
        <v>42</v>
      </c>
      <c r="B42" s="12" t="s">
        <v>182</v>
      </c>
      <c r="C42" s="12" t="s">
        <v>183</v>
      </c>
      <c r="D42" s="12" t="s">
        <v>184</v>
      </c>
      <c r="E42" s="12" t="s">
        <v>126</v>
      </c>
      <c r="F42" s="12" t="s">
        <v>20</v>
      </c>
      <c r="G42" s="12" t="s">
        <v>21</v>
      </c>
      <c r="H42" s="14" t="str">
        <f t="array" ref="H42">IFERROR(INDEX(Lease_List!D:D,MATCH(All_User!D42,Lease_List!H:H,0)),"없음")</f>
        <v>없음</v>
      </c>
      <c r="I42" s="15" t="s">
        <v>185</v>
      </c>
      <c r="J42" s="16"/>
      <c r="K42" s="17" t="str">
        <f t="array" ref="K42">IFERROR(INDEX(Ipad_List!C:C,MATCH(All_User!D42,Ipad_List!J:J,0)),"없음")</f>
        <v>DYQP729JPM</v>
      </c>
      <c r="L42" s="18" t="str">
        <f t="array" ref="L42">IFERROR(INDEX(TeamsNumber!B:B,MATCH(All_User!D42,TeamsNumber!D:D,0)),"없음")</f>
        <v>tel:+82234517643</v>
      </c>
      <c r="M42" s="18" t="str">
        <f t="array" ref="M42">IFERROR(INDEX(Printer!D:D,MATCH(All_User!D42,Printer!G:G,0)),"없음")</f>
        <v>없음</v>
      </c>
      <c r="N42" s="19" t="str">
        <f t="array" ref="N42">IFERROR(INDEX(Monitor!A:A,MATCH(D42,Monitor!D:D,0)),"없음")</f>
        <v>없음</v>
      </c>
      <c r="O42" s="19" t="str">
        <f t="array" ref="O42">IFERROR(INDEX(sales!D:D,MATCH(D42,sales!C:C,0)),"없음")</f>
        <v>NV</v>
      </c>
      <c r="P42" s="19" t="str">
        <f t="array" ref="P42">IFERROR(INDEX(sales!E:E,MATCH(D42,sales!C:C,0)),"없음")</f>
        <v>NV</v>
      </c>
      <c r="Q42" s="19" t="str">
        <f t="array" ref="Q42">IFERROR(INDEX(sales!C:C,MATCH(D42,sales!C:C,0)),"list없음")</f>
        <v>yejin.heo@stryker.com</v>
      </c>
      <c r="R42" s="19"/>
    </row>
    <row r="43" spans="1:18" ht="13">
      <c r="A43" s="10">
        <v>43</v>
      </c>
      <c r="B43" s="12" t="s">
        <v>186</v>
      </c>
      <c r="C43" s="12" t="s">
        <v>187</v>
      </c>
      <c r="D43" s="12" t="s">
        <v>188</v>
      </c>
      <c r="E43" s="12" t="s">
        <v>70</v>
      </c>
      <c r="F43" s="12" t="s">
        <v>20</v>
      </c>
      <c r="G43" s="12" t="s">
        <v>27</v>
      </c>
      <c r="H43" s="14" t="str">
        <f t="array" ref="H43">IFERROR(INDEX(Lease_List!D:D,MATCH(All_User!D43,Lease_List!H:H,0)),"없음")</f>
        <v>5CD4232BFV</v>
      </c>
      <c r="I43" s="17" t="s">
        <v>28</v>
      </c>
      <c r="J43" s="16"/>
      <c r="K43" s="17" t="str">
        <f t="array" ref="K43">IFERROR(INDEX(Ipad_List!C:C,MATCH(All_User!D43,Ipad_List!J:J,0)),"없음")</f>
        <v>J99N6MMPMT</v>
      </c>
      <c r="L43" s="18" t="str">
        <f t="array" ref="L43">IFERROR(INDEX(TeamsNumber!B:B,MATCH(All_User!D43,TeamsNumber!D:D,0)),"없음")</f>
        <v>tel:+82234517581</v>
      </c>
      <c r="M43" s="18" t="str">
        <f t="array" ref="M43">IFERROR(INDEX(Printer!D:D,MATCH(All_User!D43,Printer!H:H,0)),"없음")</f>
        <v>없음</v>
      </c>
      <c r="N43" s="19" t="str">
        <f t="array" ref="N43">IFERROR(INDEX(Monitor!A:A,MATCH(D43,Monitor!D:D,0)),"없음")</f>
        <v>없음</v>
      </c>
      <c r="O43" s="19" t="str">
        <f t="array" ref="O43">IFERROR(INDEX(sales!D:D,MATCH(D43,sales!C:C,0)),"없음")</f>
        <v>Mako</v>
      </c>
      <c r="P43" s="19" t="str">
        <f t="array" ref="P43">IFERROR(INDEX(sales!E:E,MATCH(D43,sales!C:C,0)),"없음")</f>
        <v>MPS</v>
      </c>
      <c r="Q43" s="19" t="str">
        <f t="array" ref="Q43">IFERROR(INDEX(sales!C:C,MATCH(D43,sales!C:C,0)),"list없음")</f>
        <v>ashley.hong@stryker.com</v>
      </c>
      <c r="R43" s="19"/>
    </row>
    <row r="44" spans="1:18" ht="13">
      <c r="A44" s="10">
        <v>44</v>
      </c>
      <c r="B44" s="12" t="s">
        <v>189</v>
      </c>
      <c r="C44" s="12" t="s">
        <v>190</v>
      </c>
      <c r="D44" s="12" t="s">
        <v>191</v>
      </c>
      <c r="E44" s="12" t="s">
        <v>192</v>
      </c>
      <c r="F44" s="12" t="s">
        <v>40</v>
      </c>
      <c r="G44" s="12" t="s">
        <v>193</v>
      </c>
      <c r="H44" s="20" t="str">
        <f t="array" ref="H44">IFERROR(INDEX(Lease_List!D:D,MATCH(All_User!D44,Lease_List!H:H,0)),"없음")</f>
        <v>5CD4305D8H</v>
      </c>
      <c r="I44" s="16" t="s">
        <v>28</v>
      </c>
      <c r="J44" s="16"/>
      <c r="K44" s="16" t="str">
        <f t="array" ref="K44">IFERROR(INDEX(Ipad_List!C:C,MATCH(All_User!D44,Ipad_List!J:J,0)),"없음")</f>
        <v>없음</v>
      </c>
      <c r="L44" s="19" t="str">
        <f t="array" ref="L44">IFERROR(INDEX(TeamsNumber!B:B,MATCH(All_User!D44,TeamsNumber!D:D,0)),"없음")</f>
        <v>tel:+82234517630</v>
      </c>
      <c r="M44" s="19" t="str">
        <f t="array" ref="M44">IFERROR(INDEX(Printer!D:D,MATCH(All_User!D44,Printer!H:H,0)),"없음")</f>
        <v>없음</v>
      </c>
      <c r="N44" s="19" t="str">
        <f t="array" ref="N44">IFERROR(INDEX(Monitor!A:A,MATCH(D44,Monitor!D:D,0)),"없음")</f>
        <v>없음</v>
      </c>
      <c r="O44" s="19" t="str">
        <f t="array" ref="O44">IFERROR(INDEX(sales!D:D,MATCH(D44,sales!C:C,0)),"없음")</f>
        <v>없음</v>
      </c>
      <c r="P44" s="19" t="str">
        <f t="array" ref="P44">IFERROR(INDEX(sales!E:E,MATCH(D44,sales!C:C,0)),"없음")</f>
        <v>없음</v>
      </c>
      <c r="Q44" s="19"/>
      <c r="R44" s="19"/>
    </row>
    <row r="45" spans="1:18" ht="13">
      <c r="A45" s="10">
        <v>45</v>
      </c>
      <c r="B45" s="12" t="s">
        <v>194</v>
      </c>
      <c r="C45" s="12" t="s">
        <v>195</v>
      </c>
      <c r="D45" s="12" t="s">
        <v>196</v>
      </c>
      <c r="E45" s="12" t="s">
        <v>197</v>
      </c>
      <c r="F45" s="12" t="s">
        <v>20</v>
      </c>
      <c r="G45" s="12" t="s">
        <v>80</v>
      </c>
      <c r="H45" s="20" t="str">
        <f t="array" ref="H45">IFERROR(INDEX(Lease_List!D:D,MATCH(All_User!D45,Lease_List!H:H,0)),"없음")</f>
        <v>없음</v>
      </c>
      <c r="I45" s="16" t="s">
        <v>28</v>
      </c>
      <c r="J45" s="16" t="s">
        <v>198</v>
      </c>
      <c r="K45" s="16" t="str">
        <f t="array" ref="K45">IFERROR(INDEX(Ipad_List!C:C,MATCH(All_User!D45,Ipad_List!J:J,0)),"없음")</f>
        <v>없음</v>
      </c>
      <c r="L45" s="19" t="str">
        <f t="array" ref="L45">IFERROR(INDEX(TeamsNumber!B:B,MATCH(All_User!D45,TeamsNumber!D:D,0)),"없음")</f>
        <v>tel:+82234517553</v>
      </c>
      <c r="M45" s="19" t="str">
        <f t="array" ref="M45">IFERROR(INDEX(Printer!D:D,MATCH(All_User!D45,Printer!G:G,0)),"없음")</f>
        <v>없음</v>
      </c>
      <c r="N45" s="19" t="str">
        <f t="array" ref="N45">IFERROR(INDEX(Monitor!A:A,MATCH(D45,Monitor!D:D,0)),"없음")</f>
        <v>LCD 모니터</v>
      </c>
      <c r="O45" s="19" t="str">
        <f t="array" ref="O45">IFERROR(INDEX(sales!D:D,MATCH(D45,sales!C:C,0)),"없음")</f>
        <v>없음</v>
      </c>
      <c r="P45" s="19" t="str">
        <f t="array" ref="P45">IFERROR(INDEX(sales!E:E,MATCH(D45,sales!C:C,0)),"없음")</f>
        <v>없음</v>
      </c>
      <c r="Q45" s="19"/>
      <c r="R45" s="19"/>
    </row>
    <row r="46" spans="1:18" ht="13">
      <c r="A46" s="10">
        <v>46</v>
      </c>
      <c r="B46" s="12" t="s">
        <v>199</v>
      </c>
      <c r="C46" s="12" t="s">
        <v>200</v>
      </c>
      <c r="D46" s="12" t="s">
        <v>201</v>
      </c>
      <c r="E46" s="12" t="s">
        <v>202</v>
      </c>
      <c r="F46" s="12" t="s">
        <v>20</v>
      </c>
      <c r="G46" s="12" t="s">
        <v>203</v>
      </c>
      <c r="H46" s="20" t="str">
        <f t="array" ref="H46">IFERROR(INDEX(Lease_List!D:D,MATCH(All_User!D46,Lease_List!H:H,0)),"없음")</f>
        <v>5CD442C078</v>
      </c>
      <c r="I46" s="16" t="s">
        <v>28</v>
      </c>
      <c r="J46" s="16"/>
      <c r="K46" s="16" t="str">
        <f t="array" ref="K46">IFERROR(INDEX(Ipad_List!C:C,MATCH(All_User!D46,Ipad_List!J:J,0)),"없음")</f>
        <v>없음</v>
      </c>
      <c r="L46" s="19" t="str">
        <f t="array" ref="L46">IFERROR(INDEX(TeamsNumber!B:B,MATCH(All_User!D46,TeamsNumber!D:D,0)),"없음")</f>
        <v>tel:+82234517552</v>
      </c>
      <c r="M46" s="19" t="str">
        <f t="array" ref="M46">IFERROR(INDEX(Printer!D:D,MATCH(All_User!D46,Printer!H:H,0)),"없음")</f>
        <v>없음</v>
      </c>
      <c r="N46" s="19" t="str">
        <f t="array" ref="N46">IFERROR(INDEX(Monitor!A:A,MATCH(D46,Monitor!D:D,0)),"없음")</f>
        <v>없음</v>
      </c>
      <c r="O46" s="19" t="str">
        <f t="array" ref="O46">IFERROR(INDEX(sales!D:D,MATCH(D46,sales!C:C,0)),"없음")</f>
        <v>없음</v>
      </c>
      <c r="P46" s="19" t="str">
        <f t="array" ref="P46">IFERROR(INDEX(sales!E:E,MATCH(D46,sales!C:C,0)),"없음")</f>
        <v>없음</v>
      </c>
      <c r="Q46" s="19"/>
      <c r="R46" s="19"/>
    </row>
    <row r="47" spans="1:18" ht="13">
      <c r="A47" s="10">
        <v>47</v>
      </c>
      <c r="B47" s="12" t="s">
        <v>204</v>
      </c>
      <c r="C47" s="12" t="s">
        <v>205</v>
      </c>
      <c r="D47" s="12" t="s">
        <v>206</v>
      </c>
      <c r="E47" s="12" t="s">
        <v>207</v>
      </c>
      <c r="F47" s="12" t="s">
        <v>33</v>
      </c>
      <c r="G47" s="12" t="s">
        <v>34</v>
      </c>
      <c r="H47" s="14" t="str">
        <f t="array" ref="H47">IFERROR(INDEX(Lease_List!D:D,MATCH(All_User!D47,Lease_List!H:H,0)),"없음")</f>
        <v>5CD442C07G</v>
      </c>
      <c r="I47" s="17" t="s">
        <v>28</v>
      </c>
      <c r="J47" s="16"/>
      <c r="K47" s="17" t="str">
        <f t="array" ref="K47">IFERROR(INDEX(Ipad_List!C:C,MATCH(All_User!D47,Ipad_List!J:J,0)),"없음")</f>
        <v>XYGFK42KQP</v>
      </c>
      <c r="L47" s="18" t="str">
        <f t="array" ref="L47">IFERROR(INDEX(TeamsNumber!B:B,MATCH(All_User!D47,TeamsNumber!D:D,0)),"없음")</f>
        <v>tel:+82234517671</v>
      </c>
      <c r="M47" s="18" t="str">
        <f t="array" ref="M47">IFERROR(INDEX(Printer!D:D,MATCH(All_User!D47,Printer!H:H,0)),"없음")</f>
        <v>확인중</v>
      </c>
      <c r="N47" s="19" t="str">
        <f t="array" ref="N47">IFERROR(INDEX(Monitor!A:A,MATCH(D47,Monitor!D:D,0)),"없음")</f>
        <v>없음</v>
      </c>
      <c r="O47" s="19">
        <f t="array" ref="O47">IFERROR(INDEX(sales!D:D,MATCH(D47,sales!C:C,0)),"없음")</f>
        <v>0</v>
      </c>
      <c r="P47" s="19" t="str">
        <f t="array" ref="P47">IFERROR(INDEX(sales!E:E,MATCH(D47,sales!C:C,0)),"없음")</f>
        <v>TS</v>
      </c>
      <c r="Q47" s="19" t="str">
        <f t="array" ref="Q47">IFERROR(INDEX(sales!C:C,MATCH(D47,sales!C:C,0)),"list없음")</f>
        <v>oscar.hwang@stryker.com</v>
      </c>
      <c r="R47" s="19"/>
    </row>
    <row r="48" spans="1:18" ht="13">
      <c r="A48" s="10">
        <v>48</v>
      </c>
      <c r="B48" s="12" t="s">
        <v>208</v>
      </c>
      <c r="C48" s="12" t="s">
        <v>209</v>
      </c>
      <c r="D48" s="12" t="s">
        <v>210</v>
      </c>
      <c r="E48" s="12" t="s">
        <v>211</v>
      </c>
      <c r="F48" s="12" t="s">
        <v>20</v>
      </c>
      <c r="G48" s="12" t="s">
        <v>21</v>
      </c>
      <c r="H48" s="14" t="str">
        <f t="array" ref="H48">IFERROR(INDEX(Lease_List!D:D,MATCH(All_User!D48,Lease_List!H:H,0)),"없음")</f>
        <v>5CD5179KHZ</v>
      </c>
      <c r="I48" s="17" t="s">
        <v>212</v>
      </c>
      <c r="J48" s="16"/>
      <c r="K48" s="17" t="str">
        <f t="array" ref="K48">IFERROR(INDEX(Ipad_List!C:C,MATCH(All_User!D48,Ipad_List!J:J,0)),"없음")</f>
        <v>FNP3C7WRP2</v>
      </c>
      <c r="L48" s="18" t="str">
        <f t="array" ref="L48">IFERROR(INDEX(TeamsNumber!B:B,MATCH(All_User!D48,TeamsNumber!D:D,0)),"없음")</f>
        <v>tel:+82234517688</v>
      </c>
      <c r="M48" s="18" t="str">
        <f t="array" ref="M48">IFERROR(INDEX(Printer!D:D,MATCH(All_User!D48,Printer!H:H,0)),"없음")</f>
        <v>2차 조사 정보 없음</v>
      </c>
      <c r="N48" s="19" t="str">
        <f t="array" ref="N48">IFERROR(INDEX(Monitor!A:A,MATCH(D48,Monitor!D:D,0)),"없음")</f>
        <v>없음</v>
      </c>
      <c r="O48" s="19" t="str">
        <f t="array" ref="O48">IFERROR(INDEX(sales!D:D,MATCH(D48,sales!C:C,0)),"없음")</f>
        <v>NV</v>
      </c>
      <c r="P48" s="19" t="str">
        <f t="array" ref="P48">IFERROR(INDEX(sales!E:E,MATCH(D48,sales!C:C,0)),"없음")</f>
        <v>NV</v>
      </c>
      <c r="Q48" s="19" t="str">
        <f t="array" ref="Q48">IFERROR(INDEX(sales!C:C,MATCH(D48,sales!C:C,0)),"list없음")</f>
        <v>young.hwang@stryker.com</v>
      </c>
      <c r="R48" s="19"/>
    </row>
    <row r="49" spans="1:18" ht="13">
      <c r="A49" s="10">
        <v>49</v>
      </c>
      <c r="B49" s="12" t="s">
        <v>213</v>
      </c>
      <c r="C49" s="12" t="s">
        <v>214</v>
      </c>
      <c r="D49" s="12" t="s">
        <v>215</v>
      </c>
      <c r="E49" s="12" t="s">
        <v>216</v>
      </c>
      <c r="F49" s="12" t="s">
        <v>20</v>
      </c>
      <c r="G49" s="12" t="s">
        <v>75</v>
      </c>
      <c r="H49" s="14" t="str">
        <f t="array" ref="H49">IFERROR(INDEX(Lease_List!D:D,MATCH(All_User!D49,Lease_List!H:H,0)),"없음")</f>
        <v>5CD3469HCX</v>
      </c>
      <c r="I49" s="17" t="s">
        <v>28</v>
      </c>
      <c r="J49" s="16"/>
      <c r="K49" s="17" t="str">
        <f t="array" ref="K49">IFERROR(INDEX(Ipad_List!C:C,MATCH(All_User!D49,Ipad_List!J:J,0)),"없음")</f>
        <v>GD2WG3K71P</v>
      </c>
      <c r="L49" s="18" t="str">
        <f t="array" ref="L49">IFERROR(INDEX(TeamsNumber!B:B,MATCH(All_User!D49,TeamsNumber!D:D,0)),"없음")</f>
        <v>tel:+82234517686</v>
      </c>
      <c r="M49" s="18" t="str">
        <f t="array" ref="M49">IFERROR(INDEX(Printer!D:D,MATCH(All_User!D49,Printer!H:H,0)),"없음")</f>
        <v>SL-C563W</v>
      </c>
      <c r="N49" s="19" t="str">
        <f t="array" ref="N49">IFERROR(INDEX(Monitor!A:A,MATCH(D49,Monitor!D:D,0)),"없음")</f>
        <v>없음</v>
      </c>
      <c r="O49" s="19" t="str">
        <f t="array" ref="O49">IFERROR(INDEX(sales!D:D,MATCH(D49,sales!C:C,0)),"없음")</f>
        <v>MedSurg</v>
      </c>
      <c r="P49" s="19" t="str">
        <f t="array" ref="P49">IFERROR(INDEX(sales!E:E,MATCH(D49,sales!C:C,0)),"없음")</f>
        <v>Sales</v>
      </c>
      <c r="Q49" s="19" t="str">
        <f t="array" ref="Q49">IFERROR(INDEX(sales!C:C,MATCH(D49,sales!C:C,0)),"list없음")</f>
        <v>theo.hwang@stryker.com</v>
      </c>
      <c r="R49" s="19"/>
    </row>
    <row r="50" spans="1:18" ht="13">
      <c r="A50" s="26"/>
      <c r="B50" s="27"/>
      <c r="C50" s="27"/>
      <c r="D50" s="27"/>
      <c r="E50" s="27"/>
      <c r="F50" s="27"/>
      <c r="G50" s="27"/>
      <c r="H50" s="28"/>
      <c r="I50" s="29"/>
      <c r="J50" s="29"/>
      <c r="K50" s="29"/>
      <c r="L50" s="30"/>
      <c r="M50" s="30"/>
      <c r="N50" s="30"/>
      <c r="O50" s="30"/>
      <c r="P50" s="30"/>
      <c r="Q50" s="31"/>
      <c r="R50" s="31"/>
    </row>
    <row r="51" spans="1:18" ht="13">
      <c r="A51" s="10">
        <v>51</v>
      </c>
      <c r="B51" s="12" t="s">
        <v>217</v>
      </c>
      <c r="C51" s="12" t="s">
        <v>218</v>
      </c>
      <c r="D51" s="12" t="s">
        <v>219</v>
      </c>
      <c r="E51" s="12" t="s">
        <v>122</v>
      </c>
      <c r="F51" s="12" t="s">
        <v>20</v>
      </c>
      <c r="G51" s="12" t="s">
        <v>75</v>
      </c>
      <c r="H51" s="14" t="str">
        <f t="array" ref="H51">IFERROR(INDEX(Lease_List!D:D,MATCH(All_User!D51,Lease_List!H:H,0)),"없음")</f>
        <v>5CD442C07D</v>
      </c>
      <c r="I51" s="17" t="s">
        <v>28</v>
      </c>
      <c r="J51" s="16"/>
      <c r="K51" s="17" t="str">
        <f t="array" ref="K51">IFERROR(INDEX(Ipad_List!C:C,MATCH(All_User!D51,Ipad_List!J:J,0)),"없음")</f>
        <v>Q9JKF6RRK4</v>
      </c>
      <c r="L51" s="18" t="str">
        <f t="array" ref="L51">IFERROR(INDEX(TeamsNumber!B:B,MATCH(All_User!D51,TeamsNumber!D:D,0)),"없음")</f>
        <v>tel:+82234517666</v>
      </c>
      <c r="M51" s="18" t="str">
        <f t="array" ref="M51">IFERROR(INDEX(Printer!D:D,MATCH(All_User!D51,Printer!H:H,0)),"없음")</f>
        <v>없음</v>
      </c>
      <c r="N51" s="19" t="str">
        <f t="array" ref="N51">IFERROR(INDEX(Monitor!A:A,MATCH(D51,Monitor!D:D,0)),"없음")</f>
        <v>없음</v>
      </c>
      <c r="O51" s="19" t="str">
        <f t="array" ref="O51">IFERROR(INDEX(sales!D:D,MATCH(D51,sales!C:C,0)),"없음")</f>
        <v>Shoulder</v>
      </c>
      <c r="P51" s="19" t="str">
        <f t="array" ref="P51">IFERROR(INDEX(sales!E:E,MATCH(D51,sales!C:C,0)),"없음")</f>
        <v>Sales</v>
      </c>
      <c r="Q51" s="19" t="str">
        <f t="array" ref="Q51">IFERROR(INDEX(sales!C:C,MATCH(D51,sales!C:C,0)),"list없음")</f>
        <v>daniel.jang@stryker.com</v>
      </c>
      <c r="R51" s="19"/>
    </row>
    <row r="52" spans="1:18" ht="13">
      <c r="A52" s="10">
        <v>52</v>
      </c>
      <c r="B52" s="12" t="s">
        <v>220</v>
      </c>
      <c r="C52" s="12" t="s">
        <v>221</v>
      </c>
      <c r="D52" s="12" t="s">
        <v>222</v>
      </c>
      <c r="E52" s="12" t="s">
        <v>223</v>
      </c>
      <c r="F52" s="12" t="s">
        <v>33</v>
      </c>
      <c r="G52" s="12" t="s">
        <v>34</v>
      </c>
      <c r="H52" s="14" t="str">
        <f t="array" ref="H52">IFERROR(INDEX(Lease_List!D:D,MATCH(All_User!D52,Lease_List!H:H,0)),"없음")</f>
        <v>5CD5062YDW</v>
      </c>
      <c r="I52" s="17" t="s">
        <v>28</v>
      </c>
      <c r="J52" s="16"/>
      <c r="K52" s="17" t="str">
        <f t="array" ref="K52">IFERROR(INDEX(Ipad_List!C:C,MATCH(All_User!D52,Ipad_List!J:J,0)),"없음")</f>
        <v>G7CV2M99YM</v>
      </c>
      <c r="L52" s="18" t="str">
        <f t="array" ref="L52">IFERROR(INDEX(TeamsNumber!B:B,MATCH(All_User!D52,TeamsNumber!D:D,0)),"없음")</f>
        <v>tel:+82234517535</v>
      </c>
      <c r="M52" s="18" t="str">
        <f t="array" ref="M52">IFERROR(INDEX(Printer!D:D,MATCH(All_User!D52,Printer!H:H,0)),"없음")</f>
        <v>없음</v>
      </c>
      <c r="N52" s="19" t="str">
        <f t="array" ref="N52">IFERROR(INDEX(Monitor!A:A,MATCH(D52,Monitor!D:D,0)),"없음")</f>
        <v>없음</v>
      </c>
      <c r="O52" s="19">
        <f t="array" ref="O52">IFERROR(INDEX(sales!D:D,MATCH(D52,sales!C:C,0)),"없음")</f>
        <v>0</v>
      </c>
      <c r="P52" s="19" t="str">
        <f t="array" ref="P52">IFERROR(INDEX(sales!E:E,MATCH(D52,sales!C:C,0)),"없음")</f>
        <v>TS</v>
      </c>
      <c r="Q52" s="19" t="str">
        <f t="array" ref="Q52">IFERROR(INDEX(sales!C:C,MATCH(D52,sales!C:C,0)),"list없음")</f>
        <v>ethan.jang@stryker.com</v>
      </c>
      <c r="R52" s="19"/>
    </row>
    <row r="53" spans="1:18" ht="13">
      <c r="A53" s="10">
        <v>53</v>
      </c>
      <c r="B53" s="12" t="s">
        <v>224</v>
      </c>
      <c r="C53" s="12" t="s">
        <v>225</v>
      </c>
      <c r="D53" s="12" t="s">
        <v>226</v>
      </c>
      <c r="E53" s="12" t="s">
        <v>227</v>
      </c>
      <c r="F53" s="12" t="s">
        <v>40</v>
      </c>
      <c r="G53" s="12" t="s">
        <v>60</v>
      </c>
      <c r="H53" s="20" t="str">
        <f t="array" ref="H53">IFERROR(INDEX(Lease_List!D:D,MATCH(All_User!D53,Lease_List!H:H,0)),"없음")</f>
        <v>5CD3469HDQ</v>
      </c>
      <c r="I53" s="16" t="s">
        <v>28</v>
      </c>
      <c r="J53" s="16"/>
      <c r="K53" s="16" t="str">
        <f t="array" ref="K53">IFERROR(INDEX(Ipad_List!C:C,MATCH(All_User!D53,Ipad_List!J:J,0)),"없음")</f>
        <v>없음</v>
      </c>
      <c r="L53" s="19" t="str">
        <f t="array" ref="L53">IFERROR(INDEX(TeamsNumber!B:B,MATCH(All_User!D53,TeamsNumber!D:D,0)),"없음")</f>
        <v>tel:+82234517665</v>
      </c>
      <c r="M53" s="19" t="str">
        <f t="array" ref="M53">IFERROR(INDEX(Printer!D:D,MATCH(All_User!D53,Printer!H:H,0)),"없음")</f>
        <v>없음</v>
      </c>
      <c r="N53" s="19" t="str">
        <f t="array" ref="N53">IFERROR(INDEX(Monitor!A:A,MATCH(D53,Monitor!D:D,0)),"없음")</f>
        <v>없음</v>
      </c>
      <c r="O53" s="19" t="str">
        <f t="array" ref="O53">IFERROR(INDEX(sales!D:D,MATCH(D53,sales!C:C,0)),"없음")</f>
        <v>없음</v>
      </c>
      <c r="P53" s="19" t="str">
        <f t="array" ref="P53">IFERROR(INDEX(sales!E:E,MATCH(D53,sales!C:C,0)),"없음")</f>
        <v>없음</v>
      </c>
      <c r="Q53" s="19"/>
      <c r="R53" s="19"/>
    </row>
    <row r="54" spans="1:18" ht="13">
      <c r="A54" s="10">
        <v>54</v>
      </c>
      <c r="B54" s="12" t="s">
        <v>228</v>
      </c>
      <c r="C54" s="12" t="s">
        <v>229</v>
      </c>
      <c r="D54" s="12" t="s">
        <v>230</v>
      </c>
      <c r="E54" s="12" t="s">
        <v>126</v>
      </c>
      <c r="F54" s="12" t="s">
        <v>20</v>
      </c>
      <c r="G54" s="12" t="s">
        <v>21</v>
      </c>
      <c r="H54" s="14" t="str">
        <f t="array" ref="H54">IFERROR(INDEX(Lease_List!D:D,MATCH(All_User!D54,Lease_List!H:H,0)),"없음")</f>
        <v>없음</v>
      </c>
      <c r="I54" s="17" t="s">
        <v>115</v>
      </c>
      <c r="J54" s="16"/>
      <c r="K54" s="17" t="str">
        <f t="array" ref="K54">IFERROR(INDEX(Ipad_List!C:C,MATCH(All_User!D54,Ipad_List!J:J,0)),"없음")</f>
        <v>J7J79LY961</v>
      </c>
      <c r="L54" s="18" t="str">
        <f t="array" ref="L54">IFERROR(INDEX(TeamsNumber!B:B,MATCH(All_User!D54,TeamsNumber!D:D,0)),"없음")</f>
        <v>tel:+82234517604</v>
      </c>
      <c r="M54" s="18" t="str">
        <f t="array" ref="M54">IFERROR(INDEX(Printer!D:D,MATCH(All_User!D54,Printer!G:G,0)),"없음")</f>
        <v>없음</v>
      </c>
      <c r="N54" s="19" t="str">
        <f t="array" ref="N54">IFERROR(INDEX(Monitor!A:A,MATCH(D54,Monitor!D:D,0)),"없음")</f>
        <v>없음</v>
      </c>
      <c r="O54" s="19" t="str">
        <f t="array" ref="O54">IFERROR(INDEX(sales!D:D,MATCH(D54,sales!C:C,0)),"없음")</f>
        <v>NV</v>
      </c>
      <c r="P54" s="19" t="str">
        <f t="array" ref="P54">IFERROR(INDEX(sales!E:E,MATCH(D54,sales!C:C,0)),"없음")</f>
        <v>NV</v>
      </c>
      <c r="Q54" s="19" t="str">
        <f t="array" ref="Q54">IFERROR(INDEX(sales!C:C,MATCH(D54,sales!C:C,0)),"list없음")</f>
        <v>lucas.jeon@stryker.com</v>
      </c>
      <c r="R54" s="19"/>
    </row>
    <row r="55" spans="1:18" ht="13">
      <c r="A55" s="10">
        <v>55</v>
      </c>
      <c r="B55" s="12" t="s">
        <v>231</v>
      </c>
      <c r="C55" s="12" t="s">
        <v>232</v>
      </c>
      <c r="D55" s="12" t="s">
        <v>233</v>
      </c>
      <c r="E55" s="12" t="s">
        <v>216</v>
      </c>
      <c r="F55" s="12" t="s">
        <v>20</v>
      </c>
      <c r="G55" s="12" t="s">
        <v>21</v>
      </c>
      <c r="H55" s="14" t="str">
        <f t="array" ref="H55">IFERROR(INDEX(Lease_List!D:D,MATCH(All_User!D55,Lease_List!H:H,0)),"없음")</f>
        <v>없음</v>
      </c>
      <c r="I55" s="17" t="s">
        <v>115</v>
      </c>
      <c r="J55" s="16"/>
      <c r="K55" s="17" t="str">
        <f t="array" ref="K55">IFERROR(INDEX(Ipad_List!C:C,MATCH(All_User!D55,Ipad_List!J:J,0)),"없음")</f>
        <v>WHYPLVY40L</v>
      </c>
      <c r="L55" s="18" t="str">
        <f t="array" ref="L55">IFERROR(INDEX(TeamsNumber!B:B,MATCH(All_User!D55,TeamsNumber!D:D,0)),"없음")</f>
        <v>tel:+82234517527</v>
      </c>
      <c r="M55" s="18" t="str">
        <f t="array" ref="M55">IFERROR(INDEX(Printer!D:D,MATCH(All_User!D55,Printer!G:G,0)),"없음")</f>
        <v>없음</v>
      </c>
      <c r="N55" s="19" t="str">
        <f t="array" ref="N55">IFERROR(INDEX(Monitor!A:A,MATCH(D55,Monitor!D:D,0)),"없음")</f>
        <v>없음</v>
      </c>
      <c r="O55" s="19" t="str">
        <f t="array" ref="O55">IFERROR(INDEX(sales!D:D,MATCH(D55,sales!C:C,0)),"없음")</f>
        <v>MedSurg</v>
      </c>
      <c r="P55" s="19" t="str">
        <f t="array" ref="P55">IFERROR(INDEX(sales!E:E,MATCH(D55,sales!C:C,0)),"없음")</f>
        <v>Sales</v>
      </c>
      <c r="Q55" s="19" t="str">
        <f t="array" ref="Q55">IFERROR(INDEX(sales!C:C,MATCH(D55,sales!C:C,0)),"list없음")</f>
        <v>chan.jeon@stryker.com</v>
      </c>
      <c r="R55" s="19"/>
    </row>
    <row r="56" spans="1:18" ht="13">
      <c r="A56" s="10">
        <v>56</v>
      </c>
      <c r="B56" s="12" t="s">
        <v>234</v>
      </c>
      <c r="C56" s="12" t="s">
        <v>235</v>
      </c>
      <c r="D56" s="12" t="s">
        <v>236</v>
      </c>
      <c r="E56" s="12" t="s">
        <v>237</v>
      </c>
      <c r="F56" s="12" t="s">
        <v>20</v>
      </c>
      <c r="G56" s="12" t="s">
        <v>134</v>
      </c>
      <c r="H56" s="14" t="str">
        <f t="array" ref="H56">IFERROR(INDEX(Lease_List!D:D,MATCH(All_User!D56,Lease_List!H:H,0)),"없음")</f>
        <v>5CD4305D80</v>
      </c>
      <c r="I56" s="17" t="s">
        <v>28</v>
      </c>
      <c r="J56" s="16"/>
      <c r="K56" s="17" t="str">
        <f t="array" ref="K56">IFERROR(INDEX(Ipad_List!C:C,MATCH(All_User!D56,Ipad_List!J:J,0)),"없음")</f>
        <v>M2FKP9T7QX</v>
      </c>
      <c r="L56" s="18" t="str">
        <f t="array" ref="L56">IFERROR(INDEX(TeamsNumber!B:B,MATCH(All_User!D56,TeamsNumber!D:D,0)),"없음")</f>
        <v>tel:+82234517589</v>
      </c>
      <c r="M56" s="18" t="str">
        <f t="array" ref="M56">IFERROR(INDEX(Printer!D:D,MATCH(All_User!D56,Printer!H:H,0)),"없음")</f>
        <v>SL-C563W</v>
      </c>
      <c r="N56" s="19" t="str">
        <f t="array" ref="N56">IFERROR(INDEX(Monitor!A:A,MATCH(D56,Monitor!D:D,0)),"없음")</f>
        <v>없음</v>
      </c>
      <c r="O56" s="19">
        <f t="array" ref="O56">IFERROR(INDEX(sales!D:D,MATCH(D56,sales!C:C,0)),"없음")</f>
        <v>0</v>
      </c>
      <c r="P56" s="19" t="str">
        <f t="array" ref="P56">IFERROR(INDEX(sales!E:E,MATCH(D56,sales!C:C,0)),"없음")</f>
        <v>Sales</v>
      </c>
      <c r="Q56" s="19" t="str">
        <f t="array" ref="Q56">IFERROR(INDEX(sales!C:C,MATCH(D56,sales!C:C,0)),"list없음")</f>
        <v>yoonbee.jeong@stryker.com</v>
      </c>
      <c r="R56" s="19"/>
    </row>
    <row r="57" spans="1:18" ht="13">
      <c r="A57" s="10">
        <v>57</v>
      </c>
      <c r="B57" s="12" t="s">
        <v>238</v>
      </c>
      <c r="C57" s="12" t="s">
        <v>239</v>
      </c>
      <c r="D57" s="12" t="s">
        <v>240</v>
      </c>
      <c r="E57" s="12" t="s">
        <v>55</v>
      </c>
      <c r="F57" s="12" t="s">
        <v>20</v>
      </c>
      <c r="G57" s="12" t="s">
        <v>27</v>
      </c>
      <c r="H57" s="14" t="str">
        <f t="array" ref="H57">IFERROR(INDEX(Lease_List!D:D,MATCH(All_User!D57,Lease_List!H:H,0)),"없음")</f>
        <v>5CD4305D8Z</v>
      </c>
      <c r="I57" s="17" t="s">
        <v>28</v>
      </c>
      <c r="J57" s="16"/>
      <c r="K57" s="17" t="str">
        <f t="array" ref="K57">IFERROR(INDEX(Ipad_List!C:C,MATCH(All_User!D57,Ipad_List!J:J,0)),"없음")</f>
        <v>DFC7V7Q9X3</v>
      </c>
      <c r="L57" s="18" t="str">
        <f t="array" ref="L57">IFERROR(INDEX(TeamsNumber!B:B,MATCH(All_User!D57,TeamsNumber!D:D,0)),"없음")</f>
        <v>tel:+82234517642</v>
      </c>
      <c r="M57" s="18" t="str">
        <f t="array" ref="M57">IFERROR(INDEX(Printer!D:D,MATCH(All_User!D57,Printer!H:H,0)),"없음")</f>
        <v>없음</v>
      </c>
      <c r="N57" s="19" t="str">
        <f t="array" ref="N57">IFERROR(INDEX(Monitor!A:A,MATCH(D57,Monitor!D:D,0)),"없음")</f>
        <v>없음</v>
      </c>
      <c r="O57" s="19" t="str">
        <f t="array" ref="O57">IFERROR(INDEX(sales!D:D,MATCH(D57,sales!C:C,0)),"없음")</f>
        <v>Mako</v>
      </c>
      <c r="P57" s="19" t="str">
        <f t="array" ref="P57">IFERROR(INDEX(sales!E:E,MATCH(D57,sales!C:C,0)),"없음")</f>
        <v>MPS</v>
      </c>
      <c r="Q57" s="19" t="str">
        <f t="array" ref="Q57">IFERROR(INDEX(sales!C:C,MATCH(D57,sales!C:C,0)),"list없음")</f>
        <v>somi.jeong@stryker.com</v>
      </c>
      <c r="R57" s="19"/>
    </row>
    <row r="58" spans="1:18" ht="13">
      <c r="A58" s="34">
        <v>58</v>
      </c>
      <c r="B58" s="35" t="s">
        <v>241</v>
      </c>
      <c r="C58" s="35" t="s">
        <v>242</v>
      </c>
      <c r="D58" s="35" t="s">
        <v>243</v>
      </c>
      <c r="E58" s="35" t="s">
        <v>55</v>
      </c>
      <c r="F58" s="35" t="s">
        <v>20</v>
      </c>
      <c r="G58" s="35" t="s">
        <v>27</v>
      </c>
      <c r="H58" s="36" t="str">
        <f t="array" ref="H58">IFERROR(INDEX(Lease_List!D:D,MATCH(All_User!D58,Lease_List!H:H,0)),"없음")</f>
        <v>5CD5179KHD</v>
      </c>
      <c r="I58" s="37" t="s">
        <v>28</v>
      </c>
      <c r="J58" s="38"/>
      <c r="K58" s="37" t="str">
        <f t="array" ref="K58">IFERROR(INDEX(Ipad_List!C:C,MATCH(All_User!D58,Ipad_List!J:J,0)),"없음")</f>
        <v>GVYCM2VJKW</v>
      </c>
      <c r="L58" s="39" t="str">
        <f t="array" ref="L58">IFERROR(INDEX(TeamsNumber!B:B,MATCH(All_User!D58,TeamsNumber!D:D,0)),"없음")</f>
        <v>tel:+82234517500</v>
      </c>
      <c r="M58" s="39" t="str">
        <f t="array" ref="M58">IFERROR(INDEX(Printer!D:D,MATCH(All_User!D58,Printer!H:H,0)),"없음")</f>
        <v>없음</v>
      </c>
      <c r="N58" s="19" t="str">
        <f t="array" ref="N58">IFERROR(INDEX(Monitor!A:A,MATCH(D58,Monitor!D:D,0)),"없음")</f>
        <v>없음</v>
      </c>
      <c r="O58" s="40" t="str">
        <f t="array" ref="O58">IFERROR(INDEX(sales!D:D,MATCH(D58,sales!C:C,0)),"없음")</f>
        <v>Mako</v>
      </c>
      <c r="P58" s="19" t="str">
        <f t="array" ref="P58">IFERROR(INDEX(sales!E:E,MATCH(D58,sales!C:C,0)),"없음")</f>
        <v>MPS</v>
      </c>
      <c r="Q58" s="19" t="str">
        <f t="array" ref="Q58">IFERROR(INDEX(sales!C:C,MATCH(D58,sales!C:C,0)),"list없음")</f>
        <v>dahye.jeong@stryker.com</v>
      </c>
    </row>
    <row r="59" spans="1:18" ht="13">
      <c r="A59" s="10">
        <v>59</v>
      </c>
      <c r="B59" s="12" t="s">
        <v>244</v>
      </c>
      <c r="C59" s="12" t="s">
        <v>245</v>
      </c>
      <c r="D59" s="12" t="s">
        <v>246</v>
      </c>
      <c r="E59" s="12" t="s">
        <v>247</v>
      </c>
      <c r="F59" s="12" t="s">
        <v>40</v>
      </c>
      <c r="G59" s="12" t="s">
        <v>193</v>
      </c>
      <c r="H59" s="20" t="str">
        <f t="array" ref="H59">IFERROR(INDEX(Lease_List!D:D,MATCH(All_User!D59,Lease_List!H:H,0)),"없음")</f>
        <v>5CD4145N3R</v>
      </c>
      <c r="I59" s="16" t="s">
        <v>28</v>
      </c>
      <c r="J59" s="16"/>
      <c r="K59" s="16" t="str">
        <f t="array" ref="K59">IFERROR(INDEX(Ipad_List!C:C,MATCH(All_User!D59,Ipad_List!J:J,0)),"없음")</f>
        <v>없음</v>
      </c>
      <c r="L59" s="19" t="str">
        <f t="array" ref="L59">IFERROR(INDEX(TeamsNumber!B:B,MATCH(All_User!D59,TeamsNumber!D:D,0)),"없음")</f>
        <v>tel:+82234517627</v>
      </c>
      <c r="M59" s="19" t="str">
        <f t="array" ref="M59">IFERROR(INDEX(Printer!D:D,MATCH(All_User!D59,Printer!H:H,0)),"없음")</f>
        <v>없음</v>
      </c>
      <c r="N59" s="19" t="str">
        <f t="array" ref="N59">IFERROR(INDEX(Monitor!A:A,MATCH(D59,Monitor!D:D,0)),"없음")</f>
        <v>없음</v>
      </c>
      <c r="O59" s="19" t="str">
        <f t="array" ref="O59">IFERROR(INDEX(sales!D:D,MATCH(D59,sales!C:C,0)),"없음")</f>
        <v>없음</v>
      </c>
      <c r="P59" s="19" t="str">
        <f t="array" ref="P59">IFERROR(INDEX(sales!E:E,MATCH(D59,sales!C:C,0)),"없음")</f>
        <v>없음</v>
      </c>
      <c r="Q59" s="19"/>
      <c r="R59" s="19"/>
    </row>
    <row r="60" spans="1:18" ht="13">
      <c r="A60" s="10">
        <v>60</v>
      </c>
      <c r="B60" s="12" t="s">
        <v>248</v>
      </c>
      <c r="C60" s="12" t="s">
        <v>249</v>
      </c>
      <c r="D60" s="12" t="s">
        <v>250</v>
      </c>
      <c r="E60" s="12" t="s">
        <v>251</v>
      </c>
      <c r="F60" s="12" t="s">
        <v>101</v>
      </c>
      <c r="G60" s="12" t="s">
        <v>252</v>
      </c>
      <c r="H60" s="20" t="str">
        <f t="array" ref="H60">IFERROR(INDEX(Lease_List!D:D,MATCH(All_User!D60,Lease_List!H:H,0)),"없음")</f>
        <v>5CD3469HD3</v>
      </c>
      <c r="I60" s="16" t="s">
        <v>28</v>
      </c>
      <c r="J60" s="16"/>
      <c r="K60" s="16" t="str">
        <f t="array" ref="K60">IFERROR(INDEX(Ipad_List!C:C,MATCH(All_User!D60,Ipad_List!J:J,0)),"없음")</f>
        <v>없음</v>
      </c>
      <c r="L60" s="19" t="str">
        <f t="array" ref="L60">IFERROR(INDEX(TeamsNumber!B:B,MATCH(All_User!D60,TeamsNumber!D:D,0)),"없음")</f>
        <v>tel:+82234517501</v>
      </c>
      <c r="M60" s="19" t="str">
        <f t="array" ref="M60">IFERROR(INDEX(Printer!D:D,MATCH(All_User!D60,Printer!H:H,0)),"없음")</f>
        <v>없음</v>
      </c>
      <c r="N60" s="19" t="str">
        <f t="array" ref="N60">IFERROR(INDEX(Monitor!A:A,MATCH(D60,Monitor!D:D,0)),"없음")</f>
        <v>없음</v>
      </c>
      <c r="O60" s="19" t="str">
        <f t="array" ref="O60">IFERROR(INDEX(sales!D:D,MATCH(D60,sales!C:C,0)),"없음")</f>
        <v>없음</v>
      </c>
      <c r="P60" s="19" t="str">
        <f t="array" ref="P60">IFERROR(INDEX(sales!E:E,MATCH(D60,sales!C:C,0)),"없음")</f>
        <v>없음</v>
      </c>
      <c r="Q60" s="19"/>
      <c r="R60" s="19"/>
    </row>
    <row r="61" spans="1:18" ht="13">
      <c r="A61" s="10">
        <v>61</v>
      </c>
      <c r="B61" s="12" t="s">
        <v>253</v>
      </c>
      <c r="C61" s="12" t="s">
        <v>254</v>
      </c>
      <c r="D61" s="12" t="s">
        <v>255</v>
      </c>
      <c r="E61" s="12" t="s">
        <v>256</v>
      </c>
      <c r="F61" s="12" t="s">
        <v>257</v>
      </c>
      <c r="G61" s="12" t="s">
        <v>258</v>
      </c>
      <c r="H61" s="20" t="str">
        <f t="array" ref="H61">IFERROR(INDEX(Lease_List!D:D,MATCH(All_User!D61,Lease_List!H:H,0)),"없음")</f>
        <v>5CD4305D8M</v>
      </c>
      <c r="I61" s="16" t="s">
        <v>28</v>
      </c>
      <c r="J61" s="16"/>
      <c r="K61" s="16" t="str">
        <f t="array" ref="K61">IFERROR(INDEX(Ipad_List!C:C,MATCH(All_User!D61,Ipad_List!J:J,0)),"없음")</f>
        <v>HW21HF1YCH</v>
      </c>
      <c r="L61" s="19" t="str">
        <f t="array" ref="L61">IFERROR(INDEX(TeamsNumber!B:B,MATCH(All_User!D61,TeamsNumber!D:D,0)),"없음")</f>
        <v>tel:+82234517632</v>
      </c>
      <c r="M61" s="19" t="str">
        <f t="array" ref="M61">IFERROR(INDEX(Printer!D:D,MATCH(All_User!D61,Printer!H:H,0)),"없음")</f>
        <v>없음</v>
      </c>
      <c r="N61" s="19" t="str">
        <f t="array" ref="N61">IFERROR(INDEX(Monitor!A:A,MATCH(D61,Monitor!D:D,0)),"없음")</f>
        <v>없음</v>
      </c>
      <c r="O61" s="19" t="str">
        <f t="array" ref="O61">IFERROR(INDEX(sales!D:D,MATCH(D61,sales!C:C,0)),"없음")</f>
        <v>없음</v>
      </c>
      <c r="P61" s="19" t="str">
        <f t="array" ref="P61">IFERROR(INDEX(sales!E:E,MATCH(D61,sales!C:C,0)),"없음")</f>
        <v>없음</v>
      </c>
      <c r="Q61" s="19"/>
      <c r="R61" s="19"/>
    </row>
    <row r="62" spans="1:18" ht="13">
      <c r="A62" s="10">
        <v>62</v>
      </c>
      <c r="B62" s="12" t="s">
        <v>259</v>
      </c>
      <c r="C62" s="12" t="s">
        <v>260</v>
      </c>
      <c r="D62" s="12" t="s">
        <v>261</v>
      </c>
      <c r="E62" s="12" t="s">
        <v>262</v>
      </c>
      <c r="F62" s="12" t="s">
        <v>20</v>
      </c>
      <c r="G62" s="12" t="s">
        <v>134</v>
      </c>
      <c r="H62" s="14" t="str">
        <f t="array" ref="H62">IFERROR(INDEX(Lease_List!D:D,MATCH(All_User!D62,Lease_List!H:H,0)),"없음")</f>
        <v>5CD5062YF6</v>
      </c>
      <c r="I62" s="17" t="s">
        <v>28</v>
      </c>
      <c r="J62" s="16"/>
      <c r="K62" s="17" t="str">
        <f t="array" ref="K62">IFERROR(INDEX(Ipad_List!C:C,MATCH(All_User!D62,Ipad_List!J:J,0)),"없음")</f>
        <v>GGWR7NXY2D</v>
      </c>
      <c r="L62" s="18" t="str">
        <f t="array" ref="L62">IFERROR(INDEX(TeamsNumber!B:B,MATCH(All_User!D62,TeamsNumber!D:D,0)),"없음")</f>
        <v>tel:+82234517603</v>
      </c>
      <c r="M62" s="18" t="str">
        <f t="array" ref="M62">IFERROR(INDEX(Printer!D:D,MATCH(All_User!D62,Printer!H:H,0)),"없음")</f>
        <v>없음</v>
      </c>
      <c r="N62" s="19" t="str">
        <f t="array" ref="N62">IFERROR(INDEX(Monitor!A:A,MATCH(D62,Monitor!D:D,0)),"없음")</f>
        <v>LCD 모니터</v>
      </c>
      <c r="O62" s="19">
        <f t="array" ref="O62">IFERROR(INDEX(sales!D:D,MATCH(D62,sales!C:C,0)),"없음")</f>
        <v>0</v>
      </c>
      <c r="P62" s="19" t="str">
        <f t="array" ref="P62">IFERROR(INDEX(sales!E:E,MATCH(D62,sales!C:C,0)),"없음")</f>
        <v>Sales</v>
      </c>
      <c r="Q62" s="19" t="str">
        <f t="array" ref="Q62">IFERROR(INDEX(sales!C:C,MATCH(D62,sales!C:C,0)),"list없음")</f>
        <v>jay.ji@stryker.com</v>
      </c>
      <c r="R62" s="19"/>
    </row>
    <row r="63" spans="1:18" ht="13">
      <c r="A63" s="10">
        <v>63</v>
      </c>
      <c r="B63" s="12" t="s">
        <v>263</v>
      </c>
      <c r="C63" s="12" t="s">
        <v>264</v>
      </c>
      <c r="D63" s="12" t="s">
        <v>265</v>
      </c>
      <c r="E63" s="12" t="s">
        <v>146</v>
      </c>
      <c r="F63" s="12" t="s">
        <v>20</v>
      </c>
      <c r="G63" s="12" t="s">
        <v>75</v>
      </c>
      <c r="H63" s="14" t="str">
        <f t="array" ref="H63">IFERROR(INDEX(Lease_List!D:D,MATCH(All_User!D63,Lease_List!H:H,0)),"없음")</f>
        <v>5CD4232BFJ</v>
      </c>
      <c r="I63" s="17" t="s">
        <v>28</v>
      </c>
      <c r="J63" s="16"/>
      <c r="K63" s="17" t="str">
        <f t="array" ref="K63">IFERROR(INDEX(Ipad_List!C:C,MATCH(All_User!D63,Ipad_List!J:J,0)),"없음")</f>
        <v>JFK7CC9090</v>
      </c>
      <c r="L63" s="18" t="str">
        <f t="array" ref="L63">IFERROR(INDEX(TeamsNumber!B:B,MATCH(All_User!D63,TeamsNumber!D:D,0)),"없음")</f>
        <v>tel:+82234517655</v>
      </c>
      <c r="M63" s="18" t="str">
        <f t="array" ref="M63">IFERROR(INDEX(Printer!D:D,MATCH(All_User!D63,Printer!H:H,0)),"없음")</f>
        <v>없음</v>
      </c>
      <c r="N63" s="19" t="str">
        <f t="array" ref="N63">IFERROR(INDEX(Monitor!A:A,MATCH(D63,Monitor!D:D,0)),"없음")</f>
        <v>없음</v>
      </c>
      <c r="O63" s="19" t="str">
        <f t="array" ref="O63">IFERROR(INDEX(sales!D:D,MATCH(D63,sales!C:C,0)),"없음")</f>
        <v>Knee</v>
      </c>
      <c r="P63" s="19" t="str">
        <f t="array" ref="P63">IFERROR(INDEX(sales!E:E,MATCH(D63,sales!C:C,0)),"없음")</f>
        <v>Sales</v>
      </c>
      <c r="Q63" s="19" t="str">
        <f t="array" ref="Q63">IFERROR(INDEX(sales!C:C,MATCH(D63,sales!C:C,0)),"list없음")</f>
        <v>scott.jo@stryker.com</v>
      </c>
      <c r="R63" s="19"/>
    </row>
    <row r="64" spans="1:18" ht="13">
      <c r="A64" s="10">
        <v>64</v>
      </c>
      <c r="B64" s="12" t="s">
        <v>266</v>
      </c>
      <c r="C64" s="12" t="s">
        <v>267</v>
      </c>
      <c r="D64" s="12" t="s">
        <v>268</v>
      </c>
      <c r="E64" s="12" t="s">
        <v>269</v>
      </c>
      <c r="F64" s="12" t="s">
        <v>65</v>
      </c>
      <c r="G64" s="12" t="s">
        <v>66</v>
      </c>
      <c r="H64" s="20" t="str">
        <f t="array" ref="H64">IFERROR(INDEX(Lease_List!D:D,MATCH(All_User!D64,Lease_List!H:H,0)),"없음")</f>
        <v>5CD3469HDR</v>
      </c>
      <c r="I64" s="16" t="s">
        <v>28</v>
      </c>
      <c r="J64" s="16"/>
      <c r="K64" s="16" t="str">
        <f t="array" ref="K64">IFERROR(INDEX(Ipad_List!C:C,MATCH(All_User!D64,Ipad_List!J:J,0)),"없음")</f>
        <v>없음</v>
      </c>
      <c r="L64" s="19" t="str">
        <f t="array" ref="L64">IFERROR(INDEX(TeamsNumber!B:B,MATCH(All_User!D64,TeamsNumber!D:D,0)),"없음")</f>
        <v>tel:+82234517635</v>
      </c>
      <c r="M64" s="19" t="str">
        <f t="array" ref="M64">IFERROR(INDEX(Printer!D:D,MATCH(All_User!D64,Printer!H:H,0)),"없음")</f>
        <v>없음</v>
      </c>
      <c r="N64" s="19" t="str">
        <f t="array" ref="N64">IFERROR(INDEX(Monitor!A:A,MATCH(D64,Monitor!D:D,0)),"없음")</f>
        <v>없음</v>
      </c>
      <c r="O64" s="19" t="str">
        <f t="array" ref="O64">IFERROR(INDEX(sales!D:D,MATCH(D64,sales!C:C,0)),"없음")</f>
        <v>없음</v>
      </c>
      <c r="P64" s="19" t="str">
        <f t="array" ref="P64">IFERROR(INDEX(sales!E:E,MATCH(D64,sales!C:C,0)),"없음")</f>
        <v>없음</v>
      </c>
      <c r="Q64" s="19"/>
      <c r="R64" s="19"/>
    </row>
    <row r="65" spans="1:18" ht="13">
      <c r="A65" s="10">
        <v>65</v>
      </c>
      <c r="B65" s="12" t="s">
        <v>270</v>
      </c>
      <c r="C65" s="12" t="s">
        <v>271</v>
      </c>
      <c r="D65" s="12" t="s">
        <v>272</v>
      </c>
      <c r="E65" s="12" t="s">
        <v>70</v>
      </c>
      <c r="F65" s="12" t="s">
        <v>20</v>
      </c>
      <c r="G65" s="12" t="s">
        <v>27</v>
      </c>
      <c r="H65" s="14" t="str">
        <f t="array" ref="H65">IFERROR(INDEX(Lease_List!D:D,MATCH(All_User!D65,Lease_List!H:H,0)),"없음")</f>
        <v>5CD442C079</v>
      </c>
      <c r="I65" s="17" t="s">
        <v>28</v>
      </c>
      <c r="J65" s="16"/>
      <c r="K65" s="17" t="str">
        <f t="array" ref="K65">IFERROR(INDEX(Ipad_List!C:C,MATCH(All_User!D65,Ipad_List!J:J,0)),"없음")</f>
        <v>J6YXV33LDP</v>
      </c>
      <c r="L65" s="18" t="str">
        <f t="array" ref="L65">IFERROR(INDEX(TeamsNumber!B:B,MATCH(All_User!D65,TeamsNumber!D:D,0)),"없음")</f>
        <v>tel:+82234517569</v>
      </c>
      <c r="M65" s="18" t="str">
        <f t="array" ref="M65">IFERROR(INDEX(Printer!D:D,MATCH(All_User!D65,Printer!H:H,0)),"없음")</f>
        <v>없음</v>
      </c>
      <c r="N65" s="19" t="str">
        <f t="array" ref="N65">IFERROR(INDEX(Monitor!A:A,MATCH(D65,Monitor!D:D,0)),"없음")</f>
        <v>없음</v>
      </c>
      <c r="O65" s="19" t="str">
        <f t="array" ref="O65">IFERROR(INDEX(sales!D:D,MATCH(D65,sales!C:C,0)),"없음")</f>
        <v>Mako</v>
      </c>
      <c r="P65" s="19" t="str">
        <f t="array" ref="P65">IFERROR(INDEX(sales!E:E,MATCH(D65,sales!C:C,0)),"없음")</f>
        <v>MPS</v>
      </c>
      <c r="Q65" s="19" t="str">
        <f t="array" ref="Q65">IFERROR(INDEX(sales!C:C,MATCH(D65,sales!C:C,0)),"list없음")</f>
        <v>jade.jung@stryker.com</v>
      </c>
      <c r="R65" s="19"/>
    </row>
    <row r="66" spans="1:18" ht="13">
      <c r="A66" s="10">
        <v>66</v>
      </c>
      <c r="B66" s="12" t="s">
        <v>273</v>
      </c>
      <c r="C66" s="12" t="s">
        <v>274</v>
      </c>
      <c r="D66" s="12" t="s">
        <v>275</v>
      </c>
      <c r="E66" s="12" t="s">
        <v>276</v>
      </c>
      <c r="F66" s="12" t="s">
        <v>20</v>
      </c>
      <c r="G66" s="12" t="s">
        <v>134</v>
      </c>
      <c r="H66" s="14" t="str">
        <f t="array" ref="H66">IFERROR(INDEX(Lease_List!D:D,MATCH(All_User!D66,Lease_List!H:H,0)),"없음")</f>
        <v>5CD3469HDT</v>
      </c>
      <c r="I66" s="17" t="s">
        <v>28</v>
      </c>
      <c r="J66" s="16"/>
      <c r="K66" s="17" t="str">
        <f t="array" ref="K66">IFERROR(INDEX(Ipad_List!C:C,MATCH(All_User!D66,Ipad_List!J:J,0)),"없음")</f>
        <v>DG3XL2W5VX</v>
      </c>
      <c r="L66" s="18" t="str">
        <f t="array" ref="L66">IFERROR(INDEX(TeamsNumber!B:B,MATCH(All_User!D66,TeamsNumber!D:D,0)),"없음")</f>
        <v>tel:+82234517605</v>
      </c>
      <c r="M66" s="18" t="str">
        <f t="array" ref="M66">IFERROR(INDEX(Printer!D:D,MATCH(All_User!D66,Printer!H:H,0)),"없음")</f>
        <v>없음</v>
      </c>
      <c r="N66" s="19" t="str">
        <f t="array" ref="N66">IFERROR(INDEX(Monitor!A:A,MATCH(D66,Monitor!D:D,0)),"없음")</f>
        <v>LCD 모니터</v>
      </c>
      <c r="O66" s="19">
        <f t="array" ref="O66">IFERROR(INDEX(sales!D:D,MATCH(D66,sales!C:C,0)),"없음")</f>
        <v>0</v>
      </c>
      <c r="P66" s="19" t="str">
        <f t="array" ref="P66">IFERROR(INDEX(sales!E:E,MATCH(D66,sales!C:C,0)),"없음")</f>
        <v>MKT</v>
      </c>
      <c r="Q66" s="19" t="str">
        <f t="array" ref="Q66">IFERROR(INDEX(sales!C:C,MATCH(D66,sales!C:C,0)),"list없음")</f>
        <v>jenny.jung@stryker.com</v>
      </c>
      <c r="R66" s="19"/>
    </row>
    <row r="67" spans="1:18" ht="13">
      <c r="A67" s="10">
        <v>67</v>
      </c>
      <c r="B67" s="12" t="s">
        <v>277</v>
      </c>
      <c r="C67" s="12" t="s">
        <v>278</v>
      </c>
      <c r="D67" s="12" t="s">
        <v>279</v>
      </c>
      <c r="E67" s="12" t="s">
        <v>70</v>
      </c>
      <c r="F67" s="12" t="s">
        <v>20</v>
      </c>
      <c r="G67" s="12" t="s">
        <v>27</v>
      </c>
      <c r="H67" s="14" t="str">
        <f t="array" ref="H67">IFERROR(INDEX(Lease_List!D:D,MATCH(All_User!D67,Lease_List!H:H,0)),"없음")</f>
        <v>5CD4305D8X</v>
      </c>
      <c r="I67" s="17" t="s">
        <v>28</v>
      </c>
      <c r="J67" s="16"/>
      <c r="K67" s="17" t="str">
        <f t="array" ref="K67">IFERROR(INDEX(Ipad_List!C:C,MATCH(All_User!D67,Ipad_List!J:J,0)),"없음")</f>
        <v>XCYDTQ4H1F</v>
      </c>
      <c r="L67" s="18" t="str">
        <f t="array" ref="L67">IFERROR(INDEX(TeamsNumber!B:B,MATCH(All_User!D67,TeamsNumber!D:D,0)),"없음")</f>
        <v>tel:+82234517584</v>
      </c>
      <c r="M67" s="18" t="str">
        <f t="array" ref="M67">IFERROR(INDEX(Printer!D:D,MATCH(All_User!D67,Printer!H:H,0)),"없음")</f>
        <v>없음</v>
      </c>
      <c r="N67" s="19" t="str">
        <f t="array" ref="N67">IFERROR(INDEX(Monitor!A:A,MATCH(D67,Monitor!D:D,0)),"없음")</f>
        <v>없음</v>
      </c>
      <c r="O67" s="19" t="str">
        <f t="array" ref="O67">IFERROR(INDEX(sales!D:D,MATCH(D67,sales!C:C,0)),"없음")</f>
        <v>Mako</v>
      </c>
      <c r="P67" s="19" t="str">
        <f t="array" ref="P67">IFERROR(INDEX(sales!E:E,MATCH(D67,sales!C:C,0)),"없음")</f>
        <v>MPS</v>
      </c>
      <c r="Q67" s="19" t="str">
        <f t="array" ref="Q67">IFERROR(INDEX(sales!C:C,MATCH(D67,sales!C:C,0)),"list없음")</f>
        <v>suhwan.jung@stryker.com</v>
      </c>
      <c r="R67" s="19"/>
    </row>
    <row r="68" spans="1:18" ht="13">
      <c r="A68" s="10">
        <v>68</v>
      </c>
      <c r="B68" s="12" t="s">
        <v>280</v>
      </c>
      <c r="C68" s="12" t="s">
        <v>281</v>
      </c>
      <c r="D68" s="12" t="s">
        <v>282</v>
      </c>
      <c r="E68" s="12" t="s">
        <v>70</v>
      </c>
      <c r="F68" s="12" t="s">
        <v>20</v>
      </c>
      <c r="G68" s="12" t="s">
        <v>27</v>
      </c>
      <c r="H68" s="14" t="str">
        <f t="array" ref="H68">IFERROR(INDEX(Lease_List!D:D,MATCH(All_User!D68,Lease_List!H:H,0)),"없음")</f>
        <v>5CD4305D94</v>
      </c>
      <c r="I68" s="17" t="s">
        <v>28</v>
      </c>
      <c r="J68" s="16"/>
      <c r="K68" s="17" t="str">
        <f t="array" ref="K68">IFERROR(INDEX(Ipad_List!C:C,MATCH(All_User!D68,Ipad_List!J:J,0)),"없음")</f>
        <v>C19HH7PP2V</v>
      </c>
      <c r="L68" s="18" t="str">
        <f t="array" ref="L68">IFERROR(INDEX(TeamsNumber!B:B,MATCH(All_User!D68,TeamsNumber!D:D,0)),"없음")</f>
        <v>tel:+82234517574</v>
      </c>
      <c r="M68" s="18" t="str">
        <f t="array" ref="M68">IFERROR(INDEX(Printer!D:D,MATCH(All_User!D68,Printer!H:H,0)),"없음")</f>
        <v>없음</v>
      </c>
      <c r="N68" s="19" t="str">
        <f t="array" ref="N68">IFERROR(INDEX(Monitor!A:A,MATCH(D68,Monitor!D:D,0)),"없음")</f>
        <v>없음</v>
      </c>
      <c r="O68" s="19" t="str">
        <f t="array" ref="O68">IFERROR(INDEX(sales!D:D,MATCH(D68,sales!C:C,0)),"없음")</f>
        <v>Mako</v>
      </c>
      <c r="P68" s="19" t="str">
        <f t="array" ref="P68">IFERROR(INDEX(sales!E:E,MATCH(D68,sales!C:C,0)),"없음")</f>
        <v>MPS</v>
      </c>
      <c r="Q68" s="19" t="str">
        <f t="array" ref="Q68">IFERROR(INDEX(sales!C:C,MATCH(D68,sales!C:C,0)),"list없음")</f>
        <v>seohyun.jung@stryker.com</v>
      </c>
      <c r="R68" s="19"/>
    </row>
    <row r="69" spans="1:18" ht="13">
      <c r="A69" s="10">
        <v>69</v>
      </c>
      <c r="B69" s="12" t="s">
        <v>283</v>
      </c>
      <c r="C69" s="12" t="s">
        <v>284</v>
      </c>
      <c r="D69" s="12" t="s">
        <v>285</v>
      </c>
      <c r="E69" s="12" t="s">
        <v>286</v>
      </c>
      <c r="F69" s="12" t="s">
        <v>65</v>
      </c>
      <c r="G69" s="12" t="s">
        <v>66</v>
      </c>
      <c r="H69" s="20" t="str">
        <f t="array" ref="H69">IFERROR(INDEX(Lease_List!D:D,MATCH(All_User!D69,Lease_List!H:H,0)),"없음")</f>
        <v>5CD4232BFG</v>
      </c>
      <c r="I69" s="16" t="s">
        <v>28</v>
      </c>
      <c r="J69" s="16"/>
      <c r="K69" s="16" t="str">
        <f t="array" ref="K69">IFERROR(INDEX(Ipad_List!C:C,MATCH(All_User!D69,Ipad_List!J:J,0)),"없음")</f>
        <v>없음</v>
      </c>
      <c r="L69" s="19" t="str">
        <f t="array" ref="L69">IFERROR(INDEX(TeamsNumber!B:B,MATCH(All_User!D69,TeamsNumber!D:D,0)),"없음")</f>
        <v>tel:+82234517636</v>
      </c>
      <c r="M69" s="19" t="str">
        <f t="array" ref="M69">IFERROR(INDEX(Printer!D:D,MATCH(All_User!D69,Printer!H:H,0)),"없음")</f>
        <v>없음</v>
      </c>
      <c r="N69" s="19" t="str">
        <f t="array" ref="N69">IFERROR(INDEX(Monitor!A:A,MATCH(D69,Monitor!D:D,0)),"없음")</f>
        <v>없음</v>
      </c>
      <c r="O69" s="19" t="str">
        <f t="array" ref="O69">IFERROR(INDEX(sales!D:D,MATCH(D69,sales!C:C,0)),"없음")</f>
        <v>없음</v>
      </c>
      <c r="P69" s="19" t="str">
        <f t="array" ref="P69">IFERROR(INDEX(sales!E:E,MATCH(D69,sales!C:C,0)),"없음")</f>
        <v>없음</v>
      </c>
      <c r="Q69" s="19"/>
      <c r="R69" s="19"/>
    </row>
    <row r="70" spans="1:18" ht="13">
      <c r="A70" s="10">
        <v>70</v>
      </c>
      <c r="B70" s="12" t="s">
        <v>287</v>
      </c>
      <c r="C70" s="12" t="s">
        <v>288</v>
      </c>
      <c r="D70" s="12" t="s">
        <v>289</v>
      </c>
      <c r="E70" s="12" t="s">
        <v>55</v>
      </c>
      <c r="F70" s="12" t="s">
        <v>20</v>
      </c>
      <c r="G70" s="12" t="s">
        <v>27</v>
      </c>
      <c r="H70" s="14" t="str">
        <f t="array" ref="H70">IFERROR(INDEX(Lease_List!D:D,MATCH(All_User!D70,Lease_List!H:H,0)),"없음")</f>
        <v>5CD5062YF8</v>
      </c>
      <c r="I70" s="17" t="s">
        <v>290</v>
      </c>
      <c r="J70" s="16"/>
      <c r="K70" s="17" t="str">
        <f t="array" ref="K70">IFERROR(INDEX(Ipad_List!C:C,MATCH(All_User!D70,Ipad_List!J:J,0)),"없음")</f>
        <v>G09WDG49T4</v>
      </c>
      <c r="L70" s="18" t="str">
        <f t="array" ref="L70">IFERROR(INDEX(TeamsNumber!B:B,MATCH(All_User!D70,TeamsNumber!D:D,0)),"없음")</f>
        <v>tel:+82234517694</v>
      </c>
      <c r="M70" s="18" t="str">
        <f t="array" ref="M70">IFERROR(INDEX(Printer!D:D,MATCH(All_User!D70,Printer!H:H,0)),"없음")</f>
        <v>없음</v>
      </c>
      <c r="N70" s="19" t="str">
        <f t="array" ref="N70">IFERROR(INDEX(Monitor!A:A,MATCH(D70,Monitor!D:D,0)),"없음")</f>
        <v>없음</v>
      </c>
      <c r="O70" s="19" t="str">
        <f t="array" ref="O70">IFERROR(INDEX(sales!D:D,MATCH(D70,sales!C:C,0)),"없음")</f>
        <v>Mako</v>
      </c>
      <c r="P70" s="19" t="str">
        <f t="array" ref="P70">IFERROR(INDEX(sales!E:E,MATCH(D70,sales!C:C,0)),"없음")</f>
        <v>MPS</v>
      </c>
      <c r="Q70" s="19" t="str">
        <f t="array" ref="Q70">IFERROR(INDEX(sales!C:C,MATCH(D70,sales!C:C,0)),"list없음")</f>
        <v>sol.jung@stryker.com</v>
      </c>
      <c r="R70" s="19"/>
    </row>
    <row r="71" spans="1:18" ht="13">
      <c r="A71" s="26"/>
      <c r="B71" s="27"/>
      <c r="C71" s="27"/>
      <c r="D71" s="27"/>
      <c r="E71" s="27"/>
      <c r="F71" s="27"/>
      <c r="G71" s="27"/>
      <c r="H71" s="28"/>
      <c r="I71" s="29"/>
      <c r="J71" s="29"/>
      <c r="K71" s="29"/>
      <c r="L71" s="30"/>
      <c r="M71" s="30"/>
      <c r="N71" s="30"/>
      <c r="O71" s="30"/>
      <c r="P71" s="30"/>
      <c r="Q71" s="31"/>
      <c r="R71" s="31"/>
    </row>
    <row r="72" spans="1:18" ht="13">
      <c r="A72" s="10">
        <v>72</v>
      </c>
      <c r="B72" s="12" t="s">
        <v>291</v>
      </c>
      <c r="C72" s="12"/>
      <c r="D72" s="12" t="s">
        <v>292</v>
      </c>
      <c r="E72" s="12" t="s">
        <v>293</v>
      </c>
      <c r="F72" s="12" t="s">
        <v>20</v>
      </c>
      <c r="G72" s="12" t="s">
        <v>203</v>
      </c>
      <c r="H72" s="20" t="str">
        <f t="array" ref="H72">IFERROR(INDEX(Lease_List!D:D,MATCH(All_User!D72,Lease_List!H:H,0)),"없음")</f>
        <v>5CD5179KJ2</v>
      </c>
      <c r="I72" s="16" t="s">
        <v>294</v>
      </c>
      <c r="J72" s="16"/>
      <c r="K72" s="16" t="str">
        <f t="array" ref="K72">IFERROR(INDEX(Ipad_List!C:C,MATCH(All_User!D72,Ipad_List!J:J,0)),"없음")</f>
        <v>VKGPQR7276</v>
      </c>
      <c r="L72" s="19" t="str">
        <f t="array" ref="L72">IFERROR(INDEX(TeamsNumber!B:B,MATCH(All_User!D72,TeamsNumber!D:D,0)),"없음")</f>
        <v>tel:+82234517570</v>
      </c>
      <c r="M72" s="19" t="str">
        <f t="array" ref="M72">IFERROR(INDEX(Printer!D:D,MATCH(All_User!D72,Printer!H:H,0)),"없음")</f>
        <v>없음</v>
      </c>
      <c r="N72" s="19" t="str">
        <f t="array" ref="N72">IFERROR(INDEX(Monitor!A:A,MATCH(D72,Monitor!D:D,0)),"없음")</f>
        <v>LCD 모니터</v>
      </c>
      <c r="O72" s="19" t="str">
        <f t="array" ref="O72">IFERROR(INDEX(sales!D:D,MATCH(D72,sales!C:C,0)),"없음")</f>
        <v>없음</v>
      </c>
      <c r="P72" s="19" t="str">
        <f t="array" ref="P72">IFERROR(INDEX(sales!E:E,MATCH(D72,sales!C:C,0)),"없음")</f>
        <v>없음</v>
      </c>
      <c r="Q72" s="19"/>
      <c r="R72" s="19"/>
    </row>
    <row r="73" spans="1:18" ht="13">
      <c r="A73" s="10">
        <v>73</v>
      </c>
      <c r="B73" s="12" t="s">
        <v>295</v>
      </c>
      <c r="C73" s="12" t="s">
        <v>296</v>
      </c>
      <c r="D73" s="12" t="s">
        <v>297</v>
      </c>
      <c r="E73" s="12" t="s">
        <v>74</v>
      </c>
      <c r="F73" s="12" t="s">
        <v>20</v>
      </c>
      <c r="G73" s="12" t="s">
        <v>75</v>
      </c>
      <c r="H73" s="14" t="str">
        <f t="array" ref="H73">IFERROR(INDEX(Lease_List!D:D,MATCH(All_User!D73,Lease_List!H:H,0)),"없음")</f>
        <v>5CD5179KHH</v>
      </c>
      <c r="I73" s="17" t="s">
        <v>298</v>
      </c>
      <c r="J73" s="16"/>
      <c r="K73" s="17" t="str">
        <f t="array" ref="K73">IFERROR(INDEX(Ipad_List!C:C,MATCH(All_User!D73,Ipad_List!J:J,0)),"없음")</f>
        <v>H7Q22YXYWF</v>
      </c>
      <c r="L73" s="18" t="str">
        <f t="array" ref="L73">IFERROR(INDEX(TeamsNumber!B:B,MATCH(All_User!D73,TeamsNumber!D:D,0)),"없음")</f>
        <v>tel:+82234517550</v>
      </c>
      <c r="M73" s="18" t="str">
        <f t="array" ref="M73">IFERROR(INDEX(Printer!D:D,MATCH(All_User!D73,Printer!H:H,0)),"없음")</f>
        <v>SL-C563W</v>
      </c>
      <c r="N73" s="19" t="str">
        <f t="array" ref="N73">IFERROR(INDEX(Monitor!A:A,MATCH(D73,Monitor!D:D,0)),"없음")</f>
        <v>없음</v>
      </c>
      <c r="O73" s="19" t="str">
        <f t="array" ref="O73">IFERROR(INDEX(sales!D:D,MATCH(D73,sales!C:C,0)),"없음")</f>
        <v>Knee</v>
      </c>
      <c r="P73" s="19" t="str">
        <f t="array" ref="P73">IFERROR(INDEX(sales!E:E,MATCH(D73,sales!C:C,0)),"없음")</f>
        <v>Sales</v>
      </c>
      <c r="Q73" s="19" t="str">
        <f t="array" ref="Q73">IFERROR(INDEX(sales!C:C,MATCH(D73,sales!C:C,0)),"list없음")</f>
        <v>louis.kang@stryker.com</v>
      </c>
      <c r="R73" s="19"/>
    </row>
    <row r="74" spans="1:18" ht="13">
      <c r="A74" s="10">
        <v>74</v>
      </c>
      <c r="B74" s="12" t="s">
        <v>299</v>
      </c>
      <c r="C74" s="12" t="s">
        <v>300</v>
      </c>
      <c r="D74" s="12" t="s">
        <v>301</v>
      </c>
      <c r="E74" s="12" t="s">
        <v>302</v>
      </c>
      <c r="F74" s="12" t="s">
        <v>303</v>
      </c>
      <c r="G74" s="12" t="s">
        <v>304</v>
      </c>
      <c r="H74" s="20" t="str">
        <f t="array" ref="H74">IFERROR(INDEX(Lease_List!D:D,MATCH(All_User!D74,Lease_List!H:H,0)),"없음")</f>
        <v>5CD5179KHM</v>
      </c>
      <c r="I74" s="16" t="s">
        <v>28</v>
      </c>
      <c r="J74" s="16"/>
      <c r="K74" s="16" t="str">
        <f t="array" ref="K74">IFERROR(INDEX(Ipad_List!C:C,MATCH(All_User!D74,Ipad_List!J:J,0)),"없음")</f>
        <v>없음</v>
      </c>
      <c r="L74" s="19" t="str">
        <f t="array" ref="L74">IFERROR(INDEX(TeamsNumber!B:B,MATCH(All_User!D74,TeamsNumber!D:D,0)),"없음")</f>
        <v>tel:+82234517543</v>
      </c>
      <c r="M74" s="19" t="str">
        <f t="array" ref="M74">IFERROR(INDEX(Printer!D:D,MATCH(All_User!D74,Printer!H:H,0)),"없음")</f>
        <v>없음</v>
      </c>
      <c r="N74" s="19" t="str">
        <f t="array" ref="N74">IFERROR(INDEX(Monitor!A:A,MATCH(D74,Monitor!D:D,0)),"없음")</f>
        <v>LCD 모니터</v>
      </c>
      <c r="O74" s="19" t="str">
        <f t="array" ref="O74">IFERROR(INDEX(sales!D:D,MATCH(D74,sales!C:C,0)),"없음")</f>
        <v>없음</v>
      </c>
      <c r="P74" s="19" t="str">
        <f t="array" ref="P74">IFERROR(INDEX(sales!E:E,MATCH(D74,sales!C:C,0)),"없음")</f>
        <v>없음</v>
      </c>
      <c r="Q74" s="19"/>
      <c r="R74" s="19"/>
    </row>
    <row r="75" spans="1:18" ht="13">
      <c r="A75" s="21"/>
      <c r="B75" s="22"/>
      <c r="C75" s="22"/>
      <c r="D75" s="22"/>
      <c r="E75" s="22"/>
      <c r="F75" s="22"/>
      <c r="G75" s="22"/>
      <c r="H75" s="23"/>
      <c r="I75" s="24"/>
      <c r="J75" s="24"/>
      <c r="K75" s="24"/>
      <c r="L75" s="25"/>
      <c r="M75" s="25"/>
      <c r="N75" s="25"/>
      <c r="O75" s="25"/>
      <c r="P75" s="25"/>
      <c r="Q75" s="25"/>
      <c r="R75" s="25"/>
    </row>
    <row r="76" spans="1:18" ht="13">
      <c r="A76" s="10">
        <v>76</v>
      </c>
      <c r="B76" s="12" t="s">
        <v>305</v>
      </c>
      <c r="C76" s="12" t="s">
        <v>306</v>
      </c>
      <c r="D76" s="12" t="s">
        <v>307</v>
      </c>
      <c r="E76" s="12" t="s">
        <v>308</v>
      </c>
      <c r="F76" s="12" t="s">
        <v>65</v>
      </c>
      <c r="G76" s="12" t="s">
        <v>309</v>
      </c>
      <c r="H76" s="20" t="str">
        <f t="array" ref="H76">IFERROR(INDEX(Lease_List!D:D,MATCH(All_User!D76,Lease_List!H:H,0)),"없음")</f>
        <v>5CD4232BF3</v>
      </c>
      <c r="I76" s="16" t="s">
        <v>28</v>
      </c>
      <c r="J76" s="16"/>
      <c r="K76" s="16" t="str">
        <f t="array" ref="K76">IFERROR(INDEX(Ipad_List!C:C,MATCH(All_User!D76,Ipad_List!J:J,0)),"없음")</f>
        <v>TRW5JJG7JP</v>
      </c>
      <c r="L76" s="19" t="str">
        <f t="array" ref="L76">IFERROR(INDEX(TeamsNumber!B:B,MATCH(All_User!D76,TeamsNumber!D:D,0)),"없음")</f>
        <v>tel:+82234517524</v>
      </c>
      <c r="M76" s="19" t="str">
        <f t="array" ref="M76">IFERROR(INDEX(Printer!D:D,MATCH(All_User!D76,Printer!H:H,0)),"없음")</f>
        <v>없음</v>
      </c>
      <c r="N76" s="19" t="str">
        <f t="array" ref="N76">IFERROR(INDEX(Monitor!A:A,MATCH(D76,Monitor!D:D,0)),"없음")</f>
        <v>LCD 모니터</v>
      </c>
      <c r="O76" s="19" t="str">
        <f t="array" ref="O76">IFERROR(INDEX(sales!D:D,MATCH(D76,sales!C:C,0)),"없음")</f>
        <v>없음</v>
      </c>
      <c r="P76" s="19" t="str">
        <f t="array" ref="P76">IFERROR(INDEX(sales!E:E,MATCH(D76,sales!C:C,0)),"없음")</f>
        <v>없음</v>
      </c>
      <c r="Q76" s="19"/>
      <c r="R76" s="19"/>
    </row>
    <row r="77" spans="1:18" ht="13">
      <c r="A77" s="10">
        <v>77</v>
      </c>
      <c r="B77" s="12" t="s">
        <v>310</v>
      </c>
      <c r="C77" s="12" t="s">
        <v>311</v>
      </c>
      <c r="D77" s="12" t="s">
        <v>312</v>
      </c>
      <c r="E77" s="12" t="s">
        <v>313</v>
      </c>
      <c r="F77" s="12" t="s">
        <v>20</v>
      </c>
      <c r="G77" s="12" t="s">
        <v>21</v>
      </c>
      <c r="H77" s="14" t="str">
        <f t="array" ref="H77">IFERROR(INDEX(Lease_List!D:D,MATCH(All_User!D77,Lease_List!H:H,0)),"없음")</f>
        <v>5CD5062YF1</v>
      </c>
      <c r="I77" s="17" t="s">
        <v>28</v>
      </c>
      <c r="J77" s="16"/>
      <c r="K77" s="17" t="str">
        <f t="array" ref="K77">IFERROR(INDEX(Ipad_List!C:C,MATCH(All_User!D77,Ipad_List!J:J,0)),"없음")</f>
        <v>THD6Q4W3LT</v>
      </c>
      <c r="L77" s="18" t="str">
        <f t="array" ref="L77">IFERROR(INDEX(TeamsNumber!B:B,MATCH(All_User!D77,TeamsNumber!D:D,0)),"없음")</f>
        <v>tel:+82234517558</v>
      </c>
      <c r="M77" s="18" t="str">
        <f t="array" ref="M77">IFERROR(INDEX(Printer!D:D,MATCH(All_User!D77,Printer!H:H,0)),"없음")</f>
        <v>SL-C565W</v>
      </c>
      <c r="N77" s="19" t="str">
        <f t="array" ref="N77">IFERROR(INDEX(Monitor!A:A,MATCH(D77,Monitor!D:D,0)),"없음")</f>
        <v>없음</v>
      </c>
      <c r="O77" s="19" t="str">
        <f t="array" ref="O77">IFERROR(INDEX(sales!D:D,MATCH(D77,sales!C:C,0)),"없음")</f>
        <v>Mako</v>
      </c>
      <c r="P77" s="19" t="str">
        <f t="array" ref="P77">IFERROR(INDEX(sales!E:E,MATCH(D77,sales!C:C,0)),"없음")</f>
        <v>Sales</v>
      </c>
      <c r="Q77" s="19" t="str">
        <f t="array" ref="Q77">IFERROR(INDEX(sales!C:C,MATCH(D77,sales!C:C,0)),"list없음")</f>
        <v>Justin.Kim@stryker.com</v>
      </c>
      <c r="R77" s="19"/>
    </row>
    <row r="78" spans="1:18" ht="13">
      <c r="A78" s="10">
        <v>78</v>
      </c>
      <c r="B78" s="12" t="s">
        <v>314</v>
      </c>
      <c r="C78" s="12" t="s">
        <v>315</v>
      </c>
      <c r="D78" s="12" t="s">
        <v>316</v>
      </c>
      <c r="E78" s="12" t="s">
        <v>317</v>
      </c>
      <c r="F78" s="12" t="s">
        <v>20</v>
      </c>
      <c r="G78" s="12" t="s">
        <v>175</v>
      </c>
      <c r="H78" s="20" t="str">
        <f t="array" ref="H78">IFERROR(INDEX(Lease_List!D:D,MATCH(All_User!D78,Lease_List!H:H,0)),"없음")</f>
        <v>5CD409908M</v>
      </c>
      <c r="I78" s="16" t="s">
        <v>28</v>
      </c>
      <c r="J78" s="16"/>
      <c r="K78" s="16" t="str">
        <f t="array" ref="K78">IFERROR(INDEX(Ipad_List!C:C,MATCH(All_User!D78,Ipad_List!J:J,0)),"없음")</f>
        <v>DDPWWYNVPX</v>
      </c>
      <c r="L78" s="19" t="str">
        <f t="array" ref="L78">IFERROR(INDEX(TeamsNumber!B:B,MATCH(All_User!D78,TeamsNumber!D:D,0)),"없음")</f>
        <v>tel:+82234517676</v>
      </c>
      <c r="M78" s="19" t="str">
        <f t="array" ref="M78">IFERROR(INDEX(Printer!D:D,MATCH(All_User!D78,Printer!H:H,0)),"없음")</f>
        <v>확인중</v>
      </c>
      <c r="N78" s="19" t="str">
        <f t="array" ref="N78">IFERROR(INDEX(Monitor!A:A,MATCH(D78,Monitor!D:D,0)),"없음")</f>
        <v>없음</v>
      </c>
      <c r="O78" s="19">
        <f t="array" ref="O78">IFERROR(INDEX(sales!D:D,MATCH(D78,sales!C:C,0)),"없음")</f>
        <v>0</v>
      </c>
      <c r="P78" s="19">
        <f t="array" ref="P78">IFERROR(INDEX(sales!E:E,MATCH(D78,sales!C:C,0)),"없음")</f>
        <v>0</v>
      </c>
      <c r="Q78" s="19"/>
      <c r="R78" s="19"/>
    </row>
    <row r="79" spans="1:18" ht="13">
      <c r="A79" s="10">
        <v>79</v>
      </c>
      <c r="B79" s="12" t="s">
        <v>318</v>
      </c>
      <c r="C79" s="12" t="s">
        <v>319</v>
      </c>
      <c r="D79" s="12" t="s">
        <v>320</v>
      </c>
      <c r="E79" s="12" t="s">
        <v>146</v>
      </c>
      <c r="F79" s="12" t="s">
        <v>20</v>
      </c>
      <c r="G79" s="12" t="s">
        <v>75</v>
      </c>
      <c r="H79" s="14" t="str">
        <f t="array" ref="H79">IFERROR(INDEX(Lease_List!D:D,MATCH(All_User!D79,Lease_List!H:H,0)),"없음")</f>
        <v>5CD4232BFN</v>
      </c>
      <c r="I79" s="17" t="s">
        <v>28</v>
      </c>
      <c r="J79" s="16"/>
      <c r="K79" s="17" t="str">
        <f t="array" ref="K79">IFERROR(INDEX(Ipad_List!C:C,MATCH(All_User!D79,Ipad_List!J:J,0)),"없음")</f>
        <v>DWFLMWX243</v>
      </c>
      <c r="L79" s="18" t="str">
        <f t="array" ref="L79">IFERROR(INDEX(TeamsNumber!B:B,MATCH(All_User!D79,TeamsNumber!D:D,0)),"없음")</f>
        <v>tel:+82234517530</v>
      </c>
      <c r="M79" s="18" t="str">
        <f t="array" ref="M79">IFERROR(INDEX(Printer!D:D,MATCH(All_User!D79,Printer!H:H,0)),"없음")</f>
        <v>SL-C563W</v>
      </c>
      <c r="N79" s="19" t="str">
        <f t="array" ref="N79">IFERROR(INDEX(Monitor!A:A,MATCH(D79,Monitor!D:D,0)),"없음")</f>
        <v>없음</v>
      </c>
      <c r="O79" s="19" t="str">
        <f t="array" ref="O79">IFERROR(INDEX(sales!D:D,MATCH(D79,sales!C:C,0)),"없음")</f>
        <v>MedSurg</v>
      </c>
      <c r="P79" s="19" t="str">
        <f t="array" ref="P79">IFERROR(INDEX(sales!E:E,MATCH(D79,sales!C:C,0)),"없음")</f>
        <v>Sales</v>
      </c>
      <c r="Q79" s="19" t="str">
        <f t="array" ref="Q79">IFERROR(INDEX(sales!C:C,MATCH(D79,sales!C:C,0)),"list없음")</f>
        <v>danny.kim@stryker.com</v>
      </c>
      <c r="R79" s="19"/>
    </row>
    <row r="80" spans="1:18" ht="13">
      <c r="A80" s="10">
        <v>80</v>
      </c>
      <c r="B80" s="12" t="s">
        <v>321</v>
      </c>
      <c r="C80" s="12" t="s">
        <v>306</v>
      </c>
      <c r="D80" s="12" t="s">
        <v>322</v>
      </c>
      <c r="E80" s="12" t="s">
        <v>323</v>
      </c>
      <c r="F80" s="12" t="s">
        <v>20</v>
      </c>
      <c r="G80" s="12" t="s">
        <v>324</v>
      </c>
      <c r="H80" s="14" t="str">
        <f t="array" ref="H80">IFERROR(INDEX(Lease_List!D:D,MATCH(All_User!D80,Lease_List!H:H,0)),"없음")</f>
        <v>5CD5179KJB</v>
      </c>
      <c r="I80" s="17" t="s">
        <v>325</v>
      </c>
      <c r="J80" s="16"/>
      <c r="K80" s="17" t="str">
        <f t="array" ref="K80">IFERROR(INDEX(Ipad_List!C:C,MATCH(All_User!D80,Ipad_List!J:J,0)),"없음")</f>
        <v>FQPW2GVP7C</v>
      </c>
      <c r="L80" s="18" t="str">
        <f t="array" ref="L80">IFERROR(INDEX(TeamsNumber!B:B,MATCH(All_User!D80,TeamsNumber!D:D,0)),"없음")</f>
        <v>tel:+82234517680</v>
      </c>
      <c r="M80" s="18" t="str">
        <f t="array" ref="M80">IFERROR(INDEX(Printer!D:D,MATCH(All_User!D80,Printer!H:H,0)),"없음")</f>
        <v>없음</v>
      </c>
      <c r="N80" s="19" t="str">
        <f t="array" ref="N80">IFERROR(INDEX(Monitor!A:A,MATCH(D80,Monitor!D:D,0)),"없음")</f>
        <v>없음</v>
      </c>
      <c r="O80" s="19">
        <f t="array" ref="O80">IFERROR(INDEX(sales!D:D,MATCH(D80,sales!C:C,0)),"없음")</f>
        <v>0</v>
      </c>
      <c r="P80" s="19" t="str">
        <f t="array" ref="P80">IFERROR(INDEX(sales!E:E,MATCH(D80,sales!C:C,0)),"없음")</f>
        <v>MKT</v>
      </c>
      <c r="Q80" s="19" t="str">
        <f t="array" ref="Q80">IFERROR(INDEX(sales!C:C,MATCH(D80,sales!C:C,0)),"list없음")</f>
        <v>Rayna.Kim@stryker.com</v>
      </c>
      <c r="R80" s="19"/>
    </row>
    <row r="81" spans="1:18" ht="13">
      <c r="A81" s="10">
        <v>81</v>
      </c>
      <c r="B81" s="12" t="s">
        <v>326</v>
      </c>
      <c r="C81" s="12" t="s">
        <v>327</v>
      </c>
      <c r="D81" s="12" t="s">
        <v>328</v>
      </c>
      <c r="E81" s="12" t="s">
        <v>329</v>
      </c>
      <c r="F81" s="12" t="s">
        <v>20</v>
      </c>
      <c r="G81" s="12" t="s">
        <v>175</v>
      </c>
      <c r="H81" s="14" t="str">
        <f t="array" ref="H81">IFERROR(INDEX(Lease_List!D:D,MATCH(All_User!D81,Lease_List!H:H,0)),"없음")</f>
        <v>5CD409908J</v>
      </c>
      <c r="I81" s="17" t="s">
        <v>28</v>
      </c>
      <c r="J81" s="16"/>
      <c r="K81" s="17" t="str">
        <f t="array" ref="K81">IFERROR(INDEX(Ipad_List!C:C,MATCH(All_User!D81,Ipad_List!J:J,0)),"없음")</f>
        <v>MQ6X021QX2</v>
      </c>
      <c r="L81" s="18" t="str">
        <f t="array" ref="L81">IFERROR(INDEX(TeamsNumber!B:B,MATCH(All_User!D81,TeamsNumber!D:D,0)),"없음")</f>
        <v>tel:+82234517598</v>
      </c>
      <c r="M81" s="18" t="str">
        <f t="array" ref="M81">IFERROR(INDEX(Printer!D:D,MATCH(All_User!D81,Printer!H:H,0)),"없음")</f>
        <v>SL-C486FW</v>
      </c>
      <c r="N81" s="19" t="str">
        <f t="array" ref="N81">IFERROR(INDEX(Monitor!A:A,MATCH(D81,Monitor!D:D,0)),"없음")</f>
        <v>없음</v>
      </c>
      <c r="O81" s="19" t="str">
        <f t="array" ref="O81">IFERROR(INDEX(sales!D:D,MATCH(D81,sales!C:C,0)),"없음")</f>
        <v>Implants</v>
      </c>
      <c r="P81" s="19" t="str">
        <f t="array" ref="P81">IFERROR(INDEX(sales!E:E,MATCH(D81,sales!C:C,0)),"없음")</f>
        <v>Sales</v>
      </c>
      <c r="Q81" s="19" t="str">
        <f t="array" ref="Q81">IFERROR(INDEX(sales!C:C,MATCH(D81,sales!C:C,0)),"list없음")</f>
        <v>Suhyun.Kim@stryker.com</v>
      </c>
      <c r="R81" s="19"/>
    </row>
    <row r="82" spans="1:18" ht="13">
      <c r="A82" s="10">
        <v>82</v>
      </c>
      <c r="B82" s="12" t="s">
        <v>330</v>
      </c>
      <c r="C82" s="12" t="s">
        <v>331</v>
      </c>
      <c r="D82" s="12" t="s">
        <v>332</v>
      </c>
      <c r="E82" s="12" t="s">
        <v>333</v>
      </c>
      <c r="F82" s="12" t="s">
        <v>334</v>
      </c>
      <c r="G82" s="12" t="s">
        <v>335</v>
      </c>
      <c r="H82" s="20" t="str">
        <f t="array" ref="H82">IFERROR(INDEX(Lease_List!D:D,MATCH(All_User!D82,Lease_List!H:H,0)),"없음")</f>
        <v>5CD409908K</v>
      </c>
      <c r="I82" s="16" t="s">
        <v>28</v>
      </c>
      <c r="J82" s="16"/>
      <c r="K82" s="16" t="str">
        <f t="array" ref="K82">IFERROR(INDEX(Ipad_List!C:C,MATCH(All_User!D82,Ipad_List!J:J,0)),"없음")</f>
        <v>C14X1226DV</v>
      </c>
      <c r="L82" s="19" t="str">
        <f t="array" ref="L82">IFERROR(INDEX(TeamsNumber!B:B,MATCH(All_User!D82,TeamsNumber!D:D,0)),"없음")</f>
        <v>tel:+82234517540</v>
      </c>
      <c r="M82" s="19" t="str">
        <f t="array" ref="M82">IFERROR(INDEX(Printer!D:D,MATCH(All_User!D82,Printer!H:H,0)),"없음")</f>
        <v>없음</v>
      </c>
      <c r="N82" s="19" t="str">
        <f t="array" ref="N82">IFERROR(INDEX(Monitor!A:A,MATCH(D82,Monitor!D:D,0)),"없음")</f>
        <v>없음</v>
      </c>
      <c r="O82" s="19" t="str">
        <f t="array" ref="O82">IFERROR(INDEX(sales!D:D,MATCH(D82,sales!C:C,0)),"없음")</f>
        <v>없음</v>
      </c>
      <c r="P82" s="19" t="str">
        <f t="array" ref="P82">IFERROR(INDEX(sales!E:E,MATCH(D82,sales!C:C,0)),"없음")</f>
        <v>없음</v>
      </c>
      <c r="Q82" s="19"/>
      <c r="R82" s="19"/>
    </row>
    <row r="83" spans="1:18" ht="13">
      <c r="A83" s="10">
        <v>83</v>
      </c>
      <c r="B83" s="12" t="s">
        <v>336</v>
      </c>
      <c r="C83" s="12" t="s">
        <v>337</v>
      </c>
      <c r="D83" s="12" t="s">
        <v>338</v>
      </c>
      <c r="E83" s="12" t="s">
        <v>339</v>
      </c>
      <c r="F83" s="12" t="s">
        <v>257</v>
      </c>
      <c r="G83" s="12" t="s">
        <v>258</v>
      </c>
      <c r="H83" s="20" t="str">
        <f t="array" ref="H83">IFERROR(INDEX(Lease_List!D:D,MATCH(All_User!D83,Lease_List!H:H,0)),"없음")</f>
        <v>5CD3469HDJ</v>
      </c>
      <c r="I83" s="16" t="s">
        <v>28</v>
      </c>
      <c r="J83" s="16"/>
      <c r="K83" s="16" t="str">
        <f t="array" ref="K83">IFERROR(INDEX(Ipad_List!C:C,MATCH(All_User!D83,Ipad_List!J:J,0)),"없음")</f>
        <v>없음</v>
      </c>
      <c r="L83" s="19" t="str">
        <f t="array" ref="L83">IFERROR(INDEX(TeamsNumber!B:B,MATCH(All_User!D83,TeamsNumber!D:D,0)),"없음")</f>
        <v>tel:+82234517633</v>
      </c>
      <c r="M83" s="19" t="str">
        <f t="array" ref="M83">IFERROR(INDEX(Printer!D:D,MATCH(All_User!D83,Printer!H:H,0)),"없음")</f>
        <v>없음</v>
      </c>
      <c r="N83" s="19" t="str">
        <f t="array" ref="N83">IFERROR(INDEX(Monitor!A:A,MATCH(D83,Monitor!D:D,0)),"없음")</f>
        <v>없음</v>
      </c>
      <c r="O83" s="19" t="str">
        <f t="array" ref="O83">IFERROR(INDEX(sales!D:D,MATCH(D83,sales!C:C,0)),"없음")</f>
        <v>없음</v>
      </c>
      <c r="P83" s="19" t="str">
        <f t="array" ref="P83">IFERROR(INDEX(sales!E:E,MATCH(D83,sales!C:C,0)),"없음")</f>
        <v>없음</v>
      </c>
      <c r="Q83" s="19"/>
      <c r="R83" s="19"/>
    </row>
    <row r="84" spans="1:18" ht="13">
      <c r="A84" s="10">
        <v>84</v>
      </c>
      <c r="B84" s="12" t="s">
        <v>340</v>
      </c>
      <c r="C84" s="12" t="s">
        <v>341</v>
      </c>
      <c r="D84" s="12" t="s">
        <v>342</v>
      </c>
      <c r="E84" s="12" t="s">
        <v>343</v>
      </c>
      <c r="F84" s="12" t="s">
        <v>20</v>
      </c>
      <c r="G84" s="12" t="s">
        <v>134</v>
      </c>
      <c r="H84" s="14" t="str">
        <f t="array" ref="H84">IFERROR(INDEX(Lease_List!D:D,MATCH(All_User!D84,Lease_List!H:H,0)),"없음")</f>
        <v>5CD5179KJ1</v>
      </c>
      <c r="I84" s="17" t="s">
        <v>344</v>
      </c>
      <c r="J84" s="16"/>
      <c r="K84" s="17" t="str">
        <f t="array" ref="K84">IFERROR(INDEX(Ipad_List!C:C,MATCH(All_User!D84,Ipad_List!J:J,0)),"없음")</f>
        <v>MK21Q5L65C</v>
      </c>
      <c r="L84" s="18" t="str">
        <f t="array" ref="L84">IFERROR(INDEX(TeamsNumber!B:B,MATCH(All_User!D84,TeamsNumber!D:D,0)),"없음")</f>
        <v>tel:+82234517685</v>
      </c>
      <c r="M84" s="18" t="str">
        <f t="array" ref="M84">IFERROR(INDEX(Printer!D:D,MATCH(All_User!D84,Printer!H:H,0)),"없음")</f>
        <v>확인중</v>
      </c>
      <c r="N84" s="19" t="str">
        <f t="array" ref="N84">IFERROR(INDEX(Monitor!A:A,MATCH(D84,Monitor!D:D,0)),"없음")</f>
        <v>없음</v>
      </c>
      <c r="O84" s="19">
        <f t="array" ref="O84">IFERROR(INDEX(sales!D:D,MATCH(D84,sales!C:C,0)),"없음")</f>
        <v>0</v>
      </c>
      <c r="P84" s="19" t="str">
        <f t="array" ref="P84">IFERROR(INDEX(sales!E:E,MATCH(D84,sales!C:C,0)),"없음")</f>
        <v>Sales</v>
      </c>
      <c r="Q84" s="19" t="str">
        <f t="array" ref="Q84">IFERROR(INDEX(sales!C:C,MATCH(D84,sales!C:C,0)),"list없음")</f>
        <v>jackson.kim@stryker.com</v>
      </c>
      <c r="R84" s="19"/>
    </row>
    <row r="85" spans="1:18" ht="13">
      <c r="A85" s="10">
        <v>85</v>
      </c>
      <c r="B85" s="12" t="s">
        <v>345</v>
      </c>
      <c r="C85" s="12" t="s">
        <v>346</v>
      </c>
      <c r="D85" s="12" t="s">
        <v>347</v>
      </c>
      <c r="E85" s="12" t="s">
        <v>122</v>
      </c>
      <c r="F85" s="12" t="s">
        <v>20</v>
      </c>
      <c r="G85" s="12" t="s">
        <v>75</v>
      </c>
      <c r="H85" s="14" t="str">
        <f t="array" ref="H85">IFERROR(INDEX(Lease_List!D:D,MATCH(All_User!D85,Lease_List!H:H,0)),"없음")</f>
        <v>5CD5179KHX</v>
      </c>
      <c r="I85" s="17" t="s">
        <v>348</v>
      </c>
      <c r="J85" s="16"/>
      <c r="K85" s="17" t="str">
        <f t="array" ref="K85">IFERROR(INDEX(Ipad_List!C:C,MATCH(All_User!D85,Ipad_List!J:J,0)),"없음")</f>
        <v>J9157FQXYM</v>
      </c>
      <c r="L85" s="18" t="str">
        <f t="array" ref="L85">IFERROR(INDEX(TeamsNumber!B:B,MATCH(All_User!D85,TeamsNumber!D:D,0)),"없음")</f>
        <v>tel:+82234517596</v>
      </c>
      <c r="M85" s="18" t="str">
        <f t="array" ref="M85">IFERROR(INDEX(Printer!D:D,MATCH(All_User!D85,Printer!H:H,0)),"없음")</f>
        <v>반납</v>
      </c>
      <c r="N85" s="19" t="str">
        <f t="array" ref="N85">IFERROR(INDEX(Monitor!A:A,MATCH(D85,Monitor!D:D,0)),"없음")</f>
        <v>없음</v>
      </c>
      <c r="O85" s="19" t="str">
        <f t="array" ref="O85">IFERROR(INDEX(sales!D:D,MATCH(D85,sales!C:C,0)),"없음")</f>
        <v>Implants</v>
      </c>
      <c r="P85" s="19" t="str">
        <f t="array" ref="P85">IFERROR(INDEX(sales!E:E,MATCH(D85,sales!C:C,0)),"없음")</f>
        <v>Sales</v>
      </c>
      <c r="Q85" s="19" t="str">
        <f t="array" ref="Q85">IFERROR(INDEX(sales!C:C,MATCH(D85,sales!C:C,0)),"list없음")</f>
        <v>genie.kim@stryker.com</v>
      </c>
      <c r="R85" s="19"/>
    </row>
    <row r="86" spans="1:18" ht="13">
      <c r="A86" s="10">
        <v>86</v>
      </c>
      <c r="B86" s="12" t="s">
        <v>349</v>
      </c>
      <c r="C86" s="12" t="s">
        <v>350</v>
      </c>
      <c r="D86" s="12" t="s">
        <v>351</v>
      </c>
      <c r="E86" s="12" t="s">
        <v>74</v>
      </c>
      <c r="F86" s="12" t="s">
        <v>20</v>
      </c>
      <c r="G86" s="12" t="s">
        <v>75</v>
      </c>
      <c r="H86" s="14" t="str">
        <f t="array" ref="H86">IFERROR(INDEX(Lease_List!D:D,MATCH(All_User!D86,Lease_List!H:H,0)),"없음")</f>
        <v>5CD5062YDG</v>
      </c>
      <c r="I86" s="17" t="s">
        <v>352</v>
      </c>
      <c r="J86" s="16"/>
      <c r="K86" s="17" t="str">
        <f t="array" ref="K86">IFERROR(INDEX(Ipad_List!C:C,MATCH(All_User!D86,Ipad_List!J:J,0)),"없음")</f>
        <v>M6T0VJHK6P</v>
      </c>
      <c r="L86" s="18" t="str">
        <f t="array" ref="L86">IFERROR(INDEX(TeamsNumber!B:B,MATCH(All_User!D86,TeamsNumber!D:D,0)),"없음")</f>
        <v>tel:+82234517597</v>
      </c>
      <c r="M86" s="18" t="str">
        <f t="array" ref="M86">IFERROR(INDEX(Printer!D:D,MATCH(All_User!D86,Printer!H:H,0)),"없음")</f>
        <v>2차 조사 정보 없음</v>
      </c>
      <c r="N86" s="19" t="str">
        <f t="array" ref="N86">IFERROR(INDEX(Monitor!A:A,MATCH(D86,Monitor!D:D,0)),"없음")</f>
        <v>없음</v>
      </c>
      <c r="O86" s="19" t="str">
        <f t="array" ref="O86">IFERROR(INDEX(sales!D:D,MATCH(D86,sales!C:C,0)),"없음")</f>
        <v>Implants</v>
      </c>
      <c r="P86" s="19" t="str">
        <f t="array" ref="P86">IFERROR(INDEX(sales!E:E,MATCH(D86,sales!C:C,0)),"없음")</f>
        <v>Sales</v>
      </c>
      <c r="Q86" s="19" t="str">
        <f t="array" ref="Q86">IFERROR(INDEX(sales!C:C,MATCH(D86,sales!C:C,0)),"list없음")</f>
        <v>jason.kim1@stryker.com</v>
      </c>
      <c r="R86" s="19"/>
    </row>
    <row r="87" spans="1:18" ht="13">
      <c r="A87" s="10">
        <v>87</v>
      </c>
      <c r="B87" s="12" t="s">
        <v>353</v>
      </c>
      <c r="C87" s="12" t="s">
        <v>354</v>
      </c>
      <c r="D87" s="12" t="s">
        <v>355</v>
      </c>
      <c r="E87" s="12" t="s">
        <v>211</v>
      </c>
      <c r="F87" s="12" t="s">
        <v>20</v>
      </c>
      <c r="G87" s="12" t="s">
        <v>21</v>
      </c>
      <c r="H87" s="14" t="str">
        <f t="array" ref="H87">IFERROR(INDEX(Lease_List!D:D,MATCH(All_User!D87,Lease_List!H:H,0)),"없음")</f>
        <v>5CD409908L</v>
      </c>
      <c r="I87" s="17" t="s">
        <v>28</v>
      </c>
      <c r="J87" s="16"/>
      <c r="K87" s="17" t="str">
        <f t="array" ref="K87">IFERROR(INDEX(Ipad_List!C:C,MATCH(All_User!D87,Ipad_List!J:J,0)),"없음")</f>
        <v>R75T7C9N17</v>
      </c>
      <c r="L87" s="18" t="str">
        <f t="array" ref="L87">IFERROR(INDEX(TeamsNumber!B:B,MATCH(All_User!D87,TeamsNumber!D:D,0)),"없음")</f>
        <v>tel:+82234517687</v>
      </c>
      <c r="M87" s="18" t="str">
        <f t="array" ref="M87">IFERROR(INDEX(Printer!D:D,MATCH(All_User!D87,Printer!H:H,0)),"없음")</f>
        <v>SL-C486FW</v>
      </c>
      <c r="N87" s="19" t="str">
        <f t="array" ref="N87">IFERROR(INDEX(Monitor!A:A,MATCH(D87,Monitor!D:D,0)),"없음")</f>
        <v>없음</v>
      </c>
      <c r="O87" s="19" t="str">
        <f t="array" ref="O87">IFERROR(INDEX(sales!D:D,MATCH(D87,sales!C:C,0)),"없음")</f>
        <v>NV</v>
      </c>
      <c r="P87" s="19" t="str">
        <f t="array" ref="P87">IFERROR(INDEX(sales!E:E,MATCH(D87,sales!C:C,0)),"없음")</f>
        <v>NV</v>
      </c>
      <c r="Q87" s="19" t="str">
        <f t="array" ref="Q87">IFERROR(INDEX(sales!C:C,MATCH(D87,sales!C:C,0)),"list없음")</f>
        <v>henry.kim1@stryker.com</v>
      </c>
      <c r="R87" s="19"/>
    </row>
    <row r="88" spans="1:18" ht="17">
      <c r="A88" s="26"/>
      <c r="B88" s="27"/>
      <c r="C88" s="27"/>
      <c r="D88" s="41"/>
      <c r="E88" s="27"/>
      <c r="F88" s="27"/>
      <c r="G88" s="27"/>
      <c r="H88" s="28"/>
      <c r="I88" s="29"/>
      <c r="J88" s="29"/>
      <c r="K88" s="29"/>
      <c r="L88" s="30"/>
      <c r="M88" s="30"/>
      <c r="N88" s="30"/>
      <c r="O88" s="30"/>
      <c r="P88" s="30"/>
      <c r="Q88" s="31"/>
      <c r="R88" s="31"/>
    </row>
    <row r="89" spans="1:18" ht="13">
      <c r="A89" s="10">
        <v>89</v>
      </c>
      <c r="B89" s="12" t="s">
        <v>356</v>
      </c>
      <c r="C89" s="12" t="s">
        <v>357</v>
      </c>
      <c r="D89" s="12" t="s">
        <v>358</v>
      </c>
      <c r="E89" s="12" t="s">
        <v>359</v>
      </c>
      <c r="F89" s="12" t="s">
        <v>20</v>
      </c>
      <c r="G89" s="12" t="s">
        <v>134</v>
      </c>
      <c r="H89" s="14" t="str">
        <f t="array" ref="H89">IFERROR(INDEX(Lease_List!D:D,MATCH(All_User!D89,Lease_List!H:H,0)),"없음")</f>
        <v>5CD4232BF7</v>
      </c>
      <c r="I89" s="17" t="s">
        <v>28</v>
      </c>
      <c r="J89" s="16"/>
      <c r="K89" s="17" t="str">
        <f t="array" ref="K89">IFERROR(INDEX(Ipad_List!C:C,MATCH(All_User!D89,Ipad_List!J:J,0)),"없음")</f>
        <v>HYFKQFR4RD</v>
      </c>
      <c r="L89" s="18" t="str">
        <f t="array" ref="L89">IFERROR(INDEX(TeamsNumber!B:B,MATCH(All_User!D89,TeamsNumber!D:D,0)),"없음")</f>
        <v>tel:+82234517560</v>
      </c>
      <c r="M89" s="18" t="str">
        <f t="array" ref="M89">IFERROR(INDEX(Printer!D:D,MATCH(All_User!D89,Printer!H:H,0)),"없음")</f>
        <v>SL-C563W</v>
      </c>
      <c r="N89" s="19" t="str">
        <f t="array" ref="N89">IFERROR(INDEX(Monitor!A:A,MATCH(D89,Monitor!D:D,0)),"없음")</f>
        <v>없음</v>
      </c>
      <c r="O89" s="19">
        <f t="array" ref="O89">IFERROR(INDEX(sales!D:D,MATCH(D89,sales!C:C,0)),"없음")</f>
        <v>0</v>
      </c>
      <c r="P89" s="19" t="str">
        <f t="array" ref="P89">IFERROR(INDEX(sales!E:E,MATCH(D89,sales!C:C,0)),"없음")</f>
        <v>MKT</v>
      </c>
      <c r="Q89" s="19" t="str">
        <f t="array" ref="Q89">IFERROR(INDEX(sales!C:C,MATCH(D89,sales!C:C,0)),"list없음")</f>
        <v>yeonjoo.kim@stryker.com</v>
      </c>
      <c r="R89" s="19"/>
    </row>
    <row r="90" spans="1:18" ht="13">
      <c r="A90" s="10">
        <v>90</v>
      </c>
      <c r="B90" s="12" t="s">
        <v>360</v>
      </c>
      <c r="C90" s="12" t="s">
        <v>361</v>
      </c>
      <c r="D90" s="12" t="s">
        <v>362</v>
      </c>
      <c r="E90" s="12" t="s">
        <v>363</v>
      </c>
      <c r="F90" s="12" t="s">
        <v>101</v>
      </c>
      <c r="G90" s="12" t="s">
        <v>364</v>
      </c>
      <c r="H90" s="20" t="str">
        <f t="array" ref="H90">IFERROR(INDEX(Lease_List!D:D,MATCH(All_User!D90,Lease_List!H:H,0)),"없음")</f>
        <v>5CD4305D8Q</v>
      </c>
      <c r="I90" s="16" t="s">
        <v>28</v>
      </c>
      <c r="J90" s="16"/>
      <c r="K90" s="16" t="str">
        <f t="array" ref="K90">IFERROR(INDEX(Ipad_List!C:C,MATCH(All_User!D90,Ipad_List!J:J,0)),"없음")</f>
        <v>없음</v>
      </c>
      <c r="L90" s="19" t="str">
        <f t="array" ref="L90">IFERROR(INDEX(TeamsNumber!B:B,MATCH(All_User!D90,TeamsNumber!D:D,0)),"없음")</f>
        <v>tel:+82234517646</v>
      </c>
      <c r="M90" s="19" t="str">
        <f t="array" ref="M90">IFERROR(INDEX(Printer!D:D,MATCH(All_User!D90,Printer!H:H,0)),"없음")</f>
        <v>없음</v>
      </c>
      <c r="N90" s="19" t="str">
        <f t="array" ref="N90">IFERROR(INDEX(Monitor!A:A,MATCH(D90,Monitor!D:D,0)),"없음")</f>
        <v>없음</v>
      </c>
      <c r="O90" s="19" t="str">
        <f t="array" ref="O90">IFERROR(INDEX(sales!D:D,MATCH(D90,sales!C:C,0)),"없음")</f>
        <v>없음</v>
      </c>
      <c r="P90" s="19" t="str">
        <f t="array" ref="P90">IFERROR(INDEX(sales!E:E,MATCH(D90,sales!C:C,0)),"없음")</f>
        <v>없음</v>
      </c>
      <c r="Q90" s="19"/>
      <c r="R90" s="19"/>
    </row>
    <row r="91" spans="1:18" ht="13">
      <c r="A91" s="10">
        <v>91</v>
      </c>
      <c r="B91" s="12" t="s">
        <v>365</v>
      </c>
      <c r="C91" s="12" t="s">
        <v>366</v>
      </c>
      <c r="D91" s="12" t="s">
        <v>367</v>
      </c>
      <c r="E91" s="12" t="s">
        <v>368</v>
      </c>
      <c r="F91" s="12" t="s">
        <v>101</v>
      </c>
      <c r="G91" s="12" t="s">
        <v>252</v>
      </c>
      <c r="H91" s="20" t="str">
        <f t="array" ref="H91">IFERROR(INDEX(Lease_List!D:D,MATCH(All_User!D91,Lease_List!H:H,0)),"없음")</f>
        <v>5CD5179KHJ</v>
      </c>
      <c r="I91" s="16" t="s">
        <v>28</v>
      </c>
      <c r="J91" s="16"/>
      <c r="K91" s="16" t="str">
        <f t="array" ref="K91">IFERROR(INDEX(Ipad_List!C:C,MATCH(All_User!D91,Ipad_List!J:J,0)),"없음")</f>
        <v>없음</v>
      </c>
      <c r="L91" s="19" t="str">
        <f t="array" ref="L91">IFERROR(INDEX(TeamsNumber!B:B,MATCH(All_User!D91,TeamsNumber!D:D,0)),"없음")</f>
        <v>tel:+82234517647</v>
      </c>
      <c r="M91" s="19" t="str">
        <f t="array" ref="M91">IFERROR(INDEX(Printer!D:D,MATCH(All_User!D91,Printer!H:H,0)),"없음")</f>
        <v>없음</v>
      </c>
      <c r="N91" s="19" t="str">
        <f t="array" ref="N91">IFERROR(INDEX(Monitor!A:A,MATCH(D91,Monitor!D:D,0)),"없음")</f>
        <v>LCD 모니터</v>
      </c>
      <c r="O91" s="19" t="str">
        <f t="array" ref="O91">IFERROR(INDEX(sales!D:D,MATCH(D91,sales!C:C,0)),"없음")</f>
        <v>없음</v>
      </c>
      <c r="P91" s="19" t="str">
        <f t="array" ref="P91">IFERROR(INDEX(sales!E:E,MATCH(D91,sales!C:C,0)),"없음")</f>
        <v>없음</v>
      </c>
      <c r="Q91" s="19"/>
      <c r="R91" s="19"/>
    </row>
    <row r="92" spans="1:18" ht="13">
      <c r="A92" s="10">
        <v>92</v>
      </c>
      <c r="B92" s="12" t="s">
        <v>369</v>
      </c>
      <c r="C92" s="12" t="s">
        <v>370</v>
      </c>
      <c r="D92" s="12" t="s">
        <v>371</v>
      </c>
      <c r="E92" s="12" t="s">
        <v>372</v>
      </c>
      <c r="F92" s="12" t="s">
        <v>65</v>
      </c>
      <c r="G92" s="12" t="s">
        <v>373</v>
      </c>
      <c r="H92" s="20" t="str">
        <f t="array" ref="H92">IFERROR(INDEX(Lease_List!D:D,MATCH(All_User!D92,Lease_List!H:H,0)),"없음")</f>
        <v>5CD3469HDV</v>
      </c>
      <c r="I92" s="16" t="s">
        <v>28</v>
      </c>
      <c r="J92" s="16"/>
      <c r="K92" s="16" t="str">
        <f t="array" ref="K92">IFERROR(INDEX(Ipad_List!C:C,MATCH(All_User!D92,Ipad_List!J:J,0)),"없음")</f>
        <v>없음</v>
      </c>
      <c r="L92" s="19" t="str">
        <f t="array" ref="L92">IFERROR(INDEX(TeamsNumber!B:B,MATCH(All_User!D92,TeamsNumber!D:D,0)),"없음")</f>
        <v>tel:+82234517638</v>
      </c>
      <c r="M92" s="19" t="str">
        <f t="array" ref="M92">IFERROR(INDEX(Printer!D:D,MATCH(All_User!D92,Printer!H:H,0)),"없음")</f>
        <v>없음</v>
      </c>
      <c r="N92" s="19" t="str">
        <f t="array" ref="N92">IFERROR(INDEX(Monitor!A:A,MATCH(D92,Monitor!D:D,0)),"없음")</f>
        <v>없음</v>
      </c>
      <c r="O92" s="19" t="str">
        <f t="array" ref="O92">IFERROR(INDEX(sales!D:D,MATCH(D92,sales!C:C,0)),"없음")</f>
        <v>없음</v>
      </c>
      <c r="P92" s="19" t="str">
        <f t="array" ref="P92">IFERROR(INDEX(sales!E:E,MATCH(D92,sales!C:C,0)),"없음")</f>
        <v>없음</v>
      </c>
      <c r="Q92" s="19"/>
      <c r="R92" s="19"/>
    </row>
    <row r="93" spans="1:18" ht="13">
      <c r="A93" s="10">
        <v>93</v>
      </c>
      <c r="B93" s="12" t="s">
        <v>374</v>
      </c>
      <c r="C93" s="12" t="s">
        <v>375</v>
      </c>
      <c r="D93" s="12" t="s">
        <v>376</v>
      </c>
      <c r="E93" s="12" t="s">
        <v>122</v>
      </c>
      <c r="F93" s="12" t="s">
        <v>20</v>
      </c>
      <c r="G93" s="12" t="s">
        <v>21</v>
      </c>
      <c r="H93" s="14" t="str">
        <f t="array" ref="H93">IFERROR(INDEX(Lease_List!D:D,MATCH(All_User!D93,Lease_List!H:H,0)),"없음")</f>
        <v>5CD4305D8W</v>
      </c>
      <c r="I93" s="17" t="s">
        <v>28</v>
      </c>
      <c r="J93" s="16"/>
      <c r="K93" s="17" t="str">
        <f t="array" ref="K93">IFERROR(INDEX(Ipad_List!C:C,MATCH(All_User!D93,Ipad_List!J:J,0)),"없음")</f>
        <v>P7Q3X0HYFW</v>
      </c>
      <c r="L93" s="18" t="str">
        <f t="array" ref="L93">IFERROR(INDEX(TeamsNumber!B:B,MATCH(All_User!D93,TeamsNumber!D:D,0)),"없음")</f>
        <v>tel:+82234517582</v>
      </c>
      <c r="M93" s="18" t="str">
        <f t="array" ref="M93">IFERROR(INDEX(Printer!D:D,MATCH(All_User!D93,Printer!H:H,0)),"없음")</f>
        <v>SL-C563W</v>
      </c>
      <c r="N93" s="19" t="str">
        <f t="array" ref="N93">IFERROR(INDEX(Monitor!A:A,MATCH(D93,Monitor!D:D,0)),"없음")</f>
        <v>없음</v>
      </c>
      <c r="O93" s="19" t="str">
        <f t="array" ref="O93">IFERROR(INDEX(sales!D:D,MATCH(D93,sales!C:C,0)),"없음")</f>
        <v>Mako</v>
      </c>
      <c r="P93" s="19" t="str">
        <f t="array" ref="P93">IFERROR(INDEX(sales!E:E,MATCH(D93,sales!C:C,0)),"없음")</f>
        <v>Sales</v>
      </c>
      <c r="Q93" s="19" t="str">
        <f t="array" ref="Q93">IFERROR(INDEX(sales!C:C,MATCH(D93,sales!C:C,0)),"list없음")</f>
        <v>jayden.kim@stryker.com</v>
      </c>
      <c r="R93" s="19"/>
    </row>
    <row r="94" spans="1:18" ht="13">
      <c r="A94" s="26"/>
      <c r="B94" s="27"/>
      <c r="C94" s="27"/>
      <c r="D94" s="27"/>
      <c r="E94" s="27"/>
      <c r="F94" s="27"/>
      <c r="G94" s="27"/>
      <c r="H94" s="28"/>
      <c r="I94" s="29"/>
      <c r="J94" s="29"/>
      <c r="K94" s="29"/>
      <c r="L94" s="30"/>
      <c r="M94" s="30"/>
      <c r="N94" s="30"/>
      <c r="O94" s="30"/>
      <c r="P94" s="30"/>
      <c r="Q94" s="31"/>
      <c r="R94" s="31"/>
    </row>
    <row r="95" spans="1:18" ht="13">
      <c r="A95" s="10">
        <v>95</v>
      </c>
      <c r="B95" s="12" t="s">
        <v>377</v>
      </c>
      <c r="C95" s="12" t="s">
        <v>378</v>
      </c>
      <c r="D95" s="12" t="s">
        <v>379</v>
      </c>
      <c r="E95" s="12" t="s">
        <v>55</v>
      </c>
      <c r="F95" s="12" t="s">
        <v>20</v>
      </c>
      <c r="G95" s="12" t="s">
        <v>27</v>
      </c>
      <c r="H95" s="14" t="str">
        <f t="array" ref="H95">IFERROR(INDEX(Lease_List!D:D,MATCH(All_User!D95,Lease_List!H:H,0)),"없음")</f>
        <v>5CD4305D81</v>
      </c>
      <c r="I95" s="17" t="s">
        <v>28</v>
      </c>
      <c r="J95" s="16"/>
      <c r="K95" s="17" t="str">
        <f t="array" ref="K95">IFERROR(INDEX(Ipad_List!C:C,MATCH(All_User!D95,Ipad_List!J:J,0)),"없음")</f>
        <v>F9XWF4345F</v>
      </c>
      <c r="L95" s="18" t="str">
        <f t="array" ref="L95">IFERROR(INDEX(TeamsNumber!B:B,MATCH(All_User!D95,TeamsNumber!D:D,0)),"없음")</f>
        <v>tel:+82234517536</v>
      </c>
      <c r="M95" s="18" t="str">
        <f t="array" ref="M95">IFERROR(INDEX(Printer!D:D,MATCH(All_User!D95,Printer!H:H,0)),"없음")</f>
        <v>없음</v>
      </c>
      <c r="N95" s="19" t="str">
        <f t="array" ref="N95">IFERROR(INDEX(Monitor!A:A,MATCH(D95,Monitor!D:D,0)),"없음")</f>
        <v>없음</v>
      </c>
      <c r="O95" s="19" t="str">
        <f t="array" ref="O95">IFERROR(INDEX(sales!D:D,MATCH(D95,sales!C:C,0)),"없음")</f>
        <v>Mako</v>
      </c>
      <c r="P95" s="19" t="str">
        <f t="array" ref="P95">IFERROR(INDEX(sales!E:E,MATCH(D95,sales!C:C,0)),"없음")</f>
        <v>MPS</v>
      </c>
      <c r="Q95" s="19" t="str">
        <f t="array" ref="Q95">IFERROR(INDEX(sales!C:C,MATCH(D95,sales!C:C,0)),"list없음")</f>
        <v>dongkyu.kim@stryker.com</v>
      </c>
      <c r="R95" s="19"/>
    </row>
    <row r="96" spans="1:18" ht="13">
      <c r="A96" s="10">
        <v>96</v>
      </c>
      <c r="B96" s="12" t="s">
        <v>380</v>
      </c>
      <c r="C96" s="12" t="s">
        <v>381</v>
      </c>
      <c r="D96" s="12" t="s">
        <v>382</v>
      </c>
      <c r="E96" s="12" t="s">
        <v>383</v>
      </c>
      <c r="F96" s="12" t="s">
        <v>20</v>
      </c>
      <c r="G96" s="12" t="s">
        <v>134</v>
      </c>
      <c r="H96" s="14" t="str">
        <f t="array" ref="H96">IFERROR(INDEX(Lease_List!D:D,MATCH(All_User!D96,Lease_List!H:H,0)),"없음")</f>
        <v>5CD442C07F</v>
      </c>
      <c r="I96" s="17" t="s">
        <v>28</v>
      </c>
      <c r="J96" s="16"/>
      <c r="K96" s="17" t="str">
        <f t="array" ref="K96">IFERROR(INDEX(Ipad_List!C:C,MATCH(All_User!D96,Ipad_List!J:J,0)),"없음")</f>
        <v>XGH27YLWQM</v>
      </c>
      <c r="L96" s="18" t="str">
        <f t="array" ref="L96">IFERROR(INDEX(TeamsNumber!B:B,MATCH(All_User!D96,TeamsNumber!D:D,0)),"없음")</f>
        <v>tel:+82234517555</v>
      </c>
      <c r="M96" s="18" t="str">
        <f t="array" ref="M96">IFERROR(INDEX(Printer!D:D,MATCH(All_User!D96,Printer!H:H,0)),"없음")</f>
        <v>없음</v>
      </c>
      <c r="N96" s="19" t="str">
        <f t="array" ref="N96">IFERROR(INDEX(Monitor!A:A,MATCH(D96,Monitor!D:D,0)),"없음")</f>
        <v>없음</v>
      </c>
      <c r="O96" s="19">
        <f t="array" ref="O96">IFERROR(INDEX(sales!D:D,MATCH(D96,sales!C:C,0)),"없음")</f>
        <v>0</v>
      </c>
      <c r="P96" s="19" t="str">
        <f t="array" ref="P96">IFERROR(INDEX(sales!E:E,MATCH(D96,sales!C:C,0)),"없음")</f>
        <v>MKT</v>
      </c>
      <c r="Q96" s="19" t="str">
        <f t="array" ref="Q96">IFERROR(INDEX(sales!C:C,MATCH(D96,sales!C:C,0)),"list없음")</f>
        <v>minki.kim@stryker.com</v>
      </c>
      <c r="R96" s="19"/>
    </row>
    <row r="97" spans="1:18" ht="13">
      <c r="A97" s="10">
        <v>97</v>
      </c>
      <c r="B97" s="12" t="s">
        <v>384</v>
      </c>
      <c r="C97" s="12" t="s">
        <v>385</v>
      </c>
      <c r="D97" s="12" t="s">
        <v>386</v>
      </c>
      <c r="E97" s="12" t="s">
        <v>387</v>
      </c>
      <c r="F97" s="12" t="s">
        <v>257</v>
      </c>
      <c r="G97" s="12" t="s">
        <v>388</v>
      </c>
      <c r="H97" s="20" t="str">
        <f t="array" ref="H97">IFERROR(INDEX(Lease_List!D:D,MATCH(All_User!D97,Lease_List!H:H,0)),"없음")</f>
        <v>5CD5179KH1</v>
      </c>
      <c r="I97" s="16" t="s">
        <v>389</v>
      </c>
      <c r="J97" s="16"/>
      <c r="K97" s="16" t="str">
        <f t="array" ref="K97">IFERROR(INDEX(Ipad_List!C:C,MATCH(All_User!D97,Ipad_List!J:J,0)),"없음")</f>
        <v>QT422FMH26</v>
      </c>
      <c r="L97" s="19" t="str">
        <f t="array" ref="L97">IFERROR(INDEX(TeamsNumber!B:B,MATCH(All_User!D97,TeamsNumber!D:D,0)),"없음")</f>
        <v>tel:+82234517529</v>
      </c>
      <c r="M97" s="19" t="str">
        <f t="array" ref="M97">IFERROR(INDEX(Printer!D:D,MATCH(All_User!D97,Printer!H:H,0)),"없음")</f>
        <v>없음</v>
      </c>
      <c r="N97" s="19" t="str">
        <f t="array" ref="N97">IFERROR(INDEX(Monitor!A:A,MATCH(D97,Monitor!D:D,0)),"없음")</f>
        <v>없음</v>
      </c>
      <c r="O97" s="19" t="str">
        <f t="array" ref="O97">IFERROR(INDEX(sales!D:D,MATCH(D97,sales!C:C,0)),"없음")</f>
        <v>없음</v>
      </c>
      <c r="P97" s="19" t="str">
        <f t="array" ref="P97">IFERROR(INDEX(sales!E:E,MATCH(D97,sales!C:C,0)),"없음")</f>
        <v>없음</v>
      </c>
      <c r="Q97" s="19"/>
      <c r="R97" s="19"/>
    </row>
    <row r="98" spans="1:18" ht="13">
      <c r="A98" s="10">
        <v>98</v>
      </c>
      <c r="B98" s="12" t="s">
        <v>390</v>
      </c>
      <c r="C98" s="12" t="s">
        <v>391</v>
      </c>
      <c r="D98" s="12" t="s">
        <v>392</v>
      </c>
      <c r="E98" s="12" t="s">
        <v>393</v>
      </c>
      <c r="F98" s="12" t="s">
        <v>101</v>
      </c>
      <c r="G98" s="12" t="s">
        <v>394</v>
      </c>
      <c r="H98" s="20" t="str">
        <f t="array" ref="H98">IFERROR(INDEX(Lease_List!D:D,MATCH(All_User!D98,Lease_List!H:H,0)),"없음")</f>
        <v>5CD442C07B</v>
      </c>
      <c r="I98" s="16" t="s">
        <v>395</v>
      </c>
      <c r="J98" s="16"/>
      <c r="K98" s="16" t="str">
        <f t="array" ref="K98">IFERROR(INDEX(Ipad_List!C:C,MATCH(All_User!D98,Ipad_List!J:J,0)),"없음")</f>
        <v>없음</v>
      </c>
      <c r="L98" s="19" t="str">
        <f t="array" ref="L98">IFERROR(INDEX(TeamsNumber!B:B,MATCH(All_User!D98,TeamsNumber!D:D,0)),"없음")</f>
        <v>tel:+82234517601</v>
      </c>
      <c r="M98" s="19" t="str">
        <f t="array" ref="M98">IFERROR(INDEX(Printer!D:D,MATCH(All_User!D98,Printer!H:H,0)),"없음")</f>
        <v>없음</v>
      </c>
      <c r="N98" s="19" t="str">
        <f t="array" ref="N98">IFERROR(INDEX(Monitor!A:A,MATCH(D98,Monitor!D:D,0)),"없음")</f>
        <v>없음</v>
      </c>
      <c r="O98" s="19" t="str">
        <f t="array" ref="O98">IFERROR(INDEX(sales!D:D,MATCH(D98,sales!C:C,0)),"없음")</f>
        <v>없음</v>
      </c>
      <c r="P98" s="19" t="str">
        <f t="array" ref="P98">IFERROR(INDEX(sales!E:E,MATCH(D98,sales!C:C,0)),"없음")</f>
        <v>없음</v>
      </c>
      <c r="Q98" s="19"/>
      <c r="R98" s="19"/>
    </row>
    <row r="99" spans="1:18" ht="13">
      <c r="A99" s="10">
        <v>99</v>
      </c>
      <c r="B99" s="12" t="s">
        <v>396</v>
      </c>
      <c r="C99" s="12" t="s">
        <v>397</v>
      </c>
      <c r="D99" s="12" t="s">
        <v>398</v>
      </c>
      <c r="E99" s="12" t="s">
        <v>399</v>
      </c>
      <c r="F99" s="12" t="s">
        <v>20</v>
      </c>
      <c r="G99" s="12" t="s">
        <v>27</v>
      </c>
      <c r="H99" s="14" t="str">
        <f t="array" ref="H99">IFERROR(INDEX(Lease_List!D:D,MATCH(All_User!D99,Lease_List!H:H,0)),"없음")</f>
        <v>5CD4145N3K</v>
      </c>
      <c r="I99" s="17" t="s">
        <v>28</v>
      </c>
      <c r="J99" s="16"/>
      <c r="K99" s="17" t="str">
        <f t="array" ref="K99">IFERROR(INDEX(Ipad_List!C:C,MATCH(All_User!D99,Ipad_List!J:J,0)),"없음")</f>
        <v>P40KK7NLQG</v>
      </c>
      <c r="L99" s="18" t="str">
        <f t="array" ref="L99">IFERROR(INDEX(TeamsNumber!B:B,MATCH(All_User!D99,TeamsNumber!D:D,0)),"없음")</f>
        <v>tel:+82234517692</v>
      </c>
      <c r="M99" s="18" t="str">
        <f t="array" ref="M99">IFERROR(INDEX(Printer!D:D,MATCH(All_User!D99,Printer!H:H,0)),"없음")</f>
        <v>없음</v>
      </c>
      <c r="N99" s="19" t="str">
        <f t="array" ref="N99">IFERROR(INDEX(Monitor!A:A,MATCH(D99,Monitor!D:D,0)),"없음")</f>
        <v>없음</v>
      </c>
      <c r="O99" s="19" t="str">
        <f t="array" ref="O99">IFERROR(INDEX(sales!D:D,MATCH(D99,sales!C:C,0)),"없음")</f>
        <v>Mako</v>
      </c>
      <c r="P99" s="19" t="str">
        <f t="array" ref="P99">IFERROR(INDEX(sales!E:E,MATCH(D99,sales!C:C,0)),"없음")</f>
        <v>MPS</v>
      </c>
      <c r="Q99" s="19" t="str">
        <f t="array" ref="Q99">IFERROR(INDEX(sales!C:C,MATCH(D99,sales!C:C,0)),"list없음")</f>
        <v>mason.kim1@stryker.com</v>
      </c>
      <c r="R99" s="19"/>
    </row>
    <row r="100" spans="1:18" ht="13">
      <c r="A100" s="10">
        <v>100</v>
      </c>
      <c r="B100" s="12" t="s">
        <v>400</v>
      </c>
      <c r="C100" s="12" t="s">
        <v>401</v>
      </c>
      <c r="D100" s="12" t="s">
        <v>402</v>
      </c>
      <c r="E100" s="12" t="s">
        <v>55</v>
      </c>
      <c r="F100" s="12" t="s">
        <v>20</v>
      </c>
      <c r="G100" s="12" t="s">
        <v>27</v>
      </c>
      <c r="H100" s="14" t="str">
        <f t="array" ref="H100">IFERROR(INDEX(Lease_List!D:D,MATCH(All_User!D100,Lease_List!H:H,0)),"없음")</f>
        <v>없음</v>
      </c>
      <c r="I100" s="17" t="s">
        <v>28</v>
      </c>
      <c r="J100" s="16" t="s">
        <v>403</v>
      </c>
      <c r="K100" s="17" t="str">
        <f t="array" ref="K100">IFERROR(INDEX(Ipad_List!C:C,MATCH(All_User!D100,Ipad_List!J:J,0)),"없음")</f>
        <v>LY9JGJQMTP</v>
      </c>
      <c r="L100" s="18" t="str">
        <f t="array" ref="L100">IFERROR(INDEX(TeamsNumber!B:B,MATCH(All_User!D100,TeamsNumber!D:D,0)),"없음")</f>
        <v>tel:+82234517615</v>
      </c>
      <c r="M100" s="18" t="str">
        <f t="array" ref="M100">IFERROR(INDEX(Printer!D:D,MATCH(All_User!D100,Printer!G:G,0)),"없음")</f>
        <v>없음</v>
      </c>
      <c r="N100" s="19" t="str">
        <f t="array" ref="N100">IFERROR(INDEX(Monitor!A:A,MATCH(D100,Monitor!D:D,0)),"없음")</f>
        <v>없음</v>
      </c>
      <c r="O100" s="19" t="str">
        <f t="array" ref="O100">IFERROR(INDEX(sales!D:D,MATCH(D100,sales!C:C,0)),"없음")</f>
        <v>Mako</v>
      </c>
      <c r="P100" s="19" t="str">
        <f t="array" ref="P100">IFERROR(INDEX(sales!E:E,MATCH(D100,sales!C:C,0)),"없음")</f>
        <v>MPS</v>
      </c>
      <c r="Q100" s="19" t="str">
        <f t="array" ref="Q100">IFERROR(INDEX(sales!C:C,MATCH(D100,sales!C:C,0)),"list없음")</f>
        <v>mindo.kim@stryker.com</v>
      </c>
      <c r="R100" s="19"/>
    </row>
    <row r="101" spans="1:18" ht="13">
      <c r="A101" s="10">
        <v>101</v>
      </c>
      <c r="B101" s="12" t="s">
        <v>404</v>
      </c>
      <c r="C101" s="12" t="s">
        <v>405</v>
      </c>
      <c r="D101" s="12" t="s">
        <v>406</v>
      </c>
      <c r="E101" s="12" t="s">
        <v>55</v>
      </c>
      <c r="F101" s="12" t="s">
        <v>20</v>
      </c>
      <c r="G101" s="12" t="s">
        <v>27</v>
      </c>
      <c r="H101" s="14" t="str">
        <f t="array" ref="H101">IFERROR(INDEX(Lease_List!D:D,MATCH(All_User!D101,Lease_List!H:H,0)),"없음")</f>
        <v>없음</v>
      </c>
      <c r="I101" s="15" t="s">
        <v>407</v>
      </c>
      <c r="J101" s="16" t="s">
        <v>407</v>
      </c>
      <c r="K101" s="17" t="str">
        <f t="array" ref="K101">IFERROR(INDEX(Ipad_List!C:C,MATCH(All_User!D101,Ipad_List!J:J,0)),"없음")</f>
        <v>JJWL6VTHKK</v>
      </c>
      <c r="L101" s="18" t="str">
        <f t="array" ref="L101">IFERROR(INDEX(TeamsNumber!B:B,MATCH(All_User!D101,TeamsNumber!D:D,0)),"없음")</f>
        <v>tel:+82234517620</v>
      </c>
      <c r="M101" s="18" t="str">
        <f t="array" ref="M101">IFERROR(INDEX(Printer!D:D,MATCH(All_User!D101,Printer!G:G,0)),"없음")</f>
        <v>없음</v>
      </c>
      <c r="N101" s="19" t="str">
        <f t="array" ref="N101">IFERROR(INDEX(Monitor!A:A,MATCH(D101,Monitor!D:D,0)),"없음")</f>
        <v>없음</v>
      </c>
      <c r="O101" s="19" t="str">
        <f t="array" ref="O101">IFERROR(INDEX(sales!D:D,MATCH(D101,sales!C:C,0)),"없음")</f>
        <v>Mako</v>
      </c>
      <c r="P101" s="19" t="str">
        <f t="array" ref="P101">IFERROR(INDEX(sales!E:E,MATCH(D101,sales!C:C,0)),"없음")</f>
        <v>MPS</v>
      </c>
      <c r="Q101" s="19" t="str">
        <f t="array" ref="Q101">IFERROR(INDEX(sales!C:C,MATCH(D101,sales!C:C,0)),"list없음")</f>
        <v>aspyn.kim@stryker.com</v>
      </c>
      <c r="R101" s="19"/>
    </row>
    <row r="102" spans="1:18" ht="13">
      <c r="A102" s="10">
        <v>102</v>
      </c>
      <c r="B102" s="12" t="s">
        <v>408</v>
      </c>
      <c r="C102" s="12" t="s">
        <v>409</v>
      </c>
      <c r="D102" s="12" t="s">
        <v>410</v>
      </c>
      <c r="E102" s="12" t="s">
        <v>55</v>
      </c>
      <c r="F102" s="12" t="s">
        <v>20</v>
      </c>
      <c r="G102" s="12" t="s">
        <v>27</v>
      </c>
      <c r="H102" s="14" t="str">
        <f t="array" ref="H102">IFERROR(INDEX(Lease_List!D:D,MATCH(All_User!D102,Lease_List!H:H,0)),"없음")</f>
        <v>5CD442C075</v>
      </c>
      <c r="I102" s="17" t="s">
        <v>28</v>
      </c>
      <c r="J102" s="16"/>
      <c r="K102" s="17" t="str">
        <f t="array" ref="K102">IFERROR(INDEX(Ipad_List!C:C,MATCH(All_User!D102,Ipad_List!J:J,0)),"없음")</f>
        <v>K9NWHMWT44</v>
      </c>
      <c r="L102" s="18" t="str">
        <f t="array" ref="L102">IFERROR(INDEX(TeamsNumber!B:B,MATCH(All_User!D102,TeamsNumber!D:D,0)),"없음")</f>
        <v>tel:+82234517628</v>
      </c>
      <c r="M102" s="18" t="str">
        <f t="array" ref="M102">IFERROR(INDEX(Printer!D:D,MATCH(All_User!D102,Printer!H:H,0)),"없음")</f>
        <v>없음</v>
      </c>
      <c r="N102" s="19" t="str">
        <f t="array" ref="N102">IFERROR(INDEX(Monitor!A:A,MATCH(D102,Monitor!D:D,0)),"없음")</f>
        <v>없음</v>
      </c>
      <c r="O102" s="19" t="str">
        <f t="array" ref="O102">IFERROR(INDEX(sales!D:D,MATCH(D102,sales!C:C,0)),"없음")</f>
        <v>Mako</v>
      </c>
      <c r="P102" s="19" t="str">
        <f t="array" ref="P102">IFERROR(INDEX(sales!E:E,MATCH(D102,sales!C:C,0)),"없음")</f>
        <v>MPS</v>
      </c>
      <c r="Q102" s="19" t="str">
        <f t="array" ref="Q102">IFERROR(INDEX(sales!C:C,MATCH(D102,sales!C:C,0)),"list없음")</f>
        <v>minjeong.kim@stryker.com</v>
      </c>
      <c r="R102" s="19"/>
    </row>
    <row r="103" spans="1:18" ht="13">
      <c r="A103" s="10">
        <v>103</v>
      </c>
      <c r="B103" s="12" t="s">
        <v>411</v>
      </c>
      <c r="C103" s="12" t="s">
        <v>412</v>
      </c>
      <c r="D103" s="12" t="s">
        <v>413</v>
      </c>
      <c r="E103" s="12" t="s">
        <v>197</v>
      </c>
      <c r="F103" s="12" t="s">
        <v>20</v>
      </c>
      <c r="G103" s="12" t="s">
        <v>80</v>
      </c>
      <c r="H103" s="20" t="str">
        <f t="array" ref="H103">IFERROR(INDEX(Lease_List!D:D,MATCH(All_User!D103,Lease_List!H:H,0)),"없음")</f>
        <v>5CD4305D8K</v>
      </c>
      <c r="I103" s="16" t="s">
        <v>28</v>
      </c>
      <c r="J103" s="16"/>
      <c r="K103" s="16" t="str">
        <f t="array" ref="K103">IFERROR(INDEX(Ipad_List!C:C,MATCH(All_User!D103,Ipad_List!J:J,0)),"없음")</f>
        <v>없음</v>
      </c>
      <c r="L103" s="19" t="str">
        <f t="array" ref="L103">IFERROR(INDEX(TeamsNumber!B:B,MATCH(All_User!D103,TeamsNumber!D:D,0)),"없음")</f>
        <v>tel:+82234517697</v>
      </c>
      <c r="M103" s="19" t="str">
        <f t="array" ref="M103">IFERROR(INDEX(Printer!D:D,MATCH(All_User!D103,Printer!H:H,0)),"없음")</f>
        <v>없음</v>
      </c>
      <c r="N103" s="19" t="str">
        <f t="array" ref="N103">IFERROR(INDEX(Monitor!A:A,MATCH(D103,Monitor!D:D,0)),"없음")</f>
        <v>LCD 모니터</v>
      </c>
      <c r="O103" s="19" t="str">
        <f t="array" ref="O103">IFERROR(INDEX(sales!D:D,MATCH(D103,sales!C:C,0)),"없음")</f>
        <v>없음</v>
      </c>
      <c r="P103" s="19" t="str">
        <f t="array" ref="P103">IFERROR(INDEX(sales!E:E,MATCH(D103,sales!C:C,0)),"없음")</f>
        <v>없음</v>
      </c>
      <c r="Q103" s="19"/>
      <c r="R103" s="19"/>
    </row>
    <row r="104" spans="1:18" ht="13">
      <c r="A104" s="10">
        <v>104</v>
      </c>
      <c r="B104" s="12" t="s">
        <v>414</v>
      </c>
      <c r="C104" s="12" t="s">
        <v>415</v>
      </c>
      <c r="D104" s="12" t="s">
        <v>416</v>
      </c>
      <c r="E104" s="12" t="s">
        <v>74</v>
      </c>
      <c r="F104" s="12" t="s">
        <v>20</v>
      </c>
      <c r="G104" s="12" t="s">
        <v>75</v>
      </c>
      <c r="H104" s="14" t="str">
        <f t="array" ref="H104">IFERROR(INDEX(Lease_List!D:D,MATCH(All_User!D104,Lease_List!H:H,0)),"없음")</f>
        <v>없음</v>
      </c>
      <c r="I104" s="17" t="s">
        <v>115</v>
      </c>
      <c r="J104" s="16"/>
      <c r="K104" s="17" t="str">
        <f t="array" ref="K104">IFERROR(INDEX(Ipad_List!C:C,MATCH(All_User!D104,Ipad_List!J:J,0)),"없음")</f>
        <v>HC0FP2JHG7</v>
      </c>
      <c r="L104" s="18" t="str">
        <f t="array" ref="L104">IFERROR(INDEX(TeamsNumber!B:B,MATCH(All_User!D104,TeamsNumber!D:D,0)),"없음")</f>
        <v>tel:+82234517590</v>
      </c>
      <c r="M104" s="18" t="str">
        <f t="array" ref="M104">IFERROR(INDEX(Printer!D:D,MATCH(All_User!D104,Printer!G:G,0)),"없음")</f>
        <v>없음</v>
      </c>
      <c r="N104" s="19" t="str">
        <f t="array" ref="N104">IFERROR(INDEX(Monitor!A:A,MATCH(D104,Monitor!D:D,0)),"없음")</f>
        <v>없음</v>
      </c>
      <c r="O104" s="19" t="str">
        <f t="array" ref="O104">IFERROR(INDEX(sales!D:D,MATCH(D104,sales!C:C,0)),"없음")</f>
        <v>MedSurg</v>
      </c>
      <c r="P104" s="19" t="str">
        <f t="array" ref="P104">IFERROR(INDEX(sales!E:E,MATCH(D104,sales!C:C,0)),"없음")</f>
        <v>Sales</v>
      </c>
      <c r="Q104" s="19" t="str">
        <f t="array" ref="Q104">IFERROR(INDEX(sales!C:C,MATCH(D104,sales!C:C,0)),"list없음")</f>
        <v>david.kim3@stryker.com</v>
      </c>
      <c r="R104" s="19"/>
    </row>
    <row r="105" spans="1:18" ht="13">
      <c r="A105" s="10">
        <v>105</v>
      </c>
      <c r="B105" s="12" t="s">
        <v>417</v>
      </c>
      <c r="C105" s="12" t="s">
        <v>418</v>
      </c>
      <c r="D105" s="12" t="s">
        <v>419</v>
      </c>
      <c r="E105" s="12" t="s">
        <v>74</v>
      </c>
      <c r="F105" s="12" t="s">
        <v>20</v>
      </c>
      <c r="G105" s="12" t="s">
        <v>75</v>
      </c>
      <c r="H105" s="14" t="str">
        <f t="array" ref="H105">IFERROR(INDEX(Lease_List!D:D,MATCH(All_User!D105,Lease_List!H:H,0)),"없음")</f>
        <v>5CD5179KHQ</v>
      </c>
      <c r="I105" s="17" t="s">
        <v>28</v>
      </c>
      <c r="J105" s="16" t="s">
        <v>420</v>
      </c>
      <c r="K105" s="17" t="str">
        <f t="array" ref="K105">IFERROR(INDEX(Ipad_List!C:C,MATCH(All_User!D105,Ipad_List!J:J,0)),"없음")</f>
        <v>Q5M6F1YX19</v>
      </c>
      <c r="L105" s="18" t="str">
        <f t="array" ref="L105">IFERROR(INDEX(TeamsNumber!B:B,MATCH(All_User!D105,TeamsNumber!D:D,0)),"없음")</f>
        <v>tel:+82234517696</v>
      </c>
      <c r="M105" s="18" t="str">
        <f t="array" ref="M105">IFERROR(INDEX(Printer!D:D,MATCH(All_User!D105,Printer!H:H,0)),"없음")</f>
        <v>SL-C486FW</v>
      </c>
      <c r="N105" s="19" t="str">
        <f t="array" ref="N105">IFERROR(INDEX(Monitor!A:A,MATCH(D105,Monitor!D:D,0)),"없음")</f>
        <v>없음</v>
      </c>
      <c r="O105" s="19" t="str">
        <f t="array" ref="O105">IFERROR(INDEX(sales!D:D,MATCH(D105,sales!C:C,0)),"없음")</f>
        <v>Shoulder</v>
      </c>
      <c r="P105" s="19" t="str">
        <f t="array" ref="P105">IFERROR(INDEX(sales!E:E,MATCH(D105,sales!C:C,0)),"없음")</f>
        <v>Sales</v>
      </c>
      <c r="Q105" s="19" t="str">
        <f t="array" ref="Q105">IFERROR(INDEX(sales!C:C,MATCH(D105,sales!C:C,0)),"list없음")</f>
        <v>james.kim@stryker.com</v>
      </c>
      <c r="R105" s="19"/>
    </row>
    <row r="106" spans="1:18" ht="13">
      <c r="A106" s="10">
        <v>106</v>
      </c>
      <c r="B106" s="12" t="s">
        <v>421</v>
      </c>
      <c r="C106" s="12" t="s">
        <v>422</v>
      </c>
      <c r="D106" s="12" t="s">
        <v>423</v>
      </c>
      <c r="E106" s="12" t="s">
        <v>55</v>
      </c>
      <c r="F106" s="12" t="s">
        <v>20</v>
      </c>
      <c r="G106" s="12" t="s">
        <v>27</v>
      </c>
      <c r="H106" s="14" t="str">
        <f t="array" ref="H106">IFERROR(INDEX(Lease_List!D:D,MATCH(All_User!D106,Lease_List!H:H,0)),"없음")</f>
        <v>5CD5062YF0</v>
      </c>
      <c r="I106" s="17" t="s">
        <v>28</v>
      </c>
      <c r="J106" s="16"/>
      <c r="K106" s="17" t="str">
        <f t="array" ref="K106">IFERROR(INDEX(Ipad_List!C:C,MATCH(All_User!D106,Ipad_List!J:J,0)),"없음")</f>
        <v>VHJMJWTK6N</v>
      </c>
      <c r="L106" s="18" t="str">
        <f t="array" ref="L106">IFERROR(INDEX(TeamsNumber!B:B,MATCH(All_User!D106,TeamsNumber!D:D,0)),"없음")</f>
        <v>없음</v>
      </c>
      <c r="M106" s="18" t="str">
        <f t="array" ref="M106">IFERROR(INDEX(Printer!D:D,MATCH(All_User!D106,Printer!H:H,0)),"없음")</f>
        <v>없음</v>
      </c>
      <c r="N106" s="19" t="str">
        <f t="array" ref="N106">IFERROR(INDEX(Monitor!A:A,MATCH(D106,Monitor!D:D,0)),"없음")</f>
        <v>없음</v>
      </c>
      <c r="O106" s="19" t="str">
        <f t="array" ref="O106">IFERROR(INDEX(sales!D:D,MATCH(D106,sales!C:C,0)),"없음")</f>
        <v>Mako</v>
      </c>
      <c r="P106" s="19" t="str">
        <f t="array" ref="P106">IFERROR(INDEX(sales!E:E,MATCH(D106,sales!C:C,0)),"없음")</f>
        <v>MPS</v>
      </c>
      <c r="Q106" s="19" t="str">
        <f t="array" ref="Q106">IFERROR(INDEX(sales!C:C,MATCH(D106,sales!C:C,0)),"list없음")</f>
        <v>hannah.kim@stryker.com</v>
      </c>
      <c r="R106" s="19"/>
    </row>
    <row r="107" spans="1:18" ht="13">
      <c r="A107" s="10">
        <v>107</v>
      </c>
      <c r="B107" s="12" t="s">
        <v>424</v>
      </c>
      <c r="C107" s="12" t="s">
        <v>425</v>
      </c>
      <c r="D107" s="12" t="s">
        <v>426</v>
      </c>
      <c r="E107" s="12" t="s">
        <v>427</v>
      </c>
      <c r="F107" s="12" t="s">
        <v>428</v>
      </c>
      <c r="G107" s="12" t="s">
        <v>429</v>
      </c>
      <c r="H107" s="20" t="str">
        <f t="array" ref="H107">IFERROR(INDEX(Lease_List!D:D,MATCH(All_User!D107,Lease_List!H:H,0)),"없음")</f>
        <v>5CD4145N3P</v>
      </c>
      <c r="I107" s="16" t="s">
        <v>28</v>
      </c>
      <c r="J107" s="16"/>
      <c r="K107" s="16" t="str">
        <f t="array" ref="K107">IFERROR(INDEX(Ipad_List!C:C,MATCH(All_User!D107,Ipad_List!J:J,0)),"없음")</f>
        <v>없음</v>
      </c>
      <c r="L107" s="19" t="str">
        <f t="array" ref="L107">IFERROR(INDEX(TeamsNumber!B:B,MATCH(All_User!D107,TeamsNumber!D:D,0)),"없음")</f>
        <v>tel:+82234517593</v>
      </c>
      <c r="M107" s="19" t="str">
        <f t="array" ref="M107">IFERROR(INDEX(Printer!D:D,MATCH(All_User!D107,Printer!H:H,0)),"없음")</f>
        <v>없음</v>
      </c>
      <c r="N107" s="19" t="str">
        <f t="array" ref="N107">IFERROR(INDEX(Monitor!A:A,MATCH(D107,Monitor!D:D,0)),"없음")</f>
        <v>없음</v>
      </c>
      <c r="O107" s="19" t="str">
        <f t="array" ref="O107">IFERROR(INDEX(sales!D:D,MATCH(D107,sales!C:C,0)),"없음")</f>
        <v>없음</v>
      </c>
      <c r="P107" s="19" t="str">
        <f t="array" ref="P107">IFERROR(INDEX(sales!E:E,MATCH(D107,sales!C:C,0)),"없음")</f>
        <v>없음</v>
      </c>
      <c r="Q107" s="19"/>
      <c r="R107" s="19"/>
    </row>
    <row r="108" spans="1:18" ht="13">
      <c r="A108" s="10">
        <v>109</v>
      </c>
      <c r="B108" s="12" t="s">
        <v>430</v>
      </c>
      <c r="C108" s="12" t="s">
        <v>431</v>
      </c>
      <c r="D108" s="12" t="s">
        <v>432</v>
      </c>
      <c r="E108" s="12" t="s">
        <v>433</v>
      </c>
      <c r="F108" s="12" t="s">
        <v>33</v>
      </c>
      <c r="G108" s="12" t="s">
        <v>34</v>
      </c>
      <c r="H108" s="20" t="str">
        <f t="array" ref="H108">IFERROR(INDEX(Lease_List!D:D,MATCH(All_User!D108,Lease_List!H:H,0)),"없음")</f>
        <v>5CD3469HDD</v>
      </c>
      <c r="I108" s="16" t="s">
        <v>28</v>
      </c>
      <c r="J108" s="16"/>
      <c r="K108" s="16" t="str">
        <f t="array" ref="K108">IFERROR(INDEX(Ipad_List!C:C,MATCH(All_User!D108,Ipad_List!J:J,0)),"없음")</f>
        <v>없음</v>
      </c>
      <c r="L108" s="19" t="str">
        <f t="array" ref="L108">IFERROR(INDEX(TeamsNumber!B:B,MATCH(All_User!D108,TeamsNumber!D:D,0)),"없음")</f>
        <v>없음</v>
      </c>
      <c r="M108" s="19" t="str">
        <f t="array" ref="M108">IFERROR(INDEX(Printer!D:D,MATCH(All_User!D108,Printer!H:H,0)),"없음")</f>
        <v>없음</v>
      </c>
      <c r="N108" s="19" t="str">
        <f t="array" ref="N108">IFERROR(INDEX(Monitor!A:A,MATCH(D108,Monitor!D:D,0)),"없음")</f>
        <v>없음</v>
      </c>
      <c r="O108" s="19" t="str">
        <f t="array" ref="O108">IFERROR(INDEX(sales!D:D,MATCH(D108,sales!C:C,0)),"없음")</f>
        <v>없음</v>
      </c>
      <c r="P108" s="19" t="str">
        <f t="array" ref="P108">IFERROR(INDEX(sales!E:E,MATCH(D108,sales!C:C,0)),"없음")</f>
        <v>없음</v>
      </c>
      <c r="Q108" s="19"/>
      <c r="R108" s="19"/>
    </row>
    <row r="109" spans="1:18" ht="13">
      <c r="A109" s="10">
        <v>110</v>
      </c>
      <c r="B109" s="12" t="s">
        <v>434</v>
      </c>
      <c r="C109" s="12" t="s">
        <v>435</v>
      </c>
      <c r="D109" s="12" t="s">
        <v>436</v>
      </c>
      <c r="E109" s="12" t="s">
        <v>437</v>
      </c>
      <c r="F109" s="12" t="s">
        <v>33</v>
      </c>
      <c r="G109" s="12" t="s">
        <v>46</v>
      </c>
      <c r="H109" s="20" t="str">
        <f t="array" ref="H109">IFERROR(INDEX(Lease_List!D:D,MATCH(All_User!D109,Lease_List!H:H,0)),"없음")</f>
        <v>5CD5062YDM</v>
      </c>
      <c r="I109" s="16" t="s">
        <v>28</v>
      </c>
      <c r="J109" s="16"/>
      <c r="K109" s="16" t="str">
        <f t="array" ref="K109">IFERROR(INDEX(Ipad_List!C:C,MATCH(All_User!D109,Ipad_List!J:J,0)),"없음")</f>
        <v>없음</v>
      </c>
      <c r="L109" s="19" t="str">
        <f t="array" ref="L109">IFERROR(INDEX(TeamsNumber!B:B,MATCH(All_User!D109,TeamsNumber!D:D,0)),"없음")</f>
        <v>tel:+82234517690</v>
      </c>
      <c r="M109" s="19" t="str">
        <f t="array" ref="M109">IFERROR(INDEX(Printer!D:D,MATCH(All_User!D109,Printer!H:H,0)),"없음")</f>
        <v>없음</v>
      </c>
      <c r="N109" s="19" t="str">
        <f t="array" ref="N109">IFERROR(INDEX(Monitor!A:A,MATCH(D109,Monitor!D:D,0)),"없음")</f>
        <v>없음</v>
      </c>
      <c r="O109" s="19" t="str">
        <f t="array" ref="O109">IFERROR(INDEX(sales!D:D,MATCH(D109,sales!C:C,0)),"없음")</f>
        <v>없음</v>
      </c>
      <c r="P109" s="19" t="str">
        <f t="array" ref="P109">IFERROR(INDEX(sales!E:E,MATCH(D109,sales!C:C,0)),"없음")</f>
        <v>없음</v>
      </c>
      <c r="Q109" s="19"/>
      <c r="R109" s="19"/>
    </row>
    <row r="110" spans="1:18" ht="13">
      <c r="A110" s="10">
        <v>111</v>
      </c>
      <c r="B110" s="12" t="s">
        <v>438</v>
      </c>
      <c r="C110" s="12" t="s">
        <v>439</v>
      </c>
      <c r="D110" s="12" t="s">
        <v>440</v>
      </c>
      <c r="E110" s="12" t="s">
        <v>70</v>
      </c>
      <c r="F110" s="12" t="s">
        <v>20</v>
      </c>
      <c r="G110" s="12" t="s">
        <v>27</v>
      </c>
      <c r="H110" s="14" t="str">
        <f t="array" ref="H110">IFERROR(INDEX(Lease_List!D:D,MATCH(All_User!D110,Lease_List!H:H,0)),"없음")</f>
        <v>5CD4232BFT</v>
      </c>
      <c r="I110" s="17" t="s">
        <v>28</v>
      </c>
      <c r="J110" s="16"/>
      <c r="K110" s="17" t="str">
        <f t="array" ref="K110">IFERROR(INDEX(Ipad_List!C:C,MATCH(All_User!D110,Ipad_List!J:J,0)),"없음")</f>
        <v>CJ66CPWXQ2</v>
      </c>
      <c r="L110" s="18" t="str">
        <f t="array" ref="L110">IFERROR(INDEX(TeamsNumber!B:B,MATCH(All_User!D110,TeamsNumber!D:D,0)),"없음")</f>
        <v>tel:+82234517587</v>
      </c>
      <c r="M110" s="18" t="str">
        <f t="array" ref="M110">IFERROR(INDEX(Printer!D:D,MATCH(All_User!D110,Printer!H:H,0)),"없음")</f>
        <v>없음</v>
      </c>
      <c r="N110" s="19" t="str">
        <f t="array" ref="N110">IFERROR(INDEX(Monitor!A:A,MATCH(D110,Monitor!D:D,0)),"없음")</f>
        <v>없음</v>
      </c>
      <c r="O110" s="19" t="str">
        <f t="array" ref="O110">IFERROR(INDEX(sales!D:D,MATCH(D110,sales!C:C,0)),"없음")</f>
        <v>Mako</v>
      </c>
      <c r="P110" s="19" t="str">
        <f t="array" ref="P110">IFERROR(INDEX(sales!E:E,MATCH(D110,sales!C:C,0)),"없음")</f>
        <v>MPS</v>
      </c>
      <c r="Q110" s="19" t="str">
        <f t="array" ref="Q110">IFERROR(INDEX(sales!C:C,MATCH(D110,sales!C:C,0)),"list없음")</f>
        <v>ara.ko@stryker.com</v>
      </c>
      <c r="R110" s="19"/>
    </row>
    <row r="111" spans="1:18" ht="13">
      <c r="A111" s="10">
        <v>112</v>
      </c>
      <c r="B111" s="12" t="s">
        <v>441</v>
      </c>
      <c r="C111" s="12" t="s">
        <v>442</v>
      </c>
      <c r="D111" s="12" t="s">
        <v>443</v>
      </c>
      <c r="E111" s="12" t="s">
        <v>444</v>
      </c>
      <c r="F111" s="12" t="s">
        <v>40</v>
      </c>
      <c r="G111" s="12" t="s">
        <v>41</v>
      </c>
      <c r="H111" s="20" t="str">
        <f t="array" ref="H111">IFERROR(INDEX(Lease_List!D:D,MATCH(All_User!D111,Lease_List!H:H,0)),"없음")</f>
        <v>5CD3469HDS</v>
      </c>
      <c r="I111" s="16" t="s">
        <v>28</v>
      </c>
      <c r="J111" s="16"/>
      <c r="K111" s="16" t="str">
        <f t="array" ref="K111">IFERROR(INDEX(Ipad_List!C:C,MATCH(All_User!D111,Ipad_List!J:J,0)),"없음")</f>
        <v>없음</v>
      </c>
      <c r="L111" s="19" t="str">
        <f t="array" ref="L111">IFERROR(INDEX(TeamsNumber!B:B,MATCH(All_User!D111,TeamsNumber!D:D,0)),"없음")</f>
        <v>tel:+82234517614</v>
      </c>
      <c r="M111" s="19" t="str">
        <f t="array" ref="M111">IFERROR(INDEX(Printer!D:D,MATCH(All_User!D111,Printer!H:H,0)),"없음")</f>
        <v>없음</v>
      </c>
      <c r="N111" s="19" t="str">
        <f t="array" ref="N111">IFERROR(INDEX(Monitor!A:A,MATCH(D111,Monitor!D:D,0)),"없음")</f>
        <v>없음</v>
      </c>
      <c r="O111" s="19" t="str">
        <f t="array" ref="O111">IFERROR(INDEX(sales!D:D,MATCH(D111,sales!C:C,0)),"없음")</f>
        <v>없음</v>
      </c>
      <c r="P111" s="19" t="str">
        <f t="array" ref="P111">IFERROR(INDEX(sales!E:E,MATCH(D111,sales!C:C,0)),"없음")</f>
        <v>없음</v>
      </c>
      <c r="Q111" s="19"/>
      <c r="R111" s="19"/>
    </row>
    <row r="112" spans="1:18" ht="13">
      <c r="A112" s="10">
        <v>113</v>
      </c>
      <c r="B112" s="12" t="s">
        <v>445</v>
      </c>
      <c r="C112" s="12" t="s">
        <v>446</v>
      </c>
      <c r="D112" s="12" t="s">
        <v>447</v>
      </c>
      <c r="E112" s="12" t="s">
        <v>448</v>
      </c>
      <c r="F112" s="12" t="s">
        <v>303</v>
      </c>
      <c r="G112" s="12" t="s">
        <v>304</v>
      </c>
      <c r="H112" s="20" t="str">
        <f t="array" ref="H112">IFERROR(INDEX(Lease_List!D:D,MATCH(All_User!D112,Lease_List!H:H,0)),"없음")</f>
        <v>5CD4232BFH</v>
      </c>
      <c r="I112" s="16" t="s">
        <v>28</v>
      </c>
      <c r="J112" s="16"/>
      <c r="K112" s="16" t="str">
        <f t="array" ref="K112">IFERROR(INDEX(Ipad_List!C:C,MATCH(All_User!D112,Ipad_List!J:J,0)),"없음")</f>
        <v>없음</v>
      </c>
      <c r="L112" s="19" t="str">
        <f t="array" ref="L112">IFERROR(INDEX(TeamsNumber!B:B,MATCH(All_User!D112,TeamsNumber!D:D,0)),"없음")</f>
        <v>없음</v>
      </c>
      <c r="M112" s="19" t="str">
        <f t="array" ref="M112">IFERROR(INDEX(Printer!D:D,MATCH(All_User!D112,Printer!H:H,0)),"없음")</f>
        <v>없음</v>
      </c>
      <c r="N112" s="19" t="str">
        <f t="array" ref="N112">IFERROR(INDEX(Monitor!A:A,MATCH(D112,Monitor!D:D,0)),"없음")</f>
        <v>없음</v>
      </c>
      <c r="O112" s="19" t="str">
        <f t="array" ref="O112">IFERROR(INDEX(sales!D:D,MATCH(D112,sales!C:C,0)),"없음")</f>
        <v>없음</v>
      </c>
      <c r="P112" s="19" t="str">
        <f t="array" ref="P112">IFERROR(INDEX(sales!E:E,MATCH(D112,sales!C:C,0)),"없음")</f>
        <v>없음</v>
      </c>
      <c r="Q112" s="19"/>
      <c r="R112" s="19"/>
    </row>
    <row r="113" spans="1:18" ht="13">
      <c r="A113" s="10">
        <v>114</v>
      </c>
      <c r="B113" s="12" t="s">
        <v>449</v>
      </c>
      <c r="C113" s="12" t="s">
        <v>450</v>
      </c>
      <c r="D113" s="12" t="s">
        <v>451</v>
      </c>
      <c r="E113" s="12" t="s">
        <v>70</v>
      </c>
      <c r="F113" s="12" t="s">
        <v>20</v>
      </c>
      <c r="G113" s="12" t="s">
        <v>27</v>
      </c>
      <c r="H113" s="14" t="str">
        <f t="array" ref="H113">IFERROR(INDEX(Lease_List!D:D,MATCH(All_User!D113,Lease_List!H:H,0)),"없음")</f>
        <v>없음</v>
      </c>
      <c r="I113" s="17" t="s">
        <v>28</v>
      </c>
      <c r="J113" s="16" t="s">
        <v>452</v>
      </c>
      <c r="K113" s="17" t="str">
        <f t="array" ref="K113">IFERROR(INDEX(Ipad_List!C:C,MATCH(All_User!D113,Ipad_List!J:J,0)),"없음")</f>
        <v>F2PL7Y4JWM</v>
      </c>
      <c r="L113" s="18" t="str">
        <f t="array" ref="L113">IFERROR(INDEX(TeamsNumber!B:B,MATCH(All_User!D113,TeamsNumber!D:D,0)),"없음")</f>
        <v>tel:+82234517575</v>
      </c>
      <c r="M113" s="18" t="str">
        <f t="array" ref="M113">IFERROR(INDEX(Printer!D:D,MATCH(All_User!D113,Printer!G:G,0)),"없음")</f>
        <v>없음</v>
      </c>
      <c r="N113" s="19" t="str">
        <f t="array" ref="N113">IFERROR(INDEX(Monitor!A:A,MATCH(D113,Monitor!D:D,0)),"없음")</f>
        <v>없음</v>
      </c>
      <c r="O113" s="19" t="str">
        <f t="array" ref="O113">IFERROR(INDEX(sales!D:D,MATCH(D113,sales!C:C,0)),"없음")</f>
        <v>Mako</v>
      </c>
      <c r="P113" s="19" t="str">
        <f t="array" ref="P113">IFERROR(INDEX(sales!E:E,MATCH(D113,sales!C:C,0)),"없음")</f>
        <v>MPS</v>
      </c>
      <c r="Q113" s="19" t="str">
        <f t="array" ref="Q113">IFERROR(INDEX(sales!C:C,MATCH(D113,sales!C:C,0)),"list없음")</f>
        <v>allen.ku@stryker.com</v>
      </c>
      <c r="R113" s="19"/>
    </row>
    <row r="114" spans="1:18" ht="13">
      <c r="A114" s="10">
        <v>115</v>
      </c>
      <c r="B114" s="12" t="s">
        <v>453</v>
      </c>
      <c r="C114" s="12" t="s">
        <v>454</v>
      </c>
      <c r="D114" s="12" t="s">
        <v>455</v>
      </c>
      <c r="E114" s="12" t="s">
        <v>456</v>
      </c>
      <c r="F114" s="12" t="s">
        <v>20</v>
      </c>
      <c r="G114" s="12" t="s">
        <v>175</v>
      </c>
      <c r="H114" s="20" t="str">
        <f t="array" ref="H114">IFERROR(INDEX(Lease_List!D:D,MATCH(All_User!D114,Lease_List!H:H,0)),"없음")</f>
        <v>5CD442C07K</v>
      </c>
      <c r="I114" s="16" t="s">
        <v>28</v>
      </c>
      <c r="J114" s="16"/>
      <c r="K114" s="16" t="str">
        <f t="array" ref="K114">IFERROR(INDEX(Ipad_List!C:C,MATCH(All_User!D114,Ipad_List!J:J,0)),"없음")</f>
        <v>M7WVNHQ0YQ</v>
      </c>
      <c r="L114" s="19" t="str">
        <f t="array" ref="L114">IFERROR(INDEX(TeamsNumber!B:B,MATCH(All_User!D114,TeamsNumber!D:D,0)),"없음")</f>
        <v>tel:+82234517547</v>
      </c>
      <c r="M114" s="19" t="str">
        <f t="array" ref="M114">IFERROR(INDEX(Printer!D:D,MATCH(All_User!D114,Printer!H:H,0)),"없음")</f>
        <v>확인중</v>
      </c>
      <c r="N114" s="19" t="str">
        <f t="array" ref="N114">IFERROR(INDEX(Monitor!A:A,MATCH(D114,Monitor!D:D,0)),"없음")</f>
        <v>LCD 모니터</v>
      </c>
      <c r="O114" s="19">
        <f t="array" ref="O114">IFERROR(INDEX(sales!D:D,MATCH(D114,sales!C:C,0)),"없음")</f>
        <v>0</v>
      </c>
      <c r="P114" s="19">
        <f t="array" ref="P114">IFERROR(INDEX(sales!E:E,MATCH(D114,sales!C:C,0)),"없음")</f>
        <v>0</v>
      </c>
      <c r="Q114" s="19"/>
      <c r="R114" s="19"/>
    </row>
    <row r="115" spans="1:18" ht="13">
      <c r="A115" s="10">
        <v>116</v>
      </c>
      <c r="B115" s="12" t="s">
        <v>457</v>
      </c>
      <c r="C115" s="12" t="s">
        <v>458</v>
      </c>
      <c r="D115" s="12" t="s">
        <v>459</v>
      </c>
      <c r="E115" s="12" t="s">
        <v>74</v>
      </c>
      <c r="F115" s="12" t="s">
        <v>20</v>
      </c>
      <c r="G115" s="12" t="s">
        <v>75</v>
      </c>
      <c r="H115" s="14" t="str">
        <f t="array" ref="H115">IFERROR(INDEX(Lease_List!D:D,MATCH(All_User!D115,Lease_List!H:H,0)),"없음")</f>
        <v>5CD442C07L</v>
      </c>
      <c r="I115" s="17" t="s">
        <v>28</v>
      </c>
      <c r="J115" s="16"/>
      <c r="K115" s="17" t="str">
        <f t="array" ref="K115">IFERROR(INDEX(Ipad_List!C:C,MATCH(All_User!D115,Ipad_List!J:J,0)),"없음")</f>
        <v>KXDGGF9C90</v>
      </c>
      <c r="L115" s="18" t="str">
        <f t="array" ref="L115">IFERROR(INDEX(TeamsNumber!B:B,MATCH(All_User!D115,TeamsNumber!D:D,0)),"없음")</f>
        <v>tel:+82234517613</v>
      </c>
      <c r="M115" s="18" t="str">
        <f t="array" ref="M115">IFERROR(INDEX(Printer!D:D,MATCH(All_User!D115,Printer!H:H,0)),"없음")</f>
        <v>SL-C563W</v>
      </c>
      <c r="N115" s="19" t="str">
        <f t="array" ref="N115">IFERROR(INDEX(Monitor!A:A,MATCH(D115,Monitor!D:D,0)),"없음")</f>
        <v>없음</v>
      </c>
      <c r="O115" s="19" t="str">
        <f t="array" ref="O115">IFERROR(INDEX(sales!D:D,MATCH(D115,sales!C:C,0)),"없음")</f>
        <v>MedSurg</v>
      </c>
      <c r="P115" s="19" t="str">
        <f t="array" ref="P115">IFERROR(INDEX(sales!E:E,MATCH(D115,sales!C:C,0)),"없음")</f>
        <v>Sales</v>
      </c>
      <c r="Q115" s="19" t="str">
        <f t="array" ref="Q115">IFERROR(INDEX(sales!C:C,MATCH(D115,sales!C:C,0)),"list없음")</f>
        <v>joy.lee@stryker.com</v>
      </c>
      <c r="R115" s="19"/>
    </row>
    <row r="116" spans="1:18" ht="13">
      <c r="A116" s="10">
        <v>117</v>
      </c>
      <c r="B116" s="12" t="s">
        <v>460</v>
      </c>
      <c r="C116" s="12" t="s">
        <v>461</v>
      </c>
      <c r="D116" s="12" t="s">
        <v>462</v>
      </c>
      <c r="E116" s="12" t="s">
        <v>463</v>
      </c>
      <c r="F116" s="12" t="s">
        <v>101</v>
      </c>
      <c r="G116" s="12" t="s">
        <v>464</v>
      </c>
      <c r="H116" s="20" t="str">
        <f t="array" ref="H116">IFERROR(INDEX(Lease_List!D:D,MATCH(All_User!D116,Lease_List!H:H,0)),"없음")</f>
        <v>5CD4305D87</v>
      </c>
      <c r="I116" s="16" t="s">
        <v>28</v>
      </c>
      <c r="J116" s="16"/>
      <c r="K116" s="16" t="str">
        <f t="array" ref="K116">IFERROR(INDEX(Ipad_List!C:C,MATCH(All_User!D116,Ipad_List!J:J,0)),"없음")</f>
        <v>없음</v>
      </c>
      <c r="L116" s="19" t="str">
        <f t="array" ref="L116">IFERROR(INDEX(TeamsNumber!B:B,MATCH(All_User!D116,TeamsNumber!D:D,0)),"없음")</f>
        <v>tel:+82234517651</v>
      </c>
      <c r="M116" s="19" t="str">
        <f t="array" ref="M116">IFERROR(INDEX(Printer!D:D,MATCH(All_User!D116,Printer!H:H,0)),"없음")</f>
        <v>없음</v>
      </c>
      <c r="N116" s="19" t="str">
        <f t="array" ref="N116">IFERROR(INDEX(Monitor!A:A,MATCH(D116,Monitor!D:D,0)),"없음")</f>
        <v>LCD 모니터</v>
      </c>
      <c r="O116" s="19" t="str">
        <f t="array" ref="O116">IFERROR(INDEX(sales!D:D,MATCH(D116,sales!C:C,0)),"없음")</f>
        <v>없음</v>
      </c>
      <c r="P116" s="19" t="str">
        <f t="array" ref="P116">IFERROR(INDEX(sales!E:E,MATCH(D116,sales!C:C,0)),"없음")</f>
        <v>없음</v>
      </c>
      <c r="Q116" s="19"/>
      <c r="R116" s="19"/>
    </row>
    <row r="117" spans="1:18" ht="13">
      <c r="A117" s="10">
        <v>118</v>
      </c>
      <c r="B117" s="12" t="s">
        <v>465</v>
      </c>
      <c r="C117" s="12" t="s">
        <v>466</v>
      </c>
      <c r="D117" s="12" t="s">
        <v>467</v>
      </c>
      <c r="E117" s="12" t="s">
        <v>468</v>
      </c>
      <c r="F117" s="12" t="s">
        <v>65</v>
      </c>
      <c r="G117" s="12" t="s">
        <v>66</v>
      </c>
      <c r="H117" s="20" t="str">
        <f t="array" ref="H117">IFERROR(INDEX(Lease_List!D:D,MATCH(All_User!D117,Lease_List!H:H,0)),"없음")</f>
        <v>5CD3469HD7</v>
      </c>
      <c r="I117" s="16" t="s">
        <v>28</v>
      </c>
      <c r="J117" s="16"/>
      <c r="K117" s="16" t="str">
        <f t="array" ref="K117">IFERROR(INDEX(Ipad_List!C:C,MATCH(All_User!D117,Ipad_List!J:J,0)),"없음")</f>
        <v>없음</v>
      </c>
      <c r="L117" s="19" t="str">
        <f t="array" ref="L117">IFERROR(INDEX(TeamsNumber!B:B,MATCH(All_User!D117,TeamsNumber!D:D,0)),"없음")</f>
        <v>tel:+82234517521</v>
      </c>
      <c r="M117" s="19" t="str">
        <f t="array" ref="M117">IFERROR(INDEX(Printer!D:D,MATCH(All_User!D117,Printer!H:H,0)),"없음")</f>
        <v>없음</v>
      </c>
      <c r="N117" s="19" t="str">
        <f t="array" ref="N117">IFERROR(INDEX(Monitor!A:A,MATCH(D117,Monitor!D:D,0)),"없음")</f>
        <v>LCD 모니터</v>
      </c>
      <c r="O117" s="19" t="str">
        <f t="array" ref="O117">IFERROR(INDEX(sales!D:D,MATCH(D117,sales!C:C,0)),"없음")</f>
        <v>없음</v>
      </c>
      <c r="P117" s="19" t="str">
        <f t="array" ref="P117">IFERROR(INDEX(sales!E:E,MATCH(D117,sales!C:C,0)),"없음")</f>
        <v>없음</v>
      </c>
      <c r="Q117" s="19"/>
      <c r="R117" s="19"/>
    </row>
    <row r="118" spans="1:18" ht="13">
      <c r="A118" s="10">
        <v>119</v>
      </c>
      <c r="B118" s="12" t="s">
        <v>469</v>
      </c>
      <c r="C118" s="12" t="s">
        <v>470</v>
      </c>
      <c r="D118" s="12" t="s">
        <v>471</v>
      </c>
      <c r="E118" s="12" t="s">
        <v>472</v>
      </c>
      <c r="F118" s="12" t="s">
        <v>33</v>
      </c>
      <c r="G118" s="12" t="s">
        <v>34</v>
      </c>
      <c r="H118" s="14" t="str">
        <f t="array" ref="H118">IFERROR(INDEX(Lease_List!D:D,MATCH(All_User!D118,Lease_List!H:H,0)),"없음")</f>
        <v>5CD4232BFP</v>
      </c>
      <c r="I118" s="17" t="s">
        <v>28</v>
      </c>
      <c r="J118" s="16"/>
      <c r="K118" s="17" t="str">
        <f t="array" ref="K118">IFERROR(INDEX(Ipad_List!C:C,MATCH(All_User!D118,Ipad_List!J:J,0)),"없음")</f>
        <v>Q0C6LC7F3X</v>
      </c>
      <c r="L118" s="18" t="str">
        <f t="array" ref="L118">IFERROR(INDEX(TeamsNumber!B:B,MATCH(All_User!D118,TeamsNumber!D:D,0)),"없음")</f>
        <v>tel:+82234517531</v>
      </c>
      <c r="M118" s="18" t="str">
        <f t="array" ref="M118">IFERROR(INDEX(Printer!D:D,MATCH(All_User!D118,Printer!H:H,0)),"없음")</f>
        <v>SL-C563W</v>
      </c>
      <c r="N118" s="19" t="str">
        <f t="array" ref="N118">IFERROR(INDEX(Monitor!A:A,MATCH(D118,Monitor!D:D,0)),"없음")</f>
        <v>없음</v>
      </c>
      <c r="O118" s="19">
        <f t="array" ref="O118">IFERROR(INDEX(sales!D:D,MATCH(D118,sales!C:C,0)),"없음")</f>
        <v>0</v>
      </c>
      <c r="P118" s="19" t="str">
        <f t="array" ref="P118">IFERROR(INDEX(sales!E:E,MATCH(D118,sales!C:C,0)),"없음")</f>
        <v>TS</v>
      </c>
      <c r="Q118" s="19" t="str">
        <f t="array" ref="Q118">IFERROR(INDEX(sales!C:C,MATCH(D118,sales!C:C,0)),"list없음")</f>
        <v>david.lee4@stryker.com</v>
      </c>
      <c r="R118" s="19"/>
    </row>
    <row r="119" spans="1:18" ht="13">
      <c r="A119" s="10">
        <v>120</v>
      </c>
      <c r="B119" s="12" t="s">
        <v>473</v>
      </c>
      <c r="C119" s="12" t="s">
        <v>474</v>
      </c>
      <c r="D119" s="12" t="s">
        <v>475</v>
      </c>
      <c r="E119" s="12" t="s">
        <v>70</v>
      </c>
      <c r="F119" s="12" t="s">
        <v>20</v>
      </c>
      <c r="G119" s="12" t="s">
        <v>27</v>
      </c>
      <c r="H119" s="14" t="str">
        <f t="array" ref="H119">IFERROR(INDEX(Lease_List!D:D,MATCH(All_User!D119,Lease_List!H:H,0)),"없음")</f>
        <v>5CD3469HD1</v>
      </c>
      <c r="I119" s="17" t="s">
        <v>28</v>
      </c>
      <c r="J119" s="16"/>
      <c r="K119" s="17" t="str">
        <f t="array" ref="K119">IFERROR(INDEX(Ipad_List!C:C,MATCH(All_User!D119,Ipad_List!J:J,0)),"없음")</f>
        <v>XD791W017Y</v>
      </c>
      <c r="L119" s="18" t="str">
        <f t="array" ref="L119">IFERROR(INDEX(TeamsNumber!B:B,MATCH(All_User!D119,TeamsNumber!D:D,0)),"없음")</f>
        <v>tel:+82234517579</v>
      </c>
      <c r="M119" s="18" t="str">
        <f t="array" ref="M119">IFERROR(INDEX(Printer!D:D,MATCH(All_User!D119,Printer!H:H,0)),"없음")</f>
        <v>없음</v>
      </c>
      <c r="N119" s="19" t="str">
        <f t="array" ref="N119">IFERROR(INDEX(Monitor!A:A,MATCH(D119,Monitor!D:D,0)),"없음")</f>
        <v>없음</v>
      </c>
      <c r="O119" s="19" t="str">
        <f t="array" ref="O119">IFERROR(INDEX(sales!D:D,MATCH(D119,sales!C:C,0)),"없음")</f>
        <v>Mako</v>
      </c>
      <c r="P119" s="19" t="str">
        <f t="array" ref="P119">IFERROR(INDEX(sales!E:E,MATCH(D119,sales!C:C,0)),"없음")</f>
        <v>MPS</v>
      </c>
      <c r="Q119" s="19" t="str">
        <f t="array" ref="Q119">IFERROR(INDEX(sales!C:C,MATCH(D119,sales!C:C,0)),"list없음")</f>
        <v>nathan.lee@stryker.com</v>
      </c>
      <c r="R119" s="19"/>
    </row>
    <row r="120" spans="1:18" ht="13">
      <c r="A120" s="10">
        <v>121</v>
      </c>
      <c r="B120" s="12" t="s">
        <v>476</v>
      </c>
      <c r="C120" s="12" t="s">
        <v>477</v>
      </c>
      <c r="D120" s="12" t="s">
        <v>478</v>
      </c>
      <c r="E120" s="12" t="s">
        <v>276</v>
      </c>
      <c r="F120" s="12" t="s">
        <v>20</v>
      </c>
      <c r="G120" s="12" t="s">
        <v>134</v>
      </c>
      <c r="H120" s="14" t="str">
        <f t="array" ref="H120">IFERROR(INDEX(Lease_List!D:D,MATCH(All_User!D120,Lease_List!H:H,0)),"없음")</f>
        <v>5CD3469HDH</v>
      </c>
      <c r="I120" s="17" t="s">
        <v>28</v>
      </c>
      <c r="J120" s="16"/>
      <c r="K120" s="17" t="str">
        <f t="array" ref="K120">IFERROR(INDEX(Ipad_List!C:C,MATCH(All_User!D120,Ipad_List!J:J,0)),"없음")</f>
        <v>GWR3CYT2GJ</v>
      </c>
      <c r="L120" s="18" t="str">
        <f t="array" ref="L120">IFERROR(INDEX(TeamsNumber!B:B,MATCH(All_User!D120,TeamsNumber!D:D,0)),"없음")</f>
        <v>tel:+82234517562</v>
      </c>
      <c r="M120" s="18" t="str">
        <f t="array" ref="M120">IFERROR(INDEX(Printer!D:D,MATCH(All_User!D120,Printer!H:H,0)),"없음")</f>
        <v>없음</v>
      </c>
      <c r="N120" s="19" t="str">
        <f t="array" ref="N120">IFERROR(INDEX(Monitor!A:A,MATCH(D120,Monitor!D:D,0)),"없음")</f>
        <v>없음</v>
      </c>
      <c r="O120" s="19">
        <f t="array" ref="O120">IFERROR(INDEX(sales!D:D,MATCH(D120,sales!C:C,0)),"없음")</f>
        <v>0</v>
      </c>
      <c r="P120" s="19" t="str">
        <f t="array" ref="P120">IFERROR(INDEX(sales!E:E,MATCH(D120,sales!C:C,0)),"없음")</f>
        <v>MKT</v>
      </c>
      <c r="Q120" s="19" t="str">
        <f t="array" ref="Q120">IFERROR(INDEX(sales!C:C,MATCH(D120,sales!C:C,0)),"list없음")</f>
        <v>rosie.lee@stryker.com</v>
      </c>
      <c r="R120" s="19"/>
    </row>
    <row r="121" spans="1:18" ht="13">
      <c r="A121" s="10">
        <v>122</v>
      </c>
      <c r="B121" s="12" t="s">
        <v>479</v>
      </c>
      <c r="C121" s="12" t="s">
        <v>480</v>
      </c>
      <c r="D121" s="12" t="s">
        <v>481</v>
      </c>
      <c r="E121" s="12" t="s">
        <v>482</v>
      </c>
      <c r="F121" s="12" t="s">
        <v>33</v>
      </c>
      <c r="G121" s="12" t="s">
        <v>34</v>
      </c>
      <c r="H121" s="14" t="str">
        <f t="array" ref="H121">IFERROR(INDEX(Lease_List!D:D,MATCH(All_User!D121,Lease_List!H:H,0)),"없음")</f>
        <v>5CD5062YDZ</v>
      </c>
      <c r="I121" s="17" t="s">
        <v>28</v>
      </c>
      <c r="J121" s="16"/>
      <c r="K121" s="17" t="str">
        <f t="array" ref="K121">IFERROR(INDEX(Ipad_List!C:C,MATCH(All_User!D121,Ipad_List!J:J,0)),"없음")</f>
        <v>FN47DRXYYW</v>
      </c>
      <c r="L121" s="18" t="str">
        <f t="array" ref="L121">IFERROR(INDEX(TeamsNumber!B:B,MATCH(All_User!D121,TeamsNumber!D:D,0)),"없음")</f>
        <v>tel:+82234517691</v>
      </c>
      <c r="M121" s="18" t="str">
        <f t="array" ref="M121">IFERROR(INDEX(Printer!D:D,MATCH(All_User!D121,Printer!H:H,0)),"없음")</f>
        <v>SL-C563W</v>
      </c>
      <c r="N121" s="19" t="str">
        <f t="array" ref="N121">IFERROR(INDEX(Monitor!A:A,MATCH(D121,Monitor!D:D,0)),"없음")</f>
        <v>없음</v>
      </c>
      <c r="O121" s="19">
        <f t="array" ref="O121">IFERROR(INDEX(sales!D:D,MATCH(D121,sales!C:C,0)),"없음")</f>
        <v>0</v>
      </c>
      <c r="P121" s="19" t="str">
        <f t="array" ref="P121">IFERROR(INDEX(sales!E:E,MATCH(D121,sales!C:C,0)),"없음")</f>
        <v>TS</v>
      </c>
      <c r="Q121" s="19" t="str">
        <f t="array" ref="Q121">IFERROR(INDEX(sales!C:C,MATCH(D121,sales!C:C,0)),"list없음")</f>
        <v>daniel.lee1@stryker.com</v>
      </c>
      <c r="R121" s="19"/>
    </row>
    <row r="122" spans="1:18" ht="13">
      <c r="A122" s="10">
        <v>123</v>
      </c>
      <c r="B122" s="12" t="s">
        <v>483</v>
      </c>
      <c r="C122" s="12" t="s">
        <v>484</v>
      </c>
      <c r="D122" s="12" t="s">
        <v>485</v>
      </c>
      <c r="E122" s="12" t="s">
        <v>74</v>
      </c>
      <c r="F122" s="12" t="s">
        <v>20</v>
      </c>
      <c r="G122" s="12" t="s">
        <v>21</v>
      </c>
      <c r="H122" s="14" t="str">
        <f t="array" ref="H122">IFERROR(INDEX(Lease_List!D:D,MATCH(All_User!D122,Lease_List!H:H,0)),"없음")</f>
        <v>5CD5179KH2</v>
      </c>
      <c r="I122" s="17"/>
      <c r="J122" s="16"/>
      <c r="K122" s="17" t="str">
        <f t="array" ref="K122">IFERROR(INDEX(Ipad_List!C:C,MATCH(All_User!D122,Ipad_List!J:J,0)),"없음")</f>
        <v>JN14143DQC</v>
      </c>
      <c r="L122" s="18" t="str">
        <f t="array" ref="L122">IFERROR(INDEX(TeamsNumber!B:B,MATCH(All_User!D122,TeamsNumber!D:D,0)),"없음")</f>
        <v>tel:+82234517606</v>
      </c>
      <c r="M122" s="18" t="str">
        <f t="array" ref="M122">IFERROR(INDEX(Printer!D:D,MATCH(All_User!D122,Printer!H:H,0)),"없음")</f>
        <v>SL-C486FW</v>
      </c>
      <c r="N122" s="19" t="str">
        <f t="array" ref="N122">IFERROR(INDEX(Monitor!A:A,MATCH(D122,Monitor!D:D,0)),"없음")</f>
        <v>없음</v>
      </c>
      <c r="O122" s="19" t="str">
        <f t="array" ref="O122">IFERROR(INDEX(sales!D:D,MATCH(D122,sales!C:C,0)),"없음")</f>
        <v>MedSurg</v>
      </c>
      <c r="P122" s="19" t="str">
        <f t="array" ref="P122">IFERROR(INDEX(sales!E:E,MATCH(D122,sales!C:C,0)),"없음")</f>
        <v>Sales</v>
      </c>
      <c r="Q122" s="19" t="str">
        <f t="array" ref="Q122">IFERROR(INDEX(sales!C:C,MATCH(D122,sales!C:C,0)),"list없음")</f>
        <v>henry.lee@stryker.com</v>
      </c>
      <c r="R122" s="19"/>
    </row>
    <row r="123" spans="1:18" ht="13">
      <c r="A123" s="10">
        <v>124</v>
      </c>
      <c r="B123" s="12" t="s">
        <v>486</v>
      </c>
      <c r="C123" s="12" t="s">
        <v>487</v>
      </c>
      <c r="D123" s="12" t="s">
        <v>488</v>
      </c>
      <c r="E123" s="12" t="s">
        <v>138</v>
      </c>
      <c r="F123" s="12" t="s">
        <v>20</v>
      </c>
      <c r="G123" s="12" t="s">
        <v>75</v>
      </c>
      <c r="H123" s="14" t="str">
        <f t="array" ref="H123">IFERROR(INDEX(Lease_List!D:D,MATCH(All_User!D123,Lease_List!H:H,0)),"없음")</f>
        <v>없음</v>
      </c>
      <c r="I123" s="15" t="s">
        <v>489</v>
      </c>
      <c r="J123" s="16"/>
      <c r="K123" s="17" t="str">
        <f t="array" ref="K123">IFERROR(INDEX(Ipad_List!C:C,MATCH(All_User!D123,Ipad_List!J:J,0)),"없음")</f>
        <v>LHJDGDMQCH</v>
      </c>
      <c r="L123" s="18" t="str">
        <f t="array" ref="L123">IFERROR(INDEX(TeamsNumber!B:B,MATCH(All_User!D123,TeamsNumber!D:D,0)),"없음")</f>
        <v>tel:+82234517563</v>
      </c>
      <c r="M123" s="18" t="str">
        <f t="array" ref="M123">IFERROR(INDEX(Printer!D:D,MATCH(All_User!D123,Printer!G:G,0)),"없음")</f>
        <v>없음</v>
      </c>
      <c r="N123" s="19" t="str">
        <f t="array" ref="N123">IFERROR(INDEX(Monitor!A:A,MATCH(D123,Monitor!D:D,0)),"없음")</f>
        <v>없음</v>
      </c>
      <c r="O123" s="19" t="str">
        <f t="array" ref="O123">IFERROR(INDEX(sales!D:D,MATCH(D123,sales!C:C,0)),"없음")</f>
        <v>Implants</v>
      </c>
      <c r="P123" s="19" t="str">
        <f t="array" ref="P123">IFERROR(INDEX(sales!E:E,MATCH(D123,sales!C:C,0)),"없음")</f>
        <v>Sales</v>
      </c>
      <c r="Q123" s="19" t="str">
        <f t="array" ref="Q123">IFERROR(INDEX(sales!C:C,MATCH(D123,sales!C:C,0)),"list없음")</f>
        <v>ayaan.lee@stryker.com</v>
      </c>
      <c r="R123" s="19"/>
    </row>
    <row r="124" spans="1:18" ht="13">
      <c r="A124" s="10">
        <v>125</v>
      </c>
      <c r="B124" s="12" t="s">
        <v>490</v>
      </c>
      <c r="C124" s="12" t="s">
        <v>491</v>
      </c>
      <c r="D124" s="12" t="s">
        <v>492</v>
      </c>
      <c r="E124" s="12" t="s">
        <v>493</v>
      </c>
      <c r="F124" s="12" t="s">
        <v>257</v>
      </c>
      <c r="G124" s="12" t="s">
        <v>258</v>
      </c>
      <c r="H124" s="20" t="str">
        <f t="array" ref="H124">IFERROR(INDEX(Lease_List!D:D,MATCH(All_User!D124,Lease_List!H:H,0)),"없음")</f>
        <v>없음</v>
      </c>
      <c r="I124" s="16" t="s">
        <v>115</v>
      </c>
      <c r="J124" s="16"/>
      <c r="K124" s="16" t="str">
        <f t="array" ref="K124">IFERROR(INDEX(Ipad_List!C:C,MATCH(All_User!D124,Ipad_List!J:J,0)),"없음")</f>
        <v>없음</v>
      </c>
      <c r="L124" s="19" t="str">
        <f t="array" ref="L124">IFERROR(INDEX(TeamsNumber!B:B,MATCH(All_User!D124,TeamsNumber!D:D,0)),"없음")</f>
        <v>없음</v>
      </c>
      <c r="M124" s="19" t="str">
        <f t="array" ref="M124">IFERROR(INDEX(Printer!D:D,MATCH(All_User!D124,Printer!G:G,0)),"없음")</f>
        <v>없음</v>
      </c>
      <c r="N124" s="19" t="str">
        <f t="array" ref="N124">IFERROR(INDEX(Monitor!A:A,MATCH(D124,Monitor!D:D,0)),"없음")</f>
        <v>없음</v>
      </c>
      <c r="O124" s="19" t="str">
        <f t="array" ref="O124">IFERROR(INDEX(sales!D:D,MATCH(D124,sales!C:C,0)),"없음")</f>
        <v>없음</v>
      </c>
      <c r="P124" s="19" t="str">
        <f t="array" ref="P124">IFERROR(INDEX(sales!E:E,MATCH(D124,sales!C:C,0)),"없음")</f>
        <v>없음</v>
      </c>
      <c r="Q124" s="19"/>
      <c r="R124" s="19"/>
    </row>
    <row r="125" spans="1:18" ht="13">
      <c r="A125" s="10">
        <v>126</v>
      </c>
      <c r="B125" s="12" t="s">
        <v>494</v>
      </c>
      <c r="C125" s="12" t="s">
        <v>495</v>
      </c>
      <c r="D125" s="12" t="s">
        <v>496</v>
      </c>
      <c r="E125" s="12" t="s">
        <v>497</v>
      </c>
      <c r="F125" s="12" t="s">
        <v>40</v>
      </c>
      <c r="G125" s="12" t="s">
        <v>60</v>
      </c>
      <c r="H125" s="20" t="str">
        <f t="array" ref="H125">IFERROR(INDEX(Lease_List!D:D,MATCH(All_User!D125,Lease_List!H:H,0)),"없음")</f>
        <v>5CD4305D91</v>
      </c>
      <c r="I125" s="16" t="s">
        <v>498</v>
      </c>
      <c r="J125" s="16"/>
      <c r="K125" s="16" t="str">
        <f t="array" ref="K125">IFERROR(INDEX(Ipad_List!C:C,MATCH(All_User!D125,Ipad_List!J:J,0)),"없음")</f>
        <v>없음</v>
      </c>
      <c r="L125" s="19" t="str">
        <f t="array" ref="L125">IFERROR(INDEX(TeamsNumber!B:B,MATCH(All_User!D125,TeamsNumber!D:D,0)),"없음")</f>
        <v>tel:+82234517645</v>
      </c>
      <c r="M125" s="19" t="str">
        <f t="array" ref="M125">IFERROR(INDEX(Printer!D:D,MATCH(All_User!D125,Printer!H:H,0)),"없음")</f>
        <v>없음</v>
      </c>
      <c r="N125" s="19" t="str">
        <f t="array" ref="N125">IFERROR(INDEX(Monitor!A:A,MATCH(D125,Monitor!D:D,0)),"없음")</f>
        <v>없음</v>
      </c>
      <c r="O125" s="19" t="str">
        <f t="array" ref="O125">IFERROR(INDEX(sales!D:D,MATCH(D125,sales!C:C,0)),"없음")</f>
        <v>없음</v>
      </c>
      <c r="P125" s="19" t="str">
        <f t="array" ref="P125">IFERROR(INDEX(sales!E:E,MATCH(D125,sales!C:C,0)),"없음")</f>
        <v>없음</v>
      </c>
      <c r="Q125" s="19"/>
      <c r="R125" s="19"/>
    </row>
    <row r="126" spans="1:18" ht="13">
      <c r="A126" s="10">
        <v>127</v>
      </c>
      <c r="B126" s="12" t="s">
        <v>499</v>
      </c>
      <c r="C126" s="12" t="s">
        <v>500</v>
      </c>
      <c r="D126" s="12" t="s">
        <v>501</v>
      </c>
      <c r="E126" s="12" t="s">
        <v>393</v>
      </c>
      <c r="F126" s="12" t="s">
        <v>101</v>
      </c>
      <c r="G126" s="12" t="s">
        <v>364</v>
      </c>
      <c r="H126" s="20" t="str">
        <f t="array" ref="H126">IFERROR(INDEX(Lease_List!D:D,MATCH(All_User!D126,Lease_List!H:H,0)),"없음")</f>
        <v>5CD3469HDF</v>
      </c>
      <c r="I126" s="16" t="s">
        <v>28</v>
      </c>
      <c r="J126" s="16"/>
      <c r="K126" s="16" t="str">
        <f t="array" ref="K126">IFERROR(INDEX(Ipad_List!C:C,MATCH(All_User!D126,Ipad_List!J:J,0)),"없음")</f>
        <v>없음</v>
      </c>
      <c r="L126" s="19" t="str">
        <f t="array" ref="L126">IFERROR(INDEX(TeamsNumber!B:B,MATCH(All_User!D126,TeamsNumber!D:D,0)),"없음")</f>
        <v>tel:+82234517502</v>
      </c>
      <c r="M126" s="19" t="str">
        <f t="array" ref="M126">IFERROR(INDEX(Printer!D:D,MATCH(All_User!D126,Printer!H:H,0)),"없음")</f>
        <v>없음</v>
      </c>
      <c r="N126" s="19" t="str">
        <f t="array" ref="N126">IFERROR(INDEX(Monitor!A:A,MATCH(D126,Monitor!D:D,0)),"없음")</f>
        <v>없음</v>
      </c>
      <c r="O126" s="19" t="str">
        <f t="array" ref="O126">IFERROR(INDEX(sales!D:D,MATCH(D126,sales!C:C,0)),"없음")</f>
        <v>없음</v>
      </c>
      <c r="P126" s="19" t="str">
        <f t="array" ref="P126">IFERROR(INDEX(sales!E:E,MATCH(D126,sales!C:C,0)),"없음")</f>
        <v>없음</v>
      </c>
      <c r="Q126" s="19"/>
      <c r="R126" s="19"/>
    </row>
    <row r="127" spans="1:18" ht="13">
      <c r="A127" s="10">
        <v>128</v>
      </c>
      <c r="B127" s="12" t="s">
        <v>502</v>
      </c>
      <c r="C127" s="12" t="s">
        <v>503</v>
      </c>
      <c r="D127" s="12" t="s">
        <v>504</v>
      </c>
      <c r="E127" s="12" t="s">
        <v>505</v>
      </c>
      <c r="F127" s="12" t="s">
        <v>33</v>
      </c>
      <c r="G127" s="12" t="s">
        <v>34</v>
      </c>
      <c r="H127" s="20" t="str">
        <f t="array" ref="H127">IFERROR(INDEX(Lease_List!D:D,MATCH(All_User!D127,Lease_List!H:H,0)),"없음")</f>
        <v>5CD4305D8T</v>
      </c>
      <c r="I127" s="16" t="s">
        <v>28</v>
      </c>
      <c r="J127" s="16"/>
      <c r="K127" s="16" t="str">
        <f t="array" ref="K127">IFERROR(INDEX(Ipad_List!C:C,MATCH(All_User!D127,Ipad_List!J:J,0)),"없음")</f>
        <v>없음</v>
      </c>
      <c r="L127" s="19" t="str">
        <f t="array" ref="L127">IFERROR(INDEX(TeamsNumber!B:B,MATCH(All_User!D127,TeamsNumber!D:D,0)),"없음")</f>
        <v>tel:+82234517625</v>
      </c>
      <c r="M127" s="19" t="str">
        <f t="array" ref="M127">IFERROR(INDEX(Printer!D:D,MATCH(All_User!D127,Printer!H:H,0)),"없음")</f>
        <v>없음</v>
      </c>
      <c r="N127" s="19" t="str">
        <f t="array" ref="N127">IFERROR(INDEX(Monitor!A:A,MATCH(D127,Monitor!D:D,0)),"없음")</f>
        <v>없음</v>
      </c>
      <c r="O127" s="19" t="str">
        <f t="array" ref="O127">IFERROR(INDEX(sales!D:D,MATCH(D127,sales!C:C,0)),"없음")</f>
        <v>없음</v>
      </c>
      <c r="P127" s="19" t="str">
        <f t="array" ref="P127">IFERROR(INDEX(sales!E:E,MATCH(D127,sales!C:C,0)),"없음")</f>
        <v>없음</v>
      </c>
      <c r="Q127" s="19"/>
      <c r="R127" s="19"/>
    </row>
    <row r="128" spans="1:18" ht="13">
      <c r="A128" s="10">
        <v>129</v>
      </c>
      <c r="B128" s="12" t="s">
        <v>506</v>
      </c>
      <c r="C128" s="12" t="s">
        <v>507</v>
      </c>
      <c r="D128" s="12" t="s">
        <v>508</v>
      </c>
      <c r="E128" s="12" t="s">
        <v>509</v>
      </c>
      <c r="F128" s="12" t="s">
        <v>40</v>
      </c>
      <c r="G128" s="12" t="s">
        <v>60</v>
      </c>
      <c r="H128" s="20" t="str">
        <f t="array" ref="H128">IFERROR(INDEX(Lease_List!D:D,MATCH(All_User!D128,Lease_List!H:H,0)),"없음")</f>
        <v>5CD442C077</v>
      </c>
      <c r="I128" s="16" t="s">
        <v>28</v>
      </c>
      <c r="J128" s="16"/>
      <c r="K128" s="16" t="str">
        <f t="array" ref="K128">IFERROR(INDEX(Ipad_List!C:C,MATCH(All_User!D128,Ipad_List!J:J,0)),"없음")</f>
        <v>없음</v>
      </c>
      <c r="L128" s="19" t="str">
        <f t="array" ref="L128">IFERROR(INDEX(TeamsNumber!B:B,MATCH(All_User!D128,TeamsNumber!D:D,0)),"없음")</f>
        <v>tel:+82234517652</v>
      </c>
      <c r="M128" s="19" t="str">
        <f t="array" ref="M128">IFERROR(INDEX(Printer!D:D,MATCH(All_User!D128,Printer!H:H,0)),"없음")</f>
        <v>없음</v>
      </c>
      <c r="N128" s="19" t="str">
        <f t="array" ref="N128">IFERROR(INDEX(Monitor!A:A,MATCH(D128,Monitor!D:D,0)),"없음")</f>
        <v>없음</v>
      </c>
      <c r="O128" s="19" t="str">
        <f t="array" ref="O128">IFERROR(INDEX(sales!D:D,MATCH(D128,sales!C:C,0)),"없음")</f>
        <v>없음</v>
      </c>
      <c r="P128" s="19" t="str">
        <f t="array" ref="P128">IFERROR(INDEX(sales!E:E,MATCH(D128,sales!C:C,0)),"없음")</f>
        <v>없음</v>
      </c>
      <c r="Q128" s="19"/>
      <c r="R128" s="19"/>
    </row>
    <row r="129" spans="1:18" ht="13">
      <c r="A129" s="10">
        <v>130</v>
      </c>
      <c r="B129" s="12" t="s">
        <v>510</v>
      </c>
      <c r="C129" s="12" t="s">
        <v>511</v>
      </c>
      <c r="D129" s="12" t="s">
        <v>512</v>
      </c>
      <c r="E129" s="12" t="s">
        <v>45</v>
      </c>
      <c r="F129" s="12" t="s">
        <v>33</v>
      </c>
      <c r="G129" s="12" t="s">
        <v>46</v>
      </c>
      <c r="H129" s="20" t="str">
        <f t="array" ref="H129">IFERROR(INDEX(Lease_List!D:D,MATCH(All_User!D129,Lease_List!H:H,0)),"없음")</f>
        <v>5CD4232BFR</v>
      </c>
      <c r="I129" s="16" t="s">
        <v>28</v>
      </c>
      <c r="J129" s="16"/>
      <c r="K129" s="16" t="str">
        <f t="array" ref="K129">IFERROR(INDEX(Ipad_List!C:C,MATCH(All_User!D129,Ipad_List!J:J,0)),"없음")</f>
        <v>없음</v>
      </c>
      <c r="L129" s="19" t="str">
        <f t="array" ref="L129">IFERROR(INDEX(TeamsNumber!B:B,MATCH(All_User!D129,TeamsNumber!D:D,0)),"없음")</f>
        <v>tel:+82234517585</v>
      </c>
      <c r="M129" s="19" t="str">
        <f t="array" ref="M129">IFERROR(INDEX(Printer!D:D,MATCH(All_User!D129,Printer!H:H,0)),"없음")</f>
        <v>없음</v>
      </c>
      <c r="N129" s="19" t="str">
        <f t="array" ref="N129">IFERROR(INDEX(Monitor!A:A,MATCH(D129,Monitor!D:D,0)),"없음")</f>
        <v>없음</v>
      </c>
      <c r="O129" s="19" t="str">
        <f t="array" ref="O129">IFERROR(INDEX(sales!D:D,MATCH(D129,sales!C:C,0)),"없음")</f>
        <v>없음</v>
      </c>
      <c r="P129" s="19" t="str">
        <f t="array" ref="P129">IFERROR(INDEX(sales!E:E,MATCH(D129,sales!C:C,0)),"없음")</f>
        <v>없음</v>
      </c>
      <c r="Q129" s="19"/>
      <c r="R129" s="19"/>
    </row>
    <row r="130" spans="1:18" ht="13">
      <c r="A130" s="10">
        <v>131</v>
      </c>
      <c r="B130" s="12" t="s">
        <v>513</v>
      </c>
      <c r="C130" s="12" t="s">
        <v>514</v>
      </c>
      <c r="D130" s="12" t="s">
        <v>515</v>
      </c>
      <c r="E130" s="12" t="s">
        <v>516</v>
      </c>
      <c r="F130" s="12" t="s">
        <v>20</v>
      </c>
      <c r="G130" s="12" t="s">
        <v>175</v>
      </c>
      <c r="H130" s="20" t="str">
        <f t="array" ref="H130">IFERROR(INDEX(Lease_List!D:D,MATCH(All_User!D130,Lease_List!H:H,0)),"없음")</f>
        <v>없음</v>
      </c>
      <c r="I130" s="16" t="s">
        <v>28</v>
      </c>
      <c r="J130" s="16" t="s">
        <v>517</v>
      </c>
      <c r="K130" s="16" t="str">
        <f t="array" ref="K130">IFERROR(INDEX(Ipad_List!C:C,MATCH(All_User!D130,Ipad_List!J:J,0)),"없음")</f>
        <v>GYGG3N90Y4</v>
      </c>
      <c r="L130" s="19" t="str">
        <f t="array" ref="L130">IFERROR(INDEX(TeamsNumber!B:B,MATCH(All_User!D130,TeamsNumber!D:D,0)),"없음")</f>
        <v>tel:+82234517595</v>
      </c>
      <c r="M130" s="19" t="str">
        <f t="array" ref="M130">IFERROR(INDEX(Printer!D:D,MATCH(All_User!D130,Printer!G:G,0)),"없음")</f>
        <v>없음</v>
      </c>
      <c r="N130" s="19" t="str">
        <f t="array" ref="N130">IFERROR(INDEX(Monitor!A:A,MATCH(D130,Monitor!D:D,0)),"없음")</f>
        <v>없음</v>
      </c>
      <c r="O130" s="19" t="str">
        <f t="array" ref="O130">IFERROR(INDEX(sales!D:D,MATCH(D130,sales!C:C,0)),"없음")</f>
        <v>없음</v>
      </c>
      <c r="P130" s="19" t="str">
        <f t="array" ref="P130">IFERROR(INDEX(sales!E:E,MATCH(D130,sales!C:C,0)),"없음")</f>
        <v>없음</v>
      </c>
      <c r="Q130" s="19"/>
      <c r="R130" s="19"/>
    </row>
    <row r="131" spans="1:18" ht="13">
      <c r="A131" s="10">
        <v>132</v>
      </c>
      <c r="B131" s="12" t="s">
        <v>518</v>
      </c>
      <c r="C131" s="12" t="s">
        <v>519</v>
      </c>
      <c r="D131" s="12" t="s">
        <v>520</v>
      </c>
      <c r="E131" s="12" t="s">
        <v>521</v>
      </c>
      <c r="F131" s="12" t="s">
        <v>33</v>
      </c>
      <c r="G131" s="12" t="s">
        <v>46</v>
      </c>
      <c r="H131" s="20" t="str">
        <f t="array" ref="H131">IFERROR(INDEX(Lease_List!D:D,MATCH(All_User!D131,Lease_List!H:H,0)),"없음")</f>
        <v>없음</v>
      </c>
      <c r="I131" s="16" t="s">
        <v>115</v>
      </c>
      <c r="J131" s="16"/>
      <c r="K131" s="16" t="str">
        <f t="array" ref="K131">IFERROR(INDEX(Ipad_List!C:C,MATCH(All_User!D131,Ipad_List!J:J,0)),"없음")</f>
        <v>없음</v>
      </c>
      <c r="L131" s="19" t="str">
        <f t="array" ref="L131">IFERROR(INDEX(TeamsNumber!B:B,MATCH(All_User!D131,TeamsNumber!D:D,0)),"없음")</f>
        <v>tel:+82234517576</v>
      </c>
      <c r="M131" s="19" t="str">
        <f t="array" ref="M131">IFERROR(INDEX(Printer!D:D,MATCH(All_User!D131,Printer!G:G,0)),"없음")</f>
        <v>없음</v>
      </c>
      <c r="N131" s="19" t="str">
        <f t="array" ref="N131">IFERROR(INDEX(Monitor!A:A,MATCH(D131,Monitor!D:D,0)),"없음")</f>
        <v>없음</v>
      </c>
      <c r="O131" s="19" t="str">
        <f t="array" ref="O131">IFERROR(INDEX(sales!D:D,MATCH(D131,sales!C:C,0)),"없음")</f>
        <v>없음</v>
      </c>
      <c r="P131" s="19" t="str">
        <f t="array" ref="P131">IFERROR(INDEX(sales!E:E,MATCH(D131,sales!C:C,0)),"없음")</f>
        <v>없음</v>
      </c>
      <c r="Q131" s="19"/>
      <c r="R131" s="19"/>
    </row>
    <row r="132" spans="1:18" ht="13">
      <c r="A132" s="10">
        <v>133</v>
      </c>
      <c r="B132" s="12" t="s">
        <v>522</v>
      </c>
      <c r="C132" s="12" t="s">
        <v>523</v>
      </c>
      <c r="D132" s="12" t="s">
        <v>524</v>
      </c>
      <c r="E132" s="12" t="s">
        <v>525</v>
      </c>
      <c r="F132" s="12" t="s">
        <v>334</v>
      </c>
      <c r="G132" s="12" t="s">
        <v>335</v>
      </c>
      <c r="H132" s="20" t="str">
        <f t="array" ref="H132">IFERROR(INDEX(Lease_List!D:D,MATCH(All_User!D132,Lease_List!H:H,0)),"없음")</f>
        <v>5CD4305D8R</v>
      </c>
      <c r="I132" s="16" t="s">
        <v>28</v>
      </c>
      <c r="J132" s="16"/>
      <c r="K132" s="16" t="str">
        <f t="array" ref="K132">IFERROR(INDEX(Ipad_List!C:C,MATCH(All_User!D132,Ipad_List!J:J,0)),"없음")</f>
        <v>없음</v>
      </c>
      <c r="L132" s="19" t="str">
        <f t="array" ref="L132">IFERROR(INDEX(TeamsNumber!B:B,MATCH(All_User!D132,TeamsNumber!D:D,0)),"없음")</f>
        <v>tel:+82234517664</v>
      </c>
      <c r="M132" s="19" t="str">
        <f t="array" ref="M132">IFERROR(INDEX(Printer!D:D,MATCH(All_User!D132,Printer!H:H,0)),"없음")</f>
        <v>없음</v>
      </c>
      <c r="N132" s="19" t="str">
        <f t="array" ref="N132">IFERROR(INDEX(Monitor!A:A,MATCH(D132,Monitor!D:D,0)),"없음")</f>
        <v>없음</v>
      </c>
      <c r="O132" s="19" t="str">
        <f t="array" ref="O132">IFERROR(INDEX(sales!D:D,MATCH(D132,sales!C:C,0)),"없음")</f>
        <v>없음</v>
      </c>
      <c r="P132" s="19" t="str">
        <f t="array" ref="P132">IFERROR(INDEX(sales!E:E,MATCH(D132,sales!C:C,0)),"없음")</f>
        <v>없음</v>
      </c>
      <c r="Q132" s="19"/>
      <c r="R132" s="19"/>
    </row>
    <row r="133" spans="1:18" ht="13">
      <c r="A133" s="10">
        <v>135</v>
      </c>
      <c r="B133" s="12" t="s">
        <v>526</v>
      </c>
      <c r="C133" s="12" t="s">
        <v>527</v>
      </c>
      <c r="D133" s="12" t="s">
        <v>528</v>
      </c>
      <c r="E133" s="12" t="s">
        <v>529</v>
      </c>
      <c r="F133" s="12" t="s">
        <v>101</v>
      </c>
      <c r="G133" s="12" t="s">
        <v>102</v>
      </c>
      <c r="H133" s="20" t="str">
        <f t="array" ref="H133">IFERROR(INDEX(Lease_List!D:D,MATCH(All_User!D133,Lease_List!H:H,0)),"없음")</f>
        <v>5CD4145N3S</v>
      </c>
      <c r="I133" s="16" t="s">
        <v>28</v>
      </c>
      <c r="J133" s="16"/>
      <c r="K133" s="16" t="str">
        <f t="array" ref="K133">IFERROR(INDEX(Ipad_List!C:C,MATCH(All_User!D133,Ipad_List!J:J,0)),"없음")</f>
        <v>없음</v>
      </c>
      <c r="L133" s="19" t="str">
        <f t="array" ref="L133">IFERROR(INDEX(TeamsNumber!B:B,MATCH(All_User!D133,TeamsNumber!D:D,0)),"없음")</f>
        <v>tel:+82234517617</v>
      </c>
      <c r="M133" s="19" t="str">
        <f t="array" ref="M133">IFERROR(INDEX(Printer!D:D,MATCH(All_User!D133,Printer!H:H,0)),"없음")</f>
        <v>없음</v>
      </c>
      <c r="N133" s="19" t="str">
        <f t="array" ref="N133">IFERROR(INDEX(Monitor!A:A,MATCH(D133,Monitor!D:D,0)),"없음")</f>
        <v>없음</v>
      </c>
      <c r="O133" s="19" t="str">
        <f t="array" ref="O133">IFERROR(INDEX(sales!D:D,MATCH(D133,sales!C:C,0)),"없음")</f>
        <v>없음</v>
      </c>
      <c r="P133" s="19" t="str">
        <f t="array" ref="P133">IFERROR(INDEX(sales!E:E,MATCH(D133,sales!C:C,0)),"없음")</f>
        <v>없음</v>
      </c>
      <c r="Q133" s="19"/>
      <c r="R133" s="19"/>
    </row>
    <row r="134" spans="1:18" ht="13">
      <c r="A134" s="10">
        <v>136</v>
      </c>
      <c r="B134" s="12" t="s">
        <v>530</v>
      </c>
      <c r="C134" s="12" t="s">
        <v>531</v>
      </c>
      <c r="D134" s="12" t="s">
        <v>532</v>
      </c>
      <c r="E134" s="12" t="s">
        <v>329</v>
      </c>
      <c r="F134" s="12" t="s">
        <v>20</v>
      </c>
      <c r="G134" s="12" t="s">
        <v>75</v>
      </c>
      <c r="H134" s="14" t="str">
        <f t="array" ref="H134">IFERROR(INDEX(Lease_List!D:D,MATCH(All_User!D134,Lease_List!H:H,0)),"없음")</f>
        <v>5CD4145N3L</v>
      </c>
      <c r="I134" s="17" t="s">
        <v>28</v>
      </c>
      <c r="J134" s="16"/>
      <c r="K134" s="17" t="str">
        <f t="array" ref="K134">IFERROR(INDEX(Ipad_List!C:C,MATCH(All_User!D134,Ipad_List!J:J,0)),"없음")</f>
        <v>MXK59D7LPL</v>
      </c>
      <c r="L134" s="18" t="str">
        <f t="array" ref="L134">IFERROR(INDEX(TeamsNumber!B:B,MATCH(All_User!D134,TeamsNumber!D:D,0)),"없음")</f>
        <v>tel:+82234517612</v>
      </c>
      <c r="M134" s="18" t="str">
        <f t="array" ref="M134">IFERROR(INDEX(Printer!D:D,MATCH(All_User!D134,Printer!H:H,0)),"없음")</f>
        <v>SL-C563W</v>
      </c>
      <c r="N134" s="19" t="str">
        <f t="array" ref="N134">IFERROR(INDEX(Monitor!A:A,MATCH(D134,Monitor!D:D,0)),"없음")</f>
        <v>없음</v>
      </c>
      <c r="O134" s="19" t="str">
        <f t="array" ref="O134">IFERROR(INDEX(sales!D:D,MATCH(D134,sales!C:C,0)),"없음")</f>
        <v>MedSurg</v>
      </c>
      <c r="P134" s="19" t="str">
        <f t="array" ref="P134">IFERROR(INDEX(sales!E:E,MATCH(D134,sales!C:C,0)),"없음")</f>
        <v>Sales</v>
      </c>
      <c r="Q134" s="19" t="str">
        <f t="array" ref="Q134">IFERROR(INDEX(sales!C:C,MATCH(D134,sales!C:C,0)),"list없음")</f>
        <v>ethan.na@stryker.com</v>
      </c>
      <c r="R134" s="19"/>
    </row>
    <row r="135" spans="1:18" ht="13">
      <c r="A135" s="10">
        <v>137</v>
      </c>
      <c r="B135" s="12" t="s">
        <v>533</v>
      </c>
      <c r="C135" s="12" t="s">
        <v>534</v>
      </c>
      <c r="D135" s="12" t="s">
        <v>535</v>
      </c>
      <c r="E135" s="12" t="s">
        <v>122</v>
      </c>
      <c r="F135" s="12" t="s">
        <v>20</v>
      </c>
      <c r="G135" s="12" t="s">
        <v>75</v>
      </c>
      <c r="H135" s="14" t="str">
        <f t="array" ref="H135">IFERROR(INDEX(Lease_List!D:D,MATCH(All_User!D135,Lease_List!H:H,0)),"없음")</f>
        <v>5CD3469HD9</v>
      </c>
      <c r="I135" s="17" t="s">
        <v>28</v>
      </c>
      <c r="J135" s="16"/>
      <c r="K135" s="17" t="str">
        <f t="array" ref="K135">IFERROR(INDEX(Ipad_List!C:C,MATCH(All_User!D135,Ipad_List!J:J,0)),"없음")</f>
        <v>GXDWV9GT62</v>
      </c>
      <c r="L135" s="18" t="str">
        <f t="array" ref="L135">IFERROR(INDEX(TeamsNumber!B:B,MATCH(All_User!D135,TeamsNumber!D:D,0)),"없음")</f>
        <v>tel:+82234517532</v>
      </c>
      <c r="M135" s="18" t="str">
        <f t="array" ref="M135">IFERROR(INDEX(Printer!D:D,MATCH(All_User!D135,Printer!H:H,0)),"없음")</f>
        <v>SL-C486FW</v>
      </c>
      <c r="N135" s="19" t="str">
        <f t="array" ref="N135">IFERROR(INDEX(Monitor!A:A,MATCH(D135,Monitor!D:D,0)),"없음")</f>
        <v>없음</v>
      </c>
      <c r="O135" s="19" t="str">
        <f t="array" ref="O135">IFERROR(INDEX(sales!D:D,MATCH(D135,sales!C:C,0)),"없음")</f>
        <v>Shoulder</v>
      </c>
      <c r="P135" s="19" t="str">
        <f t="array" ref="P135">IFERROR(INDEX(sales!E:E,MATCH(D135,sales!C:C,0)),"없음")</f>
        <v>Sales</v>
      </c>
      <c r="Q135" s="19" t="str">
        <f t="array" ref="Q135">IFERROR(INDEX(sales!C:C,MATCH(D135,sales!C:C,0)),"list없음")</f>
        <v>david.oh@stryker.com</v>
      </c>
      <c r="R135" s="19"/>
    </row>
    <row r="136" spans="1:18" ht="13">
      <c r="A136" s="10">
        <v>138</v>
      </c>
      <c r="B136" s="12" t="s">
        <v>536</v>
      </c>
      <c r="C136" s="12" t="s">
        <v>537</v>
      </c>
      <c r="D136" s="12" t="s">
        <v>538</v>
      </c>
      <c r="E136" s="12" t="s">
        <v>539</v>
      </c>
      <c r="F136" s="12" t="s">
        <v>20</v>
      </c>
      <c r="G136" s="12" t="s">
        <v>175</v>
      </c>
      <c r="H136" s="20" t="str">
        <f t="array" ref="H136">IFERROR(INDEX(Lease_List!D:D,MATCH(All_User!D136,Lease_List!H:H,0)),"없음")</f>
        <v>5CD4232BFC</v>
      </c>
      <c r="I136" s="16" t="s">
        <v>28</v>
      </c>
      <c r="J136" s="16"/>
      <c r="K136" s="16" t="str">
        <f t="array" ref="K136">IFERROR(INDEX(Ipad_List!C:C,MATCH(All_User!D136,Ipad_List!J:J,0)),"없음")</f>
        <v>MP2C9F46FN</v>
      </c>
      <c r="L136" s="19" t="str">
        <f t="array" ref="L136">IFERROR(INDEX(TeamsNumber!B:B,MATCH(All_User!D136,TeamsNumber!D:D,0)),"없음")</f>
        <v>tel:+82234517545</v>
      </c>
      <c r="M136" s="19" t="str">
        <f t="array" ref="M136">IFERROR(INDEX(Printer!D:D,MATCH(All_User!D136,Printer!H:H,0)),"없음")</f>
        <v>없음</v>
      </c>
      <c r="N136" s="19" t="str">
        <f t="array" ref="N136">IFERROR(INDEX(Monitor!A:A,MATCH(D136,Monitor!D:D,0)),"없음")</f>
        <v>없음</v>
      </c>
      <c r="O136" s="19" t="s">
        <v>540</v>
      </c>
      <c r="P136" s="19" t="s">
        <v>541</v>
      </c>
      <c r="Q136" s="19"/>
      <c r="R136" s="19"/>
    </row>
    <row r="137" spans="1:18" ht="13">
      <c r="A137" s="10">
        <v>139</v>
      </c>
      <c r="B137" s="12" t="s">
        <v>542</v>
      </c>
      <c r="C137" s="12" t="s">
        <v>543</v>
      </c>
      <c r="D137" s="12" t="s">
        <v>544</v>
      </c>
      <c r="E137" s="12" t="s">
        <v>545</v>
      </c>
      <c r="F137" s="12" t="s">
        <v>20</v>
      </c>
      <c r="G137" s="12" t="s">
        <v>75</v>
      </c>
      <c r="H137" s="14" t="str">
        <f t="array" ref="H137">IFERROR(INDEX(Lease_List!D:D,MATCH(All_User!D137,Lease_List!H:H,0)),"없음")</f>
        <v>5CD4232BFQ</v>
      </c>
      <c r="I137" s="17" t="s">
        <v>546</v>
      </c>
      <c r="J137" s="16"/>
      <c r="K137" s="17" t="str">
        <f t="array" ref="K137">IFERROR(INDEX(Ipad_List!C:C,MATCH(All_User!D137,Ipad_List!J:J,0)),"없음")</f>
        <v>MX224565CF</v>
      </c>
      <c r="L137" s="18" t="str">
        <f t="array" ref="L137">IFERROR(INDEX(TeamsNumber!B:B,MATCH(All_User!D137,TeamsNumber!D:D,0)),"없음")</f>
        <v>tel:+82234517624</v>
      </c>
      <c r="M137" s="18" t="str">
        <f t="array" ref="M137">IFERROR(INDEX(Printer!D:D,MATCH(All_User!D137,Printer!G:G,0)),"없음")</f>
        <v>없음</v>
      </c>
      <c r="N137" s="19" t="str">
        <f t="array" ref="N137">IFERROR(INDEX(Monitor!A:A,MATCH(D137,Monitor!D:D,0)),"없음")</f>
        <v>없음</v>
      </c>
      <c r="O137" s="19" t="str">
        <f t="array" ref="O137">IFERROR(INDEX(sales!D:D,MATCH(D137,sales!C:C,0)),"없음")</f>
        <v>Shoulder</v>
      </c>
      <c r="P137" s="19" t="str">
        <f t="array" ref="P137">IFERROR(INDEX(sales!E:E,MATCH(D137,sales!C:C,0)),"없음")</f>
        <v>Sales</v>
      </c>
      <c r="Q137" s="19" t="str">
        <f t="array" ref="Q137">IFERROR(INDEX(sales!C:C,MATCH(D137,sales!C:C,0)),"list없음")</f>
        <v>mason.oh@stryker.com</v>
      </c>
      <c r="R137" s="19"/>
    </row>
    <row r="138" spans="1:18" ht="15">
      <c r="A138" s="10">
        <v>140</v>
      </c>
      <c r="B138" s="12" t="s">
        <v>547</v>
      </c>
      <c r="C138" s="12" t="s">
        <v>548</v>
      </c>
      <c r="D138" s="12" t="s">
        <v>549</v>
      </c>
      <c r="E138" s="12" t="s">
        <v>550</v>
      </c>
      <c r="F138" s="12" t="s">
        <v>20</v>
      </c>
      <c r="G138" s="12" t="s">
        <v>134</v>
      </c>
      <c r="H138" s="20" t="str">
        <f t="array" ref="H138">IFERROR(INDEX(Lease_List!D:D,MATCH(All_User!D138,Lease_List!H:H,0)),"없음")</f>
        <v>없음</v>
      </c>
      <c r="I138" s="42" t="s">
        <v>551</v>
      </c>
      <c r="J138" s="16"/>
      <c r="K138" s="16" t="str">
        <f t="array" ref="K138">IFERROR(INDEX(Ipad_List!C:C,MATCH(All_User!D138,Ipad_List!J:J,0)),"없음")</f>
        <v>없음</v>
      </c>
      <c r="L138" s="19" t="str">
        <f t="array" ref="L138">IFERROR(INDEX(TeamsNumber!B:B,MATCH(All_User!D138,TeamsNumber!D:D,0)),"없음")</f>
        <v>tel:+82234517683</v>
      </c>
      <c r="M138" s="19" t="str">
        <f t="array" ref="M138">IFERROR(INDEX(Printer!D:D,MATCH(All_User!D138,Printer!G:G,0)),"없음")</f>
        <v>없음</v>
      </c>
      <c r="N138" s="19" t="str">
        <f t="array" ref="N138">IFERROR(INDEX(Monitor!A:A,MATCH(D138,Monitor!D:D,0)),"없음")</f>
        <v>없음</v>
      </c>
      <c r="O138" s="19">
        <f t="array" ref="O138">IFERROR(INDEX(sales!D:D,MATCH(D138,sales!C:C,0)),"없음")</f>
        <v>0</v>
      </c>
      <c r="P138" s="19" t="str">
        <f t="array" ref="P138">IFERROR(INDEX(sales!E:E,MATCH(D138,sales!C:C,0)),"없음")</f>
        <v>MKT</v>
      </c>
      <c r="Q138" s="19"/>
      <c r="R138" s="19"/>
    </row>
    <row r="139" spans="1:18" ht="13">
      <c r="A139" s="10">
        <v>141</v>
      </c>
      <c r="B139" s="12" t="s">
        <v>552</v>
      </c>
      <c r="C139" s="12" t="s">
        <v>553</v>
      </c>
      <c r="D139" s="12" t="s">
        <v>554</v>
      </c>
      <c r="E139" s="12" t="s">
        <v>555</v>
      </c>
      <c r="F139" s="12" t="s">
        <v>65</v>
      </c>
      <c r="G139" s="12" t="s">
        <v>309</v>
      </c>
      <c r="H139" s="20" t="str">
        <f t="array" ref="H139">IFERROR(INDEX(Lease_List!D:D,MATCH(All_User!D139,Lease_List!H:H,0)),"없음")</f>
        <v>5CD4232BFB</v>
      </c>
      <c r="I139" s="16" t="s">
        <v>28</v>
      </c>
      <c r="J139" s="16"/>
      <c r="K139" s="16" t="str">
        <f t="array" ref="K139">IFERROR(INDEX(Ipad_List!C:C,MATCH(All_User!D139,Ipad_List!J:J,0)),"없음")</f>
        <v>없음</v>
      </c>
      <c r="L139" s="19" t="str">
        <f t="array" ref="L139">IFERROR(INDEX(TeamsNumber!B:B,MATCH(All_User!D139,TeamsNumber!D:D,0)),"없음")</f>
        <v>tel:+82234517564</v>
      </c>
      <c r="M139" s="19" t="str">
        <f t="array" ref="M139">IFERROR(INDEX(Printer!D:D,MATCH(All_User!D139,Printer!H:H,0)),"없음")</f>
        <v>없음</v>
      </c>
      <c r="N139" s="19" t="str">
        <f t="array" ref="N139">IFERROR(INDEX(Monitor!A:A,MATCH(D139,Monitor!D:D,0)),"없음")</f>
        <v>없음</v>
      </c>
      <c r="O139" s="19" t="str">
        <f t="array" ref="O139">IFERROR(INDEX(sales!D:D,MATCH(D139,sales!C:C,0)),"없음")</f>
        <v>없음</v>
      </c>
      <c r="P139" s="19" t="str">
        <f t="array" ref="P139">IFERROR(INDEX(sales!E:E,MATCH(D139,sales!C:C,0)),"없음")</f>
        <v>없음</v>
      </c>
      <c r="Q139" s="19"/>
      <c r="R139" s="19"/>
    </row>
    <row r="140" spans="1:18" ht="13">
      <c r="A140" s="32">
        <v>142</v>
      </c>
      <c r="B140" s="33" t="s">
        <v>556</v>
      </c>
      <c r="C140" s="33" t="s">
        <v>557</v>
      </c>
      <c r="D140" s="33" t="s">
        <v>558</v>
      </c>
      <c r="E140" s="33" t="s">
        <v>559</v>
      </c>
      <c r="F140" s="33" t="s">
        <v>20</v>
      </c>
      <c r="G140" s="33" t="s">
        <v>80</v>
      </c>
      <c r="H140" s="20" t="str">
        <f t="array" ref="H140">IFERROR(INDEX(Lease_List!D:D,MATCH(All_User!D140,Lease_List!H:H,0)),"없음")</f>
        <v>5CG53403D4</v>
      </c>
      <c r="I140" s="16" t="s">
        <v>28</v>
      </c>
      <c r="J140" s="16" t="s">
        <v>560</v>
      </c>
      <c r="K140" s="16" t="str">
        <f t="array" ref="K140">IFERROR(INDEX(Ipad_List!C:C,MATCH(All_User!D140,Ipad_List!J:J,0)),"없음")</f>
        <v>없음</v>
      </c>
      <c r="L140" s="19" t="str">
        <f t="array" ref="L140">IFERROR(INDEX(TeamsNumber!B:B,MATCH(All_User!D140,TeamsNumber!D:D,0)),"없음")</f>
        <v>tel:+82234517609</v>
      </c>
      <c r="M140" s="19" t="str">
        <f t="array" ref="M140">IFERROR(INDEX(Printer!D:D,MATCH(All_User!D140,Printer!G:G,0)),"없음")</f>
        <v>없음</v>
      </c>
      <c r="N140" s="19" t="str">
        <f t="array" ref="N140">IFERROR(INDEX(Monitor!A:A,MATCH(D140,Monitor!D:D,0)),"없음")</f>
        <v>LCD 모니터</v>
      </c>
      <c r="O140" s="19" t="str">
        <f t="array" ref="O140">IFERROR(INDEX(sales!D:D,MATCH(D140,sales!C:C,0)),"없음")</f>
        <v>Mako</v>
      </c>
      <c r="P140" s="19" t="str">
        <f t="array" ref="P140">IFERROR(INDEX(sales!E:E,MATCH(D140,sales!C:C,0)),"없음")</f>
        <v>Sales</v>
      </c>
      <c r="Q140" s="19"/>
      <c r="R140" s="19"/>
    </row>
    <row r="141" spans="1:18" ht="13">
      <c r="A141" s="10">
        <v>143</v>
      </c>
      <c r="B141" s="12" t="s">
        <v>561</v>
      </c>
      <c r="C141" s="12" t="s">
        <v>562</v>
      </c>
      <c r="D141" s="12" t="s">
        <v>563</v>
      </c>
      <c r="E141" s="12" t="s">
        <v>564</v>
      </c>
      <c r="F141" s="12" t="s">
        <v>20</v>
      </c>
      <c r="G141" s="12" t="s">
        <v>21</v>
      </c>
      <c r="H141" s="14" t="str">
        <f t="array" ref="H141">IFERROR(INDEX(Lease_List!D:D,MATCH(All_User!D141,Lease_List!H:H,0)),"없음")</f>
        <v>5CD5179KHL</v>
      </c>
      <c r="I141" s="17" t="s">
        <v>565</v>
      </c>
      <c r="J141" s="16"/>
      <c r="K141" s="17" t="str">
        <f t="array" ref="K141">IFERROR(INDEX(Ipad_List!C:C,MATCH(All_User!D141,Ipad_List!J:J,0)),"없음")</f>
        <v>VCF25MJ6YY</v>
      </c>
      <c r="L141" s="18" t="str">
        <f t="array" ref="L141">IFERROR(INDEX(TeamsNumber!B:B,MATCH(All_User!D141,TeamsNumber!D:D,0)),"없음")</f>
        <v>tel:+82234517684</v>
      </c>
      <c r="M141" s="18" t="str">
        <f t="array" ref="M141">IFERROR(INDEX(Printer!D:D,MATCH(All_User!D141,Printer!H:H,0)),"없음")</f>
        <v>반납</v>
      </c>
      <c r="N141" s="19" t="str">
        <f t="array" ref="N141">IFERROR(INDEX(Monitor!A:A,MATCH(D141,Monitor!D:D,0)),"없음")</f>
        <v>없음</v>
      </c>
      <c r="O141" s="19" t="str">
        <f t="array" ref="O141">IFERROR(INDEX(sales!D:D,MATCH(D141,sales!C:C,0)),"없음")</f>
        <v>NV</v>
      </c>
      <c r="P141" s="19" t="str">
        <f t="array" ref="P141">IFERROR(INDEX(sales!E:E,MATCH(D141,sales!C:C,0)),"없음")</f>
        <v>NV</v>
      </c>
      <c r="Q141" s="19" t="str">
        <f t="array" ref="Q141">IFERROR(INDEX(sales!C:C,MATCH(D141,sales!C:C,0)),"list없음")</f>
        <v>tyler.park@stryker.com</v>
      </c>
      <c r="R141" s="19"/>
    </row>
    <row r="142" spans="1:18" ht="13">
      <c r="A142" s="10">
        <v>144</v>
      </c>
      <c r="B142" s="12" t="s">
        <v>566</v>
      </c>
      <c r="C142" s="12" t="s">
        <v>567</v>
      </c>
      <c r="D142" s="12" t="s">
        <v>568</v>
      </c>
      <c r="E142" s="12" t="s">
        <v>569</v>
      </c>
      <c r="F142" s="12" t="s">
        <v>20</v>
      </c>
      <c r="G142" s="12" t="s">
        <v>134</v>
      </c>
      <c r="H142" s="14" t="str">
        <f t="array" ref="H142">IFERROR(INDEX(Lease_List!D:D,MATCH(All_User!D142,Lease_List!H:H,0)),"없음")</f>
        <v>5CD4305D84</v>
      </c>
      <c r="I142" s="17" t="s">
        <v>28</v>
      </c>
      <c r="J142" s="16"/>
      <c r="K142" s="17" t="str">
        <f t="array" ref="K142">IFERROR(INDEX(Ipad_List!C:C,MATCH(All_User!D142,Ipad_List!J:J,0)),"없음")</f>
        <v>TK79FYYWPV</v>
      </c>
      <c r="L142" s="18" t="str">
        <f t="array" ref="L142">IFERROR(INDEX(TeamsNumber!B:B,MATCH(All_User!D142,TeamsNumber!D:D,0)),"없음")</f>
        <v>tel:+82234517679</v>
      </c>
      <c r="M142" s="18" t="str">
        <f t="array" ref="M142">IFERROR(INDEX(Printer!D:D,MATCH(All_User!D142,Printer!H:H,0)),"없음")</f>
        <v>없음</v>
      </c>
      <c r="N142" s="19" t="str">
        <f t="array" ref="N142">IFERROR(INDEX(Monitor!A:A,MATCH(D142,Monitor!D:D,0)),"없음")</f>
        <v>없음</v>
      </c>
      <c r="O142" s="19">
        <f t="array" ref="O142">IFERROR(INDEX(sales!D:D,MATCH(D142,sales!C:C,0)),"없음")</f>
        <v>0</v>
      </c>
      <c r="P142" s="19" t="str">
        <f t="array" ref="P142">IFERROR(INDEX(sales!E:E,MATCH(D142,sales!C:C,0)),"없음")</f>
        <v>MKT</v>
      </c>
      <c r="Q142" s="19" t="str">
        <f t="array" ref="Q142">IFERROR(INDEX(sales!C:C,MATCH(D142,sales!C:C,0)),"list없음")</f>
        <v>julie.park@stryker.com</v>
      </c>
      <c r="R142" s="19"/>
    </row>
    <row r="143" spans="1:18" ht="15">
      <c r="A143" s="10">
        <v>145</v>
      </c>
      <c r="B143" s="43" t="s">
        <v>570</v>
      </c>
      <c r="C143" s="12" t="s">
        <v>571</v>
      </c>
      <c r="D143" s="12" t="s">
        <v>572</v>
      </c>
      <c r="E143" s="12" t="s">
        <v>573</v>
      </c>
      <c r="F143" s="12" t="s">
        <v>303</v>
      </c>
      <c r="G143" s="12" t="s">
        <v>304</v>
      </c>
      <c r="H143" s="20" t="str">
        <f t="array" ref="H143">IFERROR(INDEX(Lease_List!D:D,MATCH(All_User!D143,Lease_List!H:H,0)),"없음")</f>
        <v>5CD5062YDX</v>
      </c>
      <c r="I143" s="16" t="s">
        <v>28</v>
      </c>
      <c r="J143" s="16"/>
      <c r="K143" s="16" t="str">
        <f t="array" ref="K143">IFERROR(INDEX(Ipad_List!C:C,MATCH(All_User!D143,Ipad_List!J:J,0)),"없음")</f>
        <v>없음</v>
      </c>
      <c r="L143" s="19" t="str">
        <f t="array" ref="L143">IFERROR(INDEX(TeamsNumber!B:B,MATCH(All_User!D143,TeamsNumber!D:D,0)),"없음")</f>
        <v>tel:+82234517673</v>
      </c>
      <c r="M143" s="19" t="str">
        <f t="array" ref="M143">IFERROR(INDEX(Printer!D:D,MATCH(All_User!D143,Printer!H:H,0)),"없음")</f>
        <v>없음</v>
      </c>
      <c r="N143" s="19" t="str">
        <f t="array" ref="N143">IFERROR(INDEX(Monitor!A:A,MATCH(D143,Monitor!D:D,0)),"없음")</f>
        <v>없음</v>
      </c>
      <c r="O143" s="19" t="str">
        <f t="array" ref="O143">IFERROR(INDEX(sales!D:D,MATCH(D143,sales!C:C,0)),"없음")</f>
        <v>없음</v>
      </c>
      <c r="P143" s="19" t="str">
        <f t="array" ref="P143">IFERROR(INDEX(sales!E:E,MATCH(D143,sales!C:C,0)),"없음")</f>
        <v>없음</v>
      </c>
      <c r="Q143" s="19"/>
      <c r="R143" s="19"/>
    </row>
    <row r="144" spans="1:18" ht="13">
      <c r="A144" s="10">
        <v>146</v>
      </c>
      <c r="B144" s="12" t="s">
        <v>574</v>
      </c>
      <c r="C144" s="12" t="s">
        <v>575</v>
      </c>
      <c r="D144" s="12" t="s">
        <v>576</v>
      </c>
      <c r="E144" s="12" t="s">
        <v>577</v>
      </c>
      <c r="F144" s="12" t="s">
        <v>40</v>
      </c>
      <c r="G144" s="12" t="s">
        <v>578</v>
      </c>
      <c r="H144" s="20" t="str">
        <f t="array" ref="H144">IFERROR(INDEX(Lease_List!D:D,MATCH(All_User!D144,Lease_List!H:H,0)),"없음")</f>
        <v>5CD4145N3T</v>
      </c>
      <c r="I144" s="16" t="s">
        <v>579</v>
      </c>
      <c r="J144" s="16"/>
      <c r="K144" s="16" t="str">
        <f t="array" ref="K144">IFERROR(INDEX(Ipad_List!C:C,MATCH(All_User!D144,Ipad_List!J:J,0)),"없음")</f>
        <v>없음</v>
      </c>
      <c r="L144" s="19" t="str">
        <f t="array" ref="L144">IFERROR(INDEX(TeamsNumber!B:B,MATCH(All_User!D144,TeamsNumber!D:D,0)),"없음")</f>
        <v>tel:+82234517663</v>
      </c>
      <c r="M144" s="19" t="str">
        <f t="array" ref="M144">IFERROR(INDEX(Printer!D:D,MATCH(All_User!D144,Printer!H:H,0)),"없음")</f>
        <v>없음</v>
      </c>
      <c r="N144" s="19" t="str">
        <f t="array" ref="N144">IFERROR(INDEX(Monitor!A:A,MATCH(D144,Monitor!D:D,0)),"없음")</f>
        <v>LCD 모니터</v>
      </c>
      <c r="O144" s="19" t="str">
        <f t="array" ref="O144">IFERROR(INDEX(sales!D:D,MATCH(D144,sales!C:C,0)),"없음")</f>
        <v>없음</v>
      </c>
      <c r="P144" s="19" t="str">
        <f t="array" ref="P144">IFERROR(INDEX(sales!E:E,MATCH(D144,sales!C:C,0)),"없음")</f>
        <v>없음</v>
      </c>
      <c r="Q144" s="19"/>
      <c r="R144" s="19"/>
    </row>
    <row r="145" spans="1:18" ht="13">
      <c r="A145" s="10">
        <v>147</v>
      </c>
      <c r="B145" s="12" t="s">
        <v>580</v>
      </c>
      <c r="C145" s="12" t="s">
        <v>581</v>
      </c>
      <c r="D145" s="12" t="s">
        <v>582</v>
      </c>
      <c r="E145" s="12" t="s">
        <v>70</v>
      </c>
      <c r="F145" s="12" t="s">
        <v>20</v>
      </c>
      <c r="G145" s="12" t="s">
        <v>27</v>
      </c>
      <c r="H145" s="14" t="str">
        <f t="array" ref="H145">IFERROR(INDEX(Lease_List!D:D,MATCH(All_User!D145,Lease_List!H:H,0)),"없음")</f>
        <v>5CD3469HD5</v>
      </c>
      <c r="I145" s="17" t="s">
        <v>28</v>
      </c>
      <c r="J145" s="16"/>
      <c r="K145" s="17" t="str">
        <f t="array" ref="K145">IFERROR(INDEX(Ipad_List!C:C,MATCH(All_User!D145,Ipad_List!J:J,0)),"없음")</f>
        <v>DY5F770LQ3</v>
      </c>
      <c r="L145" s="18" t="str">
        <f t="array" ref="L145">IFERROR(INDEX(TeamsNumber!B:B,MATCH(All_User!D145,TeamsNumber!D:D,0)),"없음")</f>
        <v>tel:+82234517578</v>
      </c>
      <c r="M145" s="18" t="str">
        <f t="array" ref="M145">IFERROR(INDEX(Printer!D:D,MATCH(All_User!D145,Printer!H:H,0)),"없음")</f>
        <v>없음</v>
      </c>
      <c r="N145" s="19" t="str">
        <f t="array" ref="N145">IFERROR(INDEX(Monitor!A:A,MATCH(D145,Monitor!D:D,0)),"없음")</f>
        <v>없음</v>
      </c>
      <c r="O145" s="19" t="str">
        <f t="array" ref="O145">IFERROR(INDEX(sales!D:D,MATCH(D145,sales!C:C,0)),"없음")</f>
        <v>Mako</v>
      </c>
      <c r="P145" s="19" t="str">
        <f t="array" ref="P145">IFERROR(INDEX(sales!E:E,MATCH(D145,sales!C:C,0)),"없음")</f>
        <v>MPS</v>
      </c>
      <c r="Q145" s="19" t="str">
        <f t="array" ref="Q145">IFERROR(INDEX(sales!C:C,MATCH(D145,sales!C:C,0)),"list없음")</f>
        <v>jackson.park@stryker.com</v>
      </c>
      <c r="R145" s="19"/>
    </row>
    <row r="146" spans="1:18" ht="13">
      <c r="A146" s="10">
        <v>148</v>
      </c>
      <c r="B146" s="12" t="s">
        <v>583</v>
      </c>
      <c r="C146" s="12" t="s">
        <v>584</v>
      </c>
      <c r="D146" s="12" t="s">
        <v>585</v>
      </c>
      <c r="E146" s="12" t="s">
        <v>207</v>
      </c>
      <c r="F146" s="12" t="s">
        <v>33</v>
      </c>
      <c r="G146" s="12" t="s">
        <v>34</v>
      </c>
      <c r="H146" s="14" t="str">
        <f t="array" ref="H146">IFERROR(INDEX(Lease_List!D:D,MATCH(All_User!D146,Lease_List!H:H,0)),"없음")</f>
        <v>5CD3469HDC</v>
      </c>
      <c r="I146" s="17" t="s">
        <v>28</v>
      </c>
      <c r="J146" s="16"/>
      <c r="K146" s="17" t="str">
        <f t="array" ref="K146">IFERROR(INDEX(Ipad_List!C:C,MATCH(All_User!D146,Ipad_List!J:J,0)),"없음")</f>
        <v>DP77MWKXNR</v>
      </c>
      <c r="L146" s="18" t="str">
        <f t="array" ref="L146">IFERROR(INDEX(TeamsNumber!B:B,MATCH(All_User!D146,TeamsNumber!D:D,0)),"없음")</f>
        <v>tel:+82234517672</v>
      </c>
      <c r="M146" s="18" t="str">
        <f t="array" ref="M146">IFERROR(INDEX(Printer!D:D,MATCH(All_User!D146,Printer!H:H,0)),"없음")</f>
        <v>없음</v>
      </c>
      <c r="N146" s="19" t="str">
        <f t="array" ref="N146">IFERROR(INDEX(Monitor!A:A,MATCH(D146,Monitor!D:D,0)),"없음")</f>
        <v>없음</v>
      </c>
      <c r="O146" s="19">
        <f t="array" ref="O146">IFERROR(INDEX(sales!D:D,MATCH(D146,sales!C:C,0)),"없음")</f>
        <v>0</v>
      </c>
      <c r="P146" s="19" t="str">
        <f t="array" ref="P146">IFERROR(INDEX(sales!E:E,MATCH(D146,sales!C:C,0)),"없음")</f>
        <v>TS</v>
      </c>
      <c r="Q146" s="19" t="str">
        <f t="array" ref="Q146">IFERROR(INDEX(sales!C:C,MATCH(D146,sales!C:C,0)),"list없음")</f>
        <v>owen.park@stryker.com</v>
      </c>
      <c r="R146" s="19"/>
    </row>
    <row r="147" spans="1:18" ht="13">
      <c r="A147" s="10">
        <v>149</v>
      </c>
      <c r="B147" s="12" t="s">
        <v>586</v>
      </c>
      <c r="C147" s="12" t="s">
        <v>587</v>
      </c>
      <c r="D147" s="12" t="s">
        <v>588</v>
      </c>
      <c r="E147" s="12" t="s">
        <v>589</v>
      </c>
      <c r="F147" s="12" t="s">
        <v>101</v>
      </c>
      <c r="G147" s="12" t="s">
        <v>364</v>
      </c>
      <c r="H147" s="20" t="str">
        <f t="array" ref="H147">IFERROR(INDEX(Lease_List!D:D,MATCH(All_User!D147,Lease_List!H:H,0)),"없음")</f>
        <v>5CD3469HD4</v>
      </c>
      <c r="I147" s="16" t="s">
        <v>28</v>
      </c>
      <c r="J147" s="16"/>
      <c r="K147" s="16" t="str">
        <f t="array" ref="K147">IFERROR(INDEX(Ipad_List!C:C,MATCH(All_User!D147,Ipad_List!J:J,0)),"없음")</f>
        <v>없음</v>
      </c>
      <c r="L147" s="19" t="str">
        <f t="array" ref="L147">IFERROR(INDEX(TeamsNumber!B:B,MATCH(All_User!D147,TeamsNumber!D:D,0)),"없음")</f>
        <v>tel:+82234517544</v>
      </c>
      <c r="M147" s="19" t="str">
        <f t="array" ref="M147">IFERROR(INDEX(Printer!D:D,MATCH(All_User!D147,Printer!H:H,0)),"없음")</f>
        <v>없음</v>
      </c>
      <c r="N147" s="19" t="str">
        <f t="array" ref="N147">IFERROR(INDEX(Monitor!A:A,MATCH(D147,Monitor!D:D,0)),"없음")</f>
        <v>LCD 모니터</v>
      </c>
      <c r="O147" s="19" t="str">
        <f t="array" ref="O147">IFERROR(INDEX(sales!D:D,MATCH(D147,sales!C:C,0)),"없음")</f>
        <v>없음</v>
      </c>
      <c r="P147" s="19" t="str">
        <f t="array" ref="P147">IFERROR(INDEX(sales!E:E,MATCH(D147,sales!C:C,0)),"없음")</f>
        <v>없음</v>
      </c>
      <c r="Q147" s="19"/>
      <c r="R147" s="19"/>
    </row>
    <row r="148" spans="1:18" ht="13">
      <c r="A148" s="10">
        <v>150</v>
      </c>
      <c r="B148" s="12" t="s">
        <v>590</v>
      </c>
      <c r="C148" s="12" t="s">
        <v>591</v>
      </c>
      <c r="D148" s="12" t="s">
        <v>592</v>
      </c>
      <c r="E148" s="12" t="s">
        <v>74</v>
      </c>
      <c r="F148" s="12" t="s">
        <v>20</v>
      </c>
      <c r="G148" s="12" t="s">
        <v>75</v>
      </c>
      <c r="H148" s="14" t="str">
        <f t="array" ref="H148">IFERROR(INDEX(Lease_List!D:D,MATCH(All_User!D148,Lease_List!H:H,0)),"없음")</f>
        <v>없음</v>
      </c>
      <c r="I148" s="17" t="s">
        <v>28</v>
      </c>
      <c r="J148" s="16" t="s">
        <v>593</v>
      </c>
      <c r="K148" s="17" t="str">
        <f t="array" ref="K148">IFERROR(INDEX(Ipad_List!C:C,MATCH(All_User!D148,Ipad_List!J:J,0)),"없음")</f>
        <v>GXK670F7DH</v>
      </c>
      <c r="L148" s="18" t="str">
        <f t="array" ref="L148">IFERROR(INDEX(TeamsNumber!B:B,MATCH(All_User!D148,TeamsNumber!D:D,0)),"없음")</f>
        <v>tel:+82234517608</v>
      </c>
      <c r="M148" s="18" t="str">
        <f t="array" ref="M148">IFERROR(INDEX(Printer!D:D,MATCH(All_User!D148,Printer!G:G,0)),"없음")</f>
        <v>없음</v>
      </c>
      <c r="N148" s="19" t="str">
        <f t="array" ref="N148">IFERROR(INDEX(Monitor!A:A,MATCH(D148,Monitor!D:D,0)),"없음")</f>
        <v>없음</v>
      </c>
      <c r="O148" s="19" t="str">
        <f t="array" ref="O148">IFERROR(INDEX(sales!D:D,MATCH(D148,sales!C:C,0)),"없음")</f>
        <v>Shoulder</v>
      </c>
      <c r="P148" s="19" t="str">
        <f t="array" ref="P148">IFERROR(INDEX(sales!E:E,MATCH(D148,sales!C:C,0)),"없음")</f>
        <v>Sales</v>
      </c>
      <c r="Q148" s="19" t="str">
        <f t="array" ref="Q148">IFERROR(INDEX(sales!C:C,MATCH(D148,sales!C:C,0)),"list없음")</f>
        <v>peter.park@stryker.com</v>
      </c>
      <c r="R148" s="19"/>
    </row>
    <row r="149" spans="1:18" ht="13">
      <c r="A149" s="10">
        <v>151</v>
      </c>
      <c r="B149" s="12" t="s">
        <v>594</v>
      </c>
      <c r="C149" s="12" t="s">
        <v>595</v>
      </c>
      <c r="D149" s="12" t="s">
        <v>596</v>
      </c>
      <c r="E149" s="12" t="s">
        <v>597</v>
      </c>
      <c r="F149" s="12" t="s">
        <v>20</v>
      </c>
      <c r="G149" s="12" t="s">
        <v>75</v>
      </c>
      <c r="H149" s="14" t="str">
        <f t="array" ref="H149">IFERROR(INDEX(Lease_List!D:D,MATCH(All_User!D149,Lease_List!H:H,0)),"없음")</f>
        <v>5CD4305D88</v>
      </c>
      <c r="I149" s="17" t="s">
        <v>28</v>
      </c>
      <c r="J149" s="16"/>
      <c r="K149" s="17" t="str">
        <f t="array" ref="K149">IFERROR(INDEX(Ipad_List!C:C,MATCH(All_User!D149,Ipad_List!J:J,0)),"없음")</f>
        <v>M9CN2VYJ46</v>
      </c>
      <c r="L149" s="18" t="str">
        <f t="array" ref="L149">IFERROR(INDEX(TeamsNumber!B:B,MATCH(All_User!D149,TeamsNumber!D:D,0)),"없음")</f>
        <v>tel:+82234517571</v>
      </c>
      <c r="M149" s="18" t="str">
        <f t="array" ref="M149">IFERROR(INDEX(Printer!D:D,MATCH(All_User!D149,Printer!H:H,0)),"없음")</f>
        <v>2차 조사 정보 없음</v>
      </c>
      <c r="N149" s="19" t="str">
        <f t="array" ref="N149">IFERROR(INDEX(Monitor!A:A,MATCH(D149,Monitor!D:D,0)),"없음")</f>
        <v>없음</v>
      </c>
      <c r="O149" s="19" t="str">
        <f t="array" ref="O149">IFERROR(INDEX(sales!D:D,MATCH(D149,sales!C:C,0)),"없음")</f>
        <v>Medical</v>
      </c>
      <c r="P149" s="19" t="str">
        <f t="array" ref="P149">IFERROR(INDEX(sales!E:E,MATCH(D149,sales!C:C,0)),"없음")</f>
        <v>Sales</v>
      </c>
      <c r="Q149" s="19" t="str">
        <f t="array" ref="Q149">IFERROR(INDEX(sales!C:C,MATCH(D149,sales!C:C,0)),"list없음")</f>
        <v>michelle.park@stryker.com</v>
      </c>
      <c r="R149" s="19"/>
    </row>
    <row r="150" spans="1:18" ht="13">
      <c r="A150" s="10">
        <v>152</v>
      </c>
      <c r="B150" s="12" t="s">
        <v>598</v>
      </c>
      <c r="C150" s="12" t="s">
        <v>599</v>
      </c>
      <c r="D150" s="12" t="s">
        <v>600</v>
      </c>
      <c r="E150" s="12" t="s">
        <v>601</v>
      </c>
      <c r="F150" s="12" t="s">
        <v>20</v>
      </c>
      <c r="G150" s="12" t="s">
        <v>75</v>
      </c>
      <c r="H150" s="14" t="str">
        <f t="array" ref="H150">IFERROR(INDEX(Lease_List!D:D,MATCH(All_User!D150,Lease_List!H:H,0)),"없음")</f>
        <v>없음</v>
      </c>
      <c r="I150" s="17" t="s">
        <v>602</v>
      </c>
      <c r="J150" s="16"/>
      <c r="K150" s="17" t="str">
        <f t="array" ref="K150">IFERROR(INDEX(Ipad_List!C:C,MATCH(All_User!D150,Ipad_List!J:J,0)),"없음")</f>
        <v>YWFN4L7RQJ</v>
      </c>
      <c r="L150" s="18" t="str">
        <f t="array" ref="L150">IFERROR(INDEX(TeamsNumber!B:B,MATCH(All_User!D150,TeamsNumber!D:D,0)),"없음")</f>
        <v>tel:+82234517650</v>
      </c>
      <c r="M150" s="18" t="str">
        <f t="array" ref="M150">IFERROR(INDEX(Printer!D:D,MATCH(All_User!D150,Printer!H:H,0)),"없음")</f>
        <v>2차 조사 정보 없음</v>
      </c>
      <c r="N150" s="19" t="str">
        <f t="array" ref="N150">IFERROR(INDEX(Monitor!A:A,MATCH(D150,Monitor!D:D,0)),"없음")</f>
        <v>없음</v>
      </c>
      <c r="O150" s="19" t="str">
        <f t="array" ref="O150">IFERROR(INDEX(sales!D:D,MATCH(D150,sales!C:C,0)),"없음")</f>
        <v>MedSurg</v>
      </c>
      <c r="P150" s="19" t="str">
        <f t="array" ref="P150">IFERROR(INDEX(sales!E:E,MATCH(D150,sales!C:C,0)),"없음")</f>
        <v>Sales</v>
      </c>
      <c r="Q150" s="19" t="str">
        <f t="array" ref="Q150">IFERROR(INDEX(sales!C:C,MATCH(D150,sales!C:C,0)),"list없음")</f>
        <v>jin.park@stryker.com</v>
      </c>
      <c r="R150" s="19"/>
    </row>
    <row r="151" spans="1:18" ht="15">
      <c r="A151" s="10">
        <v>153</v>
      </c>
      <c r="B151" s="12" t="s">
        <v>603</v>
      </c>
      <c r="C151" s="12" t="s">
        <v>604</v>
      </c>
      <c r="D151" s="12" t="s">
        <v>605</v>
      </c>
      <c r="E151" s="12" t="s">
        <v>606</v>
      </c>
      <c r="F151" s="12" t="s">
        <v>65</v>
      </c>
      <c r="G151" s="12" t="s">
        <v>181</v>
      </c>
      <c r="H151" s="20" t="str">
        <f t="array" ref="H151">IFERROR(INDEX(Lease_List!D:D,MATCH(All_User!D151,Lease_List!H:H,0)),"없음")</f>
        <v>없음</v>
      </c>
      <c r="I151" s="42" t="s">
        <v>607</v>
      </c>
      <c r="J151" s="16"/>
      <c r="K151" s="16" t="str">
        <f t="array" ref="K151">IFERROR(INDEX(Ipad_List!C:C,MATCH(All_User!D151,Ipad_List!J:J,0)),"없음")</f>
        <v>없음</v>
      </c>
      <c r="L151" s="19" t="str">
        <f t="array" ref="L151">IFERROR(INDEX(TeamsNumber!B:B,MATCH(All_User!D151,TeamsNumber!D:D,0)),"없음")</f>
        <v>tel:+82234517616</v>
      </c>
      <c r="M151" s="19" t="str">
        <f t="array" ref="M151">IFERROR(INDEX(Printer!D:D,MATCH(All_User!D151,Printer!G:G,0)),"없음")</f>
        <v>없음</v>
      </c>
      <c r="N151" s="19" t="str">
        <f t="array" ref="N151">IFERROR(INDEX(Monitor!A:A,MATCH(D151,Monitor!D:D,0)),"없음")</f>
        <v>없음</v>
      </c>
      <c r="O151" s="19" t="str">
        <f t="array" ref="O151">IFERROR(INDEX(sales!D:D,MATCH(D151,sales!C:C,0)),"없음")</f>
        <v>없음</v>
      </c>
      <c r="P151" s="19" t="str">
        <f t="array" ref="P151">IFERROR(INDEX(sales!E:E,MATCH(D151,sales!C:C,0)),"없음")</f>
        <v>없음</v>
      </c>
      <c r="Q151" s="19"/>
      <c r="R151" s="19"/>
    </row>
    <row r="152" spans="1:18" ht="13">
      <c r="A152" s="10">
        <v>154</v>
      </c>
      <c r="B152" s="12" t="s">
        <v>608</v>
      </c>
      <c r="C152" s="12" t="s">
        <v>609</v>
      </c>
      <c r="D152" s="12" t="s">
        <v>610</v>
      </c>
      <c r="E152" s="12" t="s">
        <v>74</v>
      </c>
      <c r="F152" s="12" t="s">
        <v>20</v>
      </c>
      <c r="G152" s="12" t="s">
        <v>21</v>
      </c>
      <c r="H152" s="14" t="str">
        <f t="array" ref="H152">IFERROR(INDEX(Lease_List!D:D,MATCH(All_User!D152,Lease_List!H:H,0)),"없음")</f>
        <v>없음</v>
      </c>
      <c r="I152" s="17" t="s">
        <v>611</v>
      </c>
      <c r="J152" s="16" t="s">
        <v>612</v>
      </c>
      <c r="K152" s="17" t="str">
        <f t="array" ref="K152">IFERROR(INDEX(Ipad_List!C:C,MATCH(All_User!D152,Ipad_List!J:J,0)),"없음")</f>
        <v>W6RQPLQLJY</v>
      </c>
      <c r="L152" s="18" t="str">
        <f t="array" ref="L152">IFERROR(INDEX(TeamsNumber!B:B,MATCH(All_User!D152,TeamsNumber!D:D,0)),"없음")</f>
        <v>tel:+82234517622</v>
      </c>
      <c r="M152" s="18" t="str">
        <f t="array" ref="M152">IFERROR(INDEX(Printer!D:D,MATCH(All_User!D152,Printer!G:G,0)),"없음")</f>
        <v>없음</v>
      </c>
      <c r="N152" s="19" t="str">
        <f t="array" ref="N152">IFERROR(INDEX(Monitor!A:A,MATCH(D152,Monitor!D:D,0)),"없음")</f>
        <v>없음</v>
      </c>
      <c r="O152" s="19" t="str">
        <f t="array" ref="O152">IFERROR(INDEX(sales!D:D,MATCH(D152,sales!C:C,0)),"없음")</f>
        <v>MedSurg</v>
      </c>
      <c r="P152" s="19" t="str">
        <f t="array" ref="P152">IFERROR(INDEX(sales!E:E,MATCH(D152,sales!C:C,0)),"없음")</f>
        <v>Sales</v>
      </c>
      <c r="Q152" s="19" t="str">
        <f t="array" ref="Q152">IFERROR(INDEX(sales!C:C,MATCH(D152,sales!C:C,0)),"list없음")</f>
        <v>daniel.park@stryker.com</v>
      </c>
      <c r="R152" s="19"/>
    </row>
    <row r="153" spans="1:18" ht="13">
      <c r="A153" s="10">
        <v>155</v>
      </c>
      <c r="B153" s="12" t="s">
        <v>613</v>
      </c>
      <c r="C153" s="12" t="s">
        <v>614</v>
      </c>
      <c r="D153" s="12" t="s">
        <v>615</v>
      </c>
      <c r="E153" s="12" t="s">
        <v>122</v>
      </c>
      <c r="F153" s="12" t="s">
        <v>20</v>
      </c>
      <c r="G153" s="12" t="s">
        <v>21</v>
      </c>
      <c r="H153" s="14" t="str">
        <f t="array" ref="H153">IFERROR(INDEX(Lease_List!D:D,MATCH(All_User!D153,Lease_List!H:H,0)),"없음")</f>
        <v>5CD442C073</v>
      </c>
      <c r="I153" s="17" t="s">
        <v>28</v>
      </c>
      <c r="J153" s="16"/>
      <c r="K153" s="17" t="str">
        <f t="array" ref="K153">IFERROR(INDEX(Ipad_List!C:C,MATCH(All_User!D153,Ipad_List!J:J,0)),"없음")</f>
        <v>MNPXXL2C5X</v>
      </c>
      <c r="L153" s="18" t="str">
        <f t="array" ref="L153">IFERROR(INDEX(TeamsNumber!B:B,MATCH(All_User!D153,TeamsNumber!D:D,0)),"없음")</f>
        <v>tel:+82234517649</v>
      </c>
      <c r="M153" s="18" t="str">
        <f t="array" ref="M153">IFERROR(INDEX(Printer!D:D,MATCH(All_User!D153,Printer!H:H,0)),"없음")</f>
        <v>SL-C563W</v>
      </c>
      <c r="N153" s="19" t="str">
        <f t="array" ref="N153">IFERROR(INDEX(Monitor!A:A,MATCH(D153,Monitor!D:D,0)),"없음")</f>
        <v>없음</v>
      </c>
      <c r="O153" s="19" t="str">
        <f t="array" ref="O153">IFERROR(INDEX(sales!D:D,MATCH(D153,sales!C:C,0)),"없음")</f>
        <v>MedSurg</v>
      </c>
      <c r="P153" s="19" t="str">
        <f t="array" ref="P153">IFERROR(INDEX(sales!E:E,MATCH(D153,sales!C:C,0)),"없음")</f>
        <v>Sales</v>
      </c>
      <c r="Q153" s="19" t="str">
        <f t="array" ref="Q153">IFERROR(INDEX(sales!C:C,MATCH(D153,sales!C:C,0)),"list없음")</f>
        <v>hyoseon.park@stryker.com</v>
      </c>
      <c r="R153" s="19"/>
    </row>
    <row r="154" spans="1:18" ht="13">
      <c r="A154" s="26"/>
      <c r="B154" s="27"/>
      <c r="C154" s="27"/>
      <c r="D154" s="27"/>
      <c r="E154" s="27"/>
      <c r="F154" s="27"/>
      <c r="G154" s="27"/>
      <c r="H154" s="28"/>
      <c r="I154" s="29"/>
      <c r="J154" s="29"/>
      <c r="K154" s="29"/>
      <c r="L154" s="30"/>
      <c r="M154" s="30"/>
      <c r="N154" s="30"/>
      <c r="O154" s="30"/>
      <c r="P154" s="30"/>
      <c r="Q154" s="31"/>
      <c r="R154" s="31"/>
    </row>
    <row r="155" spans="1:18" ht="13">
      <c r="A155" s="10">
        <v>157</v>
      </c>
      <c r="B155" s="12" t="s">
        <v>616</v>
      </c>
      <c r="C155" s="12" t="s">
        <v>617</v>
      </c>
      <c r="D155" s="12" t="s">
        <v>618</v>
      </c>
      <c r="E155" s="12" t="s">
        <v>619</v>
      </c>
      <c r="F155" s="12" t="s">
        <v>20</v>
      </c>
      <c r="G155" s="12" t="s">
        <v>175</v>
      </c>
      <c r="H155" s="20" t="str">
        <f t="array" ref="H155">IFERROR(INDEX(Lease_List!D:D,MATCH(All_User!D155,Lease_List!H:H,0)),"없음")</f>
        <v>5CD5179KH4</v>
      </c>
      <c r="I155" s="16" t="s">
        <v>28</v>
      </c>
      <c r="J155" s="16"/>
      <c r="K155" s="16" t="str">
        <f t="array" ref="K155">IFERROR(INDEX(Ipad_List!C:C,MATCH(All_User!D155,Ipad_List!J:J,0)),"없음")</f>
        <v>K9J441WF9W</v>
      </c>
      <c r="L155" s="19" t="str">
        <f t="array" ref="L155">IFERROR(INDEX(TeamsNumber!B:B,MATCH(All_User!D155,TeamsNumber!D:D,0)),"없음")</f>
        <v>tel:+82234517515</v>
      </c>
      <c r="M155" s="19" t="str">
        <f t="array" ref="M155">IFERROR(INDEX(Printer!D:D,MATCH(All_User!D155,Printer!H:H,0)),"없음")</f>
        <v>없음</v>
      </c>
      <c r="N155" s="19" t="str">
        <f t="array" ref="N155">IFERROR(INDEX(Monitor!A:A,MATCH(D155,Monitor!D:D,0)),"없음")</f>
        <v>LCD 모니터</v>
      </c>
      <c r="O155" s="19" t="str">
        <f t="array" ref="O155">IFERROR(INDEX(sales!D:D,MATCH(D155,sales!C:C,0)),"없음")</f>
        <v>없음</v>
      </c>
      <c r="P155" s="19" t="str">
        <f t="array" ref="P155">IFERROR(INDEX(sales!E:E,MATCH(D155,sales!C:C,0)),"없음")</f>
        <v>없음</v>
      </c>
      <c r="Q155" s="19"/>
      <c r="R155" s="19"/>
    </row>
    <row r="156" spans="1:18" ht="13">
      <c r="A156" s="10">
        <v>158</v>
      </c>
      <c r="B156" s="12" t="s">
        <v>620</v>
      </c>
      <c r="C156" s="12" t="s">
        <v>621</v>
      </c>
      <c r="D156" s="12" t="s">
        <v>622</v>
      </c>
      <c r="E156" s="12" t="s">
        <v>55</v>
      </c>
      <c r="F156" s="12" t="s">
        <v>20</v>
      </c>
      <c r="G156" s="12" t="s">
        <v>27</v>
      </c>
      <c r="H156" s="14" t="str">
        <f t="array" ref="H156">IFERROR(INDEX(Lease_List!D:D,MATCH(All_User!D156,Lease_List!H:H,0)),"없음")</f>
        <v>5CD5062YDP</v>
      </c>
      <c r="I156" s="17" t="s">
        <v>28</v>
      </c>
      <c r="J156" s="16"/>
      <c r="K156" s="17" t="str">
        <f t="array" ref="K156">IFERROR(INDEX(Ipad_List!C:C,MATCH(All_User!D156,Ipad_List!J:J,0)),"없음")</f>
        <v>L2717D33PM</v>
      </c>
      <c r="L156" s="18" t="str">
        <f t="array" ref="L156">IFERROR(INDEX(TeamsNumber!B:B,MATCH(All_User!D156,TeamsNumber!D:D,0)),"없음")</f>
        <v>없음</v>
      </c>
      <c r="M156" s="18" t="str">
        <f t="array" ref="M156">IFERROR(INDEX(Printer!D:D,MATCH(All_User!D156,Printer!H:H,0)),"없음")</f>
        <v>없음</v>
      </c>
      <c r="N156" s="19" t="str">
        <f t="array" ref="N156">IFERROR(INDEX(Monitor!A:A,MATCH(D156,Monitor!D:D,0)),"없음")</f>
        <v>없음</v>
      </c>
      <c r="O156" s="19" t="str">
        <f t="array" ref="O156">IFERROR(INDEX(sales!D:D,MATCH(D156,sales!C:C,0)),"없음")</f>
        <v>Mako</v>
      </c>
      <c r="P156" s="19" t="str">
        <f t="array" ref="P156">IFERROR(INDEX(sales!E:E,MATCH(D156,sales!C:C,0)),"없음")</f>
        <v>MPS</v>
      </c>
      <c r="Q156" s="19" t="str">
        <f t="array" ref="Q156">IFERROR(INDEX(sales!C:C,MATCH(D156,sales!C:C,0)),"list없음")</f>
        <v>lucia.park@stryker.com</v>
      </c>
      <c r="R156" s="19"/>
    </row>
    <row r="157" spans="1:18" ht="13">
      <c r="A157" s="10">
        <v>159</v>
      </c>
      <c r="B157" s="12" t="s">
        <v>623</v>
      </c>
      <c r="C157" s="12" t="s">
        <v>624</v>
      </c>
      <c r="D157" s="12" t="s">
        <v>625</v>
      </c>
      <c r="E157" s="12" t="s">
        <v>626</v>
      </c>
      <c r="F157" s="12" t="s">
        <v>303</v>
      </c>
      <c r="G157" s="12" t="s">
        <v>304</v>
      </c>
      <c r="H157" s="20" t="str">
        <f t="array" ref="H157">IFERROR(INDEX(Lease_List!D:D,MATCH(All_User!D157,Lease_List!H:H,0)),"없음")</f>
        <v>5CD5179KJ0</v>
      </c>
      <c r="I157" s="16" t="s">
        <v>627</v>
      </c>
      <c r="J157" s="16"/>
      <c r="K157" s="16" t="str">
        <f t="array" ref="K157">IFERROR(INDEX(Ipad_List!C:C,MATCH(All_User!D157,Ipad_List!J:J,0)),"없음")</f>
        <v>없음</v>
      </c>
      <c r="L157" s="19" t="str">
        <f t="array" ref="L157">IFERROR(INDEX(TeamsNumber!B:B,MATCH(All_User!D157,TeamsNumber!D:D,0)),"없음")</f>
        <v>없음</v>
      </c>
      <c r="M157" s="19" t="str">
        <f t="array" ref="M157">IFERROR(INDEX(Printer!D:D,MATCH(All_User!D157,Printer!H:H,0)),"없음")</f>
        <v>없음</v>
      </c>
      <c r="N157" s="19" t="str">
        <f t="array" ref="N157">IFERROR(INDEX(Monitor!A:A,MATCH(D157,Monitor!D:D,0)),"없음")</f>
        <v>반납완료</v>
      </c>
      <c r="O157" s="19" t="str">
        <f t="array" ref="O157">IFERROR(INDEX(sales!D:D,MATCH(D157,sales!C:C,0)),"없음")</f>
        <v>없음</v>
      </c>
      <c r="P157" s="19" t="str">
        <f t="array" ref="P157">IFERROR(INDEX(sales!E:E,MATCH(D157,sales!C:C,0)),"없음")</f>
        <v>없음</v>
      </c>
      <c r="Q157" s="19"/>
      <c r="R157" s="19"/>
    </row>
    <row r="158" spans="1:18" ht="13">
      <c r="A158" s="10">
        <v>160</v>
      </c>
      <c r="B158" s="12" t="s">
        <v>628</v>
      </c>
      <c r="C158" s="12" t="s">
        <v>629</v>
      </c>
      <c r="D158" s="12" t="s">
        <v>630</v>
      </c>
      <c r="E158" s="12" t="s">
        <v>631</v>
      </c>
      <c r="F158" s="12" t="s">
        <v>40</v>
      </c>
      <c r="G158" s="12" t="s">
        <v>60</v>
      </c>
      <c r="H158" s="20" t="str">
        <f t="array" ref="H158">IFERROR(INDEX(Lease_List!D:D,MATCH(All_User!D158,Lease_List!H:H,0)),"없음")</f>
        <v>5CD5179KH8</v>
      </c>
      <c r="I158" s="16" t="s">
        <v>632</v>
      </c>
      <c r="J158" s="16"/>
      <c r="K158" s="16" t="str">
        <f t="array" ref="K158">IFERROR(INDEX(Ipad_List!C:C,MATCH(All_User!D158,Ipad_List!J:J,0)),"없음")</f>
        <v>JWXX9D7C0H</v>
      </c>
      <c r="L158" s="19" t="str">
        <f t="array" ref="L158">IFERROR(INDEX(TeamsNumber!B:B,MATCH(All_User!D158,TeamsNumber!D:D,0)),"없음")</f>
        <v>tel:+82234517653</v>
      </c>
      <c r="M158" s="19" t="str">
        <f t="array" ref="M158">IFERROR(INDEX(Printer!D:D,MATCH(All_User!D158,Printer!H:H,0)),"없음")</f>
        <v>없음</v>
      </c>
      <c r="N158" s="19" t="str">
        <f t="array" ref="N158">IFERROR(INDEX(Monitor!A:A,MATCH(D158,Monitor!D:D,0)),"없음")</f>
        <v>없음</v>
      </c>
      <c r="O158" s="19" t="str">
        <f t="array" ref="O158">IFERROR(INDEX(sales!D:D,MATCH(D158,sales!C:C,0)),"없음")</f>
        <v>없음</v>
      </c>
      <c r="P158" s="19" t="str">
        <f t="array" ref="P158">IFERROR(INDEX(sales!E:E,MATCH(D158,sales!C:C,0)),"없음")</f>
        <v>없음</v>
      </c>
      <c r="Q158" s="19"/>
      <c r="R158" s="19"/>
    </row>
    <row r="159" spans="1:18" ht="13">
      <c r="A159" s="10">
        <v>161</v>
      </c>
      <c r="B159" s="12" t="s">
        <v>633</v>
      </c>
      <c r="C159" s="12" t="s">
        <v>634</v>
      </c>
      <c r="D159" s="12" t="s">
        <v>635</v>
      </c>
      <c r="E159" s="12" t="s">
        <v>636</v>
      </c>
      <c r="F159" s="12" t="s">
        <v>20</v>
      </c>
      <c r="G159" s="12" t="s">
        <v>21</v>
      </c>
      <c r="H159" s="14" t="str">
        <f t="array" ref="H159">IFERROR(INDEX(Lease_List!D:D,MATCH(All_User!D159,Lease_List!H:H,0)),"없음")</f>
        <v>없음</v>
      </c>
      <c r="I159" s="17" t="s">
        <v>637</v>
      </c>
      <c r="J159" s="16"/>
      <c r="K159" s="17" t="str">
        <f t="array" ref="K159">IFERROR(INDEX(Ipad_List!C:C,MATCH(All_User!D159,Ipad_List!J:J,0)),"없음")</f>
        <v>KJ44CP93XQ</v>
      </c>
      <c r="L159" s="18" t="str">
        <f t="array" ref="L159">IFERROR(INDEX(TeamsNumber!B:B,MATCH(All_User!D159,TeamsNumber!D:D,0)),"없음")</f>
        <v>tel:+82234517548</v>
      </c>
      <c r="M159" s="18" t="str">
        <f t="array" ref="M159">IFERROR(INDEX(Printer!D:D,MATCH(All_User!D159,Printer!H:H,0)),"없음")</f>
        <v>SL-C563W</v>
      </c>
      <c r="N159" s="19" t="str">
        <f t="array" ref="N159">IFERROR(INDEX(Monitor!A:A,MATCH(D159,Monitor!D:D,0)),"없음")</f>
        <v>없음</v>
      </c>
      <c r="O159" s="19">
        <f t="array" ref="O159">IFERROR(INDEX(sales!D:D,MATCH(D159,sales!C:C,0)),"없음")</f>
        <v>0</v>
      </c>
      <c r="P159" s="19" t="str">
        <f t="array" ref="P159">IFERROR(INDEX(sales!E:E,MATCH(D159,sales!C:C,0)),"없음")</f>
        <v>Sales</v>
      </c>
      <c r="Q159" s="19" t="str">
        <f t="array" ref="Q159">IFERROR(INDEX(sales!C:C,MATCH(D159,sales!C:C,0)),"list없음")</f>
        <v>Gregory.Seo@stryker.com</v>
      </c>
      <c r="R159" s="19"/>
    </row>
    <row r="160" spans="1:18" ht="13">
      <c r="A160" s="10">
        <v>162</v>
      </c>
      <c r="B160" s="12" t="s">
        <v>638</v>
      </c>
      <c r="C160" s="12" t="s">
        <v>639</v>
      </c>
      <c r="D160" s="12" t="s">
        <v>640</v>
      </c>
      <c r="E160" s="12" t="s">
        <v>641</v>
      </c>
      <c r="F160" s="12" t="s">
        <v>20</v>
      </c>
      <c r="G160" s="12" t="s">
        <v>80</v>
      </c>
      <c r="H160" s="20" t="str">
        <f t="array" ref="H160">IFERROR(INDEX(Lease_List!D:D,MATCH(All_User!D160,Lease_List!H:H,0)),"없음")</f>
        <v>5CG53403DB</v>
      </c>
      <c r="I160" s="16" t="s">
        <v>28</v>
      </c>
      <c r="J160" s="16"/>
      <c r="K160" s="16" t="str">
        <f t="array" ref="K160">IFERROR(INDEX(Ipad_List!C:C,MATCH(All_User!D160,Ipad_List!J:J,0)),"없음")</f>
        <v>없음</v>
      </c>
      <c r="L160" s="19" t="str">
        <f t="array" ref="L160">IFERROR(INDEX(TeamsNumber!B:B,MATCH(All_User!D160,TeamsNumber!D:D,0)),"없음")</f>
        <v>tel:+82234517698</v>
      </c>
      <c r="M160" s="19" t="str">
        <f t="array" ref="M160">IFERROR(INDEX(Printer!D:D,MATCH(All_User!D160,Printer!H:H,0)),"없음")</f>
        <v>확인중</v>
      </c>
      <c r="N160" s="19" t="str">
        <f t="array" ref="N160">IFERROR(INDEX(Monitor!A:A,MATCH(D160,Monitor!D:D,0)),"없음")</f>
        <v>없음</v>
      </c>
      <c r="O160" s="19">
        <f t="array" ref="O160">IFERROR(INDEX(sales!D:D,MATCH(D160,sales!C:C,0)),"없음")</f>
        <v>0</v>
      </c>
      <c r="P160" s="19">
        <f t="array" ref="P160">IFERROR(INDEX(sales!E:E,MATCH(D160,sales!C:C,0)),"없음")</f>
        <v>0</v>
      </c>
      <c r="Q160" s="19"/>
      <c r="R160" s="19"/>
    </row>
    <row r="161" spans="1:18" ht="13">
      <c r="A161" s="34">
        <v>163</v>
      </c>
      <c r="B161" s="35" t="s">
        <v>642</v>
      </c>
      <c r="C161" s="35" t="s">
        <v>643</v>
      </c>
      <c r="D161" s="35" t="s">
        <v>644</v>
      </c>
      <c r="E161" s="35" t="s">
        <v>645</v>
      </c>
      <c r="F161" s="35" t="s">
        <v>257</v>
      </c>
      <c r="G161" s="35" t="s">
        <v>388</v>
      </c>
      <c r="H161" s="44" t="str">
        <f t="array" ref="H161">IFERROR(INDEX(Lease_List!D:D,MATCH(All_User!D161,Lease_List!H:H,0)),"없음")</f>
        <v>5CD5179KH0</v>
      </c>
      <c r="I161" s="38" t="s">
        <v>646</v>
      </c>
      <c r="J161" s="38"/>
      <c r="K161" s="38" t="str">
        <f t="array" ref="K161">IFERROR(INDEX(Ipad_List!C:C,MATCH(All_User!D161,Ipad_List!J:J,0)),"없음")</f>
        <v>없음</v>
      </c>
      <c r="L161" s="40" t="str">
        <f t="array" ref="L161">IFERROR(INDEX(TeamsNumber!B:B,MATCH(All_User!D161,TeamsNumber!D:D,0)),"없음")</f>
        <v>tel:+82234517619</v>
      </c>
      <c r="M161" s="40" t="str">
        <f t="array" ref="M161">IFERROR(INDEX(Printer!D:D,MATCH(All_User!D161,Printer!H:H,0)),"없음")</f>
        <v>없음</v>
      </c>
      <c r="N161" s="19" t="str">
        <f t="array" ref="N161">IFERROR(INDEX(Monitor!A:A,MATCH(D161,Monitor!D:D,0)),"없음")</f>
        <v>없음</v>
      </c>
      <c r="O161" s="40" t="str">
        <f t="array" ref="O161">IFERROR(INDEX(sales!D:D,MATCH(D161,sales!C:C,0)),"없음")</f>
        <v>없음</v>
      </c>
      <c r="P161" s="19" t="str">
        <f t="array" ref="P161">IFERROR(INDEX(sales!E:E,MATCH(D161,sales!C:C,0)),"없음")</f>
        <v>없음</v>
      </c>
    </row>
    <row r="162" spans="1:18" ht="13">
      <c r="A162" s="10">
        <v>164</v>
      </c>
      <c r="B162" s="12" t="s">
        <v>647</v>
      </c>
      <c r="C162" s="12" t="s">
        <v>648</v>
      </c>
      <c r="D162" s="12" t="s">
        <v>649</v>
      </c>
      <c r="E162" s="12" t="s">
        <v>650</v>
      </c>
      <c r="F162" s="12" t="s">
        <v>651</v>
      </c>
      <c r="G162" s="12" t="s">
        <v>652</v>
      </c>
      <c r="H162" s="20" t="str">
        <f t="array" ref="H162">IFERROR(INDEX(Lease_List!D:D,MATCH(All_User!D162,Lease_List!H:H,0)),"없음")</f>
        <v>5CD4232BF9</v>
      </c>
      <c r="I162" s="16" t="s">
        <v>28</v>
      </c>
      <c r="J162" s="16"/>
      <c r="K162" s="16" t="str">
        <f t="array" ref="K162">IFERROR(INDEX(Ipad_List!C:C,MATCH(All_User!D162,Ipad_List!J:J,0)),"없음")</f>
        <v>DLXCC00MKC43</v>
      </c>
      <c r="L162" s="19" t="str">
        <f t="array" ref="L162">IFERROR(INDEX(TeamsNumber!B:B,MATCH(All_User!D162,TeamsNumber!D:D,0)),"없음")</f>
        <v>tel:+82234517520</v>
      </c>
      <c r="M162" s="19" t="str">
        <f t="array" ref="M162">IFERROR(INDEX(Printer!D:D,MATCH(All_User!D162,Printer!H:H,0)),"없음")</f>
        <v>없음</v>
      </c>
      <c r="N162" s="19" t="str">
        <f t="array" ref="N162">IFERROR(INDEX(Monitor!A:A,MATCH(D162,Monitor!D:D,0)),"없음")</f>
        <v>없음</v>
      </c>
      <c r="O162" s="19" t="str">
        <f t="array" ref="O162">IFERROR(INDEX(sales!D:D,MATCH(D162,sales!C:C,0)),"없음")</f>
        <v>없음</v>
      </c>
      <c r="P162" s="19" t="str">
        <f t="array" ref="P162">IFERROR(INDEX(sales!E:E,MATCH(D162,sales!C:C,0)),"없음")</f>
        <v>없음</v>
      </c>
      <c r="Q162" s="19"/>
      <c r="R162" s="19"/>
    </row>
    <row r="163" spans="1:18" ht="13">
      <c r="A163" s="26"/>
      <c r="B163" s="27"/>
      <c r="C163" s="27"/>
      <c r="D163" s="27"/>
      <c r="E163" s="27"/>
      <c r="F163" s="27"/>
      <c r="G163" s="27"/>
      <c r="H163" s="28"/>
      <c r="I163" s="29"/>
      <c r="J163" s="29"/>
      <c r="K163" s="29"/>
      <c r="L163" s="30"/>
      <c r="M163" s="30"/>
      <c r="N163" s="30"/>
      <c r="O163" s="30"/>
      <c r="P163" s="30"/>
      <c r="Q163" s="31"/>
      <c r="R163" s="31"/>
    </row>
    <row r="164" spans="1:18" ht="13">
      <c r="A164" s="10">
        <v>166</v>
      </c>
      <c r="B164" s="12" t="s">
        <v>653</v>
      </c>
      <c r="C164" s="12" t="s">
        <v>654</v>
      </c>
      <c r="D164" s="12" t="s">
        <v>655</v>
      </c>
      <c r="E164" s="12" t="s">
        <v>70</v>
      </c>
      <c r="F164" s="12" t="s">
        <v>20</v>
      </c>
      <c r="G164" s="12" t="s">
        <v>27</v>
      </c>
      <c r="H164" s="14" t="str">
        <f t="array" ref="H164">IFERROR(INDEX(Lease_List!D:D,MATCH(All_User!D164,Lease_List!H:H,0)),"없음")</f>
        <v>없음</v>
      </c>
      <c r="I164" s="17" t="s">
        <v>28</v>
      </c>
      <c r="J164" s="16" t="s">
        <v>656</v>
      </c>
      <c r="K164" s="17" t="str">
        <f t="array" ref="K164">IFERROR(INDEX(Ipad_List!C:C,MATCH(All_User!D164,Ipad_List!J:J,0)),"없음")</f>
        <v>LR4DPX93T4</v>
      </c>
      <c r="L164" s="18" t="str">
        <f t="array" ref="L164">IFERROR(INDEX(TeamsNumber!B:B,MATCH(All_User!D164,TeamsNumber!D:D,0)),"없음")</f>
        <v>tel:+82234517522</v>
      </c>
      <c r="M164" s="18" t="str">
        <f t="array" ref="M164">IFERROR(INDEX(Printer!D:D,MATCH(All_User!D164,Printer!G:G,0)),"없음")</f>
        <v>없음</v>
      </c>
      <c r="N164" s="19" t="str">
        <f t="array" ref="N164">IFERROR(INDEX(Monitor!A:A,MATCH(D164,Monitor!D:D,0)),"없음")</f>
        <v>없음</v>
      </c>
      <c r="O164" s="19" t="str">
        <f t="array" ref="O164">IFERROR(INDEX(sales!D:D,MATCH(D164,sales!C:C,0)),"없음")</f>
        <v>Mako</v>
      </c>
      <c r="P164" s="19" t="str">
        <f t="array" ref="P164">IFERROR(INDEX(sales!E:E,MATCH(D164,sales!C:C,0)),"없음")</f>
        <v>MPS</v>
      </c>
      <c r="Q164" s="19" t="str">
        <f t="array" ref="Q164">IFERROR(INDEX(sales!C:C,MATCH(D164,sales!C:C,0)),"list없음")</f>
        <v>chris.shin@stryker.com</v>
      </c>
      <c r="R164" s="19"/>
    </row>
    <row r="165" spans="1:18" ht="13">
      <c r="A165" s="10">
        <v>167</v>
      </c>
      <c r="B165" s="12" t="s">
        <v>657</v>
      </c>
      <c r="C165" s="12" t="s">
        <v>658</v>
      </c>
      <c r="D165" s="12" t="s">
        <v>659</v>
      </c>
      <c r="E165" s="12" t="s">
        <v>660</v>
      </c>
      <c r="F165" s="12" t="s">
        <v>334</v>
      </c>
      <c r="G165" s="12" t="s">
        <v>335</v>
      </c>
      <c r="H165" s="20" t="str">
        <f t="array" ref="H165">IFERROR(INDEX(Lease_List!D:D,MATCH(All_User!D165,Lease_List!H:H,0)),"없음")</f>
        <v>5CD3469HDM</v>
      </c>
      <c r="I165" s="16" t="s">
        <v>28</v>
      </c>
      <c r="J165" s="16"/>
      <c r="K165" s="16" t="str">
        <f t="array" ref="K165">IFERROR(INDEX(Ipad_List!C:C,MATCH(All_User!D165,Ipad_List!J:J,0)),"없음")</f>
        <v>없음</v>
      </c>
      <c r="L165" s="19" t="str">
        <f t="array" ref="L165">IFERROR(INDEX(TeamsNumber!B:B,MATCH(All_User!D165,TeamsNumber!D:D,0)),"없음")</f>
        <v>tel:+82234517541</v>
      </c>
      <c r="M165" s="19" t="str">
        <f t="array" ref="M165">IFERROR(INDEX(Printer!D:D,MATCH(All_User!D165,Printer!H:H,0)),"없음")</f>
        <v>없음</v>
      </c>
      <c r="N165" s="19" t="str">
        <f t="array" ref="N165">IFERROR(INDEX(Monitor!A:A,MATCH(D165,Monitor!D:D,0)),"없음")</f>
        <v>없음</v>
      </c>
      <c r="O165" s="19" t="str">
        <f t="array" ref="O165">IFERROR(INDEX(sales!D:D,MATCH(D165,sales!C:C,0)),"없음")</f>
        <v>없음</v>
      </c>
      <c r="P165" s="19" t="str">
        <f t="array" ref="P165">IFERROR(INDEX(sales!E:E,MATCH(D165,sales!C:C,0)),"없음")</f>
        <v>없음</v>
      </c>
      <c r="Q165" s="19"/>
      <c r="R165" s="19"/>
    </row>
    <row r="166" spans="1:18" ht="13">
      <c r="A166" s="10">
        <v>168</v>
      </c>
      <c r="B166" s="12" t="s">
        <v>661</v>
      </c>
      <c r="C166" s="12" t="s">
        <v>662</v>
      </c>
      <c r="D166" s="12" t="s">
        <v>663</v>
      </c>
      <c r="E166" s="12" t="s">
        <v>106</v>
      </c>
      <c r="F166" s="12" t="s">
        <v>20</v>
      </c>
      <c r="G166" s="12" t="s">
        <v>75</v>
      </c>
      <c r="H166" s="14" t="str">
        <f t="array" ref="H166">IFERROR(INDEX(Lease_List!D:D,MATCH(All_User!D166,Lease_List!H:H,0)),"없음")</f>
        <v>5CD5179KHC</v>
      </c>
      <c r="I166" s="17" t="s">
        <v>664</v>
      </c>
      <c r="J166" s="16"/>
      <c r="K166" s="17" t="str">
        <f t="array" ref="K166">IFERROR(INDEX(Ipad_List!C:C,MATCH(All_User!D166,Ipad_List!J:J,0)),"없음")</f>
        <v>M90KHK7Y1F</v>
      </c>
      <c r="L166" s="18" t="str">
        <f t="array" ref="L166">IFERROR(INDEX(TeamsNumber!B:B,MATCH(All_User!D166,TeamsNumber!D:D,0)),"없음")</f>
        <v>tel:+82234517528</v>
      </c>
      <c r="M166" s="18" t="str">
        <f t="array" ref="M166">IFERROR(INDEX(Printer!D:D,MATCH(All_User!D166,Printer!H:H,0)),"없음")</f>
        <v>SL-C486FW</v>
      </c>
      <c r="N166" s="19" t="str">
        <f t="array" ref="N166">IFERROR(INDEX(Monitor!A:A,MATCH(D166,Monitor!D:D,0)),"없음")</f>
        <v>없음</v>
      </c>
      <c r="O166" s="19" t="str">
        <f t="array" ref="O166">IFERROR(INDEX(sales!D:D,MATCH(D166,sales!C:C,0)),"없음")</f>
        <v>MedSurg</v>
      </c>
      <c r="P166" s="19" t="str">
        <f t="array" ref="P166">IFERROR(INDEX(sales!E:E,MATCH(D166,sales!C:C,0)),"없음")</f>
        <v>Sales</v>
      </c>
      <c r="Q166" s="19" t="str">
        <f t="array" ref="Q166">IFERROR(INDEX(sales!C:C,MATCH(D166,sales!C:C,0)),"list없음")</f>
        <v>dana.shin@stryker.com</v>
      </c>
      <c r="R166" s="19"/>
    </row>
    <row r="167" spans="1:18" ht="13">
      <c r="A167" s="26"/>
      <c r="B167" s="27"/>
      <c r="C167" s="27"/>
      <c r="D167" s="27"/>
      <c r="E167" s="27"/>
      <c r="F167" s="27"/>
      <c r="G167" s="27"/>
      <c r="H167" s="28"/>
      <c r="I167" s="29"/>
      <c r="J167" s="29"/>
      <c r="K167" s="29"/>
      <c r="L167" s="30"/>
      <c r="M167" s="30"/>
      <c r="N167" s="30"/>
      <c r="O167" s="30"/>
      <c r="P167" s="30"/>
      <c r="Q167" s="31"/>
      <c r="R167" s="31"/>
    </row>
    <row r="168" spans="1:18" ht="13">
      <c r="A168" s="21"/>
      <c r="B168" s="22"/>
      <c r="C168" s="22"/>
      <c r="D168" s="22"/>
      <c r="E168" s="22"/>
      <c r="F168" s="22"/>
      <c r="G168" s="22"/>
      <c r="H168" s="23"/>
      <c r="I168" s="24"/>
      <c r="J168" s="24"/>
      <c r="K168" s="24"/>
      <c r="L168" s="25"/>
      <c r="M168" s="25"/>
      <c r="N168" s="25"/>
      <c r="O168" s="25"/>
      <c r="P168" s="25"/>
      <c r="Q168" s="25"/>
      <c r="R168" s="25"/>
    </row>
    <row r="169" spans="1:18" ht="13">
      <c r="A169" s="10">
        <v>171</v>
      </c>
      <c r="B169" s="12" t="s">
        <v>665</v>
      </c>
      <c r="C169" s="12" t="s">
        <v>666</v>
      </c>
      <c r="D169" s="12" t="s">
        <v>667</v>
      </c>
      <c r="E169" s="12" t="s">
        <v>668</v>
      </c>
      <c r="F169" s="12" t="s">
        <v>33</v>
      </c>
      <c r="G169" s="12" t="s">
        <v>34</v>
      </c>
      <c r="H169" s="14" t="str">
        <f t="array" ref="H169">IFERROR(INDEX(Lease_List!D:D,MATCH(All_User!D169,Lease_List!H:H,0)),"없음")</f>
        <v>5CD5179KH7</v>
      </c>
      <c r="I169" s="17" t="s">
        <v>669</v>
      </c>
      <c r="J169" s="16"/>
      <c r="K169" s="17" t="str">
        <f t="array" ref="K169">IFERROR(INDEX(Ipad_List!C:C,MATCH(All_User!D169,Ipad_List!J:J,0)),"없음")</f>
        <v>RFJJ97J4YG</v>
      </c>
      <c r="L169" s="18" t="str">
        <f t="array" ref="L169">IFERROR(INDEX(TeamsNumber!B:B,MATCH(All_User!D169,TeamsNumber!D:D,0)),"없음")</f>
        <v>tel:+82234517667</v>
      </c>
      <c r="M169" s="18" t="str">
        <f t="array" ref="M169">IFERROR(INDEX(Printer!D:D,MATCH(All_User!D169,Printer!H:H,0)),"없음")</f>
        <v>SL-C563W</v>
      </c>
      <c r="N169" s="19" t="str">
        <f t="array" ref="N169">IFERROR(INDEX(Monitor!A:A,MATCH(D169,Monitor!D:D,0)),"없음")</f>
        <v>없음</v>
      </c>
      <c r="O169" s="19">
        <f t="array" ref="O169">IFERROR(INDEX(sales!D:D,MATCH(D169,sales!C:C,0)),"없음")</f>
        <v>0</v>
      </c>
      <c r="P169" s="19" t="str">
        <f t="array" ref="P169">IFERROR(INDEX(sales!E:E,MATCH(D169,sales!C:C,0)),"없음")</f>
        <v>TS</v>
      </c>
      <c r="Q169" s="19" t="str">
        <f t="array" ref="Q169">IFERROR(INDEX(sales!C:C,MATCH(D169,sales!C:C,0)),"list없음")</f>
        <v>Huey.Sim@stryker.com</v>
      </c>
      <c r="R169" s="19"/>
    </row>
    <row r="170" spans="1:18" ht="13">
      <c r="A170" s="10">
        <v>172</v>
      </c>
      <c r="B170" s="12" t="s">
        <v>670</v>
      </c>
      <c r="C170" s="12" t="s">
        <v>671</v>
      </c>
      <c r="D170" s="12" t="s">
        <v>672</v>
      </c>
      <c r="E170" s="12" t="s">
        <v>673</v>
      </c>
      <c r="F170" s="12" t="s">
        <v>20</v>
      </c>
      <c r="G170" s="12" t="s">
        <v>75</v>
      </c>
      <c r="H170" s="14" t="str">
        <f t="array" ref="H170">IFERROR(INDEX(Lease_List!D:D,MATCH(All_User!D170,Lease_List!H:H,0)),"없음")</f>
        <v>5CD5179KH9</v>
      </c>
      <c r="I170" s="17" t="s">
        <v>674</v>
      </c>
      <c r="J170" s="16"/>
      <c r="K170" s="17" t="str">
        <f t="array" ref="K170">IFERROR(INDEX(Ipad_List!C:C,MATCH(All_User!D170,Ipad_List!J:J,0)),"없음")</f>
        <v>FWJG39XV9Q</v>
      </c>
      <c r="L170" s="18" t="str">
        <f t="array" ref="L170">IFERROR(INDEX(TeamsNumber!B:B,MATCH(All_User!D170,TeamsNumber!D:D,0)),"없음")</f>
        <v>tel:+82234517592</v>
      </c>
      <c r="M170" s="18" t="str">
        <f t="array" ref="M170">IFERROR(INDEX(Printer!D:D,MATCH(All_User!D170,Printer!H:H,0)),"없음")</f>
        <v>SL-C486FW</v>
      </c>
      <c r="N170" s="19" t="str">
        <f t="array" ref="N170">IFERROR(INDEX(Monitor!A:A,MATCH(D170,Monitor!D:D,0)),"없음")</f>
        <v>없음</v>
      </c>
      <c r="O170" s="19" t="str">
        <f t="array" ref="O170">IFERROR(INDEX(sales!D:D,MATCH(D170,sales!C:C,0)),"없음")</f>
        <v>MedSurg</v>
      </c>
      <c r="P170" s="19" t="str">
        <f t="array" ref="P170">IFERROR(INDEX(sales!E:E,MATCH(D170,sales!C:C,0)),"없음")</f>
        <v>Sales</v>
      </c>
      <c r="Q170" s="19" t="str">
        <f t="array" ref="Q170">IFERROR(INDEX(sales!C:C,MATCH(D170,sales!C:C,0)),"list없음")</f>
        <v>Simon.sin@stryker.com</v>
      </c>
      <c r="R170" s="19"/>
    </row>
    <row r="171" spans="1:18" ht="13">
      <c r="A171" s="26"/>
      <c r="B171" s="27"/>
      <c r="C171" s="27"/>
      <c r="D171" s="27"/>
      <c r="E171" s="27"/>
      <c r="F171" s="27"/>
      <c r="G171" s="27"/>
      <c r="H171" s="28"/>
      <c r="I171" s="29"/>
      <c r="J171" s="29"/>
      <c r="K171" s="29"/>
      <c r="L171" s="30"/>
      <c r="M171" s="30"/>
      <c r="N171" s="30"/>
      <c r="O171" s="30"/>
      <c r="P171" s="30"/>
      <c r="Q171" s="31"/>
      <c r="R171" s="31"/>
    </row>
    <row r="172" spans="1:18" ht="13">
      <c r="A172" s="10">
        <v>174</v>
      </c>
      <c r="B172" s="12" t="s">
        <v>675</v>
      </c>
      <c r="C172" s="12" t="s">
        <v>676</v>
      </c>
      <c r="D172" s="12" t="s">
        <v>677</v>
      </c>
      <c r="E172" s="12" t="s">
        <v>678</v>
      </c>
      <c r="F172" s="12" t="s">
        <v>20</v>
      </c>
      <c r="G172" s="12" t="s">
        <v>80</v>
      </c>
      <c r="H172" s="20" t="str">
        <f t="array" ref="H172">IFERROR(INDEX(Lease_List!D:D,MATCH(All_User!D172,Lease_List!H:H,0)),"없음")</f>
        <v>5CD4305D8L</v>
      </c>
      <c r="I172" s="16" t="s">
        <v>28</v>
      </c>
      <c r="J172" s="16"/>
      <c r="K172" s="16" t="str">
        <f t="array" ref="K172">IFERROR(INDEX(Ipad_List!C:C,MATCH(All_User!D172,Ipad_List!J:J,0)),"없음")</f>
        <v>없음</v>
      </c>
      <c r="L172" s="19" t="str">
        <f t="array" ref="L172">IFERROR(INDEX(TeamsNumber!B:B,MATCH(All_User!D172,TeamsNumber!D:D,0)),"없음")</f>
        <v>tel:+82234517577</v>
      </c>
      <c r="M172" s="19" t="str">
        <f t="array" ref="M172">IFERROR(INDEX(Printer!D:D,MATCH(All_User!D172,Printer!H:H,0)),"없음")</f>
        <v>없음</v>
      </c>
      <c r="N172" s="19" t="str">
        <f t="array" ref="N172">IFERROR(INDEX(Monitor!A:A,MATCH(D172,Monitor!D:D,0)),"없음")</f>
        <v>없음</v>
      </c>
      <c r="O172" s="19" t="str">
        <f t="array" ref="O172">IFERROR(INDEX(sales!D:D,MATCH(D172,sales!C:C,0)),"없음")</f>
        <v>없음</v>
      </c>
      <c r="P172" s="19" t="str">
        <f t="array" ref="P172">IFERROR(INDEX(sales!E:E,MATCH(D172,sales!C:C,0)),"없음")</f>
        <v>없음</v>
      </c>
      <c r="Q172" s="19"/>
      <c r="R172" s="19"/>
    </row>
    <row r="173" spans="1:18" ht="13">
      <c r="A173" s="34">
        <v>175</v>
      </c>
      <c r="B173" s="35" t="s">
        <v>679</v>
      </c>
      <c r="C173" s="35" t="s">
        <v>680</v>
      </c>
      <c r="D173" s="35" t="s">
        <v>681</v>
      </c>
      <c r="E173" s="35" t="s">
        <v>682</v>
      </c>
      <c r="F173" s="35" t="s">
        <v>20</v>
      </c>
      <c r="G173" s="35" t="s">
        <v>21</v>
      </c>
      <c r="H173" s="36" t="str">
        <f t="array" ref="H173">IFERROR(INDEX(Lease_List!D:D,MATCH(All_User!D173,Lease_List!H:H,0)),"없음")</f>
        <v>없음</v>
      </c>
      <c r="I173" s="37" t="s">
        <v>28</v>
      </c>
      <c r="J173" s="38" t="s">
        <v>683</v>
      </c>
      <c r="K173" s="37" t="str">
        <f t="array" ref="K173">IFERROR(INDEX(Ipad_List!C:C,MATCH(All_User!D173,Ipad_List!J:J,0)),"없음")</f>
        <v>C2QFHGVW92</v>
      </c>
      <c r="L173" s="39" t="str">
        <f t="array" ref="L173">IFERROR(INDEX(TeamsNumber!B:B,MATCH(All_User!D173,TeamsNumber!D:D,0)),"없음")</f>
        <v>tel:+82234517678</v>
      </c>
      <c r="M173" s="39" t="str">
        <f t="array" ref="M173">IFERROR(INDEX(Printer!D:D,MATCH(All_User!D173,Printer!H:H,0)),"없음")</f>
        <v>없음</v>
      </c>
      <c r="N173" s="19" t="str">
        <f t="array" ref="N173">IFERROR(INDEX(Monitor!A:A,MATCH(D173,Monitor!D:D,0)),"없음")</f>
        <v>없음</v>
      </c>
      <c r="O173" s="40" t="str">
        <f t="array" ref="O173">IFERROR(INDEX(sales!D:D,MATCH(D173,sales!C:C,0)),"없음")</f>
        <v>NV</v>
      </c>
      <c r="P173" s="19" t="str">
        <f t="array" ref="P173">IFERROR(INDEX(sales!E:E,MATCH(D173,sales!C:C,0)),"없음")</f>
        <v>NV</v>
      </c>
      <c r="Q173" s="19" t="str">
        <f t="array" ref="Q173">IFERROR(INDEX(sales!C:C,MATCH(D173,sales!C:C,0)),"list없음")</f>
        <v>mina.song@stryker.com</v>
      </c>
    </row>
    <row r="174" spans="1:18" ht="13">
      <c r="A174" s="10">
        <v>176</v>
      </c>
      <c r="B174" s="12" t="s">
        <v>684</v>
      </c>
      <c r="C174" s="12" t="s">
        <v>685</v>
      </c>
      <c r="D174" s="12" t="s">
        <v>686</v>
      </c>
      <c r="E174" s="12" t="s">
        <v>687</v>
      </c>
      <c r="F174" s="12" t="s">
        <v>688</v>
      </c>
      <c r="G174" s="12" t="s">
        <v>689</v>
      </c>
      <c r="H174" s="20" t="str">
        <f t="array" ref="H174">IFERROR(INDEX(Lease_List!D:D,MATCH(All_User!D174,Lease_List!H:H,0)),"없음")</f>
        <v>5CG53403CW</v>
      </c>
      <c r="I174" s="16" t="s">
        <v>35</v>
      </c>
      <c r="J174" s="16"/>
      <c r="K174" s="16" t="str">
        <f t="array" ref="K174">IFERROR(INDEX(Ipad_List!C:C,MATCH(All_User!D174,Ipad_List!J:J,0)),"없음")</f>
        <v>DXP5W6NH22</v>
      </c>
      <c r="L174" s="19" t="str">
        <f t="array" ref="L174">IFERROR(INDEX(TeamsNumber!B:B,MATCH(All_User!D174,TeamsNumber!D:D,0)),"없음")</f>
        <v>없음</v>
      </c>
      <c r="M174" s="19" t="str">
        <f t="array" ref="M174">IFERROR(INDEX(Printer!D:D,MATCH(All_User!D174,Printer!G:G,0)),"없음")</f>
        <v>없음</v>
      </c>
      <c r="N174" s="19" t="str">
        <f t="array" ref="N174">IFERROR(INDEX(Monitor!A:A,MATCH(D174,Monitor!D:D,0)),"없음")</f>
        <v>없음</v>
      </c>
      <c r="O174" s="19" t="str">
        <f t="array" ref="O174">IFERROR(INDEX(sales!D:D,MATCH(D174,sales!C:C,0)),"없음")</f>
        <v>없음</v>
      </c>
      <c r="P174" s="19" t="str">
        <f t="array" ref="P174">IFERROR(INDEX(sales!E:E,MATCH(D174,sales!C:C,0)),"없음")</f>
        <v>없음</v>
      </c>
      <c r="Q174" s="19"/>
      <c r="R174" s="19"/>
    </row>
    <row r="175" spans="1:18" ht="13">
      <c r="A175" s="10">
        <v>177</v>
      </c>
      <c r="B175" s="12" t="s">
        <v>690</v>
      </c>
      <c r="C175" s="12" t="s">
        <v>691</v>
      </c>
      <c r="D175" s="12" t="s">
        <v>692</v>
      </c>
      <c r="E175" s="12" t="s">
        <v>269</v>
      </c>
      <c r="F175" s="12" t="s">
        <v>65</v>
      </c>
      <c r="G175" s="12" t="s">
        <v>66</v>
      </c>
      <c r="H175" s="20" t="str">
        <f t="array" ref="H175">IFERROR(INDEX(Lease_List!D:D,MATCH(All_User!D175,Lease_List!H:H,0)),"없음")</f>
        <v>없음</v>
      </c>
      <c r="I175" s="16" t="s">
        <v>28</v>
      </c>
      <c r="J175" s="16"/>
      <c r="K175" s="16" t="str">
        <f t="array" ref="K175">IFERROR(INDEX(Ipad_List!C:C,MATCH(All_User!D175,Ipad_List!J:J,0)),"없음")</f>
        <v>없음</v>
      </c>
      <c r="L175" s="19" t="str">
        <f t="array" ref="L175">IFERROR(INDEX(TeamsNumber!B:B,MATCH(All_User!D175,TeamsNumber!D:D,0)),"없음")</f>
        <v>tel:+82234517640</v>
      </c>
      <c r="M175" s="19" t="str">
        <f t="array" ref="M175">IFERROR(INDEX(Printer!D:D,MATCH(All_User!D175,Printer!G:G,0)),"없음")</f>
        <v>없음</v>
      </c>
      <c r="N175" s="19" t="str">
        <f t="array" ref="N175">IFERROR(INDEX(Monitor!A:A,MATCH(D175,Monitor!D:D,0)),"없음")</f>
        <v>없음</v>
      </c>
      <c r="O175" s="19" t="str">
        <f t="array" ref="O175">IFERROR(INDEX(sales!D:D,MATCH(D175,sales!C:C,0)),"없음")</f>
        <v>없음</v>
      </c>
      <c r="P175" s="19" t="str">
        <f t="array" ref="P175">IFERROR(INDEX(sales!E:E,MATCH(D175,sales!C:C,0)),"없음")</f>
        <v>없음</v>
      </c>
      <c r="Q175" s="19"/>
      <c r="R175" s="19"/>
    </row>
    <row r="176" spans="1:18" ht="13">
      <c r="A176" s="45">
        <v>178</v>
      </c>
      <c r="B176" s="46" t="s">
        <v>693</v>
      </c>
      <c r="C176" s="46" t="s">
        <v>694</v>
      </c>
      <c r="D176" s="46" t="s">
        <v>695</v>
      </c>
      <c r="E176" s="46" t="s">
        <v>207</v>
      </c>
      <c r="F176" s="46" t="s">
        <v>33</v>
      </c>
      <c r="G176" s="46" t="s">
        <v>34</v>
      </c>
      <c r="H176" s="14" t="str">
        <f t="array" ref="H176">IFERROR(INDEX(Lease_List!D:D,MATCH(All_User!D176,Lease_List!H:H,0)),"없음")</f>
        <v>5CD4232BFS</v>
      </c>
      <c r="I176" s="17" t="s">
        <v>696</v>
      </c>
      <c r="J176" s="16"/>
      <c r="K176" s="17" t="str">
        <f t="array" ref="K176">IFERROR(INDEX(Ipad_List!C:C,MATCH(All_User!D176,Ipad_List!J:J,0)),"없음")</f>
        <v>RVF25297YV</v>
      </c>
      <c r="L176" s="18" t="str">
        <f t="array" ref="L176">IFERROR(INDEX(TeamsNumber!B:B,MATCH(All_User!D176,TeamsNumber!D:D,0)),"없음")</f>
        <v>tel:+82234517669</v>
      </c>
      <c r="M176" s="18" t="str">
        <f t="array" ref="M176">IFERROR(INDEX(Printer!D:D,MATCH(All_User!D176,Printer!H:H,0)),"없음")</f>
        <v>없음</v>
      </c>
      <c r="N176" s="19" t="str">
        <f t="array" ref="N176">IFERROR(INDEX(Monitor!A:A,MATCH(D176,Monitor!D:D,0)),"없음")</f>
        <v>없음</v>
      </c>
      <c r="O176" s="19">
        <f t="array" ref="O176">IFERROR(INDEX(sales!D:D,MATCH(D176,sales!C:C,0)),"없음")</f>
        <v>0</v>
      </c>
      <c r="P176" s="19" t="str">
        <f t="array" ref="P176">IFERROR(INDEX(sales!E:E,MATCH(D176,sales!C:C,0)),"없음")</f>
        <v>TS</v>
      </c>
      <c r="Q176" s="19" t="str">
        <f t="array" ref="Q176">IFERROR(INDEX(sales!C:C,MATCH(D176,sales!C:C,0)),"list없음")</f>
        <v>jayden.song@stryker.com</v>
      </c>
      <c r="R176" s="19"/>
    </row>
    <row r="177" spans="1:18" ht="13">
      <c r="A177" s="10">
        <v>179</v>
      </c>
      <c r="B177" s="12" t="s">
        <v>697</v>
      </c>
      <c r="C177" s="12" t="s">
        <v>698</v>
      </c>
      <c r="D177" s="12" t="s">
        <v>699</v>
      </c>
      <c r="E177" s="12" t="s">
        <v>70</v>
      </c>
      <c r="F177" s="12" t="s">
        <v>20</v>
      </c>
      <c r="G177" s="12" t="s">
        <v>27</v>
      </c>
      <c r="H177" s="14" t="str">
        <f t="array" ref="H177">IFERROR(INDEX(Lease_List!D:D,MATCH(All_User!D177,Lease_List!H:H,0)),"없음")</f>
        <v>5CD5179KH3</v>
      </c>
      <c r="I177" s="17" t="s">
        <v>28</v>
      </c>
      <c r="J177" s="16"/>
      <c r="K177" s="17" t="str">
        <f t="array" ref="K177">IFERROR(INDEX(Ipad_List!C:C,MATCH(All_User!D177,Ipad_List!J:J,0)),"없음")</f>
        <v>DPX6TM2FG4</v>
      </c>
      <c r="L177" s="18" t="str">
        <f t="array" ref="L177">IFERROR(INDEX(TeamsNumber!B:B,MATCH(All_User!D177,TeamsNumber!D:D,0)),"없음")</f>
        <v>tel:+82234517542</v>
      </c>
      <c r="M177" s="18" t="str">
        <f t="array" ref="M177">IFERROR(INDEX(Printer!D:D,MATCH(All_User!D177,Printer!H:H,0)),"없음")</f>
        <v>없음</v>
      </c>
      <c r="N177" s="19" t="str">
        <f t="array" ref="N177">IFERROR(INDEX(Monitor!A:A,MATCH(D177,Monitor!D:D,0)),"없음")</f>
        <v>없음</v>
      </c>
      <c r="O177" s="19" t="str">
        <f t="array" ref="O177">IFERROR(INDEX(sales!D:D,MATCH(D177,sales!C:C,0)),"없음")</f>
        <v>Mako</v>
      </c>
      <c r="P177" s="19" t="str">
        <f t="array" ref="P177">IFERROR(INDEX(sales!E:E,MATCH(D177,sales!C:C,0)),"없음")</f>
        <v>Sales</v>
      </c>
      <c r="Q177" s="19" t="str">
        <f t="array" ref="Q177">IFERROR(INDEX(sales!C:C,MATCH(D177,sales!C:C,0)),"list없음")</f>
        <v>ethan.song@stryker.com</v>
      </c>
      <c r="R177" s="19"/>
    </row>
    <row r="178" spans="1:18" ht="13">
      <c r="A178" s="10">
        <v>180</v>
      </c>
      <c r="B178" s="12" t="s">
        <v>700</v>
      </c>
      <c r="C178" s="12" t="s">
        <v>701</v>
      </c>
      <c r="D178" s="12" t="s">
        <v>702</v>
      </c>
      <c r="E178" s="12" t="s">
        <v>70</v>
      </c>
      <c r="F178" s="12" t="s">
        <v>20</v>
      </c>
      <c r="G178" s="12" t="s">
        <v>27</v>
      </c>
      <c r="H178" s="14" t="str">
        <f t="array" ref="H178">IFERROR(INDEX(Lease_List!D:D,MATCH(All_User!D178,Lease_List!H:H,0)),"없음")</f>
        <v>5CD4232BFK</v>
      </c>
      <c r="I178" s="17" t="s">
        <v>28</v>
      </c>
      <c r="J178" s="16"/>
      <c r="K178" s="17" t="str">
        <f t="array" ref="K178">IFERROR(INDEX(Ipad_List!C:C,MATCH(All_User!D178,Ipad_List!J:J,0)),"없음")</f>
        <v>F3720LW0J0</v>
      </c>
      <c r="L178" s="18" t="str">
        <f t="array" ref="L178">IFERROR(INDEX(TeamsNumber!B:B,MATCH(All_User!D178,TeamsNumber!D:D,0)),"없음")</f>
        <v>tel:+82234517572</v>
      </c>
      <c r="M178" s="18" t="str">
        <f t="array" ref="M178">IFERROR(INDEX(Printer!D:D,MATCH(All_User!D178,Printer!H:H,0)),"없음")</f>
        <v>SL-C563W</v>
      </c>
      <c r="N178" s="19" t="str">
        <f t="array" ref="N178">IFERROR(INDEX(Monitor!A:A,MATCH(D178,Monitor!D:D,0)),"없음")</f>
        <v>없음</v>
      </c>
      <c r="O178" s="19" t="str">
        <f t="array" ref="O178">IFERROR(INDEX(sales!D:D,MATCH(D178,sales!C:C,0)),"없음")</f>
        <v>Mako</v>
      </c>
      <c r="P178" s="19" t="str">
        <f t="array" ref="P178">IFERROR(INDEX(sales!E:E,MATCH(D178,sales!C:C,0)),"없음")</f>
        <v>MPS</v>
      </c>
      <c r="Q178" s="19" t="str">
        <f t="array" ref="Q178">IFERROR(INDEX(sales!C:C,MATCH(D178,sales!C:C,0)),"list없음")</f>
        <v>rosey.song@stryker.com</v>
      </c>
      <c r="R178" s="19"/>
    </row>
    <row r="179" spans="1:18" ht="13">
      <c r="A179" s="10">
        <v>181</v>
      </c>
      <c r="B179" s="12" t="s">
        <v>703</v>
      </c>
      <c r="C179" s="12" t="s">
        <v>704</v>
      </c>
      <c r="D179" s="12" t="s">
        <v>705</v>
      </c>
      <c r="E179" s="12" t="s">
        <v>70</v>
      </c>
      <c r="F179" s="12" t="s">
        <v>20</v>
      </c>
      <c r="G179" s="12" t="s">
        <v>27</v>
      </c>
      <c r="H179" s="14" t="str">
        <f t="array" ref="H179">IFERROR(INDEX(Lease_List!D:D,MATCH(All_User!D179,Lease_List!H:H,0)),"없음")</f>
        <v>5CD5179KHP</v>
      </c>
      <c r="I179" s="17" t="s">
        <v>28</v>
      </c>
      <c r="J179" s="16"/>
      <c r="K179" s="17" t="str">
        <f t="array" ref="K179">IFERROR(INDEX(Ipad_List!C:C,MATCH(All_User!D179,Ipad_List!J:J,0)),"없음")</f>
        <v>D1HJ9KM7XJ</v>
      </c>
      <c r="L179" s="18" t="str">
        <f t="array" ref="L179">IFERROR(INDEX(TeamsNumber!B:B,MATCH(All_User!D179,TeamsNumber!D:D,0)),"없음")</f>
        <v>tel:+82234517583</v>
      </c>
      <c r="M179" s="18" t="str">
        <f t="array" ref="M179">IFERROR(INDEX(Printer!D:D,MATCH(All_User!D179,Printer!H:H,0)),"없음")</f>
        <v>없음</v>
      </c>
      <c r="N179" s="19" t="str">
        <f t="array" ref="N179">IFERROR(INDEX(Monitor!A:A,MATCH(D179,Monitor!D:D,0)),"없음")</f>
        <v>없음</v>
      </c>
      <c r="O179" s="19" t="str">
        <f t="array" ref="O179">IFERROR(INDEX(sales!D:D,MATCH(D179,sales!C:C,0)),"없음")</f>
        <v>Mako</v>
      </c>
      <c r="P179" s="19" t="str">
        <f t="array" ref="P179">IFERROR(INDEX(sales!E:E,MATCH(D179,sales!C:C,0)),"없음")</f>
        <v>MPS</v>
      </c>
      <c r="Q179" s="19" t="str">
        <f t="array" ref="Q179">IFERROR(INDEX(sales!C:C,MATCH(D179,sales!C:C,0)),"list없음")</f>
        <v>hailey.song@stryker.com</v>
      </c>
      <c r="R179" s="19"/>
    </row>
    <row r="180" spans="1:18" ht="13">
      <c r="A180" s="10">
        <v>182</v>
      </c>
      <c r="B180" s="12" t="s">
        <v>706</v>
      </c>
      <c r="C180" s="12" t="s">
        <v>707</v>
      </c>
      <c r="D180" s="12" t="s">
        <v>708</v>
      </c>
      <c r="E180" s="12" t="s">
        <v>709</v>
      </c>
      <c r="F180" s="12" t="s">
        <v>40</v>
      </c>
      <c r="G180" s="12" t="s">
        <v>710</v>
      </c>
      <c r="H180" s="20" t="str">
        <f t="array" ref="H180">IFERROR(INDEX(Lease_List!D:D,MATCH(All_User!D180,Lease_List!H:H,0)),"없음")</f>
        <v>5CD4305D96</v>
      </c>
      <c r="I180" s="16" t="s">
        <v>28</v>
      </c>
      <c r="J180" s="16"/>
      <c r="K180" s="16" t="str">
        <f t="array" ref="K180">IFERROR(INDEX(Ipad_List!C:C,MATCH(All_User!D180,Ipad_List!J:J,0)),"없음")</f>
        <v>없음</v>
      </c>
      <c r="L180" s="19" t="str">
        <f t="array" ref="L180">IFERROR(INDEX(TeamsNumber!B:B,MATCH(All_User!D180,TeamsNumber!D:D,0)),"없음")</f>
        <v>tel:+82234517674</v>
      </c>
      <c r="M180" s="19" t="str">
        <f t="array" ref="M180">IFERROR(INDEX(Printer!D:D,MATCH(All_User!D180,Printer!H:H,0)),"없음")</f>
        <v>없음</v>
      </c>
      <c r="N180" s="19" t="str">
        <f t="array" ref="N180">IFERROR(INDEX(Monitor!A:A,MATCH(D180,Monitor!D:D,0)),"없음")</f>
        <v>LCD 모니터</v>
      </c>
      <c r="O180" s="19" t="str">
        <f t="array" ref="O180">IFERROR(INDEX(sales!D:D,MATCH(D180,sales!C:C,0)),"없음")</f>
        <v>없음</v>
      </c>
      <c r="P180" s="19" t="str">
        <f t="array" ref="P180">IFERROR(INDEX(sales!E:E,MATCH(D180,sales!C:C,0)),"없음")</f>
        <v>없음</v>
      </c>
      <c r="Q180" s="19"/>
      <c r="R180" s="19"/>
    </row>
    <row r="181" spans="1:18" ht="13">
      <c r="A181" s="10">
        <v>183</v>
      </c>
      <c r="B181" s="12" t="s">
        <v>711</v>
      </c>
      <c r="C181" s="12" t="s">
        <v>712</v>
      </c>
      <c r="D181" s="12" t="s">
        <v>713</v>
      </c>
      <c r="E181" s="12" t="s">
        <v>87</v>
      </c>
      <c r="F181" s="12" t="s">
        <v>20</v>
      </c>
      <c r="G181" s="12" t="s">
        <v>27</v>
      </c>
      <c r="H181" s="14" t="str">
        <f t="array" ref="H181">IFERROR(INDEX(Lease_List!D:D,MATCH(All_User!D181,Lease_List!H:H,0)),"없음")</f>
        <v>5CD5179KJ3</v>
      </c>
      <c r="I181" s="17" t="s">
        <v>714</v>
      </c>
      <c r="J181" s="16"/>
      <c r="K181" s="17" t="str">
        <f t="array" ref="K181">IFERROR(INDEX(Ipad_List!C:C,MATCH(All_User!D181,Ipad_List!J:J,0)),"없음")</f>
        <v>T32JYKMQQF</v>
      </c>
      <c r="L181" s="18" t="str">
        <f t="array" ref="L181">IFERROR(INDEX(TeamsNumber!B:B,MATCH(All_User!D181,TeamsNumber!D:D,0)),"없음")</f>
        <v>tel:+82234517533</v>
      </c>
      <c r="M181" s="18" t="str">
        <f t="array" ref="M181">IFERROR(INDEX(Printer!D:D,MATCH(All_User!D181,Printer!H:H,0)),"없음")</f>
        <v>SL-C483FW</v>
      </c>
      <c r="N181" s="19" t="str">
        <f t="array" ref="N181">IFERROR(INDEX(Monitor!A:A,MATCH(D181,Monitor!D:D,0)),"없음")</f>
        <v>없음</v>
      </c>
      <c r="O181" s="19" t="str">
        <f t="array" ref="O181">IFERROR(INDEX(sales!D:D,MATCH(D181,sales!C:C,0)),"없음")</f>
        <v>Mako</v>
      </c>
      <c r="P181" s="19" t="str">
        <f t="array" ref="P181">IFERROR(INDEX(sales!E:E,MATCH(D181,sales!C:C,0)),"없음")</f>
        <v>Sales</v>
      </c>
      <c r="Q181" s="19" t="str">
        <f t="array" ref="Q181">IFERROR(INDEX(sales!C:C,MATCH(D181,sales!C:C,0)),"list없음")</f>
        <v>David.Yang@stryker.com</v>
      </c>
      <c r="R181" s="19"/>
    </row>
    <row r="182" spans="1:18" ht="13">
      <c r="A182" s="10">
        <v>184</v>
      </c>
      <c r="B182" s="12" t="s">
        <v>715</v>
      </c>
      <c r="C182" s="12" t="s">
        <v>716</v>
      </c>
      <c r="D182" s="12" t="s">
        <v>717</v>
      </c>
      <c r="E182" s="12" t="s">
        <v>718</v>
      </c>
      <c r="F182" s="12" t="s">
        <v>40</v>
      </c>
      <c r="G182" s="12" t="s">
        <v>41</v>
      </c>
      <c r="H182" s="20" t="str">
        <f t="array" ref="H182">IFERROR(INDEX(Lease_List!D:D,MATCH(All_User!D182,Lease_List!H:H,0)),"없음")</f>
        <v>5CD442C07J</v>
      </c>
      <c r="I182" s="16" t="s">
        <v>719</v>
      </c>
      <c r="J182" s="16"/>
      <c r="K182" s="16" t="str">
        <f t="array" ref="K182">IFERROR(INDEX(Ipad_List!C:C,MATCH(All_User!D182,Ipad_List!J:J,0)),"없음")</f>
        <v>없음</v>
      </c>
      <c r="L182" s="19" t="str">
        <f t="array" ref="L182">IFERROR(INDEX(TeamsNumber!B:B,MATCH(All_User!D182,TeamsNumber!D:D,0)),"없음")</f>
        <v>tel:+82234517657</v>
      </c>
      <c r="M182" s="19" t="str">
        <f t="array" ref="M182">IFERROR(INDEX(Printer!D:D,MATCH(All_User!D182,Printer!H:H,0)),"없음")</f>
        <v>없음</v>
      </c>
      <c r="N182" s="19" t="str">
        <f t="array" ref="N182">IFERROR(INDEX(Monitor!A:A,MATCH(D182,Monitor!D:D,0)),"없음")</f>
        <v>없음</v>
      </c>
      <c r="O182" s="19" t="str">
        <f t="array" ref="O182">IFERROR(INDEX(sales!D:D,MATCH(D182,sales!C:C,0)),"없음")</f>
        <v>없음</v>
      </c>
      <c r="P182" s="19" t="str">
        <f t="array" ref="P182">IFERROR(INDEX(sales!E:E,MATCH(D182,sales!C:C,0)),"없음")</f>
        <v>없음</v>
      </c>
      <c r="Q182" s="19"/>
      <c r="R182" s="19"/>
    </row>
    <row r="183" spans="1:18" ht="13">
      <c r="A183" s="10">
        <v>185</v>
      </c>
      <c r="B183" s="12" t="s">
        <v>720</v>
      </c>
      <c r="C183" s="12" t="s">
        <v>721</v>
      </c>
      <c r="D183" s="12" t="s">
        <v>722</v>
      </c>
      <c r="E183" s="12" t="s">
        <v>723</v>
      </c>
      <c r="F183" s="12" t="s">
        <v>65</v>
      </c>
      <c r="G183" s="12" t="s">
        <v>309</v>
      </c>
      <c r="H183" s="20" t="str">
        <f t="array" ref="H183">IFERROR(INDEX(Lease_List!D:D,MATCH(All_User!D183,Lease_List!H:H,0)),"없음")</f>
        <v>5CD4305D82</v>
      </c>
      <c r="I183" s="16" t="s">
        <v>28</v>
      </c>
      <c r="J183" s="16"/>
      <c r="K183" s="16" t="str">
        <f t="array" ref="K183">IFERROR(INDEX(Ipad_List!C:C,MATCH(All_User!D183,Ipad_List!J:J,0)),"없음")</f>
        <v>없음</v>
      </c>
      <c r="L183" s="19" t="str">
        <f t="array" ref="L183">IFERROR(INDEX(TeamsNumber!B:B,MATCH(All_User!D183,TeamsNumber!D:D,0)),"없음")</f>
        <v>tel:+82234517526</v>
      </c>
      <c r="M183" s="19" t="str">
        <f t="array" ref="M183">IFERROR(INDEX(Printer!D:D,MATCH(All_User!D183,Printer!H:H,0)),"없음")</f>
        <v>없음</v>
      </c>
      <c r="N183" s="19" t="str">
        <f t="array" ref="N183">IFERROR(INDEX(Monitor!A:A,MATCH(D183,Monitor!D:D,0)),"없음")</f>
        <v>반납완료</v>
      </c>
      <c r="O183" s="19" t="str">
        <f t="array" ref="O183">IFERROR(INDEX(sales!D:D,MATCH(D183,sales!C:C,0)),"없음")</f>
        <v>없음</v>
      </c>
      <c r="P183" s="19" t="str">
        <f t="array" ref="P183">IFERROR(INDEX(sales!E:E,MATCH(D183,sales!C:C,0)),"없음")</f>
        <v>없음</v>
      </c>
      <c r="Q183" s="19"/>
      <c r="R183" s="19"/>
    </row>
    <row r="184" spans="1:18" ht="13">
      <c r="A184" s="10">
        <v>186</v>
      </c>
      <c r="B184" s="12" t="s">
        <v>724</v>
      </c>
      <c r="C184" s="12" t="s">
        <v>725</v>
      </c>
      <c r="D184" s="12" t="s">
        <v>726</v>
      </c>
      <c r="E184" s="12" t="s">
        <v>727</v>
      </c>
      <c r="F184" s="12" t="s">
        <v>334</v>
      </c>
      <c r="G184" s="12" t="s">
        <v>728</v>
      </c>
      <c r="H184" s="20" t="str">
        <f t="array" ref="H184">IFERROR(INDEX(Lease_List!D:D,MATCH(All_User!D184,Lease_List!H:H,0)),"없음")</f>
        <v>5CD5062YDR</v>
      </c>
      <c r="I184" s="16" t="s">
        <v>28</v>
      </c>
      <c r="J184" s="16"/>
      <c r="K184" s="16" t="str">
        <f t="array" ref="K184">IFERROR(INDEX(Ipad_List!C:C,MATCH(All_User!D184,Ipad_List!J:J,0)),"없음")</f>
        <v>없음</v>
      </c>
      <c r="L184" s="19" t="str">
        <f t="array" ref="L184">IFERROR(INDEX(TeamsNumber!B:B,MATCH(All_User!D184,TeamsNumber!D:D,0)),"없음")</f>
        <v>tel:+82234517537</v>
      </c>
      <c r="M184" s="19" t="str">
        <f t="array" ref="M184">IFERROR(INDEX(Printer!D:D,MATCH(All_User!D184,Printer!H:H,0)),"없음")</f>
        <v>없음</v>
      </c>
      <c r="N184" s="19" t="str">
        <f t="array" ref="N184">IFERROR(INDEX(Monitor!A:A,MATCH(D184,Monitor!D:D,0)),"없음")</f>
        <v>없음</v>
      </c>
      <c r="O184" s="19" t="str">
        <f t="array" ref="O184">IFERROR(INDEX(sales!D:D,MATCH(D184,sales!C:C,0)),"없음")</f>
        <v>없음</v>
      </c>
      <c r="P184" s="19" t="str">
        <f t="array" ref="P184">IFERROR(INDEX(sales!E:E,MATCH(D184,sales!C:C,0)),"없음")</f>
        <v>없음</v>
      </c>
      <c r="Q184" s="19"/>
      <c r="R184" s="19"/>
    </row>
    <row r="185" spans="1:18" ht="13">
      <c r="A185" s="10">
        <v>187</v>
      </c>
      <c r="B185" s="12" t="s">
        <v>729</v>
      </c>
      <c r="C185" s="12" t="s">
        <v>730</v>
      </c>
      <c r="D185" s="12" t="s">
        <v>731</v>
      </c>
      <c r="E185" s="12" t="s">
        <v>732</v>
      </c>
      <c r="F185" s="12" t="s">
        <v>40</v>
      </c>
      <c r="G185" s="12" t="s">
        <v>60</v>
      </c>
      <c r="H185" s="20" t="str">
        <f t="array" ref="H185">IFERROR(INDEX(Lease_List!D:D,MATCH(All_User!D185,Lease_List!H:H,0)),"없음")</f>
        <v>5CD4305D8N</v>
      </c>
      <c r="I185" s="16" t="s">
        <v>28</v>
      </c>
      <c r="J185" s="16"/>
      <c r="K185" s="16" t="str">
        <f t="array" ref="K185">IFERROR(INDEX(Ipad_List!C:C,MATCH(All_User!D185,Ipad_List!J:J,0)),"없음")</f>
        <v>G9YWDFP14H</v>
      </c>
      <c r="L185" s="19" t="str">
        <f t="array" ref="L185">IFERROR(INDEX(TeamsNumber!B:B,MATCH(All_User!D185,TeamsNumber!D:D,0)),"없음")</f>
        <v>tel:+82234517586</v>
      </c>
      <c r="M185" s="19" t="str">
        <f t="array" ref="M185">IFERROR(INDEX(Printer!D:D,MATCH(All_User!D185,Printer!H:H,0)),"없음")</f>
        <v>없음</v>
      </c>
      <c r="N185" s="19" t="str">
        <f t="array" ref="N185">IFERROR(INDEX(Monitor!A:A,MATCH(D185,Monitor!D:D,0)),"없음")</f>
        <v>LCD 모니터</v>
      </c>
      <c r="O185" s="19" t="str">
        <f t="array" ref="O185">IFERROR(INDEX(sales!D:D,MATCH(D185,sales!C:C,0)),"없음")</f>
        <v>없음</v>
      </c>
      <c r="P185" s="19" t="str">
        <f t="array" ref="P185">IFERROR(INDEX(sales!E:E,MATCH(D185,sales!C:C,0)),"없음")</f>
        <v>없음</v>
      </c>
      <c r="Q185" s="19"/>
      <c r="R185" s="19"/>
    </row>
    <row r="186" spans="1:18" ht="13">
      <c r="A186" s="10">
        <v>188</v>
      </c>
      <c r="B186" s="12" t="s">
        <v>733</v>
      </c>
      <c r="C186" s="12" t="s">
        <v>734</v>
      </c>
      <c r="D186" s="12" t="s">
        <v>735</v>
      </c>
      <c r="E186" s="12" t="s">
        <v>736</v>
      </c>
      <c r="F186" s="12" t="s">
        <v>65</v>
      </c>
      <c r="G186" s="12" t="s">
        <v>66</v>
      </c>
      <c r="H186" s="20" t="str">
        <f t="array" ref="H186">IFERROR(INDEX(Lease_List!D:D,MATCH(All_User!D186,Lease_List!H:H,0)),"없음")</f>
        <v>5CD4305D8V</v>
      </c>
      <c r="I186" s="16" t="s">
        <v>28</v>
      </c>
      <c r="J186" s="16"/>
      <c r="K186" s="16" t="str">
        <f t="array" ref="K186">IFERROR(INDEX(Ipad_List!C:C,MATCH(All_User!D186,Ipad_List!J:J,0)),"없음")</f>
        <v>없음</v>
      </c>
      <c r="L186" s="19" t="str">
        <f t="array" ref="L186">IFERROR(INDEX(TeamsNumber!B:B,MATCH(All_User!D186,TeamsNumber!D:D,0)),"없음")</f>
        <v>tel:+82234517511</v>
      </c>
      <c r="M186" s="19" t="str">
        <f t="array" ref="M186">IFERROR(INDEX(Printer!D:D,MATCH(All_User!D186,Printer!H:H,0)),"없음")</f>
        <v>없음</v>
      </c>
      <c r="N186" s="19" t="str">
        <f t="array" ref="N186">IFERROR(INDEX(Monitor!A:A,MATCH(D186,Monitor!D:D,0)),"없음")</f>
        <v>없음</v>
      </c>
      <c r="O186" s="19" t="str">
        <f t="array" ref="O186">IFERROR(INDEX(sales!D:D,MATCH(D186,sales!C:C,0)),"없음")</f>
        <v>없음</v>
      </c>
      <c r="P186" s="19" t="str">
        <f t="array" ref="P186">IFERROR(INDEX(sales!E:E,MATCH(D186,sales!C:C,0)),"없음")</f>
        <v>없음</v>
      </c>
      <c r="Q186" s="19"/>
      <c r="R186" s="19"/>
    </row>
    <row r="187" spans="1:18" ht="13">
      <c r="A187" s="10">
        <v>189</v>
      </c>
      <c r="B187" s="12" t="s">
        <v>737</v>
      </c>
      <c r="C187" s="12" t="s">
        <v>738</v>
      </c>
      <c r="D187" s="12" t="s">
        <v>739</v>
      </c>
      <c r="E187" s="12" t="s">
        <v>329</v>
      </c>
      <c r="F187" s="12" t="s">
        <v>20</v>
      </c>
      <c r="G187" s="12" t="s">
        <v>75</v>
      </c>
      <c r="H187" s="14" t="str">
        <f t="array" ref="H187">IFERROR(INDEX(Lease_List!D:D,MATCH(All_User!D187,Lease_List!H:H,0)),"없음")</f>
        <v>5CD5179KH6</v>
      </c>
      <c r="I187" s="17" t="s">
        <v>740</v>
      </c>
      <c r="J187" s="16"/>
      <c r="K187" s="17" t="str">
        <f t="array" ref="K187">IFERROR(INDEX(Ipad_List!C:C,MATCH(All_User!D187,Ipad_List!J:J,0)),"없음")</f>
        <v>JYVMXW3RWV</v>
      </c>
      <c r="L187" s="18" t="str">
        <f t="array" ref="L187">IFERROR(INDEX(TeamsNumber!B:B,MATCH(All_User!D187,TeamsNumber!D:D,0)),"없음")</f>
        <v>tel:+82234517551</v>
      </c>
      <c r="M187" s="18" t="str">
        <f t="array" ref="M187">IFERROR(INDEX(Printer!D:D,MATCH(All_User!D187,Printer!H:H,0)),"없음")</f>
        <v>SL-C486FW</v>
      </c>
      <c r="N187" s="19" t="str">
        <f t="array" ref="N187">IFERROR(INDEX(Monitor!A:A,MATCH(D187,Monitor!D:D,0)),"없음")</f>
        <v>없음</v>
      </c>
      <c r="O187" s="19" t="str">
        <f t="array" ref="O187">IFERROR(INDEX(sales!D:D,MATCH(D187,sales!C:C,0)),"없음")</f>
        <v>Knee</v>
      </c>
      <c r="P187" s="19" t="str">
        <f t="array" ref="P187">IFERROR(INDEX(sales!E:E,MATCH(D187,sales!C:C,0)),"없음")</f>
        <v>Sales</v>
      </c>
      <c r="Q187" s="19" t="str">
        <f t="array" ref="Q187">IFERROR(INDEX(sales!C:C,MATCH(D187,sales!C:C,0)),"list없음")</f>
        <v>jiho.yoo@stryker.com</v>
      </c>
      <c r="R187" s="19"/>
    </row>
    <row r="188" spans="1:18" ht="13">
      <c r="A188" s="10">
        <v>190</v>
      </c>
      <c r="B188" s="12" t="s">
        <v>741</v>
      </c>
      <c r="C188" s="12" t="s">
        <v>742</v>
      </c>
      <c r="D188" s="12" t="s">
        <v>743</v>
      </c>
      <c r="E188" s="12" t="s">
        <v>744</v>
      </c>
      <c r="F188" s="12" t="s">
        <v>101</v>
      </c>
      <c r="G188" s="12" t="s">
        <v>252</v>
      </c>
      <c r="H188" s="20" t="str">
        <f t="array" ref="H188">IFERROR(INDEX(Lease_List!D:D,MATCH(All_User!D188,Lease_List!H:H,0)),"없음")</f>
        <v>5CD3469HD8</v>
      </c>
      <c r="I188" s="16" t="s">
        <v>28</v>
      </c>
      <c r="J188" s="16"/>
      <c r="K188" s="16" t="str">
        <f t="array" ref="K188">IFERROR(INDEX(Ipad_List!C:C,MATCH(All_User!D188,Ipad_List!J:J,0)),"없음")</f>
        <v>없음</v>
      </c>
      <c r="L188" s="19" t="str">
        <f t="array" ref="L188">IFERROR(INDEX(TeamsNumber!B:B,MATCH(All_User!D188,TeamsNumber!D:D,0)),"없음")</f>
        <v>tel:+82234517631</v>
      </c>
      <c r="M188" s="19" t="str">
        <f t="array" ref="M188">IFERROR(INDEX(Printer!D:D,MATCH(All_User!D188,Printer!H:H,0)),"없음")</f>
        <v>없음</v>
      </c>
      <c r="N188" s="19" t="str">
        <f t="array" ref="N188">IFERROR(INDEX(Monitor!A:A,MATCH(D188,Monitor!D:D,0)),"없음")</f>
        <v>없음</v>
      </c>
      <c r="O188" s="19" t="str">
        <f t="array" ref="O188">IFERROR(INDEX(sales!D:D,MATCH(D188,sales!C:C,0)),"없음")</f>
        <v>없음</v>
      </c>
      <c r="P188" s="19" t="str">
        <f t="array" ref="P188">IFERROR(INDEX(sales!E:E,MATCH(D188,sales!C:C,0)),"없음")</f>
        <v>없음</v>
      </c>
      <c r="Q188" s="19"/>
      <c r="R188" s="19"/>
    </row>
    <row r="189" spans="1:18" ht="13">
      <c r="A189" s="10">
        <v>191</v>
      </c>
      <c r="B189" s="12" t="s">
        <v>745</v>
      </c>
      <c r="C189" s="12" t="s">
        <v>746</v>
      </c>
      <c r="D189" s="12" t="s">
        <v>747</v>
      </c>
      <c r="E189" s="12" t="s">
        <v>133</v>
      </c>
      <c r="F189" s="12" t="s">
        <v>20</v>
      </c>
      <c r="G189" s="12" t="s">
        <v>134</v>
      </c>
      <c r="H189" s="14" t="str">
        <f t="array" ref="H189">IFERROR(INDEX(Lease_List!D:D,MATCH(All_User!D189,Lease_List!H:H,0)),"없음")</f>
        <v>5CD4305D8F</v>
      </c>
      <c r="I189" s="17" t="s">
        <v>28</v>
      </c>
      <c r="J189" s="16"/>
      <c r="K189" s="17" t="str">
        <f t="array" ref="K189">IFERROR(INDEX(Ipad_List!C:C,MATCH(All_User!D189,Ipad_List!J:J,0)),"없음")</f>
        <v>D50QVTWX76</v>
      </c>
      <c r="L189" s="18" t="str">
        <f t="array" ref="L189">IFERROR(INDEX(TeamsNumber!B:B,MATCH(All_User!D189,TeamsNumber!D:D,0)),"없음")</f>
        <v>tel:+82234517561</v>
      </c>
      <c r="M189" s="18" t="str">
        <f t="array" ref="M189">IFERROR(INDEX(Printer!D:D,MATCH(All_User!D189,Printer!H:H,0)),"없음")</f>
        <v>없음</v>
      </c>
      <c r="N189" s="19" t="str">
        <f t="array" ref="N189">IFERROR(INDEX(Monitor!A:A,MATCH(D189,Monitor!D:D,0)),"없음")</f>
        <v>LCD 모니터</v>
      </c>
      <c r="O189" s="19">
        <f t="array" ref="O189">IFERROR(INDEX(sales!D:D,MATCH(D189,sales!C:C,0)),"없음")</f>
        <v>0</v>
      </c>
      <c r="P189" s="19" t="str">
        <f t="array" ref="P189">IFERROR(INDEX(sales!E:E,MATCH(D189,sales!C:C,0)),"없음")</f>
        <v>MKT</v>
      </c>
      <c r="Q189" s="19" t="str">
        <f t="array" ref="Q189">IFERROR(INDEX(sales!C:C,MATCH(D189,sales!C:C,0)),"list없음")</f>
        <v>bella.yoon@stryker.com</v>
      </c>
      <c r="R189" s="19"/>
    </row>
    <row r="190" spans="1:18" ht="13">
      <c r="A190" s="10">
        <v>192</v>
      </c>
      <c r="B190" s="12" t="s">
        <v>748</v>
      </c>
      <c r="C190" s="12" t="s">
        <v>749</v>
      </c>
      <c r="D190" s="12" t="s">
        <v>750</v>
      </c>
      <c r="E190" s="11" t="s">
        <v>70</v>
      </c>
      <c r="F190" s="12" t="s">
        <v>20</v>
      </c>
      <c r="G190" s="12" t="s">
        <v>27</v>
      </c>
      <c r="H190" s="14" t="str">
        <f t="array" ref="H190">IFERROR(INDEX(Lease_List!D:D,MATCH(All_User!D190,Lease_List!H:H,0)),"없음")</f>
        <v>5CD4305D8P</v>
      </c>
      <c r="I190" s="17" t="s">
        <v>28</v>
      </c>
      <c r="J190" s="16"/>
      <c r="K190" s="17" t="str">
        <f t="array" ref="K190">IFERROR(INDEX(Ipad_List!C:C,MATCH(All_User!D190,Ipad_List!J:J,0)),"없음")</f>
        <v>DMW34MWM7C</v>
      </c>
      <c r="L190" s="18" t="str">
        <f t="array" ref="L190">IFERROR(INDEX(TeamsNumber!B:B,MATCH(All_User!D190,TeamsNumber!D:D,0)),"없음")</f>
        <v>tel:+82234517695</v>
      </c>
      <c r="M190" s="18" t="str">
        <f t="array" ref="M190">IFERROR(INDEX(Printer!D:D,MATCH(All_User!D190,Printer!H:H,0)),"없음")</f>
        <v>없음</v>
      </c>
      <c r="N190" s="19" t="str">
        <f t="array" ref="N190">IFERROR(INDEX(Monitor!A:A,MATCH(D190,Monitor!D:D,0)),"없음")</f>
        <v>없음</v>
      </c>
      <c r="O190" s="19" t="str">
        <f t="array" ref="O190">IFERROR(INDEX(sales!D:D,MATCH(D190,sales!C:C,0)),"없음")</f>
        <v>Mako</v>
      </c>
      <c r="P190" s="19" t="str">
        <f t="array" ref="P190">IFERROR(INDEX(sales!E:E,MATCH(D190,sales!C:C,0)),"없음")</f>
        <v>MPS</v>
      </c>
      <c r="Q190" s="19" t="str">
        <f t="array" ref="Q190">IFERROR(INDEX(sales!C:C,MATCH(D190,sales!C:C,0)),"list없음")</f>
        <v>ayaan.yoon@stryker.com</v>
      </c>
      <c r="R190" s="19"/>
    </row>
    <row r="191" spans="1:18" ht="13">
      <c r="A191" s="10">
        <v>193</v>
      </c>
      <c r="B191" s="12" t="s">
        <v>751</v>
      </c>
      <c r="C191" s="12" t="s">
        <v>752</v>
      </c>
      <c r="D191" s="12" t="s">
        <v>753</v>
      </c>
      <c r="E191" s="12" t="s">
        <v>754</v>
      </c>
      <c r="F191" s="12" t="s">
        <v>20</v>
      </c>
      <c r="G191" s="12" t="s">
        <v>75</v>
      </c>
      <c r="H191" s="14" t="str">
        <f t="array" ref="H191">IFERROR(INDEX(Lease_List!D:D,MATCH(All_User!D191,Lease_List!H:H,0)),"없음")</f>
        <v>5CD4145N3H</v>
      </c>
      <c r="I191" s="17" t="s">
        <v>28</v>
      </c>
      <c r="J191" s="16"/>
      <c r="K191" s="17" t="str">
        <f t="array" ref="K191">IFERROR(INDEX(Ipad_List!C:C,MATCH(All_User!D191,Ipad_List!J:J,0)),"없음")</f>
        <v>JWR90CCXJ3</v>
      </c>
      <c r="L191" s="18" t="str">
        <f t="array" ref="L191">IFERROR(INDEX(TeamsNumber!B:B,MATCH(All_User!D191,TeamsNumber!D:D,0)),"없음")</f>
        <v>tel:+82234517660</v>
      </c>
      <c r="M191" s="18" t="str">
        <f t="array" ref="M191">IFERROR(INDEX(Printer!D:D,MATCH(All_User!D191,Printer!H:H,0)),"없음")</f>
        <v>2차 조사 정보 없음</v>
      </c>
      <c r="N191" s="19" t="str">
        <f t="array" ref="N191">IFERROR(INDEX(Monitor!A:A,MATCH(D191,Monitor!D:D,0)),"없음")</f>
        <v>없음</v>
      </c>
      <c r="O191" s="19" t="str">
        <f t="array" ref="O191">IFERROR(INDEX(sales!D:D,MATCH(D191,sales!C:C,0)),"없음")</f>
        <v>Knee</v>
      </c>
      <c r="P191" s="19" t="str">
        <f t="array" ref="P191">IFERROR(INDEX(sales!E:E,MATCH(D191,sales!C:C,0)),"없음")</f>
        <v>Sales</v>
      </c>
      <c r="Q191" s="19" t="str">
        <f t="array" ref="Q191">IFERROR(INDEX(sales!C:C,MATCH(D191,sales!C:C,0)),"list없음")</f>
        <v>jw.yoon@stryker.com</v>
      </c>
      <c r="R191" s="19"/>
    </row>
    <row r="192" spans="1:18" ht="13">
      <c r="A192" s="10">
        <v>194</v>
      </c>
      <c r="B192" s="12" t="s">
        <v>755</v>
      </c>
      <c r="C192" s="12" t="s">
        <v>756</v>
      </c>
      <c r="D192" s="12" t="s">
        <v>757</v>
      </c>
      <c r="E192" s="12" t="s">
        <v>55</v>
      </c>
      <c r="F192" s="12" t="s">
        <v>20</v>
      </c>
      <c r="G192" s="12" t="s">
        <v>27</v>
      </c>
      <c r="H192" s="14" t="str">
        <f t="array" ref="H192">IFERROR(INDEX(Lease_List!D:D,MATCH(All_User!D192,Lease_List!H:H,0)),"없음")</f>
        <v>5CD5062YDK</v>
      </c>
      <c r="I192" s="17" t="s">
        <v>28</v>
      </c>
      <c r="J192" s="16"/>
      <c r="K192" s="17" t="str">
        <f t="array" ref="K192">IFERROR(INDEX(Ipad_List!C:C,MATCH(All_User!D192,Ipad_List!J:J,0)),"없음")</f>
        <v>M90G1Q6XFP</v>
      </c>
      <c r="L192" s="18" t="str">
        <f t="array" ref="L192">IFERROR(INDEX(TeamsNumber!B:B,MATCH(All_User!D192,TeamsNumber!D:D,0)),"없음")</f>
        <v>tel:+82234517689</v>
      </c>
      <c r="M192" s="18" t="str">
        <f t="array" ref="M192">IFERROR(INDEX(Printer!D:D,MATCH(All_User!D192,Printer!H:H,0)),"없음")</f>
        <v>없음</v>
      </c>
      <c r="N192" s="19" t="str">
        <f t="array" ref="N192">IFERROR(INDEX(Monitor!A:A,MATCH(D192,Monitor!D:D,0)),"없음")</f>
        <v>없음</v>
      </c>
      <c r="O192" s="19" t="str">
        <f t="array" ref="O192">IFERROR(INDEX(sales!D:D,MATCH(D192,sales!C:C,0)),"없음")</f>
        <v>Mako</v>
      </c>
      <c r="P192" s="19" t="str">
        <f t="array" ref="P192">IFERROR(INDEX(sales!E:E,MATCH(D192,sales!C:C,0)),"없음")</f>
        <v>MPS</v>
      </c>
      <c r="Q192" s="19" t="str">
        <f t="array" ref="Q192">IFERROR(INDEX(sales!C:C,MATCH(D192,sales!C:C,0)),"list없음")</f>
        <v>aaron.yoon@stryker.com</v>
      </c>
      <c r="R192" s="19"/>
    </row>
    <row r="193" spans="1:18" ht="13">
      <c r="A193" s="10">
        <v>195</v>
      </c>
      <c r="B193" s="12" t="s">
        <v>758</v>
      </c>
      <c r="C193" s="12" t="s">
        <v>759</v>
      </c>
      <c r="D193" s="12" t="s">
        <v>760</v>
      </c>
      <c r="E193" s="12" t="s">
        <v>761</v>
      </c>
      <c r="F193" s="12" t="s">
        <v>20</v>
      </c>
      <c r="G193" s="12" t="s">
        <v>134</v>
      </c>
      <c r="H193" s="14" t="str">
        <f t="array" ref="H193">IFERROR(INDEX(Lease_List!D:D,MATCH(All_User!D193,Lease_List!H:H,0)),"없음")</f>
        <v>없음</v>
      </c>
      <c r="I193" s="17" t="s">
        <v>28</v>
      </c>
      <c r="J193" s="16" t="s">
        <v>762</v>
      </c>
      <c r="K193" s="17" t="str">
        <f t="array" ref="K193">IFERROR(INDEX(Ipad_List!C:C,MATCH(All_User!D193,Ipad_List!J:J,0)),"없음")</f>
        <v>HYC714DK25</v>
      </c>
      <c r="L193" s="18" t="str">
        <f t="array" ref="L193">IFERROR(INDEX(TeamsNumber!B:B,MATCH(All_User!D193,TeamsNumber!D:D,0)),"없음")</f>
        <v>tel:+82234517556</v>
      </c>
      <c r="M193" s="18" t="str">
        <f t="array" ref="M193">IFERROR(INDEX(Printer!D:D,MATCH(All_User!D193,Printer!G:G,0)),"없음")</f>
        <v>없음</v>
      </c>
      <c r="N193" s="19" t="str">
        <f t="array" ref="N193">IFERROR(INDEX(Monitor!A:A,MATCH(D193,Monitor!D:D,0)),"없음")</f>
        <v>없음</v>
      </c>
      <c r="O193" s="19">
        <f t="array" ref="O193">IFERROR(INDEX(sales!D:D,MATCH(D193,sales!C:C,0)),"없음")</f>
        <v>0</v>
      </c>
      <c r="P193" s="19" t="str">
        <f t="array" ref="P193">IFERROR(INDEX(sales!E:E,MATCH(D193,sales!C:C,0)),"없음")</f>
        <v>MKT</v>
      </c>
      <c r="Q193" s="19" t="str">
        <f t="array" ref="Q193">IFERROR(INDEX(sales!C:C,MATCH(D193,sales!C:C,0)),"list없음")</f>
        <v>sarah.youn@stryker.com</v>
      </c>
      <c r="R193" s="19"/>
    </row>
    <row r="194" spans="1:18" ht="13">
      <c r="A194" s="34">
        <v>196</v>
      </c>
      <c r="B194" s="47" t="s">
        <v>763</v>
      </c>
      <c r="C194" s="35"/>
      <c r="D194" s="35" t="s">
        <v>764</v>
      </c>
      <c r="E194" s="35"/>
      <c r="F194" s="35"/>
      <c r="G194" s="35"/>
      <c r="H194" s="20" t="str">
        <f t="array" ref="H194">IFERROR(INDEX(Lease_List!D:D,MATCH(All_User!D194,Lease_List!H:H,0)),"없음")</f>
        <v>5CD3469HCZ</v>
      </c>
      <c r="I194" s="38" t="s">
        <v>28</v>
      </c>
      <c r="J194" s="38"/>
      <c r="K194" s="16" t="str">
        <f t="array" ref="K194">IFERROR(INDEX(Ipad_List!C:C,MATCH(All_User!D194,Ipad_List!J:J,0)),"없음")</f>
        <v>J1XWPW66YY</v>
      </c>
      <c r="L194" s="19" t="str">
        <f t="array" ref="L194">IFERROR(INDEX(TeamsNumber!B:B,MATCH(All_User!D194,TeamsNumber!D:D,0)),"없음")</f>
        <v>tel:+82234517681</v>
      </c>
      <c r="M194" s="19" t="str">
        <f t="array" ref="M194">IFERROR(INDEX(Printer!D:D,MATCH(All_User!D194,Printer!H:H,0)),"없음")</f>
        <v>없음</v>
      </c>
      <c r="N194" s="19" t="str">
        <f t="array" ref="N194">IFERROR(INDEX(Monitor!A:A,MATCH(D194,Monitor!D:D,0)),"없음")</f>
        <v>없음</v>
      </c>
      <c r="O194" s="19" t="str">
        <f t="array" ref="O194">IFERROR(INDEX(sales!D:D,MATCH(D194,sales!C:C,0)),"없음")</f>
        <v>없음</v>
      </c>
      <c r="P194" s="19" t="str">
        <f t="array" ref="P194">IFERROR(INDEX(sales!E:E,MATCH(D194,sales!C:C,0)),"없음")</f>
        <v>없음</v>
      </c>
    </row>
    <row r="195" spans="1:18" ht="13">
      <c r="A195" s="10">
        <v>197</v>
      </c>
      <c r="B195" s="48" t="s">
        <v>765</v>
      </c>
      <c r="C195" s="12"/>
      <c r="D195" s="12" t="s">
        <v>766</v>
      </c>
      <c r="E195" s="12"/>
      <c r="F195" s="12"/>
      <c r="G195" s="12"/>
      <c r="H195" s="20" t="str">
        <f t="array" ref="H195">IFERROR(INDEX(Lease_List!D:D,MATCH(All_User!D195,Lease_List!H:H,0)),"없음")</f>
        <v>5CD3469HDG</v>
      </c>
      <c r="I195" s="16" t="s">
        <v>28</v>
      </c>
      <c r="J195" s="16"/>
      <c r="K195" s="16" t="str">
        <f t="array" ref="K195">IFERROR(INDEX(Ipad_List!C:C,MATCH(All_User!D195,Ipad_List!J:J,0)),"없음")</f>
        <v>없음</v>
      </c>
      <c r="L195" s="19" t="str">
        <f t="array" ref="L195">IFERROR(INDEX(TeamsNumber!B:B,MATCH(All_User!D195,TeamsNumber!D:D,0)),"없음")</f>
        <v>없음</v>
      </c>
      <c r="M195" s="19" t="str">
        <f t="array" ref="M195">IFERROR(INDEX(Printer!D:D,MATCH(All_User!D195,Printer!H:H,0)),"없음")</f>
        <v>없음</v>
      </c>
      <c r="N195" s="19" t="str">
        <f t="array" ref="N195">IFERROR(INDEX(Monitor!A:A,MATCH(D195,Monitor!D:D,0)),"없음")</f>
        <v>없음</v>
      </c>
      <c r="O195" s="19" t="str">
        <f t="array" ref="O195">IFERROR(INDEX(sales!D:D,MATCH(D195,sales!C:C,0)),"없음")</f>
        <v>없음</v>
      </c>
      <c r="P195" s="19" t="str">
        <f t="array" ref="P195">IFERROR(INDEX(sales!E:E,MATCH(D195,sales!C:C,0)),"없음")</f>
        <v>없음</v>
      </c>
      <c r="Q195" s="19"/>
      <c r="R195" s="19"/>
    </row>
    <row r="196" spans="1:18" ht="13">
      <c r="A196" s="10">
        <v>198</v>
      </c>
      <c r="B196" s="48" t="s">
        <v>767</v>
      </c>
      <c r="C196" s="12"/>
      <c r="D196" s="12" t="s">
        <v>768</v>
      </c>
      <c r="E196" s="12"/>
      <c r="F196" s="12"/>
      <c r="G196" s="12"/>
      <c r="H196" s="20" t="str">
        <f t="array" ref="H196">IFERROR(INDEX(Lease_List!D:D,MATCH(All_User!D196,Lease_List!H:H,0)),"없음")</f>
        <v>5CD3469HDK</v>
      </c>
      <c r="I196" s="16" t="s">
        <v>28</v>
      </c>
      <c r="J196" s="16"/>
      <c r="K196" s="16" t="str">
        <f t="array" ref="K196">IFERROR(INDEX(Ipad_List!C:C,MATCH(All_User!D196,Ipad_List!J:J,0)),"없음")</f>
        <v>없음</v>
      </c>
      <c r="L196" s="19" t="str">
        <f t="array" ref="L196">IFERROR(INDEX(TeamsNumber!B:B,MATCH(All_User!D196,TeamsNumber!D:D,0)),"없음")</f>
        <v>없음</v>
      </c>
      <c r="M196" s="19" t="str">
        <f t="array" ref="M196">IFERROR(INDEX(Printer!D:D,MATCH(All_User!D196,Printer!H:H,0)),"없음")</f>
        <v>없음</v>
      </c>
      <c r="N196" s="19" t="str">
        <f t="array" ref="N196">IFERROR(INDEX(Monitor!A:A,MATCH(D196,Monitor!D:D,0)),"없음")</f>
        <v>없음</v>
      </c>
      <c r="O196" s="19" t="str">
        <f t="array" ref="O196">IFERROR(INDEX(sales!D:D,MATCH(D196,sales!C:C,0)),"없음")</f>
        <v>없음</v>
      </c>
      <c r="P196" s="19" t="str">
        <f t="array" ref="P196">IFERROR(INDEX(sales!E:E,MATCH(D196,sales!C:C,0)),"없음")</f>
        <v>없음</v>
      </c>
      <c r="Q196" s="19"/>
      <c r="R196" s="19"/>
    </row>
    <row r="197" spans="1:18" ht="13">
      <c r="A197" s="10">
        <v>199</v>
      </c>
      <c r="B197" s="48" t="s">
        <v>769</v>
      </c>
      <c r="C197" s="12"/>
      <c r="D197" s="49" t="s">
        <v>770</v>
      </c>
      <c r="E197" s="50"/>
      <c r="F197" s="12"/>
      <c r="G197" s="12"/>
      <c r="H197" s="20" t="str">
        <f t="array" ref="H197">IFERROR(INDEX(Lease_List!D:D,MATCH(All_User!D197,Lease_List!H:H,0)),"없음")</f>
        <v>5CD3469HDP</v>
      </c>
      <c r="I197" s="16" t="s">
        <v>28</v>
      </c>
      <c r="J197" s="16"/>
      <c r="K197" s="16" t="str">
        <f t="array" ref="K197">IFERROR(INDEX(Ipad_List!C:C,MATCH(All_User!D197,Ipad_List!J:J,0)),"없음")</f>
        <v>없음</v>
      </c>
      <c r="L197" s="19" t="str">
        <f t="array" ref="L197">IFERROR(INDEX(TeamsNumber!B:B,MATCH(All_User!D197,TeamsNumber!D:D,0)),"없음")</f>
        <v>없음</v>
      </c>
      <c r="M197" s="19" t="str">
        <f t="array" ref="M197">IFERROR(INDEX(Printer!D:D,MATCH(All_User!D197,Printer!H:H,0)),"없음")</f>
        <v>없음</v>
      </c>
      <c r="N197" s="19" t="str">
        <f t="array" ref="N197">IFERROR(INDEX(Monitor!A:A,MATCH(D197,Monitor!D:D,0)),"없음")</f>
        <v>없음</v>
      </c>
      <c r="O197" s="19" t="str">
        <f t="array" ref="O197">IFERROR(INDEX(sales!D:D,MATCH(D197,sales!C:C,0)),"없음")</f>
        <v>없음</v>
      </c>
      <c r="P197" s="19" t="str">
        <f t="array" ref="P197">IFERROR(INDEX(sales!E:E,MATCH(D197,sales!C:C,0)),"없음")</f>
        <v>없음</v>
      </c>
      <c r="Q197" s="19"/>
      <c r="R197" s="19"/>
    </row>
    <row r="198" spans="1:18" ht="13">
      <c r="A198" s="10">
        <v>200</v>
      </c>
      <c r="B198" s="47" t="s">
        <v>771</v>
      </c>
      <c r="C198" s="12"/>
      <c r="D198" s="11" t="s">
        <v>772</v>
      </c>
      <c r="E198" s="12"/>
      <c r="F198" s="12"/>
      <c r="G198" s="12"/>
      <c r="H198" s="20" t="str">
        <f t="array" ref="H198">IFERROR(INDEX(Lease_List!D:D,MATCH(All_User!D198,Lease_List!H:H,0)),"없음")</f>
        <v>없음</v>
      </c>
      <c r="I198" s="16" t="s">
        <v>28</v>
      </c>
      <c r="J198" s="16"/>
      <c r="K198" s="16" t="str">
        <f t="array" ref="K198">IFERROR(INDEX(Ipad_List!C:C,MATCH(All_User!D198,Ipad_List!J:J,0)),"없음")</f>
        <v>없음</v>
      </c>
      <c r="L198" s="19" t="str">
        <f t="array" ref="L198">IFERROR(INDEX(TeamsNumber!B:B,MATCH(All_User!D198,TeamsNumber!D:D,0)),"없음")</f>
        <v>없음</v>
      </c>
      <c r="M198" s="19" t="str">
        <f t="array" ref="M198">IFERROR(INDEX(Printer!D:D,MATCH(All_User!D198,Printer!H:H,0)),"없음")</f>
        <v>없음</v>
      </c>
      <c r="N198" s="19" t="str">
        <f t="array" ref="N198">IFERROR(INDEX(Monitor!A:A,MATCH(D198,Monitor!D:D,0)),"없음")</f>
        <v>없음</v>
      </c>
      <c r="O198" s="19" t="str">
        <f t="array" ref="O198">IFERROR(INDEX(sales!D:D,MATCH(D198,sales!C:C,0)),"없음")</f>
        <v>없음</v>
      </c>
      <c r="P198" s="19" t="str">
        <f t="array" ref="P198">IFERROR(INDEX(sales!E:E,MATCH(D198,sales!C:C,0)),"없음")</f>
        <v>없음</v>
      </c>
      <c r="Q198" s="19"/>
      <c r="R198" s="19"/>
    </row>
    <row r="199" spans="1:18" ht="13">
      <c r="A199" s="10">
        <v>201</v>
      </c>
      <c r="B199" s="48" t="s">
        <v>773</v>
      </c>
      <c r="C199" s="12"/>
      <c r="D199" s="49" t="s">
        <v>774</v>
      </c>
      <c r="E199" s="50"/>
      <c r="F199" s="12"/>
      <c r="G199" s="12"/>
      <c r="H199" s="20" t="str">
        <f t="array" ref="H199">IFERROR(INDEX(Lease_List!D:D,MATCH(All_User!D199,Lease_List!H:H,0)),"없음")</f>
        <v>5CD4145N3F</v>
      </c>
      <c r="I199" s="16" t="s">
        <v>28</v>
      </c>
      <c r="J199" s="16"/>
      <c r="K199" s="16" t="str">
        <f t="array" ref="K199">IFERROR(INDEX(Ipad_List!C:C,MATCH(All_User!D199,Ipad_List!J:J,0)),"없음")</f>
        <v>없음</v>
      </c>
      <c r="L199" s="19" t="str">
        <f t="array" ref="L199">IFERROR(INDEX(TeamsNumber!B:B,MATCH(All_User!D199,TeamsNumber!D:D,0)),"없음")</f>
        <v>없음</v>
      </c>
      <c r="M199" s="19" t="str">
        <f t="array" ref="M199">IFERROR(INDEX(Printer!D:D,MATCH(All_User!D199,Printer!H:H,0)),"없음")</f>
        <v>없음</v>
      </c>
      <c r="N199" s="19" t="str">
        <f t="array" ref="N199">IFERROR(INDEX(Monitor!A:A,MATCH(D199,Monitor!D:D,0)),"없음")</f>
        <v>없음</v>
      </c>
      <c r="O199" s="19" t="str">
        <f t="array" ref="O199">IFERROR(INDEX(sales!D:D,MATCH(D199,sales!C:C,0)),"없음")</f>
        <v>없음</v>
      </c>
      <c r="P199" s="19" t="str">
        <f t="array" ref="P199">IFERROR(INDEX(sales!E:E,MATCH(D199,sales!C:C,0)),"없음")</f>
        <v>없음</v>
      </c>
      <c r="Q199" s="19"/>
      <c r="R199" s="19"/>
    </row>
    <row r="200" spans="1:18" ht="13">
      <c r="A200" s="10">
        <v>202</v>
      </c>
      <c r="B200" s="48" t="s">
        <v>775</v>
      </c>
      <c r="C200" s="12"/>
      <c r="D200" s="12" t="s">
        <v>776</v>
      </c>
      <c r="E200" s="12"/>
      <c r="F200" s="12"/>
      <c r="G200" s="12"/>
      <c r="H200" s="20" t="str">
        <f t="array" ref="H200">IFERROR(INDEX(Lease_List!D:D,MATCH(All_User!D200,Lease_List!H:H,0)),"없음")</f>
        <v>5CD4232BFM</v>
      </c>
      <c r="I200" s="16" t="s">
        <v>28</v>
      </c>
      <c r="J200" s="16"/>
      <c r="K200" s="16" t="str">
        <f t="array" ref="K200">IFERROR(INDEX(Ipad_List!C:C,MATCH(All_User!D200,Ipad_List!J:J,0)),"없음")</f>
        <v>없음</v>
      </c>
      <c r="L200" s="19" t="str">
        <f t="array" ref="L200">IFERROR(INDEX(TeamsNumber!B:B,MATCH(All_User!D200,TeamsNumber!D:D,0)),"없음")</f>
        <v>없음</v>
      </c>
      <c r="M200" s="19" t="str">
        <f t="array" ref="M200">IFERROR(INDEX(Printer!D:D,MATCH(All_User!D200,Printer!H:H,0)),"없음")</f>
        <v>없음</v>
      </c>
      <c r="N200" s="19" t="str">
        <f t="array" ref="N200">IFERROR(INDEX(Monitor!A:A,MATCH(D200,Monitor!D:D,0)),"없음")</f>
        <v>없음</v>
      </c>
      <c r="O200" s="19" t="str">
        <f t="array" ref="O200">IFERROR(INDEX(sales!D:D,MATCH(D200,sales!C:C,0)),"없음")</f>
        <v>없음</v>
      </c>
      <c r="P200" s="19" t="str">
        <f t="array" ref="P200">IFERROR(INDEX(sales!E:E,MATCH(D200,sales!C:C,0)),"없음")</f>
        <v>없음</v>
      </c>
      <c r="Q200" s="19"/>
      <c r="R200" s="19"/>
    </row>
    <row r="201" spans="1:18" ht="13">
      <c r="A201" s="10">
        <v>203</v>
      </c>
      <c r="B201" s="48" t="s">
        <v>777</v>
      </c>
      <c r="C201" s="12"/>
      <c r="D201" s="12" t="s">
        <v>778</v>
      </c>
      <c r="E201" s="12"/>
      <c r="F201" s="12"/>
      <c r="G201" s="12"/>
      <c r="H201" s="20" t="str">
        <f t="array" ref="H201">IFERROR(INDEX(Lease_List!D:D,MATCH(All_User!D201,Lease_List!H:H,0)),"없음")</f>
        <v>없음</v>
      </c>
      <c r="I201" s="16" t="s">
        <v>28</v>
      </c>
      <c r="J201" s="16"/>
      <c r="K201" s="16" t="str">
        <f t="array" ref="K201">IFERROR(INDEX(Ipad_List!C:C,MATCH(All_User!D201,Ipad_List!J:J,0)),"없음")</f>
        <v>없음</v>
      </c>
      <c r="L201" s="19" t="str">
        <f t="array" ref="L201">IFERROR(INDEX(TeamsNumber!B:B,MATCH(All_User!D201,TeamsNumber!D:D,0)),"없음")</f>
        <v>없음</v>
      </c>
      <c r="M201" s="19" t="str">
        <f t="array" ref="M201">IFERROR(INDEX(Printer!D:D,MATCH(All_User!D201,Printer!H:H,0)),"없음")</f>
        <v>없음</v>
      </c>
      <c r="N201" s="19" t="str">
        <f t="array" ref="N201">IFERROR(INDEX(Monitor!A:A,MATCH(D201,Monitor!D:D,0)),"없음")</f>
        <v>없음</v>
      </c>
      <c r="O201" s="19" t="str">
        <f t="array" ref="O201">IFERROR(INDEX(sales!D:D,MATCH(D201,sales!C:C,0)),"없음")</f>
        <v>없음</v>
      </c>
      <c r="P201" s="19" t="str">
        <f t="array" ref="P201">IFERROR(INDEX(sales!E:E,MATCH(D201,sales!C:C,0)),"없음")</f>
        <v>없음</v>
      </c>
      <c r="Q201" s="19"/>
      <c r="R201" s="19"/>
    </row>
    <row r="202" spans="1:18" ht="13">
      <c r="A202" s="10">
        <v>204</v>
      </c>
      <c r="B202" s="48" t="s">
        <v>779</v>
      </c>
      <c r="C202" s="12"/>
      <c r="D202" s="12" t="s">
        <v>780</v>
      </c>
      <c r="E202" s="12"/>
      <c r="F202" s="12"/>
      <c r="G202" s="12"/>
      <c r="H202" s="20" t="str">
        <f t="array" ref="H202">IFERROR(INDEX(Lease_List!D:D,MATCH(All_User!D202,Lease_List!H:H,0)),"없음")</f>
        <v>5CD4305D92</v>
      </c>
      <c r="I202" s="16" t="s">
        <v>781</v>
      </c>
      <c r="J202" s="16"/>
      <c r="K202" s="16" t="str">
        <f t="array" ref="K202">IFERROR(INDEX(Ipad_List!C:C,MATCH(All_User!D202,Ipad_List!J:J,0)),"없음")</f>
        <v>없음</v>
      </c>
      <c r="L202" s="19" t="str">
        <f t="array" ref="L202">IFERROR(INDEX(TeamsNumber!B:B,MATCH(All_User!D202,TeamsNumber!D:D,0)),"없음")</f>
        <v>없음</v>
      </c>
      <c r="M202" s="19" t="str">
        <f t="array" ref="M202">IFERROR(INDEX(Printer!D:D,MATCH(All_User!D202,Printer!H:H,0)),"없음")</f>
        <v>없음</v>
      </c>
      <c r="N202" s="19" t="str">
        <f t="array" ref="N202">IFERROR(INDEX(Monitor!A:A,MATCH(D202,Monitor!D:D,0)),"없음")</f>
        <v>없음</v>
      </c>
      <c r="O202" s="19" t="str">
        <f t="array" ref="O202">IFERROR(INDEX(sales!D:D,MATCH(D202,sales!C:C,0)),"없음")</f>
        <v>없음</v>
      </c>
      <c r="P202" s="19" t="str">
        <f t="array" ref="P202">IFERROR(INDEX(sales!E:E,MATCH(D202,sales!C:C,0)),"없음")</f>
        <v>없음</v>
      </c>
      <c r="Q202" s="19"/>
      <c r="R202" s="19"/>
    </row>
    <row r="203" spans="1:18" ht="15">
      <c r="A203" s="10">
        <v>205</v>
      </c>
      <c r="B203" s="51" t="s">
        <v>782</v>
      </c>
      <c r="C203" s="12"/>
      <c r="D203" s="12" t="s">
        <v>783</v>
      </c>
      <c r="E203" s="12"/>
      <c r="F203" s="12"/>
      <c r="G203" s="12"/>
      <c r="H203" s="20" t="str">
        <f t="array" ref="H203">IFERROR(INDEX(Lease_List!D:D,MATCH(All_User!D203,Lease_List!H:H,0)),"없음")</f>
        <v>5CD4305D8S</v>
      </c>
      <c r="I203" s="16" t="s">
        <v>28</v>
      </c>
      <c r="J203" s="16"/>
      <c r="K203" s="16" t="str">
        <f t="array" ref="K203">IFERROR(INDEX(Ipad_List!C:C,MATCH(All_User!D203,Ipad_List!J:J,0)),"없음")</f>
        <v xml:space="preserve">F6PHK00AQ195 </v>
      </c>
      <c r="L203" s="19" t="str">
        <f t="array" ref="L203">IFERROR(INDEX(TeamsNumber!B:B,MATCH(All_User!D203,TeamsNumber!D:D,0)),"없음")</f>
        <v>tel:+82234517677</v>
      </c>
      <c r="M203" s="19" t="str">
        <f t="array" ref="M203">IFERROR(INDEX(Printer!D:D,MATCH(All_User!D203,Printer!H:H,0)),"없음")</f>
        <v>없음</v>
      </c>
      <c r="N203" s="19" t="str">
        <f t="array" ref="N203">IFERROR(INDEX(Monitor!A:A,MATCH(D203,Monitor!D:D,0)),"없음")</f>
        <v>없음</v>
      </c>
      <c r="O203" s="19" t="str">
        <f t="array" ref="O203">IFERROR(INDEX(sales!D:D,MATCH(D203,sales!C:C,0)),"없음")</f>
        <v>없음</v>
      </c>
      <c r="P203" s="19" t="str">
        <f t="array" ref="P203">IFERROR(INDEX(sales!E:E,MATCH(D203,sales!C:C,0)),"없음")</f>
        <v>없음</v>
      </c>
      <c r="Q203" s="19"/>
      <c r="R203" s="19"/>
    </row>
    <row r="204" spans="1:18" ht="13">
      <c r="A204" s="10">
        <v>206</v>
      </c>
      <c r="B204" s="48" t="s">
        <v>784</v>
      </c>
      <c r="C204" s="12"/>
      <c r="D204" s="12" t="s">
        <v>785</v>
      </c>
      <c r="E204" s="12"/>
      <c r="F204" s="12"/>
      <c r="G204" s="12"/>
      <c r="H204" s="20" t="str">
        <f t="array" ref="H204">IFERROR(INDEX(Lease_List!D:D,MATCH(All_User!D204,Lease_List!H:H,0)),"없음")</f>
        <v>5CD4305D83</v>
      </c>
      <c r="I204" s="16" t="s">
        <v>28</v>
      </c>
      <c r="J204" s="16"/>
      <c r="K204" s="16" t="str">
        <f t="array" ref="K204">IFERROR(INDEX(Ipad_List!C:C,MATCH(All_User!D204,Ipad_List!J:J,0)),"없음")</f>
        <v>없음</v>
      </c>
      <c r="L204" s="19" t="str">
        <f t="array" ref="L204">IFERROR(INDEX(TeamsNumber!B:B,MATCH(All_User!D204,TeamsNumber!D:D,0)),"없음")</f>
        <v>없음</v>
      </c>
      <c r="M204" s="19" t="str">
        <f t="array" ref="M204">IFERROR(INDEX(Printer!D:D,MATCH(All_User!D204,Printer!H:H,0)),"없음")</f>
        <v>없음</v>
      </c>
      <c r="N204" s="19" t="str">
        <f t="array" ref="N204">IFERROR(INDEX(Monitor!A:A,MATCH(D204,Monitor!D:D,0)),"없음")</f>
        <v>없음</v>
      </c>
      <c r="O204" s="19" t="str">
        <f t="array" ref="O204">IFERROR(INDEX(sales!D:D,MATCH(D204,sales!C:C,0)),"없음")</f>
        <v>없음</v>
      </c>
      <c r="P204" s="19" t="str">
        <f t="array" ref="P204">IFERROR(INDEX(sales!E:E,MATCH(D204,sales!C:C,0)),"없음")</f>
        <v>없음</v>
      </c>
      <c r="Q204" s="19"/>
      <c r="R204" s="19"/>
    </row>
    <row r="205" spans="1:18" ht="13">
      <c r="A205" s="10">
        <v>207</v>
      </c>
      <c r="B205" s="48" t="s">
        <v>786</v>
      </c>
      <c r="C205" s="12"/>
      <c r="D205" s="12" t="s">
        <v>787</v>
      </c>
      <c r="E205" s="12"/>
      <c r="F205" s="12"/>
      <c r="G205" s="12"/>
      <c r="H205" s="20" t="str">
        <f t="array" ref="H205">IFERROR(INDEX(Lease_List!D:D,MATCH(All_User!D205,Lease_List!H:H,0)),"없음")</f>
        <v>5CD4305D86</v>
      </c>
      <c r="I205" s="16" t="s">
        <v>28</v>
      </c>
      <c r="J205" s="16"/>
      <c r="K205" s="16" t="str">
        <f t="array" ref="K205">IFERROR(INDEX(Ipad_List!C:C,MATCH(All_User!D205,Ipad_List!J:J,0)),"없음")</f>
        <v>없음</v>
      </c>
      <c r="L205" s="19" t="str">
        <f t="array" ref="L205">IFERROR(INDEX(TeamsNumber!B:B,MATCH(All_User!D205,TeamsNumber!D:D,0)),"없음")</f>
        <v>없음</v>
      </c>
      <c r="M205" s="19" t="str">
        <f t="array" ref="M205">IFERROR(INDEX(Printer!D:D,MATCH(All_User!D205,Printer!H:H,0)),"없음")</f>
        <v>없음</v>
      </c>
      <c r="N205" s="19" t="str">
        <f t="array" ref="N205">IFERROR(INDEX(Monitor!A:A,MATCH(D205,Monitor!D:D,0)),"없음")</f>
        <v>없음</v>
      </c>
      <c r="O205" s="19" t="str">
        <f t="array" ref="O205">IFERROR(INDEX(sales!D:D,MATCH(D205,sales!C:C,0)),"없음")</f>
        <v>없음</v>
      </c>
      <c r="P205" s="19" t="str">
        <f t="array" ref="P205">IFERROR(INDEX(sales!E:E,MATCH(D205,sales!C:C,0)),"없음")</f>
        <v>없음</v>
      </c>
      <c r="Q205" s="19"/>
      <c r="R205" s="19"/>
    </row>
    <row r="206" spans="1:18" ht="15">
      <c r="A206" s="10">
        <v>208</v>
      </c>
      <c r="B206" s="48" t="s">
        <v>788</v>
      </c>
      <c r="C206" s="12"/>
      <c r="D206" s="12" t="s">
        <v>789</v>
      </c>
      <c r="E206" s="52" t="s">
        <v>790</v>
      </c>
      <c r="F206" s="12"/>
      <c r="G206" s="12"/>
      <c r="H206" s="14" t="str">
        <f t="array" ref="H206">IFERROR(INDEX(Lease_List!D:D,MATCH(All_User!D206,Lease_List!H:H,0)),"없음")</f>
        <v>5CD5179KJ8</v>
      </c>
      <c r="I206" s="17" t="s">
        <v>28</v>
      </c>
      <c r="J206" s="16"/>
      <c r="K206" s="17" t="str">
        <f t="array" ref="K206">IFERROR(INDEX(Ipad_List!C:C,MATCH(All_User!D206,Ipad_List!J:J,0)),"없음")</f>
        <v>FHTK4GJCF9</v>
      </c>
      <c r="L206" s="18" t="str">
        <f t="array" ref="L206">IFERROR(INDEX(TeamsNumber!B:B,MATCH(All_User!D206,TeamsNumber!D:D,0)),"없음")</f>
        <v>없음</v>
      </c>
      <c r="M206" s="18" t="str">
        <f t="array" ref="M206">IFERROR(INDEX(Printer!D:D,MATCH(All_User!D206,Printer!H:H,0)),"없음")</f>
        <v>SL-C563W</v>
      </c>
      <c r="N206" s="19" t="str">
        <f t="array" ref="N206">IFERROR(INDEX(Monitor!A:A,MATCH(D206,Monitor!D:D,0)),"없음")</f>
        <v>없음</v>
      </c>
      <c r="O206" s="19" t="str">
        <f t="array" ref="O206">IFERROR(INDEX(sales!D:D,MATCH(D206,sales!C:C,0)),"없음")</f>
        <v>Mako</v>
      </c>
      <c r="P206" s="19" t="str">
        <f t="array" ref="P206">IFERROR(INDEX(sales!E:E,MATCH(D206,sales!C:C,0)),"없음")</f>
        <v>Sales</v>
      </c>
      <c r="Q206" s="19" t="str">
        <f t="array" ref="Q206">IFERROR(INDEX(sales!C:C,MATCH(D206,sales!C:C,0)),"list없음")</f>
        <v>neal.kim@stryker.com</v>
      </c>
      <c r="R206" s="19"/>
    </row>
    <row r="207" spans="1:18" ht="13">
      <c r="A207" s="10">
        <v>209</v>
      </c>
      <c r="B207" s="48" t="s">
        <v>791</v>
      </c>
      <c r="C207" s="12"/>
      <c r="D207" s="49" t="s">
        <v>792</v>
      </c>
      <c r="E207" s="50"/>
      <c r="F207" s="12"/>
      <c r="G207" s="12"/>
      <c r="H207" s="20" t="str">
        <f t="array" ref="H207">IFERROR(INDEX(Lease_List!D:D,MATCH(All_User!D207,Lease_List!H:H,0)),"없음")</f>
        <v>5CD4305D8B</v>
      </c>
      <c r="I207" s="16" t="s">
        <v>28</v>
      </c>
      <c r="J207" s="16"/>
      <c r="K207" s="16" t="str">
        <f t="array" ref="K207">IFERROR(INDEX(Ipad_List!C:C,MATCH(All_User!D207,Ipad_List!J:J,0)),"없음")</f>
        <v>없음</v>
      </c>
      <c r="L207" s="19" t="str">
        <f t="array" ref="L207">IFERROR(INDEX(TeamsNumber!B:B,MATCH(All_User!D207,TeamsNumber!D:D,0)),"없음")</f>
        <v>없음</v>
      </c>
      <c r="M207" s="19" t="str">
        <f t="array" ref="M207">IFERROR(INDEX(Printer!D:D,MATCH(All_User!D207,Printer!H:H,0)),"없음")</f>
        <v>없음</v>
      </c>
      <c r="N207" s="19" t="str">
        <f t="array" ref="N207">IFERROR(INDEX(Monitor!A:A,MATCH(D207,Monitor!D:D,0)),"없음")</f>
        <v>없음</v>
      </c>
      <c r="O207" s="19" t="str">
        <f t="array" ref="O207">IFERROR(INDEX(sales!D:D,MATCH(D207,sales!C:C,0)),"없음")</f>
        <v>없음</v>
      </c>
      <c r="P207" s="19" t="str">
        <f t="array" ref="P207">IFERROR(INDEX(sales!E:E,MATCH(D207,sales!C:C,0)),"없음")</f>
        <v>없음</v>
      </c>
      <c r="Q207" s="19"/>
      <c r="R207" s="19"/>
    </row>
    <row r="208" spans="1:18" ht="13">
      <c r="A208" s="10">
        <v>210</v>
      </c>
      <c r="B208" s="48" t="s">
        <v>793</v>
      </c>
      <c r="C208" s="12"/>
      <c r="D208" s="12" t="s">
        <v>794</v>
      </c>
      <c r="E208" s="12"/>
      <c r="F208" s="12"/>
      <c r="G208" s="12"/>
      <c r="H208" s="20" t="str">
        <f t="array" ref="H208">IFERROR(INDEX(Lease_List!D:D,MATCH(All_User!D208,Lease_List!H:H,0)),"없음")</f>
        <v>5CD5062YDL</v>
      </c>
      <c r="I208" s="16" t="s">
        <v>28</v>
      </c>
      <c r="J208" s="16"/>
      <c r="K208" s="16" t="str">
        <f t="array" ref="K208">IFERROR(INDEX(Ipad_List!C:C,MATCH(All_User!D208,Ipad_List!J:J,0)),"없음")</f>
        <v>없음</v>
      </c>
      <c r="L208" s="19" t="str">
        <f t="array" ref="L208">IFERROR(INDEX(TeamsNumber!B:B,MATCH(All_User!D208,TeamsNumber!D:D,0)),"없음")</f>
        <v>없음</v>
      </c>
      <c r="M208" s="19" t="str">
        <f t="array" ref="M208">IFERROR(INDEX(Printer!D:D,MATCH(All_User!D208,Printer!H:H,0)),"없음")</f>
        <v>없음</v>
      </c>
      <c r="N208" s="19" t="str">
        <f t="array" ref="N208">IFERROR(INDEX(Monitor!A:A,MATCH(D208,Monitor!D:D,0)),"없음")</f>
        <v>없음</v>
      </c>
      <c r="O208" s="19" t="str">
        <f t="array" ref="O208">IFERROR(INDEX(sales!D:D,MATCH(D208,sales!C:C,0)),"없음")</f>
        <v>없음</v>
      </c>
      <c r="P208" s="19" t="str">
        <f t="array" ref="P208">IFERROR(INDEX(sales!E:E,MATCH(D208,sales!C:C,0)),"없음")</f>
        <v>없음</v>
      </c>
      <c r="Q208" s="19"/>
      <c r="R208" s="19"/>
    </row>
    <row r="209" spans="1:18" ht="13">
      <c r="A209" s="10">
        <v>211</v>
      </c>
      <c r="B209" s="48" t="s">
        <v>795</v>
      </c>
      <c r="C209" s="12"/>
      <c r="D209" s="12" t="s">
        <v>796</v>
      </c>
      <c r="E209" s="12"/>
      <c r="F209" s="12"/>
      <c r="G209" s="12"/>
      <c r="H209" s="20" t="str">
        <f t="array" ref="H209">IFERROR(INDEX(Lease_List!D:D,MATCH(All_User!D209,Lease_List!H:H,0)),"없음")</f>
        <v>5CD5062YF7</v>
      </c>
      <c r="I209" s="16" t="s">
        <v>28</v>
      </c>
      <c r="J209" s="16"/>
      <c r="K209" s="16" t="str">
        <f t="array" ref="K209">IFERROR(INDEX(Ipad_List!C:C,MATCH(All_User!D209,Ipad_List!J:J,0)),"없음")</f>
        <v>없음</v>
      </c>
      <c r="L209" s="19" t="str">
        <f t="array" ref="L209">IFERROR(INDEX(TeamsNumber!B:B,MATCH(All_User!D209,TeamsNumber!D:D,0)),"없음")</f>
        <v>없음</v>
      </c>
      <c r="M209" s="19" t="str">
        <f t="array" ref="M209">IFERROR(INDEX(Printer!D:D,MATCH(All_User!D209,Printer!H:H,0)),"없음")</f>
        <v>없음</v>
      </c>
      <c r="N209" s="19" t="str">
        <f t="array" ref="N209">IFERROR(INDEX(Monitor!A:A,MATCH(D209,Monitor!D:D,0)),"없음")</f>
        <v>E2422H</v>
      </c>
      <c r="O209" s="19" t="str">
        <f t="array" ref="O209">IFERROR(INDEX(sales!D:D,MATCH(D209,sales!C:C,0)),"없음")</f>
        <v>없음</v>
      </c>
      <c r="P209" s="19" t="str">
        <f t="array" ref="P209">IFERROR(INDEX(sales!E:E,MATCH(D209,sales!C:C,0)),"없음")</f>
        <v>없음</v>
      </c>
      <c r="Q209" s="19"/>
      <c r="R209" s="19"/>
    </row>
    <row r="210" spans="1:18" ht="15">
      <c r="A210" s="10">
        <v>212</v>
      </c>
      <c r="B210" s="48" t="s">
        <v>797</v>
      </c>
      <c r="C210" s="12"/>
      <c r="D210" s="12" t="s">
        <v>798</v>
      </c>
      <c r="E210" s="52" t="s">
        <v>799</v>
      </c>
      <c r="F210" s="12"/>
      <c r="G210" s="12"/>
      <c r="H210" s="20" t="str">
        <f t="array" ref="H210">IFERROR(INDEX(Lease_List!D:D,MATCH(All_User!D210,Lease_List!H:H,0)),"없음")</f>
        <v>5CD5062YF9</v>
      </c>
      <c r="I210" s="16" t="s">
        <v>28</v>
      </c>
      <c r="J210" s="16"/>
      <c r="K210" s="16" t="str">
        <f t="array" ref="K210">IFERROR(INDEX(Ipad_List!C:C,MATCH(All_User!D210,Ipad_List!J:J,0)),"없음")</f>
        <v>없음</v>
      </c>
      <c r="L210" s="19" t="str">
        <f t="array" ref="L210">IFERROR(INDEX(TeamsNumber!B:B,MATCH(All_User!D210,TeamsNumber!D:D,0)),"없음")</f>
        <v>없음</v>
      </c>
      <c r="M210" s="19" t="str">
        <f t="array" ref="M210">IFERROR(INDEX(Printer!D:D,MATCH(All_User!D210,Printer!H:H,0)),"없음")</f>
        <v>없음</v>
      </c>
      <c r="N210" s="19" t="str">
        <f t="array" ref="N210">IFERROR(INDEX(Monitor!A:A,MATCH(D210,Monitor!D:D,0)),"없음")</f>
        <v>LCD 모니터</v>
      </c>
      <c r="O210" s="19" t="str">
        <f t="array" ref="O210">IFERROR(INDEX(sales!D:D,MATCH(D210,sales!C:C,0)),"없음")</f>
        <v>없음</v>
      </c>
      <c r="P210" s="19" t="str">
        <f t="array" ref="P210">IFERROR(INDEX(sales!E:E,MATCH(D210,sales!C:C,0)),"없음")</f>
        <v>없음</v>
      </c>
      <c r="Q210" s="19"/>
      <c r="R210" s="19"/>
    </row>
    <row r="211" spans="1:18" ht="13">
      <c r="A211" s="10">
        <v>213</v>
      </c>
      <c r="B211" s="48" t="s">
        <v>800</v>
      </c>
      <c r="C211" s="12"/>
      <c r="D211" s="12" t="s">
        <v>801</v>
      </c>
      <c r="E211" s="12"/>
      <c r="F211" s="12"/>
      <c r="G211" s="12"/>
      <c r="H211" s="20" t="str">
        <f t="array" ref="H211">IFERROR(INDEX(Lease_List!D:D,MATCH(All_User!D211,Lease_List!H:H,0)),"없음")</f>
        <v>5CD5062YDS</v>
      </c>
      <c r="I211" s="16" t="s">
        <v>28</v>
      </c>
      <c r="J211" s="16"/>
      <c r="K211" s="16" t="str">
        <f t="array" ref="K211">IFERROR(INDEX(Ipad_List!C:C,MATCH(All_User!D211,Ipad_List!J:J,0)),"없음")</f>
        <v>없음</v>
      </c>
      <c r="L211" s="19" t="str">
        <f t="array" ref="L211">IFERROR(INDEX(TeamsNumber!B:B,MATCH(All_User!D211,TeamsNumber!D:D,0)),"없음")</f>
        <v>없음</v>
      </c>
      <c r="M211" s="19" t="str">
        <f t="array" ref="M211">IFERROR(INDEX(Printer!D:D,MATCH(All_User!D211,Printer!H:H,0)),"없음")</f>
        <v>없음</v>
      </c>
      <c r="N211" s="19" t="str">
        <f t="array" ref="N211">IFERROR(INDEX(Monitor!A:A,MATCH(D211,Monitor!D:D,0)),"없음")</f>
        <v>없음</v>
      </c>
      <c r="O211" s="19" t="str">
        <f t="array" ref="O211">IFERROR(INDEX(sales!D:D,MATCH(D211,sales!C:C,0)),"없음")</f>
        <v>없음</v>
      </c>
      <c r="P211" s="19" t="str">
        <f t="array" ref="P211">IFERROR(INDEX(sales!E:E,MATCH(D211,sales!C:C,0)),"없음")</f>
        <v>없음</v>
      </c>
      <c r="Q211" s="19"/>
      <c r="R211" s="19"/>
    </row>
    <row r="212" spans="1:18" ht="13">
      <c r="A212" s="10">
        <v>214</v>
      </c>
      <c r="B212" s="48" t="s">
        <v>802</v>
      </c>
      <c r="C212" s="12"/>
      <c r="D212" s="49" t="s">
        <v>803</v>
      </c>
      <c r="E212" s="50"/>
      <c r="F212" s="12"/>
      <c r="G212" s="12"/>
      <c r="H212" s="20" t="str">
        <f t="array" ref="H212">IFERROR(INDEX(Lease_List!D:D,MATCH(All_User!D212,Lease_List!H:H,0)),"없음")</f>
        <v>5CD5062YDQ</v>
      </c>
      <c r="I212" s="16" t="s">
        <v>28</v>
      </c>
      <c r="J212" s="16"/>
      <c r="K212" s="16" t="str">
        <f t="array" ref="K212">IFERROR(INDEX(Ipad_List!C:C,MATCH(All_User!D212,Ipad_List!J:J,0)),"없음")</f>
        <v>없음</v>
      </c>
      <c r="L212" s="19" t="str">
        <f t="array" ref="L212">IFERROR(INDEX(TeamsNumber!B:B,MATCH(All_User!D212,TeamsNumber!D:D,0)),"없음")</f>
        <v>없음</v>
      </c>
      <c r="M212" s="19" t="str">
        <f t="array" ref="M212">IFERROR(INDEX(Printer!D:D,MATCH(All_User!D212,Printer!H:H,0)),"없음")</f>
        <v>없음</v>
      </c>
      <c r="N212" s="19" t="str">
        <f t="array" ref="N212">IFERROR(INDEX(Monitor!A:A,MATCH(D212,Monitor!D:D,0)),"없음")</f>
        <v>없음</v>
      </c>
      <c r="O212" s="19" t="str">
        <f t="array" ref="O212">IFERROR(INDEX(sales!D:D,MATCH(D212,sales!C:C,0)),"없음")</f>
        <v>없음</v>
      </c>
      <c r="P212" s="19" t="str">
        <f t="array" ref="P212">IFERROR(INDEX(sales!E:E,MATCH(D212,sales!C:C,0)),"없음")</f>
        <v>없음</v>
      </c>
      <c r="Q212" s="19"/>
      <c r="R212" s="19"/>
    </row>
    <row r="213" spans="1:18" ht="13">
      <c r="A213" s="10">
        <v>215</v>
      </c>
      <c r="B213" s="48" t="s">
        <v>804</v>
      </c>
      <c r="C213" s="12"/>
      <c r="D213" s="12" t="s">
        <v>805</v>
      </c>
      <c r="E213" s="12"/>
      <c r="F213" s="12"/>
      <c r="G213" s="12"/>
      <c r="H213" s="20" t="str">
        <f t="array" ref="H213">IFERROR(INDEX(Lease_List!D:D,MATCH(All_User!D213,Lease_List!H:H,0)),"없음")</f>
        <v>5CD5062YDJ</v>
      </c>
      <c r="I213" s="16" t="s">
        <v>28</v>
      </c>
      <c r="J213" s="16"/>
      <c r="K213" s="16" t="str">
        <f t="array" ref="K213">IFERROR(INDEX(Ipad_List!C:C,MATCH(All_User!D213,Ipad_List!J:J,0)),"없음")</f>
        <v>없음</v>
      </c>
      <c r="L213" s="19" t="str">
        <f t="array" ref="L213">IFERROR(INDEX(TeamsNumber!B:B,MATCH(All_User!D213,TeamsNumber!D:D,0)),"없음")</f>
        <v>없음</v>
      </c>
      <c r="M213" s="19" t="str">
        <f t="array" ref="M213">IFERROR(INDEX(Printer!D:D,MATCH(All_User!D213,Printer!H:H,0)),"없음")</f>
        <v>없음</v>
      </c>
      <c r="N213" s="19" t="str">
        <f t="array" ref="N213">IFERROR(INDEX(Monitor!A:A,MATCH(D213,Monitor!D:D,0)),"없음")</f>
        <v>없음</v>
      </c>
      <c r="O213" s="19" t="str">
        <f t="array" ref="O213">IFERROR(INDEX(sales!D:D,MATCH(D213,sales!C:C,0)),"없음")</f>
        <v>없음</v>
      </c>
      <c r="P213" s="19" t="str">
        <f t="array" ref="P213">IFERROR(INDEX(sales!E:E,MATCH(D213,sales!C:C,0)),"없음")</f>
        <v>없음</v>
      </c>
      <c r="Q213" s="19"/>
      <c r="R213" s="19"/>
    </row>
    <row r="214" spans="1:18" ht="13">
      <c r="A214" s="10">
        <v>216</v>
      </c>
      <c r="B214" s="48" t="s">
        <v>806</v>
      </c>
      <c r="C214" s="12"/>
      <c r="D214" s="53" t="s">
        <v>807</v>
      </c>
      <c r="E214" s="12"/>
      <c r="F214" s="12"/>
      <c r="G214" s="12"/>
      <c r="H214" s="20" t="str">
        <f t="array" ref="H214">IFERROR(INDEX(Lease_List!D:D,MATCH(All_User!D214,Lease_List!H:H,0)),"없음")</f>
        <v>5CD5062YF3</v>
      </c>
      <c r="I214" s="16" t="s">
        <v>28</v>
      </c>
      <c r="J214" s="16"/>
      <c r="K214" s="16" t="str">
        <f t="array" ref="K214">IFERROR(INDEX(Ipad_List!C:C,MATCH(All_User!D214,Ipad_List!J:J,0)),"없음")</f>
        <v>없음</v>
      </c>
      <c r="L214" s="19" t="str">
        <f t="array" ref="L214">IFERROR(INDEX(TeamsNumber!B:B,MATCH(All_User!D214,TeamsNumber!D:D,0)),"없음")</f>
        <v>없음</v>
      </c>
      <c r="M214" s="19" t="str">
        <f t="array" ref="M214">IFERROR(INDEX(Printer!D:D,MATCH(All_User!D214,Printer!H:H,0)),"없음")</f>
        <v>없음</v>
      </c>
      <c r="N214" s="19" t="str">
        <f t="array" ref="N214">IFERROR(INDEX(Monitor!A:A,MATCH(D214,Monitor!D:D,0)),"없음")</f>
        <v>없음</v>
      </c>
      <c r="O214" s="19" t="str">
        <f t="array" ref="O214">IFERROR(INDEX(sales!D:D,MATCH(D214,sales!C:C,0)),"없음")</f>
        <v>없음</v>
      </c>
      <c r="P214" s="19" t="str">
        <f t="array" ref="P214">IFERROR(INDEX(sales!E:E,MATCH(D214,sales!C:C,0)),"없음")</f>
        <v>없음</v>
      </c>
      <c r="Q214" s="19"/>
      <c r="R214" s="19"/>
    </row>
    <row r="215" spans="1:18" ht="15">
      <c r="A215" s="10">
        <v>217</v>
      </c>
      <c r="B215" s="48" t="s">
        <v>808</v>
      </c>
      <c r="C215" s="12"/>
      <c r="D215" s="12" t="s">
        <v>809</v>
      </c>
      <c r="E215" s="52" t="s">
        <v>790</v>
      </c>
      <c r="F215" s="12"/>
      <c r="G215" s="12"/>
      <c r="H215" s="14" t="str">
        <f t="array" ref="H215">IFERROR(INDEX(Lease_List!D:D,MATCH(All_User!D215,Lease_List!H:H,0)),"없음")</f>
        <v>5CD5062YDF</v>
      </c>
      <c r="I215" s="17" t="s">
        <v>28</v>
      </c>
      <c r="J215" s="16"/>
      <c r="K215" s="17" t="str">
        <f t="array" ref="K215">IFERROR(INDEX(Ipad_List!C:C,MATCH(All_User!D215,Ipad_List!J:J,0)),"없음")</f>
        <v>H2JWWY6V5C</v>
      </c>
      <c r="L215" s="18" t="str">
        <f t="array" ref="L215">IFERROR(INDEX(TeamsNumber!B:B,MATCH(All_User!D215,TeamsNumber!D:D,0)),"없음")</f>
        <v>없음</v>
      </c>
      <c r="M215" s="18" t="str">
        <f t="array" ref="M215">IFERROR(INDEX(Printer!D:D,MATCH(All_User!D215,Printer!H:H,0)),"없음")</f>
        <v>없음</v>
      </c>
      <c r="N215" s="19" t="str">
        <f t="array" ref="N215">IFERROR(INDEX(Monitor!A:A,MATCH(D215,Monitor!D:D,0)),"없음")</f>
        <v>없음</v>
      </c>
      <c r="O215" s="19" t="str">
        <f t="array" ref="O215">IFERROR(INDEX(sales!D:D,MATCH(D215,sales!C:C,0)),"없음")</f>
        <v>Mako</v>
      </c>
      <c r="P215" s="19" t="str">
        <f t="array" ref="P215">IFERROR(INDEX(sales!E:E,MATCH(D215,sales!C:C,0)),"없음")</f>
        <v>MPS</v>
      </c>
      <c r="Q215" s="19" t="str">
        <f t="array" ref="Q215">IFERROR(INDEX(sales!C:C,MATCH(D215,sales!C:C,0)),"list없음")</f>
        <v>lucas.heo@stryker.com</v>
      </c>
      <c r="R215" s="19"/>
    </row>
    <row r="216" spans="1:18" ht="13">
      <c r="A216" s="10">
        <v>218</v>
      </c>
      <c r="B216" s="48" t="s">
        <v>810</v>
      </c>
      <c r="C216" s="12"/>
      <c r="D216" s="12" t="s">
        <v>811</v>
      </c>
      <c r="E216" s="12"/>
      <c r="F216" s="12"/>
      <c r="G216" s="12"/>
      <c r="H216" s="20" t="str">
        <f t="array" ref="H216">IFERROR(INDEX(Lease_List!D:D,MATCH(All_User!D216,Lease_List!H:H,0)),"없음")</f>
        <v>5CD5179KHB</v>
      </c>
      <c r="I216" s="16" t="s">
        <v>28</v>
      </c>
      <c r="J216" s="16"/>
      <c r="K216" s="16" t="str">
        <f t="array" ref="K216">IFERROR(INDEX(Ipad_List!C:C,MATCH(All_User!D216,Ipad_List!J:J,0)),"없음")</f>
        <v>없음</v>
      </c>
      <c r="L216" s="19" t="str">
        <f t="array" ref="L216">IFERROR(INDEX(TeamsNumber!B:B,MATCH(All_User!D216,TeamsNumber!D:D,0)),"없음")</f>
        <v>없음</v>
      </c>
      <c r="M216" s="19" t="str">
        <f t="array" ref="M216">IFERROR(INDEX(Printer!D:D,MATCH(All_User!D216,Printer!H:H,0)),"없음")</f>
        <v>없음</v>
      </c>
      <c r="N216" s="19" t="str">
        <f t="array" ref="N216">IFERROR(INDEX(Monitor!A:A,MATCH(D216,Monitor!D:D,0)),"없음")</f>
        <v>없음</v>
      </c>
      <c r="O216" s="19" t="str">
        <f t="array" ref="O216">IFERROR(INDEX(sales!D:D,MATCH(D216,sales!C:C,0)),"없음")</f>
        <v>없음</v>
      </c>
      <c r="P216" s="19" t="str">
        <f t="array" ref="P216">IFERROR(INDEX(sales!E:E,MATCH(D216,sales!C:C,0)),"없음")</f>
        <v>없음</v>
      </c>
      <c r="Q216" s="19"/>
      <c r="R216" s="19"/>
    </row>
    <row r="217" spans="1:18" ht="13">
      <c r="A217" s="10">
        <v>219</v>
      </c>
      <c r="B217" s="48" t="s">
        <v>812</v>
      </c>
      <c r="C217" s="12"/>
      <c r="D217" s="12" t="s">
        <v>813</v>
      </c>
      <c r="E217" s="12"/>
      <c r="F217" s="12"/>
      <c r="G217" s="12"/>
      <c r="H217" s="20" t="str">
        <f t="array" ref="H217">IFERROR(INDEX(Lease_List!D:D,MATCH(All_User!D217,Lease_List!H:H,0)),"없음")</f>
        <v>5CD5179KJD</v>
      </c>
      <c r="I217" s="16" t="s">
        <v>28</v>
      </c>
      <c r="J217" s="16"/>
      <c r="K217" s="16" t="str">
        <f t="array" ref="K217">IFERROR(INDEX(Ipad_List!C:C,MATCH(All_User!D217,Ipad_List!J:J,0)),"없음")</f>
        <v>없음</v>
      </c>
      <c r="L217" s="19" t="str">
        <f t="array" ref="L217">IFERROR(INDEX(TeamsNumber!B:B,MATCH(All_User!D217,TeamsNumber!D:D,0)),"없음")</f>
        <v>없음</v>
      </c>
      <c r="M217" s="19" t="str">
        <f t="array" ref="M217">IFERROR(INDEX(Printer!D:D,MATCH(All_User!D217,Printer!H:H,0)),"없음")</f>
        <v>없음</v>
      </c>
      <c r="N217" s="19" t="str">
        <f t="array" ref="N217">IFERROR(INDEX(Monitor!A:A,MATCH(D217,Monitor!D:D,0)),"없음")</f>
        <v>없음</v>
      </c>
      <c r="O217" s="19" t="str">
        <f t="array" ref="O217">IFERROR(INDEX(sales!D:D,MATCH(D217,sales!C:C,0)),"없음")</f>
        <v>없음</v>
      </c>
      <c r="P217" s="19" t="str">
        <f t="array" ref="P217">IFERROR(INDEX(sales!E:E,MATCH(D217,sales!C:C,0)),"없음")</f>
        <v>없음</v>
      </c>
      <c r="Q217" s="19"/>
      <c r="R217" s="19"/>
    </row>
    <row r="218" spans="1:18" ht="13">
      <c r="A218" s="10">
        <v>220</v>
      </c>
      <c r="B218" s="48" t="s">
        <v>814</v>
      </c>
      <c r="C218" s="12"/>
      <c r="D218" s="12" t="s">
        <v>815</v>
      </c>
      <c r="E218" s="12"/>
      <c r="F218" s="12"/>
      <c r="G218" s="12"/>
      <c r="H218" s="20" t="str">
        <f t="array" ref="H218">IFERROR(INDEX(Lease_List!D:D,MATCH(All_User!D218,Lease_List!H:H,0)),"없음")</f>
        <v>5CD5179KHV</v>
      </c>
      <c r="I218" s="16" t="s">
        <v>28</v>
      </c>
      <c r="J218" s="16"/>
      <c r="K218" s="16" t="str">
        <f t="array" ref="K218">IFERROR(INDEX(Ipad_List!C:C,MATCH(All_User!D218,Ipad_List!J:J,0)),"없음")</f>
        <v>없음</v>
      </c>
      <c r="L218" s="19" t="str">
        <f t="array" ref="L218">IFERROR(INDEX(TeamsNumber!B:B,MATCH(All_User!D218,TeamsNumber!D:D,0)),"없음")</f>
        <v>없음</v>
      </c>
      <c r="M218" s="19" t="str">
        <f t="array" ref="M218">IFERROR(INDEX(Printer!D:D,MATCH(All_User!D218,Printer!H:H,0)),"없음")</f>
        <v>없음</v>
      </c>
      <c r="N218" s="19" t="str">
        <f t="array" ref="N218">IFERROR(INDEX(Monitor!A:A,MATCH(D218,Monitor!D:D,0)),"없음")</f>
        <v>없음</v>
      </c>
      <c r="O218" s="19" t="str">
        <f t="array" ref="O218">IFERROR(INDEX(sales!D:D,MATCH(D218,sales!C:C,0)),"없음")</f>
        <v>없음</v>
      </c>
      <c r="P218" s="19" t="str">
        <f t="array" ref="P218">IFERROR(INDEX(sales!E:E,MATCH(D218,sales!C:C,0)),"없음")</f>
        <v>없음</v>
      </c>
      <c r="Q218" s="19"/>
      <c r="R218" s="19"/>
    </row>
    <row r="219" spans="1:18" ht="13">
      <c r="A219" s="10">
        <v>221</v>
      </c>
      <c r="B219" s="48" t="s">
        <v>816</v>
      </c>
      <c r="C219" s="12"/>
      <c r="D219" s="12" t="s">
        <v>817</v>
      </c>
      <c r="E219" s="12"/>
      <c r="F219" s="12"/>
      <c r="G219" s="12"/>
      <c r="H219" s="20" t="str">
        <f t="array" ref="H219">IFERROR(INDEX(Lease_List!D:D,MATCH(All_User!D219,Lease_List!H:H,0)),"없음")</f>
        <v>5CD5179KH5</v>
      </c>
      <c r="I219" s="16" t="s">
        <v>28</v>
      </c>
      <c r="J219" s="16"/>
      <c r="K219" s="16" t="str">
        <f t="array" ref="K219">IFERROR(INDEX(Ipad_List!C:C,MATCH(All_User!D219,Ipad_List!J:J,0)),"없음")</f>
        <v>없음</v>
      </c>
      <c r="L219" s="19" t="str">
        <f t="array" ref="L219">IFERROR(INDEX(TeamsNumber!B:B,MATCH(All_User!D219,TeamsNumber!D:D,0)),"없음")</f>
        <v>없음</v>
      </c>
      <c r="M219" s="19" t="str">
        <f t="array" ref="M219">IFERROR(INDEX(Printer!D:D,MATCH(All_User!D219,Printer!H:H,0)),"없음")</f>
        <v>없음</v>
      </c>
      <c r="N219" s="19" t="str">
        <f t="array" ref="N219">IFERROR(INDEX(Monitor!A:A,MATCH(D219,Monitor!D:D,0)),"없음")</f>
        <v>없음</v>
      </c>
      <c r="O219" s="19" t="str">
        <f t="array" ref="O219">IFERROR(INDEX(sales!D:D,MATCH(D219,sales!C:C,0)),"없음")</f>
        <v>없음</v>
      </c>
      <c r="P219" s="19" t="str">
        <f t="array" ref="P219">IFERROR(INDEX(sales!E:E,MATCH(D219,sales!C:C,0)),"없음")</f>
        <v>없음</v>
      </c>
      <c r="Q219" s="19"/>
      <c r="R219" s="19"/>
    </row>
    <row r="220" spans="1:18" ht="13">
      <c r="A220" s="10">
        <v>222</v>
      </c>
      <c r="B220" s="48" t="s">
        <v>818</v>
      </c>
      <c r="C220" s="12"/>
      <c r="D220" s="12" t="s">
        <v>819</v>
      </c>
      <c r="E220" s="12"/>
      <c r="F220" s="12"/>
      <c r="G220" s="12"/>
      <c r="H220" s="20" t="str">
        <f t="array" ref="H220">IFERROR(INDEX(Lease_List!D:D,MATCH(All_User!D220,Lease_List!H:H,0)),"없음")</f>
        <v>5CD5179KJ5</v>
      </c>
      <c r="I220" s="16" t="s">
        <v>28</v>
      </c>
      <c r="J220" s="16"/>
      <c r="K220" s="16" t="str">
        <f t="array" ref="K220">IFERROR(INDEX(Ipad_List!C:C,MATCH(All_User!D220,Ipad_List!J:J,0)),"없음")</f>
        <v>없음</v>
      </c>
      <c r="L220" s="19" t="str">
        <f t="array" ref="L220">IFERROR(INDEX(TeamsNumber!B:B,MATCH(All_User!D220,TeamsNumber!D:D,0)),"없음")</f>
        <v>없음</v>
      </c>
      <c r="M220" s="19" t="str">
        <f t="array" ref="M220">IFERROR(INDEX(Printer!D:D,MATCH(All_User!D220,Printer!H:H,0)),"없음")</f>
        <v>없음</v>
      </c>
      <c r="N220" s="19" t="str">
        <f t="array" ref="N220">IFERROR(INDEX(Monitor!A:A,MATCH(D220,Monitor!D:D,0)),"없음")</f>
        <v>없음</v>
      </c>
      <c r="O220" s="19" t="str">
        <f t="array" ref="O220">IFERROR(INDEX(sales!D:D,MATCH(D220,sales!C:C,0)),"없음")</f>
        <v>없음</v>
      </c>
      <c r="P220" s="19" t="str">
        <f t="array" ref="P220">IFERROR(INDEX(sales!E:E,MATCH(D220,sales!C:C,0)),"없음")</f>
        <v>없음</v>
      </c>
      <c r="Q220" s="19"/>
      <c r="R220" s="19"/>
    </row>
    <row r="221" spans="1:18" ht="13">
      <c r="A221" s="10">
        <v>223</v>
      </c>
      <c r="B221" s="48" t="s">
        <v>820</v>
      </c>
      <c r="C221" s="12"/>
      <c r="D221" s="12" t="s">
        <v>821</v>
      </c>
      <c r="E221" s="12"/>
      <c r="F221" s="12"/>
      <c r="G221" s="12"/>
      <c r="H221" s="20" t="str">
        <f t="array" ref="H221">IFERROR(INDEX(Lease_List!D:D,MATCH(All_User!D221,Lease_List!H:H,0)),"없음")</f>
        <v>5CD5179KHT</v>
      </c>
      <c r="I221" s="16" t="s">
        <v>28</v>
      </c>
      <c r="J221" s="16"/>
      <c r="K221" s="16" t="str">
        <f t="array" ref="K221">IFERROR(INDEX(Ipad_List!C:C,MATCH(All_User!D221,Ipad_List!J:J,0)),"없음")</f>
        <v>없음</v>
      </c>
      <c r="L221" s="19" t="str">
        <f t="array" ref="L221">IFERROR(INDEX(TeamsNumber!B:B,MATCH(All_User!D221,TeamsNumber!D:D,0)),"없음")</f>
        <v>없음</v>
      </c>
      <c r="M221" s="19" t="str">
        <f t="array" ref="M221">IFERROR(INDEX(Printer!D:D,MATCH(All_User!D221,Printer!H:H,0)),"없음")</f>
        <v>없음</v>
      </c>
      <c r="N221" s="19" t="str">
        <f t="array" ref="N221">IFERROR(INDEX(Monitor!A:A,MATCH(D221,Monitor!D:D,0)),"없음")</f>
        <v>없음</v>
      </c>
      <c r="O221" s="19" t="str">
        <f t="array" ref="O221">IFERROR(INDEX(sales!D:D,MATCH(D221,sales!C:C,0)),"없음")</f>
        <v>없음</v>
      </c>
      <c r="P221" s="19" t="str">
        <f t="array" ref="P221">IFERROR(INDEX(sales!E:E,MATCH(D221,sales!C:C,0)),"없음")</f>
        <v>없음</v>
      </c>
      <c r="Q221" s="19"/>
      <c r="R221" s="19"/>
    </row>
    <row r="222" spans="1:18" ht="13">
      <c r="A222" s="10">
        <v>224</v>
      </c>
      <c r="B222" s="48" t="s">
        <v>822</v>
      </c>
      <c r="C222" s="12"/>
      <c r="D222" s="12" t="s">
        <v>823</v>
      </c>
      <c r="E222" s="12"/>
      <c r="F222" s="12"/>
      <c r="G222" s="12"/>
      <c r="H222" s="20" t="str">
        <f t="array" ref="H222">IFERROR(INDEX(Lease_List!D:D,MATCH(All_User!D222,Lease_List!H:H,0)),"없음")</f>
        <v>5CD5179KHK</v>
      </c>
      <c r="I222" s="16" t="s">
        <v>28</v>
      </c>
      <c r="J222" s="16"/>
      <c r="K222" s="16" t="str">
        <f t="array" ref="K222">IFERROR(INDEX(Ipad_List!C:C,MATCH(All_User!D222,Ipad_List!J:J,0)),"없음")</f>
        <v>없음</v>
      </c>
      <c r="L222" s="19" t="str">
        <f t="array" ref="L222">IFERROR(INDEX(TeamsNumber!B:B,MATCH(All_User!D222,TeamsNumber!D:D,0)),"없음")</f>
        <v>없음</v>
      </c>
      <c r="M222" s="19" t="str">
        <f t="array" ref="M222">IFERROR(INDEX(Printer!D:D,MATCH(All_User!D222,Printer!H:H,0)),"없음")</f>
        <v>없음</v>
      </c>
      <c r="N222" s="19" t="str">
        <f t="array" ref="N222">IFERROR(INDEX(Monitor!A:A,MATCH(D222,Monitor!D:D,0)),"없음")</f>
        <v>없음</v>
      </c>
      <c r="O222" s="19" t="str">
        <f t="array" ref="O222">IFERROR(INDEX(sales!D:D,MATCH(D222,sales!C:C,0)),"없음")</f>
        <v>없음</v>
      </c>
      <c r="P222" s="19" t="str">
        <f t="array" ref="P222">IFERROR(INDEX(sales!E:E,MATCH(D222,sales!C:C,0)),"없음")</f>
        <v>없음</v>
      </c>
      <c r="Q222" s="19"/>
      <c r="R222" s="19"/>
    </row>
    <row r="223" spans="1:18" ht="13">
      <c r="A223" s="10">
        <v>225</v>
      </c>
      <c r="B223" s="48" t="s">
        <v>824</v>
      </c>
      <c r="C223" s="12"/>
      <c r="D223" s="54" t="s">
        <v>825</v>
      </c>
      <c r="E223" s="12"/>
      <c r="F223" s="12"/>
      <c r="G223" s="12"/>
      <c r="H223" s="20" t="str">
        <f t="array" ref="H223">IFERROR(INDEX(Lease_List!D:D,MATCH(All_User!D223,Lease_List!H:H,0)),"없음")</f>
        <v>5CD5179KHF</v>
      </c>
      <c r="I223" s="16" t="s">
        <v>28</v>
      </c>
      <c r="J223" s="16"/>
      <c r="K223" s="16" t="str">
        <f t="array" ref="K223">IFERROR(INDEX(Ipad_List!C:C,MATCH(All_User!D223,Ipad_List!J:J,0)),"없음")</f>
        <v>없음</v>
      </c>
      <c r="L223" s="19" t="str">
        <f t="array" ref="L223">IFERROR(INDEX(TeamsNumber!B:B,MATCH(All_User!D223,TeamsNumber!D:D,0)),"없음")</f>
        <v>없음</v>
      </c>
      <c r="M223" s="19" t="str">
        <f t="array" ref="M223">IFERROR(INDEX(Printer!D:D,MATCH(All_User!D223,Printer!H:H,0)),"없음")</f>
        <v>없음</v>
      </c>
      <c r="N223" s="19" t="str">
        <f t="array" ref="N223">IFERROR(INDEX(Monitor!A:A,MATCH(D223,Monitor!D:D,0)),"없음")</f>
        <v>없음</v>
      </c>
      <c r="O223" s="19" t="str">
        <f t="array" ref="O223">IFERROR(INDEX(sales!D:D,MATCH(D223,sales!C:C,0)),"없음")</f>
        <v>없음</v>
      </c>
      <c r="P223" s="19" t="str">
        <f t="array" ref="P223">IFERROR(INDEX(sales!E:E,MATCH(D223,sales!C:C,0)),"없음")</f>
        <v>없음</v>
      </c>
      <c r="Q223" s="19"/>
      <c r="R223" s="19"/>
    </row>
    <row r="224" spans="1:18" ht="13">
      <c r="A224" s="10">
        <v>226</v>
      </c>
      <c r="B224" s="48" t="s">
        <v>826</v>
      </c>
      <c r="C224" s="48" t="s">
        <v>827</v>
      </c>
      <c r="D224" s="55" t="s">
        <v>828</v>
      </c>
      <c r="E224" s="48"/>
      <c r="F224" s="12"/>
      <c r="G224" s="12" t="s">
        <v>829</v>
      </c>
      <c r="H224" s="20" t="str">
        <f t="array" ref="H224">IFERROR(INDEX(Lease_List!D:D,MATCH(All_User!D224,Lease_List!H:H,0)),"없음")</f>
        <v>5CD5062YF2</v>
      </c>
      <c r="I224" s="16" t="s">
        <v>28</v>
      </c>
      <c r="J224" s="16"/>
      <c r="K224" s="16" t="str">
        <f t="array" ref="K224">IFERROR(INDEX(Ipad_List!C:C,MATCH(All_User!D224,Ipad_List!J:J,0)),"없음")</f>
        <v>없음</v>
      </c>
      <c r="L224" s="19" t="str">
        <f t="array" ref="L224">IFERROR(INDEX(TeamsNumber!B:B,MATCH(All_User!D224,TeamsNumber!D:D,0)),"없음")</f>
        <v>없음</v>
      </c>
      <c r="M224" s="19" t="str">
        <f t="array" ref="M224">IFERROR(INDEX(Printer!D:D,MATCH(All_User!D224,Printer!H:H,0)),"없음")</f>
        <v>없음</v>
      </c>
      <c r="N224" s="19" t="str">
        <f t="array" ref="N224">IFERROR(INDEX(Monitor!A:A,MATCH(D224,Monitor!D:D,0)),"없음")</f>
        <v>없음</v>
      </c>
      <c r="O224" s="19" t="str">
        <f t="array" ref="O224">IFERROR(INDEX(sales!D:D,MATCH(D224,sales!C:C,0)),"없음")</f>
        <v>없음</v>
      </c>
      <c r="P224" s="19" t="str">
        <f t="array" ref="P224">IFERROR(INDEX(sales!E:E,MATCH(D224,sales!C:C,0)),"없음")</f>
        <v>없음</v>
      </c>
      <c r="Q224" s="19"/>
      <c r="R224" s="19"/>
    </row>
    <row r="225" spans="1:18" ht="13">
      <c r="A225" s="10">
        <v>227</v>
      </c>
      <c r="B225" s="48" t="s">
        <v>830</v>
      </c>
      <c r="C225" s="48" t="s">
        <v>831</v>
      </c>
      <c r="D225" s="56" t="s">
        <v>832</v>
      </c>
      <c r="E225" s="48"/>
      <c r="F225" s="12"/>
      <c r="G225" s="12" t="s">
        <v>833</v>
      </c>
      <c r="H225" s="20" t="str">
        <f t="array" ref="H225">IFERROR(INDEX(Lease_List!D:D,MATCH(All_User!D225,Lease_List!H:H,0)),"없음")</f>
        <v>5CD5179KJ4</v>
      </c>
      <c r="I225" s="16" t="s">
        <v>28</v>
      </c>
      <c r="J225" s="16"/>
      <c r="K225" s="16" t="str">
        <f t="array" ref="K225">IFERROR(INDEX(Ipad_List!C:C,MATCH(All_User!D225,Ipad_List!J:J,0)),"없음")</f>
        <v>없음</v>
      </c>
      <c r="L225" s="19" t="str">
        <f t="array" ref="L225">IFERROR(INDEX(TeamsNumber!B:B,MATCH(All_User!D225,TeamsNumber!D:D,0)),"없음")</f>
        <v>없음</v>
      </c>
      <c r="M225" s="19" t="str">
        <f t="array" ref="M225">IFERROR(INDEX(Printer!D:D,MATCH(All_User!D225,Printer!H:H,0)),"없음")</f>
        <v>없음</v>
      </c>
      <c r="N225" s="19" t="str">
        <f t="array" ref="N225">IFERROR(INDEX(Monitor!A:A,MATCH(D225,Monitor!D:D,0)),"없음")</f>
        <v>없음</v>
      </c>
      <c r="O225" s="19" t="str">
        <f t="array" ref="O225">IFERROR(INDEX(sales!D:D,MATCH(D225,sales!C:C,0)),"없음")</f>
        <v>없음</v>
      </c>
      <c r="P225" s="19" t="str">
        <f t="array" ref="P225">IFERROR(INDEX(sales!E:E,MATCH(D225,sales!C:C,0)),"없음")</f>
        <v>없음</v>
      </c>
      <c r="Q225" s="19"/>
      <c r="R225" s="19"/>
    </row>
    <row r="226" spans="1:18" ht="13">
      <c r="A226" s="10">
        <v>228</v>
      </c>
      <c r="B226" s="48" t="s">
        <v>834</v>
      </c>
      <c r="C226" s="48" t="s">
        <v>835</v>
      </c>
      <c r="D226" s="55" t="s">
        <v>836</v>
      </c>
      <c r="E226" s="48"/>
      <c r="F226" s="12"/>
      <c r="G226" s="12" t="s">
        <v>837</v>
      </c>
      <c r="H226" s="14" t="str">
        <f t="array" ref="H226">IFERROR(INDEX(Lease_List!D:D,MATCH(All_User!D226,Lease_List!H:H,0)),"없음")</f>
        <v>5CD5179KJ9</v>
      </c>
      <c r="I226" s="17" t="s">
        <v>28</v>
      </c>
      <c r="J226" s="16"/>
      <c r="K226" s="17" t="str">
        <f t="array" ref="K226">IFERROR(INDEX(Ipad_List!C:C,MATCH(All_User!D226,Ipad_List!J:J,0)),"없음")</f>
        <v>WR34FVRW4C</v>
      </c>
      <c r="L226" s="18" t="str">
        <f t="array" ref="L226">IFERROR(INDEX(TeamsNumber!B:B,MATCH(All_User!D226,TeamsNumber!D:D,0)),"없음")</f>
        <v>없음</v>
      </c>
      <c r="M226" s="18" t="str">
        <f t="array" ref="M226">IFERROR(INDEX(Printer!D:D,MATCH(All_User!D226,Printer!H:H,0)),"없음")</f>
        <v>없음</v>
      </c>
      <c r="N226" s="19" t="str">
        <f t="array" ref="N226">IFERROR(INDEX(Monitor!A:A,MATCH(D226,Monitor!D:D,0)),"없음")</f>
        <v>없음</v>
      </c>
      <c r="O226" s="19" t="str">
        <f t="array" ref="O226">IFERROR(INDEX(sales!D:D,MATCH(D226,sales!C:C,0)),"없음")</f>
        <v>Mako</v>
      </c>
      <c r="P226" s="19" t="str">
        <f t="array" ref="P226">IFERROR(INDEX(sales!E:E,MATCH(D226,sales!C:C,0)),"없음")</f>
        <v>MPS</v>
      </c>
      <c r="Q226" s="19" t="str">
        <f t="array" ref="Q226">IFERROR(INDEX(sales!C:C,MATCH(D226,sales!C:C,0)),"list없음")</f>
        <v>bryan.park@stryker.com</v>
      </c>
      <c r="R226" s="19"/>
    </row>
    <row r="227" spans="1:18" ht="17">
      <c r="A227" s="57">
        <v>229</v>
      </c>
      <c r="B227" s="58" t="s">
        <v>838</v>
      </c>
      <c r="C227" s="58" t="s">
        <v>839</v>
      </c>
      <c r="D227" s="55" t="s">
        <v>840</v>
      </c>
      <c r="E227" s="58"/>
      <c r="F227" s="12"/>
      <c r="G227" s="12" t="s">
        <v>833</v>
      </c>
      <c r="H227" s="20" t="str">
        <f t="array" ref="H227">IFERROR(INDEX(Lease_List!D:D,MATCH(All_User!D227,Lease_List!H:H,0)),"없음")</f>
        <v>5CD5179KJ7</v>
      </c>
      <c r="I227" s="16" t="s">
        <v>28</v>
      </c>
      <c r="J227" s="16"/>
      <c r="K227" s="16" t="str">
        <f t="array" ref="K227">IFERROR(INDEX(Ipad_List!C:C,MATCH(All_User!D227,Ipad_List!J:J,0)),"없음")</f>
        <v>없음</v>
      </c>
      <c r="L227" s="19" t="str">
        <f t="array" ref="L227">IFERROR(INDEX(TeamsNumber!B:B,MATCH(All_User!D227,TeamsNumber!D:D,0)),"없음")</f>
        <v>tel:+82234517580</v>
      </c>
      <c r="M227" s="19" t="str">
        <f t="array" ref="M227">IFERROR(INDEX(Printer!D:D,MATCH(All_User!D227,Printer!H:H,0)),"없음")</f>
        <v>없음</v>
      </c>
      <c r="N227" s="19" t="str">
        <f t="array" ref="N227">IFERROR(INDEX(Monitor!A:A,MATCH(D227,Monitor!D:D,0)),"없음")</f>
        <v>없음</v>
      </c>
      <c r="O227" s="19" t="str">
        <f t="array" ref="O227">IFERROR(INDEX(sales!D:D,MATCH(D227,sales!C:C,0)),"없음")</f>
        <v>없음</v>
      </c>
      <c r="P227" s="19" t="str">
        <f t="array" ref="P227">IFERROR(INDEX(sales!E:E,MATCH(D227,sales!C:C,0)),"없음")</f>
        <v>없음</v>
      </c>
      <c r="Q227" s="19"/>
      <c r="R227" s="19"/>
    </row>
    <row r="228" spans="1:18" ht="13">
      <c r="A228" s="10">
        <v>230</v>
      </c>
      <c r="B228" s="47" t="s">
        <v>841</v>
      </c>
      <c r="C228" s="35" t="s">
        <v>839</v>
      </c>
      <c r="D228" s="35" t="s">
        <v>842</v>
      </c>
      <c r="E228" s="35"/>
      <c r="F228" s="35" t="s">
        <v>540</v>
      </c>
      <c r="G228" s="35"/>
      <c r="H228" s="20" t="str">
        <f t="array" ref="H228">IFERROR(INDEX(Lease_List!D:D,MATCH(All_User!D228,Lease_List!H:H,0)),"없음")</f>
        <v>5CD409908N</v>
      </c>
      <c r="I228" s="16" t="s">
        <v>28</v>
      </c>
      <c r="J228" s="16"/>
      <c r="K228" s="16" t="str">
        <f t="array" ref="K228">IFERROR(INDEX(Ipad_List!C:C,MATCH(All_User!D228,Ipad_List!J:J,0)),"없음")</f>
        <v>없음</v>
      </c>
      <c r="L228" s="19" t="str">
        <f t="array" ref="L228">IFERROR(INDEX(TeamsNumber!B:B,MATCH(All_User!D228,TeamsNumber!D:D,0)),"없음")</f>
        <v>없음</v>
      </c>
      <c r="M228" s="19" t="str">
        <f t="array" ref="M228">IFERROR(INDEX(Printer!D:D,MATCH(All_User!D228,Printer!H:H,0)),"없음")</f>
        <v>없음</v>
      </c>
      <c r="N228" s="19" t="str">
        <f t="array" ref="N228">IFERROR(INDEX(Monitor!A:A,MATCH(D228,Monitor!D:D,0)),"없음")</f>
        <v>없음</v>
      </c>
      <c r="O228" s="40" t="s">
        <v>540</v>
      </c>
      <c r="P228" s="19" t="str">
        <f t="array" ref="P228">IFERROR(INDEX(sales!E:E,MATCH(D228,sales!C:C,0)),"없음")</f>
        <v>없음</v>
      </c>
    </row>
    <row r="229" spans="1:18" ht="13">
      <c r="A229" s="48">
        <v>231</v>
      </c>
      <c r="B229" s="47" t="s">
        <v>843</v>
      </c>
      <c r="C229" s="35" t="s">
        <v>844</v>
      </c>
      <c r="D229" s="35" t="s">
        <v>845</v>
      </c>
      <c r="E229" s="35"/>
      <c r="F229" s="35" t="s">
        <v>846</v>
      </c>
      <c r="G229" s="35"/>
      <c r="H229" s="20" t="str">
        <f t="array" ref="H229">IFERROR(INDEX(Lease_List!D:D,MATCH(All_User!D229,Lease_List!H:H,0)),"없음")</f>
        <v>5CD5179KHN</v>
      </c>
      <c r="I229" s="16" t="s">
        <v>28</v>
      </c>
      <c r="J229" s="16"/>
      <c r="K229" s="16" t="str">
        <f t="array" ref="K229">IFERROR(INDEX(Ipad_List!C:C,MATCH(All_User!D229,Ipad_List!J:J,0)),"없음")</f>
        <v>없음</v>
      </c>
      <c r="L229" s="19" t="str">
        <f t="array" ref="L229">IFERROR(INDEX(TeamsNumber!B:B,MATCH(All_User!D229,TeamsNumber!D:D,0)),"없음")</f>
        <v>tel:+82234517523</v>
      </c>
      <c r="M229" s="19" t="str">
        <f t="array" ref="M229">IFERROR(INDEX(Printer!D:D,MATCH(All_User!D229,Printer!H:H,0)),"없음")</f>
        <v>없음</v>
      </c>
      <c r="N229" s="19" t="str">
        <f t="array" ref="N229">IFERROR(INDEX(Monitor!A:A,MATCH(D229,Monitor!D:D,0)),"없음")</f>
        <v>SE2425H</v>
      </c>
      <c r="O229" s="40" t="s">
        <v>846</v>
      </c>
      <c r="P229" s="19" t="str">
        <f t="array" ref="P229">IFERROR(INDEX(sales!E:E,MATCH(D229,sales!C:C,0)),"없음")</f>
        <v>없음</v>
      </c>
    </row>
    <row r="230" spans="1:18" ht="17">
      <c r="A230" s="10">
        <v>232</v>
      </c>
      <c r="B230" s="47" t="s">
        <v>847</v>
      </c>
      <c r="C230" s="35" t="s">
        <v>848</v>
      </c>
      <c r="D230" s="35" t="s">
        <v>849</v>
      </c>
      <c r="E230" s="35"/>
      <c r="F230" s="35" t="s">
        <v>850</v>
      </c>
      <c r="G230" s="59" t="s">
        <v>541</v>
      </c>
      <c r="H230" s="14" t="str">
        <f t="array" ref="H230">IFERROR(INDEX(Lease_List!D:D,MATCH(All_User!D230,Lease_List!H:H,0)),"없음")</f>
        <v>5CD5062YDD</v>
      </c>
      <c r="I230" s="17" t="s">
        <v>28</v>
      </c>
      <c r="J230" s="16"/>
      <c r="K230" s="17" t="str">
        <f t="array" ref="K230">IFERROR(INDEX(Ipad_List!C:C,MATCH(All_User!D230,Ipad_List!J:J,0)),"없음")</f>
        <v>GHL46K1F9M</v>
      </c>
      <c r="L230" s="18" t="str">
        <f t="array" ref="L230">IFERROR(INDEX(TeamsNumber!B:B,MATCH(All_User!D230,TeamsNumber!D:D,0)),"없음")</f>
        <v>tel:+82234517573</v>
      </c>
      <c r="M230" s="18" t="str">
        <f t="array" ref="M230">IFERROR(INDEX(Printer!D:D,MATCH(All_User!D230,Printer!H:H,0)),"없음")</f>
        <v>SL-C563W</v>
      </c>
      <c r="N230" s="19" t="str">
        <f t="array" ref="N230">IFERROR(INDEX(Monitor!A:A,MATCH(D230,Monitor!D:D,0)),"없음")</f>
        <v>없음</v>
      </c>
      <c r="O230" s="40" t="s">
        <v>850</v>
      </c>
      <c r="P230" s="19" t="str">
        <f t="array" ref="P230">IFERROR(INDEX(sales!E:E,MATCH(D230,sales!C:C,0)),"없음")</f>
        <v>Sales</v>
      </c>
      <c r="Q230" s="19" t="str">
        <f t="array" ref="Q230">IFERROR(INDEX(sales!C:C,MATCH(D230,sales!C:C,0)),"list없음")</f>
        <v>ian.hwang@stryker.com</v>
      </c>
    </row>
    <row r="231" spans="1:18" ht="13">
      <c r="A231" s="48">
        <v>233</v>
      </c>
      <c r="B231" s="47" t="s">
        <v>851</v>
      </c>
      <c r="C231" s="35" t="s">
        <v>852</v>
      </c>
      <c r="D231" s="35" t="s">
        <v>853</v>
      </c>
      <c r="E231" s="35"/>
      <c r="F231" s="35" t="s">
        <v>854</v>
      </c>
      <c r="G231" s="35"/>
      <c r="H231" s="20" t="str">
        <f t="array" ref="H231">IFERROR(INDEX(Lease_List!D:D,MATCH(All_User!D231,Lease_List!H:H,0)),"없음")</f>
        <v>5CD4305D8D</v>
      </c>
      <c r="I231" s="16" t="s">
        <v>28</v>
      </c>
      <c r="J231" s="16"/>
      <c r="K231" s="16" t="str">
        <f t="array" ref="K231">IFERROR(INDEX(Ipad_List!C:C,MATCH(All_User!D231,Ipad_List!J:J,0)),"없음")</f>
        <v>없음</v>
      </c>
      <c r="L231" s="19" t="str">
        <f t="array" ref="L231">IFERROR(INDEX(TeamsNumber!B:B,MATCH(All_User!D231,TeamsNumber!D:D,0)),"없음")</f>
        <v>없음</v>
      </c>
      <c r="M231" s="19" t="str">
        <f t="array" ref="M231">IFERROR(INDEX(Printer!D:D,MATCH(All_User!D231,Printer!H:H,0)),"없음")</f>
        <v>없음</v>
      </c>
      <c r="N231" s="19" t="str">
        <f t="array" ref="N231">IFERROR(INDEX(Monitor!A:A,MATCH(D231,Monitor!D:D,0)),"없음")</f>
        <v>없음</v>
      </c>
      <c r="O231" s="40" t="s">
        <v>854</v>
      </c>
      <c r="P231" s="19" t="str">
        <f t="array" ref="P231">IFERROR(INDEX(sales!E:E,MATCH(D231,sales!C:C,0)),"없음")</f>
        <v>없음</v>
      </c>
    </row>
    <row r="232" spans="1:18" ht="13">
      <c r="A232" s="10">
        <v>234</v>
      </c>
      <c r="B232" s="47" t="s">
        <v>855</v>
      </c>
      <c r="C232" s="35" t="s">
        <v>856</v>
      </c>
      <c r="D232" s="35" t="s">
        <v>857</v>
      </c>
      <c r="E232" s="35"/>
      <c r="F232" s="35" t="s">
        <v>309</v>
      </c>
      <c r="G232" s="35"/>
      <c r="H232" s="20" t="str">
        <f t="array" ref="H232">IFERROR(INDEX(Lease_List!D:D,MATCH(All_User!D232,Lease_List!H:H,0)),"없음")</f>
        <v>5CD4305D8J</v>
      </c>
      <c r="I232" s="16" t="s">
        <v>28</v>
      </c>
      <c r="J232" s="16"/>
      <c r="K232" s="16" t="str">
        <f t="array" ref="K232">IFERROR(INDEX(Ipad_List!C:C,MATCH(All_User!D232,Ipad_List!J:J,0)),"없음")</f>
        <v>없음</v>
      </c>
      <c r="L232" s="19" t="str">
        <f t="array" ref="L232">IFERROR(INDEX(TeamsNumber!B:B,MATCH(All_User!D232,TeamsNumber!D:D,0)),"없음")</f>
        <v>없음</v>
      </c>
      <c r="M232" s="19" t="str">
        <f t="array" ref="M232">IFERROR(INDEX(Printer!D:D,MATCH(All_User!D232,Printer!H:H,0)),"없음")</f>
        <v>없음</v>
      </c>
      <c r="N232" s="19" t="str">
        <f t="array" ref="N232">IFERROR(INDEX(Monitor!A:A,MATCH(D232,Monitor!D:D,0)),"없음")</f>
        <v>없음</v>
      </c>
      <c r="O232" s="40" t="s">
        <v>309</v>
      </c>
      <c r="P232" s="19" t="str">
        <f t="array" ref="P232">IFERROR(INDEX(sales!E:E,MATCH(D232,sales!C:C,0)),"없음")</f>
        <v>없음</v>
      </c>
    </row>
    <row r="233" spans="1:18" ht="13">
      <c r="A233" s="48">
        <v>235</v>
      </c>
      <c r="B233" s="47"/>
      <c r="C233" s="35"/>
      <c r="D233" s="60" t="s">
        <v>858</v>
      </c>
      <c r="E233" s="35"/>
      <c r="F233" s="35"/>
      <c r="G233" s="35"/>
      <c r="H233" s="20" t="str">
        <f t="array" ref="H233">IFERROR(INDEX(Lease_List!D:D,MATCH(All_User!D233,Lease_List!H:H,0)),"없음")</f>
        <v>5CD4145N3G</v>
      </c>
      <c r="I233" s="16" t="s">
        <v>28</v>
      </c>
      <c r="J233" s="16"/>
      <c r="K233" s="16" t="str">
        <f t="array" ref="K233">IFERROR(INDEX(Ipad_List!C:C,MATCH(All_User!D233,Ipad_List!J:J,0)),"없음")</f>
        <v>없음</v>
      </c>
      <c r="L233" s="19" t="str">
        <f t="array" ref="L233">IFERROR(INDEX(TeamsNumber!B:B,MATCH(All_User!D233,TeamsNumber!D:D,0)),"없음")</f>
        <v>없음</v>
      </c>
      <c r="M233" s="19" t="str">
        <f t="array" ref="M233">IFERROR(INDEX(Printer!D:D,MATCH(All_User!D233,Printer!H:H,0)),"없음")</f>
        <v>없음</v>
      </c>
      <c r="N233" s="19" t="str">
        <f t="array" ref="N233">IFERROR(INDEX(Monitor!A:A,MATCH(D233,Monitor!D:D,0)),"없음")</f>
        <v>없음</v>
      </c>
      <c r="P233" s="19" t="str">
        <f t="array" ref="P233">IFERROR(INDEX(sales!E:E,MATCH(D233,sales!C:C,0)),"없음")</f>
        <v>없음</v>
      </c>
    </row>
    <row r="234" spans="1:18" ht="13">
      <c r="A234" s="10">
        <v>236</v>
      </c>
      <c r="B234" s="47"/>
      <c r="C234" s="35"/>
      <c r="D234" s="60" t="s">
        <v>859</v>
      </c>
      <c r="E234" s="35"/>
      <c r="F234" s="35"/>
      <c r="G234" s="35"/>
      <c r="H234" s="20" t="str">
        <f t="array" ref="H234">IFERROR(INDEX(Lease_List!D:D,MATCH(All_User!D234,Lease_List!H:H,0)),"없음")</f>
        <v>5CD3469HDP</v>
      </c>
      <c r="I234" s="16" t="s">
        <v>28</v>
      </c>
      <c r="J234" s="16"/>
      <c r="K234" s="16" t="str">
        <f t="array" ref="K234">IFERROR(INDEX(Ipad_List!C:C,MATCH(All_User!D234,Ipad_List!J:J,0)),"없음")</f>
        <v>없음</v>
      </c>
      <c r="L234" s="19" t="str">
        <f t="array" ref="L234">IFERROR(INDEX(TeamsNumber!B:B,MATCH(All_User!D234,TeamsNumber!D:D,0)),"없음")</f>
        <v>없음</v>
      </c>
      <c r="M234" s="19" t="str">
        <f t="array" ref="M234">IFERROR(INDEX(Printer!D:D,MATCH(All_User!D234,Printer!H:H,0)),"없음")</f>
        <v>없음</v>
      </c>
      <c r="N234" s="19" t="str">
        <f t="array" ref="N234">IFERROR(INDEX(Monitor!A:A,MATCH(D234,Monitor!D:D,0)),"없음")</f>
        <v>없음</v>
      </c>
      <c r="P234" s="19" t="str">
        <f t="array" ref="P234">IFERROR(INDEX(sales!E:E,MATCH(D234,sales!C:C,0)),"없음")</f>
        <v>없음</v>
      </c>
    </row>
    <row r="235" spans="1:18" ht="13">
      <c r="A235" s="10">
        <v>237</v>
      </c>
      <c r="B235" s="47" t="s">
        <v>860</v>
      </c>
      <c r="C235" s="60" t="s">
        <v>861</v>
      </c>
      <c r="D235" s="60" t="s">
        <v>862</v>
      </c>
      <c r="E235" s="35"/>
      <c r="F235" s="35"/>
      <c r="G235" s="35"/>
      <c r="H235" s="20" t="str">
        <f t="array" ref="H235">IFERROR(INDEX(Lease_List!D:D,MATCH(All_User!D235,Lease_List!H:H,0)),"없음")</f>
        <v>5CD5179KJC</v>
      </c>
      <c r="I235" s="16" t="s">
        <v>28</v>
      </c>
      <c r="J235" s="38"/>
      <c r="K235" s="16" t="str">
        <f t="array" ref="K235">IFERROR(INDEX(Ipad_List!C:C,MATCH(All_User!D235,Ipad_List!J:J,0)),"없음")</f>
        <v>KVKXR477HX</v>
      </c>
      <c r="L235" s="19" t="str">
        <f t="array" ref="L235">IFERROR(INDEX(TeamsNumber!B:B,MATCH(All_User!D235,TeamsNumber!D:D,0)),"없음")</f>
        <v>없음</v>
      </c>
      <c r="M235" s="19" t="str">
        <f t="array" ref="M235">IFERROR(INDEX(Printer!D:D,MATCH(All_User!D235,Printer!H:H,0)),"없음")</f>
        <v>없음</v>
      </c>
      <c r="N235" s="19" t="str">
        <f t="array" ref="N235">IFERROR(INDEX(Monitor!A:A,MATCH(D235,Monitor!D:D,0)),"없음")</f>
        <v>없음</v>
      </c>
      <c r="P235" s="19" t="str">
        <f t="array" ref="P235">IFERROR(INDEX(sales!E:E,MATCH(D235,sales!C:C,0)),"없음")</f>
        <v>없음</v>
      </c>
    </row>
    <row r="236" spans="1:18" ht="14">
      <c r="A236" s="10">
        <v>238</v>
      </c>
      <c r="B236" s="61" t="s">
        <v>863</v>
      </c>
      <c r="C236" s="62" t="s">
        <v>864</v>
      </c>
      <c r="D236" s="62" t="s">
        <v>864</v>
      </c>
      <c r="E236" s="63"/>
      <c r="F236" s="63"/>
      <c r="G236" s="63"/>
      <c r="H236" s="20" t="str">
        <f t="array" ref="H236">IFERROR(INDEX(Lease_List!D:D,MATCH(All_User!D236,Lease_List!H:H,0)),"없음")</f>
        <v>없음</v>
      </c>
      <c r="I236" s="16" t="s">
        <v>28</v>
      </c>
      <c r="N236" s="19" t="str">
        <f t="array" ref="N236">IFERROR(INDEX(Monitor!A:A,MATCH(D236,Monitor!D:D,0)),"없음")</f>
        <v>없음</v>
      </c>
      <c r="P236" s="19" t="str">
        <f t="array" ref="P236">IFERROR(INDEX(sales!E:E,MATCH(D236,sales!C:C,0)),"없음")</f>
        <v>없음</v>
      </c>
    </row>
    <row r="237" spans="1:18" ht="17">
      <c r="A237" s="48">
        <v>239</v>
      </c>
      <c r="B237" s="61" t="s">
        <v>865</v>
      </c>
      <c r="C237" s="64" t="s">
        <v>866</v>
      </c>
      <c r="D237" s="58" t="s">
        <v>867</v>
      </c>
      <c r="E237" s="63"/>
      <c r="F237" s="63"/>
      <c r="G237" s="63"/>
      <c r="H237" s="20" t="str">
        <f t="array" ref="H237">IFERROR(INDEX(Lease_List!D:D,MATCH(All_User!D237,Lease_List!H:H,0)),"없음")</f>
        <v>5CD4305D89</v>
      </c>
      <c r="N237" s="19" t="str">
        <f t="array" ref="N237">IFERROR(INDEX(Monitor!A:A,MATCH(D237,Monitor!D:D,0)),"없음")</f>
        <v>없음</v>
      </c>
      <c r="P237" s="19" t="str">
        <f t="array" ref="P237">IFERROR(INDEX(sales!E:E,MATCH(D237,sales!C:C,0)),"없음")</f>
        <v>없음</v>
      </c>
    </row>
    <row r="238" spans="1:18" ht="17">
      <c r="A238" s="48">
        <v>240</v>
      </c>
      <c r="B238" s="65" t="s">
        <v>868</v>
      </c>
      <c r="C238" s="58" t="s">
        <v>869</v>
      </c>
      <c r="D238" s="59" t="s">
        <v>870</v>
      </c>
      <c r="E238" s="63"/>
      <c r="F238" s="63"/>
      <c r="G238" s="63"/>
      <c r="H238" s="20" t="str">
        <f t="array" ref="H238">IFERROR(INDEX(Lease_List!D:D,MATCH(All_User!D238,Lease_List!H:H,0)),"없음")</f>
        <v>5CD3469HD2</v>
      </c>
      <c r="N238" s="19" t="str">
        <f t="array" ref="N238">IFERROR(INDEX(Monitor!A:A,MATCH(D238,Monitor!D:D,0)),"없음")</f>
        <v>없음</v>
      </c>
      <c r="P238" s="19" t="str">
        <f t="array" ref="P238">IFERROR(INDEX(sales!E:E,MATCH(D238,sales!C:C,0)),"없음")</f>
        <v>없음</v>
      </c>
    </row>
    <row r="239" spans="1:18" ht="17">
      <c r="A239" s="48">
        <v>241</v>
      </c>
      <c r="B239" s="59" t="s">
        <v>871</v>
      </c>
      <c r="C239" s="59" t="s">
        <v>872</v>
      </c>
      <c r="D239" s="59" t="s">
        <v>873</v>
      </c>
      <c r="E239" s="35"/>
      <c r="F239" s="35" t="s">
        <v>309</v>
      </c>
      <c r="G239" s="35"/>
      <c r="H239" s="20" t="str">
        <f t="array" ref="H239">IFERROR(INDEX(Lease_List!D:D,MATCH(All_User!D239,Lease_List!H:H,0)),"없음")</f>
        <v>5CD5062YDV</v>
      </c>
      <c r="I239" s="16" t="s">
        <v>28</v>
      </c>
      <c r="J239" s="38"/>
      <c r="K239" s="16" t="str">
        <f t="array" ref="K239">IFERROR(INDEX(Ipad_List!C:C,MATCH(All_User!D239,Ipad_List!J:J,0)),"없음")</f>
        <v>없음</v>
      </c>
      <c r="L239" s="19" t="str">
        <f t="array" ref="L239">IFERROR(INDEX(TeamsNumber!B:B,MATCH(All_User!D239,TeamsNumber!D:D,0)),"없음")</f>
        <v>없음</v>
      </c>
      <c r="M239" s="19" t="str">
        <f t="array" ref="M239">IFERROR(INDEX(Printer!D:D,MATCH(All_User!D239,Printer!H:H,0)),"없음")</f>
        <v>없음</v>
      </c>
      <c r="N239" s="19" t="str">
        <f t="array" ref="N239">IFERROR(INDEX(Monitor!A:A,MATCH(D239,Monitor!D:D,0)),"없음")</f>
        <v>E2422H</v>
      </c>
      <c r="P239" s="19" t="str">
        <f t="array" ref="P239">IFERROR(INDEX(sales!E:E,MATCH(D239,sales!C:C,0)),"없음")</f>
        <v>없음</v>
      </c>
    </row>
    <row r="240" spans="1:18" ht="13">
      <c r="A240" s="66"/>
      <c r="B240" s="61"/>
      <c r="C240" s="63"/>
      <c r="D240" s="63"/>
      <c r="E240" s="63"/>
      <c r="F240" s="63"/>
      <c r="G240" s="63"/>
      <c r="H240" s="67"/>
      <c r="I240" s="39"/>
      <c r="K240" s="39"/>
      <c r="L240" s="39"/>
      <c r="M240" s="39"/>
    </row>
    <row r="241" spans="1:13" ht="13">
      <c r="A241" s="66"/>
      <c r="B241" s="61"/>
      <c r="C241" s="63"/>
      <c r="D241" s="63"/>
      <c r="E241" s="63"/>
      <c r="F241" s="63"/>
      <c r="G241" s="63"/>
      <c r="H241" s="67"/>
      <c r="I241" s="39"/>
      <c r="K241" s="39"/>
      <c r="L241" s="39"/>
      <c r="M241" s="39"/>
    </row>
    <row r="242" spans="1:13" ht="13">
      <c r="A242" s="66"/>
      <c r="B242" s="61"/>
      <c r="C242" s="63"/>
      <c r="D242" s="63"/>
      <c r="E242" s="63"/>
      <c r="F242" s="63"/>
      <c r="G242" s="63"/>
      <c r="H242" s="67"/>
      <c r="I242" s="39"/>
      <c r="K242" s="39"/>
      <c r="L242" s="39"/>
      <c r="M242" s="39"/>
    </row>
    <row r="243" spans="1:13" ht="13">
      <c r="A243" s="66"/>
      <c r="B243" s="61"/>
      <c r="C243" s="63"/>
      <c r="D243" s="63"/>
      <c r="E243" s="63"/>
      <c r="F243" s="63"/>
      <c r="G243" s="63"/>
      <c r="H243" s="67"/>
      <c r="I243" s="39"/>
      <c r="K243" s="39"/>
      <c r="L243" s="39"/>
      <c r="M243" s="39"/>
    </row>
    <row r="244" spans="1:13" ht="13">
      <c r="A244" s="66"/>
      <c r="B244" s="61"/>
      <c r="C244" s="63"/>
      <c r="D244" s="63"/>
      <c r="E244" s="63"/>
      <c r="F244" s="63"/>
      <c r="G244" s="63"/>
      <c r="H244" s="67"/>
      <c r="I244" s="39"/>
      <c r="K244" s="39"/>
      <c r="L244" s="39"/>
      <c r="M244" s="39"/>
    </row>
    <row r="245" spans="1:13" ht="13">
      <c r="A245" s="66"/>
      <c r="B245" s="61"/>
      <c r="C245" s="63"/>
      <c r="D245" s="63"/>
      <c r="E245" s="63"/>
      <c r="F245" s="63"/>
      <c r="G245" s="63"/>
      <c r="H245" s="67"/>
      <c r="I245" s="39"/>
      <c r="K245" s="39"/>
      <c r="L245" s="39"/>
      <c r="M245" s="39"/>
    </row>
    <row r="246" spans="1:13" ht="13">
      <c r="A246" s="66"/>
      <c r="B246" s="61"/>
      <c r="C246" s="63"/>
      <c r="D246" s="63"/>
      <c r="E246" s="63"/>
      <c r="F246" s="63"/>
      <c r="G246" s="63"/>
      <c r="H246" s="67"/>
      <c r="I246" s="39"/>
      <c r="K246" s="39"/>
      <c r="L246" s="39"/>
      <c r="M246" s="39"/>
    </row>
    <row r="247" spans="1:13" ht="13">
      <c r="A247" s="66"/>
      <c r="B247" s="61"/>
      <c r="C247" s="63"/>
      <c r="D247" s="63"/>
      <c r="E247" s="63"/>
      <c r="F247" s="63"/>
      <c r="G247" s="63"/>
      <c r="H247" s="67"/>
      <c r="I247" s="39"/>
      <c r="K247" s="39"/>
      <c r="L247" s="39"/>
      <c r="M247" s="39"/>
    </row>
    <row r="248" spans="1:13" ht="13">
      <c r="A248" s="66"/>
      <c r="B248" s="61"/>
      <c r="C248" s="63"/>
      <c r="D248" s="63"/>
      <c r="E248" s="63"/>
      <c r="F248" s="63"/>
      <c r="G248" s="63"/>
      <c r="H248" s="67"/>
      <c r="I248" s="39"/>
      <c r="K248" s="39"/>
      <c r="L248" s="39"/>
      <c r="M248" s="39"/>
    </row>
    <row r="249" spans="1:13" ht="13">
      <c r="A249" s="66"/>
      <c r="B249" s="61"/>
      <c r="C249" s="63"/>
      <c r="D249" s="63"/>
      <c r="E249" s="63"/>
      <c r="F249" s="63"/>
      <c r="G249" s="63"/>
      <c r="H249" s="67"/>
      <c r="I249" s="39"/>
      <c r="K249" s="39"/>
      <c r="L249" s="39"/>
      <c r="M249" s="39"/>
    </row>
    <row r="250" spans="1:13" ht="13">
      <c r="A250" s="66"/>
      <c r="B250" s="61"/>
      <c r="C250" s="63"/>
      <c r="D250" s="63"/>
      <c r="E250" s="63"/>
      <c r="F250" s="63"/>
      <c r="G250" s="63"/>
      <c r="H250" s="67"/>
      <c r="I250" s="39"/>
      <c r="K250" s="39"/>
      <c r="L250" s="39"/>
      <c r="M250" s="39"/>
    </row>
    <row r="251" spans="1:13" ht="13">
      <c r="A251" s="66"/>
      <c r="B251" s="61"/>
      <c r="C251" s="63"/>
      <c r="D251" s="63"/>
      <c r="E251" s="63"/>
      <c r="F251" s="63"/>
      <c r="G251" s="63"/>
      <c r="H251" s="67"/>
      <c r="I251" s="39"/>
      <c r="K251" s="39"/>
      <c r="L251" s="39"/>
      <c r="M251" s="39"/>
    </row>
    <row r="252" spans="1:13" ht="13">
      <c r="A252" s="66"/>
      <c r="B252" s="61"/>
      <c r="C252" s="63"/>
      <c r="D252" s="63"/>
      <c r="E252" s="63"/>
      <c r="F252" s="63"/>
      <c r="G252" s="63"/>
      <c r="H252" s="67"/>
      <c r="I252" s="39"/>
      <c r="K252" s="39"/>
      <c r="L252" s="39"/>
      <c r="M252" s="39"/>
    </row>
    <row r="253" spans="1:13" ht="13">
      <c r="A253" s="66"/>
      <c r="B253" s="61"/>
      <c r="C253" s="63"/>
      <c r="D253" s="63"/>
      <c r="E253" s="63"/>
      <c r="F253" s="63"/>
      <c r="G253" s="63"/>
      <c r="H253" s="67"/>
      <c r="I253" s="39"/>
      <c r="K253" s="39"/>
      <c r="L253" s="39"/>
      <c r="M253" s="39"/>
    </row>
    <row r="254" spans="1:13" ht="13">
      <c r="A254" s="66"/>
      <c r="B254" s="61"/>
      <c r="C254" s="63"/>
      <c r="D254" s="63"/>
      <c r="E254" s="63"/>
      <c r="F254" s="63"/>
      <c r="G254" s="63"/>
      <c r="H254" s="67"/>
      <c r="I254" s="39"/>
      <c r="K254" s="39"/>
      <c r="L254" s="39"/>
      <c r="M254" s="39"/>
    </row>
    <row r="255" spans="1:13" ht="13">
      <c r="A255" s="66"/>
      <c r="B255" s="61"/>
      <c r="C255" s="63"/>
      <c r="D255" s="63"/>
      <c r="E255" s="63"/>
      <c r="F255" s="63"/>
      <c r="G255" s="63"/>
      <c r="H255" s="67"/>
      <c r="I255" s="39"/>
      <c r="K255" s="39"/>
      <c r="L255" s="39"/>
      <c r="M255" s="39"/>
    </row>
    <row r="256" spans="1:13" ht="13">
      <c r="A256" s="66"/>
      <c r="B256" s="61"/>
      <c r="C256" s="63"/>
      <c r="D256" s="63"/>
      <c r="E256" s="63"/>
      <c r="F256" s="63"/>
      <c r="G256" s="63"/>
      <c r="H256" s="67"/>
      <c r="I256" s="39"/>
      <c r="K256" s="39"/>
      <c r="L256" s="39"/>
      <c r="M256" s="39"/>
    </row>
    <row r="257" spans="1:13" ht="13">
      <c r="A257" s="66"/>
      <c r="B257" s="61"/>
      <c r="C257" s="63"/>
      <c r="D257" s="63"/>
      <c r="E257" s="63"/>
      <c r="F257" s="63"/>
      <c r="G257" s="63"/>
      <c r="H257" s="67"/>
      <c r="I257" s="39"/>
      <c r="K257" s="39"/>
      <c r="L257" s="39"/>
      <c r="M257" s="39"/>
    </row>
    <row r="258" spans="1:13" ht="13">
      <c r="A258" s="66"/>
      <c r="B258" s="61"/>
      <c r="C258" s="63"/>
      <c r="D258" s="63"/>
      <c r="E258" s="63"/>
      <c r="F258" s="63"/>
      <c r="G258" s="63"/>
      <c r="H258" s="67"/>
      <c r="I258" s="39"/>
      <c r="K258" s="39"/>
      <c r="L258" s="39"/>
      <c r="M258" s="39"/>
    </row>
    <row r="259" spans="1:13" ht="13">
      <c r="A259" s="66"/>
      <c r="B259" s="61"/>
      <c r="C259" s="63"/>
      <c r="D259" s="63"/>
      <c r="E259" s="63"/>
      <c r="F259" s="63"/>
      <c r="G259" s="63"/>
      <c r="H259" s="67"/>
      <c r="I259" s="39"/>
      <c r="K259" s="39"/>
      <c r="L259" s="39"/>
      <c r="M259" s="39"/>
    </row>
    <row r="260" spans="1:13" ht="13">
      <c r="A260" s="66"/>
      <c r="B260" s="61"/>
      <c r="C260" s="63"/>
      <c r="D260" s="63"/>
      <c r="E260" s="63"/>
      <c r="F260" s="63"/>
      <c r="G260" s="63"/>
      <c r="H260" s="67"/>
      <c r="I260" s="39"/>
      <c r="K260" s="39"/>
      <c r="L260" s="39"/>
      <c r="M260" s="39"/>
    </row>
    <row r="261" spans="1:13" ht="13">
      <c r="A261" s="66"/>
      <c r="B261" s="61"/>
      <c r="C261" s="63"/>
      <c r="D261" s="63"/>
      <c r="E261" s="63"/>
      <c r="F261" s="63"/>
      <c r="G261" s="63"/>
      <c r="H261" s="67"/>
      <c r="I261" s="39"/>
      <c r="K261" s="39"/>
      <c r="L261" s="39"/>
      <c r="M261" s="39"/>
    </row>
    <row r="262" spans="1:13" ht="13">
      <c r="A262" s="66"/>
      <c r="B262" s="61"/>
      <c r="C262" s="63"/>
      <c r="D262" s="63"/>
      <c r="E262" s="63"/>
      <c r="F262" s="63"/>
      <c r="G262" s="63"/>
      <c r="H262" s="67"/>
      <c r="I262" s="39"/>
      <c r="K262" s="39"/>
      <c r="L262" s="39"/>
      <c r="M262" s="39"/>
    </row>
    <row r="263" spans="1:13" ht="13">
      <c r="A263" s="66"/>
      <c r="B263" s="61"/>
      <c r="C263" s="63"/>
      <c r="D263" s="63"/>
      <c r="E263" s="63"/>
      <c r="F263" s="63"/>
      <c r="G263" s="63"/>
      <c r="H263" s="67"/>
      <c r="I263" s="39"/>
      <c r="K263" s="39"/>
      <c r="L263" s="39"/>
      <c r="M263" s="39"/>
    </row>
    <row r="264" spans="1:13" ht="13">
      <c r="A264" s="66"/>
      <c r="B264" s="61"/>
      <c r="C264" s="63"/>
      <c r="D264" s="63"/>
      <c r="E264" s="63"/>
      <c r="F264" s="63"/>
      <c r="G264" s="63"/>
      <c r="H264" s="67"/>
      <c r="I264" s="39"/>
      <c r="K264" s="39"/>
      <c r="L264" s="39"/>
      <c r="M264" s="39"/>
    </row>
    <row r="265" spans="1:13" ht="13">
      <c r="A265" s="66"/>
      <c r="B265" s="61"/>
      <c r="C265" s="63"/>
      <c r="D265" s="63"/>
      <c r="E265" s="63"/>
      <c r="F265" s="63"/>
      <c r="G265" s="63"/>
      <c r="H265" s="67"/>
      <c r="I265" s="39"/>
      <c r="K265" s="39"/>
      <c r="L265" s="39"/>
      <c r="M265" s="39"/>
    </row>
    <row r="266" spans="1:13" ht="13">
      <c r="A266" s="66"/>
      <c r="B266" s="61"/>
      <c r="C266" s="63"/>
      <c r="D266" s="63"/>
      <c r="E266" s="63"/>
      <c r="F266" s="63"/>
      <c r="G266" s="63"/>
      <c r="H266" s="67"/>
      <c r="I266" s="39"/>
      <c r="K266" s="39"/>
      <c r="L266" s="39"/>
      <c r="M266" s="39"/>
    </row>
    <row r="267" spans="1:13" ht="13">
      <c r="A267" s="66"/>
      <c r="B267" s="61"/>
      <c r="C267" s="63"/>
      <c r="D267" s="63"/>
      <c r="E267" s="63"/>
      <c r="F267" s="63"/>
      <c r="G267" s="63"/>
      <c r="H267" s="67"/>
      <c r="I267" s="39"/>
      <c r="K267" s="39"/>
      <c r="L267" s="39"/>
      <c r="M267" s="39"/>
    </row>
    <row r="268" spans="1:13" ht="13">
      <c r="A268" s="66"/>
      <c r="B268" s="61"/>
      <c r="C268" s="63"/>
      <c r="D268" s="63"/>
      <c r="E268" s="63"/>
      <c r="F268" s="63"/>
      <c r="G268" s="63"/>
      <c r="H268" s="67"/>
      <c r="I268" s="39"/>
      <c r="K268" s="39"/>
      <c r="L268" s="39"/>
      <c r="M268" s="39"/>
    </row>
    <row r="269" spans="1:13" ht="13">
      <c r="A269" s="66"/>
      <c r="B269" s="61"/>
      <c r="C269" s="63"/>
      <c r="D269" s="63"/>
      <c r="E269" s="63"/>
      <c r="F269" s="63"/>
      <c r="G269" s="63"/>
      <c r="H269" s="67"/>
      <c r="I269" s="39"/>
      <c r="K269" s="39"/>
      <c r="L269" s="39"/>
      <c r="M269" s="39"/>
    </row>
    <row r="270" spans="1:13" ht="13">
      <c r="A270" s="66"/>
      <c r="B270" s="61"/>
      <c r="C270" s="63"/>
      <c r="D270" s="63"/>
      <c r="E270" s="63"/>
      <c r="F270" s="63"/>
      <c r="G270" s="63"/>
      <c r="H270" s="67"/>
      <c r="I270" s="39"/>
      <c r="K270" s="39"/>
      <c r="L270" s="39"/>
      <c r="M270" s="39"/>
    </row>
    <row r="271" spans="1:13" ht="13">
      <c r="A271" s="66"/>
      <c r="B271" s="61"/>
      <c r="C271" s="63"/>
      <c r="D271" s="63"/>
      <c r="E271" s="63"/>
      <c r="F271" s="63"/>
      <c r="G271" s="63"/>
      <c r="H271" s="67"/>
      <c r="I271" s="39"/>
      <c r="K271" s="39"/>
      <c r="L271" s="39"/>
      <c r="M271" s="39"/>
    </row>
    <row r="272" spans="1:13" ht="13">
      <c r="A272" s="66"/>
      <c r="B272" s="61"/>
      <c r="C272" s="63"/>
      <c r="D272" s="63"/>
      <c r="E272" s="63"/>
      <c r="F272" s="63"/>
      <c r="G272" s="63"/>
      <c r="H272" s="67"/>
      <c r="I272" s="39"/>
      <c r="K272" s="39"/>
      <c r="L272" s="39"/>
      <c r="M272" s="39"/>
    </row>
    <row r="273" spans="1:13" ht="13">
      <c r="A273" s="66"/>
      <c r="B273" s="61"/>
      <c r="C273" s="63"/>
      <c r="D273" s="63"/>
      <c r="E273" s="63"/>
      <c r="F273" s="63"/>
      <c r="G273" s="63"/>
      <c r="H273" s="67"/>
      <c r="I273" s="39"/>
      <c r="K273" s="39"/>
      <c r="L273" s="39"/>
      <c r="M273" s="39"/>
    </row>
    <row r="274" spans="1:13" ht="13">
      <c r="A274" s="66"/>
      <c r="B274" s="61"/>
      <c r="C274" s="63"/>
      <c r="D274" s="63"/>
      <c r="E274" s="63"/>
      <c r="F274" s="63"/>
      <c r="G274" s="63"/>
      <c r="H274" s="67"/>
      <c r="I274" s="39"/>
      <c r="K274" s="39"/>
      <c r="L274" s="39"/>
      <c r="M274" s="39"/>
    </row>
    <row r="275" spans="1:13" ht="13">
      <c r="A275" s="66"/>
      <c r="B275" s="61"/>
      <c r="C275" s="63"/>
      <c r="D275" s="63"/>
      <c r="E275" s="63"/>
      <c r="F275" s="63"/>
      <c r="G275" s="63"/>
      <c r="H275" s="67"/>
      <c r="I275" s="39"/>
      <c r="K275" s="39"/>
      <c r="L275" s="39"/>
      <c r="M275" s="39"/>
    </row>
    <row r="276" spans="1:13" ht="13">
      <c r="A276" s="66"/>
      <c r="B276" s="61"/>
      <c r="C276" s="63"/>
      <c r="D276" s="63"/>
      <c r="E276" s="63"/>
      <c r="F276" s="63"/>
      <c r="G276" s="63"/>
      <c r="H276" s="67"/>
      <c r="I276" s="39"/>
      <c r="K276" s="39"/>
      <c r="L276" s="39"/>
      <c r="M276" s="39"/>
    </row>
    <row r="277" spans="1:13" ht="13">
      <c r="A277" s="66"/>
      <c r="B277" s="61"/>
      <c r="C277" s="63"/>
      <c r="D277" s="63"/>
      <c r="E277" s="63"/>
      <c r="F277" s="63"/>
      <c r="G277" s="63"/>
      <c r="H277" s="67"/>
      <c r="I277" s="39"/>
      <c r="K277" s="39"/>
      <c r="L277" s="39"/>
      <c r="M277" s="39"/>
    </row>
    <row r="278" spans="1:13" ht="13">
      <c r="A278" s="66"/>
      <c r="B278" s="61"/>
      <c r="C278" s="63"/>
      <c r="D278" s="63"/>
      <c r="E278" s="63"/>
      <c r="F278" s="63"/>
      <c r="G278" s="63"/>
      <c r="H278" s="67"/>
      <c r="I278" s="39"/>
      <c r="K278" s="39"/>
      <c r="L278" s="39"/>
      <c r="M278" s="39"/>
    </row>
    <row r="279" spans="1:13" ht="13">
      <c r="A279" s="66"/>
      <c r="B279" s="61"/>
      <c r="C279" s="63"/>
      <c r="D279" s="63"/>
      <c r="E279" s="63"/>
      <c r="F279" s="63"/>
      <c r="G279" s="63"/>
      <c r="H279" s="67"/>
      <c r="I279" s="39"/>
      <c r="K279" s="39"/>
      <c r="L279" s="39"/>
      <c r="M279" s="39"/>
    </row>
    <row r="280" spans="1:13" ht="13">
      <c r="A280" s="66"/>
      <c r="B280" s="61"/>
      <c r="C280" s="63"/>
      <c r="D280" s="63"/>
      <c r="E280" s="63"/>
      <c r="F280" s="63"/>
      <c r="G280" s="63"/>
      <c r="H280" s="67"/>
      <c r="I280" s="39"/>
      <c r="K280" s="39"/>
      <c r="L280" s="39"/>
      <c r="M280" s="39"/>
    </row>
    <row r="281" spans="1:13" ht="13">
      <c r="A281" s="66"/>
      <c r="B281" s="61"/>
      <c r="C281" s="63"/>
      <c r="D281" s="63"/>
      <c r="E281" s="63"/>
      <c r="F281" s="63"/>
      <c r="G281" s="63"/>
      <c r="H281" s="67"/>
      <c r="I281" s="39"/>
      <c r="K281" s="39"/>
      <c r="L281" s="39"/>
      <c r="M281" s="39"/>
    </row>
    <row r="282" spans="1:13" ht="13">
      <c r="A282" s="66"/>
      <c r="B282" s="61"/>
      <c r="C282" s="63"/>
      <c r="D282" s="63"/>
      <c r="E282" s="63"/>
      <c r="F282" s="63"/>
      <c r="G282" s="63"/>
      <c r="H282" s="67"/>
      <c r="I282" s="39"/>
      <c r="K282" s="39"/>
      <c r="L282" s="39"/>
      <c r="M282" s="39"/>
    </row>
    <row r="283" spans="1:13" ht="13">
      <c r="A283" s="66"/>
      <c r="B283" s="61"/>
      <c r="C283" s="63"/>
      <c r="D283" s="63"/>
      <c r="E283" s="63"/>
      <c r="F283" s="63"/>
      <c r="G283" s="63"/>
      <c r="H283" s="67"/>
      <c r="I283" s="39"/>
      <c r="K283" s="39"/>
      <c r="L283" s="39"/>
      <c r="M283" s="39"/>
    </row>
    <row r="284" spans="1:13" ht="13">
      <c r="A284" s="66"/>
      <c r="B284" s="61"/>
      <c r="C284" s="63"/>
      <c r="D284" s="63"/>
      <c r="E284" s="63"/>
      <c r="F284" s="63"/>
      <c r="G284" s="63"/>
      <c r="H284" s="67"/>
      <c r="I284" s="39"/>
      <c r="K284" s="39"/>
      <c r="L284" s="39"/>
      <c r="M284" s="39"/>
    </row>
    <row r="285" spans="1:13" ht="13">
      <c r="A285" s="66"/>
      <c r="B285" s="61"/>
      <c r="C285" s="63"/>
      <c r="D285" s="63"/>
      <c r="E285" s="63"/>
      <c r="F285" s="63"/>
      <c r="G285" s="63"/>
      <c r="H285" s="67"/>
      <c r="I285" s="39"/>
      <c r="K285" s="39"/>
      <c r="L285" s="39"/>
      <c r="M285" s="39"/>
    </row>
    <row r="286" spans="1:13" ht="13">
      <c r="A286" s="66"/>
      <c r="B286" s="61"/>
      <c r="C286" s="63"/>
      <c r="D286" s="63"/>
      <c r="E286" s="63"/>
      <c r="F286" s="63"/>
      <c r="G286" s="63"/>
      <c r="H286" s="67"/>
      <c r="I286" s="39"/>
      <c r="K286" s="39"/>
      <c r="L286" s="39"/>
      <c r="M286" s="39"/>
    </row>
    <row r="287" spans="1:13" ht="13">
      <c r="A287" s="66"/>
      <c r="B287" s="61"/>
      <c r="C287" s="63"/>
      <c r="D287" s="63"/>
      <c r="E287" s="63"/>
      <c r="F287" s="63"/>
      <c r="G287" s="63"/>
      <c r="H287" s="67"/>
      <c r="I287" s="39"/>
      <c r="K287" s="39"/>
      <c r="L287" s="39"/>
      <c r="M287" s="39"/>
    </row>
    <row r="288" spans="1:13" ht="13">
      <c r="A288" s="66"/>
      <c r="B288" s="61"/>
      <c r="C288" s="63"/>
      <c r="D288" s="63"/>
      <c r="E288" s="63"/>
      <c r="F288" s="63"/>
      <c r="G288" s="63"/>
      <c r="H288" s="67"/>
      <c r="I288" s="39"/>
      <c r="K288" s="39"/>
      <c r="L288" s="39"/>
      <c r="M288" s="39"/>
    </row>
    <row r="289" spans="1:13" ht="13">
      <c r="A289" s="66"/>
      <c r="B289" s="61"/>
      <c r="C289" s="63"/>
      <c r="D289" s="63"/>
      <c r="E289" s="63"/>
      <c r="F289" s="63"/>
      <c r="G289" s="63"/>
      <c r="H289" s="67"/>
      <c r="I289" s="39"/>
      <c r="K289" s="39"/>
      <c r="L289" s="39"/>
      <c r="M289" s="39"/>
    </row>
    <row r="290" spans="1:13" ht="13">
      <c r="A290" s="66"/>
      <c r="B290" s="61"/>
      <c r="C290" s="63"/>
      <c r="D290" s="63"/>
      <c r="E290" s="63"/>
      <c r="F290" s="63"/>
      <c r="G290" s="63"/>
      <c r="H290" s="67"/>
      <c r="I290" s="39"/>
      <c r="K290" s="39"/>
      <c r="L290" s="39"/>
      <c r="M290" s="39"/>
    </row>
    <row r="291" spans="1:13" ht="13">
      <c r="A291" s="66"/>
      <c r="B291" s="61"/>
      <c r="C291" s="63"/>
      <c r="D291" s="63"/>
      <c r="E291" s="63"/>
      <c r="F291" s="63"/>
      <c r="G291" s="63"/>
      <c r="H291" s="67"/>
      <c r="I291" s="39"/>
      <c r="K291" s="39"/>
      <c r="L291" s="39"/>
      <c r="M291" s="39"/>
    </row>
    <row r="292" spans="1:13" ht="13">
      <c r="A292" s="66"/>
      <c r="B292" s="61"/>
      <c r="C292" s="63"/>
      <c r="D292" s="63"/>
      <c r="E292" s="63"/>
      <c r="F292" s="63"/>
      <c r="G292" s="63"/>
      <c r="H292" s="67"/>
      <c r="I292" s="39"/>
      <c r="K292" s="39"/>
      <c r="L292" s="39"/>
      <c r="M292" s="39"/>
    </row>
    <row r="293" spans="1:13" ht="13">
      <c r="A293" s="66"/>
      <c r="B293" s="61"/>
      <c r="C293" s="63"/>
      <c r="D293" s="63"/>
      <c r="E293" s="63"/>
      <c r="F293" s="63"/>
      <c r="G293" s="63"/>
      <c r="H293" s="67"/>
      <c r="I293" s="39"/>
      <c r="K293" s="39"/>
      <c r="L293" s="39"/>
      <c r="M293" s="39"/>
    </row>
    <row r="294" spans="1:13" ht="13">
      <c r="A294" s="66"/>
      <c r="B294" s="61"/>
      <c r="C294" s="63"/>
      <c r="D294" s="63"/>
      <c r="E294" s="63"/>
      <c r="F294" s="63"/>
      <c r="G294" s="63"/>
      <c r="H294" s="67"/>
      <c r="I294" s="39"/>
      <c r="K294" s="39"/>
      <c r="L294" s="39"/>
      <c r="M294" s="39"/>
    </row>
    <row r="295" spans="1:13" ht="13">
      <c r="A295" s="66"/>
      <c r="B295" s="61"/>
      <c r="C295" s="63"/>
      <c r="D295" s="63"/>
      <c r="E295" s="63"/>
      <c r="F295" s="63"/>
      <c r="G295" s="63"/>
      <c r="H295" s="67"/>
      <c r="I295" s="39"/>
      <c r="K295" s="39"/>
      <c r="L295" s="39"/>
      <c r="M295" s="39"/>
    </row>
    <row r="296" spans="1:13" ht="13">
      <c r="A296" s="66"/>
      <c r="B296" s="61"/>
      <c r="C296" s="63"/>
      <c r="D296" s="63"/>
      <c r="E296" s="63"/>
      <c r="F296" s="63"/>
      <c r="G296" s="63"/>
      <c r="H296" s="67"/>
      <c r="I296" s="39"/>
      <c r="K296" s="39"/>
      <c r="L296" s="39"/>
      <c r="M296" s="39"/>
    </row>
    <row r="297" spans="1:13" ht="13">
      <c r="A297" s="66"/>
      <c r="B297" s="61"/>
      <c r="C297" s="63"/>
      <c r="D297" s="63"/>
      <c r="E297" s="63"/>
      <c r="F297" s="63"/>
      <c r="G297" s="63"/>
      <c r="H297" s="67"/>
      <c r="I297" s="39"/>
      <c r="K297" s="39"/>
      <c r="L297" s="39"/>
      <c r="M297" s="39"/>
    </row>
    <row r="298" spans="1:13" ht="13">
      <c r="A298" s="66"/>
      <c r="B298" s="61"/>
      <c r="C298" s="63"/>
      <c r="D298" s="63"/>
      <c r="E298" s="63"/>
      <c r="F298" s="63"/>
      <c r="G298" s="63"/>
      <c r="H298" s="67"/>
      <c r="I298" s="39"/>
      <c r="K298" s="39"/>
      <c r="L298" s="39"/>
      <c r="M298" s="39"/>
    </row>
    <row r="299" spans="1:13" ht="13">
      <c r="A299" s="66"/>
      <c r="B299" s="61"/>
      <c r="C299" s="63"/>
      <c r="D299" s="63"/>
      <c r="E299" s="63"/>
      <c r="F299" s="63"/>
      <c r="G299" s="63"/>
      <c r="H299" s="67"/>
      <c r="I299" s="39"/>
      <c r="K299" s="39"/>
      <c r="L299" s="39"/>
      <c r="M299" s="39"/>
    </row>
    <row r="300" spans="1:13" ht="13">
      <c r="A300" s="66"/>
      <c r="B300" s="61"/>
      <c r="C300" s="63"/>
      <c r="D300" s="63"/>
      <c r="E300" s="63"/>
      <c r="F300" s="63"/>
      <c r="G300" s="63"/>
      <c r="H300" s="67"/>
      <c r="I300" s="39"/>
      <c r="K300" s="39"/>
      <c r="L300" s="39"/>
      <c r="M300" s="39"/>
    </row>
    <row r="301" spans="1:13" ht="13">
      <c r="A301" s="66"/>
      <c r="B301" s="61"/>
      <c r="C301" s="63"/>
      <c r="D301" s="63"/>
      <c r="E301" s="63"/>
      <c r="F301" s="63"/>
      <c r="G301" s="63"/>
      <c r="H301" s="67"/>
      <c r="I301" s="39"/>
      <c r="K301" s="39"/>
      <c r="L301" s="39"/>
      <c r="M301" s="39"/>
    </row>
    <row r="302" spans="1:13" ht="13">
      <c r="A302" s="66"/>
      <c r="B302" s="61"/>
      <c r="C302" s="63"/>
      <c r="D302" s="63"/>
      <c r="E302" s="63"/>
      <c r="F302" s="63"/>
      <c r="G302" s="63"/>
      <c r="H302" s="67"/>
      <c r="I302" s="39"/>
      <c r="K302" s="39"/>
      <c r="L302" s="39"/>
      <c r="M302" s="39"/>
    </row>
    <row r="303" spans="1:13" ht="13">
      <c r="A303" s="66"/>
      <c r="B303" s="61"/>
      <c r="C303" s="63"/>
      <c r="D303" s="63"/>
      <c r="E303" s="63"/>
      <c r="F303" s="63"/>
      <c r="G303" s="63"/>
      <c r="H303" s="67"/>
      <c r="I303" s="39"/>
      <c r="K303" s="39"/>
      <c r="L303" s="39"/>
      <c r="M303" s="39"/>
    </row>
    <row r="304" spans="1:13" ht="13">
      <c r="A304" s="66"/>
      <c r="B304" s="61"/>
      <c r="C304" s="63"/>
      <c r="D304" s="63"/>
      <c r="E304" s="63"/>
      <c r="F304" s="63"/>
      <c r="G304" s="63"/>
      <c r="H304" s="67"/>
      <c r="I304" s="39"/>
      <c r="K304" s="39"/>
      <c r="L304" s="39"/>
      <c r="M304" s="39"/>
    </row>
    <row r="305" spans="1:13" ht="13">
      <c r="A305" s="66"/>
      <c r="B305" s="61"/>
      <c r="C305" s="63"/>
      <c r="D305" s="63"/>
      <c r="E305" s="63"/>
      <c r="F305" s="63"/>
      <c r="G305" s="63"/>
      <c r="H305" s="67"/>
      <c r="I305" s="39"/>
      <c r="K305" s="39"/>
      <c r="L305" s="39"/>
      <c r="M305" s="39"/>
    </row>
    <row r="306" spans="1:13" ht="13">
      <c r="A306" s="66"/>
      <c r="B306" s="61"/>
      <c r="C306" s="63"/>
      <c r="D306" s="63"/>
      <c r="E306" s="63"/>
      <c r="F306" s="63"/>
      <c r="G306" s="63"/>
      <c r="H306" s="67"/>
      <c r="I306" s="39"/>
      <c r="K306" s="39"/>
      <c r="L306" s="39"/>
      <c r="M306" s="39"/>
    </row>
    <row r="307" spans="1:13" ht="13">
      <c r="A307" s="66"/>
      <c r="B307" s="61"/>
      <c r="C307" s="63"/>
      <c r="D307" s="63"/>
      <c r="E307" s="63"/>
      <c r="F307" s="63"/>
      <c r="G307" s="63"/>
      <c r="H307" s="67"/>
      <c r="I307" s="39"/>
      <c r="K307" s="39"/>
      <c r="L307" s="39"/>
      <c r="M307" s="39"/>
    </row>
    <row r="308" spans="1:13" ht="13">
      <c r="A308" s="66"/>
      <c r="B308" s="61"/>
      <c r="C308" s="63"/>
      <c r="D308" s="63"/>
      <c r="E308" s="63"/>
      <c r="F308" s="63"/>
      <c r="G308" s="63"/>
      <c r="H308" s="67"/>
      <c r="I308" s="39"/>
      <c r="K308" s="39"/>
      <c r="L308" s="39"/>
      <c r="M308" s="39"/>
    </row>
    <row r="309" spans="1:13" ht="13">
      <c r="A309" s="66"/>
      <c r="B309" s="61"/>
      <c r="C309" s="63"/>
      <c r="D309" s="63"/>
      <c r="E309" s="63"/>
      <c r="F309" s="63"/>
      <c r="G309" s="63"/>
      <c r="H309" s="67"/>
      <c r="I309" s="39"/>
      <c r="K309" s="39"/>
      <c r="L309" s="39"/>
      <c r="M309" s="39"/>
    </row>
    <row r="310" spans="1:13" ht="13">
      <c r="A310" s="66"/>
      <c r="B310" s="61"/>
      <c r="C310" s="63"/>
      <c r="D310" s="63"/>
      <c r="E310" s="63"/>
      <c r="F310" s="63"/>
      <c r="G310" s="63"/>
      <c r="H310" s="67"/>
      <c r="I310" s="39"/>
      <c r="K310" s="39"/>
      <c r="L310" s="39"/>
      <c r="M310" s="39"/>
    </row>
    <row r="311" spans="1:13" ht="13">
      <c r="A311" s="66"/>
      <c r="B311" s="61"/>
      <c r="C311" s="63"/>
      <c r="D311" s="63"/>
      <c r="E311" s="63"/>
      <c r="F311" s="63"/>
      <c r="G311" s="63"/>
      <c r="H311" s="67"/>
      <c r="I311" s="39"/>
      <c r="K311" s="39"/>
      <c r="L311" s="39"/>
      <c r="M311" s="39"/>
    </row>
    <row r="312" spans="1:13" ht="13">
      <c r="A312" s="66"/>
      <c r="B312" s="61"/>
      <c r="C312" s="63"/>
      <c r="D312" s="63"/>
      <c r="E312" s="63"/>
      <c r="F312" s="63"/>
      <c r="G312" s="63"/>
      <c r="H312" s="67"/>
      <c r="I312" s="39"/>
      <c r="K312" s="39"/>
      <c r="L312" s="39"/>
      <c r="M312" s="39"/>
    </row>
    <row r="313" spans="1:13" ht="13">
      <c r="A313" s="66"/>
      <c r="B313" s="61"/>
      <c r="C313" s="63"/>
      <c r="D313" s="63"/>
      <c r="E313" s="63"/>
      <c r="F313" s="63"/>
      <c r="G313" s="63"/>
      <c r="H313" s="67"/>
      <c r="I313" s="39"/>
      <c r="K313" s="39"/>
      <c r="L313" s="39"/>
      <c r="M313" s="39"/>
    </row>
    <row r="314" spans="1:13" ht="13">
      <c r="A314" s="66"/>
      <c r="B314" s="61"/>
      <c r="C314" s="63"/>
      <c r="D314" s="63"/>
      <c r="E314" s="63"/>
      <c r="F314" s="63"/>
      <c r="G314" s="63"/>
      <c r="H314" s="67"/>
      <c r="I314" s="39"/>
      <c r="K314" s="39"/>
      <c r="L314" s="39"/>
      <c r="M314" s="39"/>
    </row>
    <row r="315" spans="1:13" ht="13">
      <c r="A315" s="66"/>
      <c r="B315" s="61"/>
      <c r="C315" s="63"/>
      <c r="D315" s="63"/>
      <c r="E315" s="63"/>
      <c r="F315" s="63"/>
      <c r="G315" s="63"/>
      <c r="H315" s="67"/>
      <c r="I315" s="39"/>
      <c r="K315" s="39"/>
      <c r="L315" s="39"/>
      <c r="M315" s="39"/>
    </row>
    <row r="316" spans="1:13" ht="13">
      <c r="A316" s="66"/>
      <c r="B316" s="61"/>
      <c r="C316" s="63"/>
      <c r="D316" s="63"/>
      <c r="E316" s="63"/>
      <c r="F316" s="63"/>
      <c r="G316" s="63"/>
      <c r="H316" s="67"/>
      <c r="I316" s="39"/>
      <c r="K316" s="39"/>
      <c r="L316" s="39"/>
      <c r="M316" s="39"/>
    </row>
    <row r="317" spans="1:13" ht="13">
      <c r="A317" s="66"/>
      <c r="B317" s="61"/>
      <c r="C317" s="63"/>
      <c r="D317" s="63"/>
      <c r="E317" s="63"/>
      <c r="F317" s="63"/>
      <c r="G317" s="63"/>
      <c r="H317" s="67"/>
      <c r="I317" s="39"/>
      <c r="K317" s="39"/>
      <c r="L317" s="39"/>
      <c r="M317" s="39"/>
    </row>
    <row r="318" spans="1:13" ht="13">
      <c r="A318" s="66"/>
      <c r="B318" s="61"/>
      <c r="C318" s="63"/>
      <c r="D318" s="63"/>
      <c r="E318" s="63"/>
      <c r="F318" s="63"/>
      <c r="G318" s="63"/>
      <c r="H318" s="67"/>
      <c r="I318" s="39"/>
      <c r="K318" s="39"/>
      <c r="L318" s="39"/>
      <c r="M318" s="39"/>
    </row>
    <row r="319" spans="1:13" ht="13">
      <c r="A319" s="66"/>
      <c r="B319" s="61"/>
      <c r="C319" s="63"/>
      <c r="D319" s="63"/>
      <c r="E319" s="63"/>
      <c r="F319" s="63"/>
      <c r="G319" s="63"/>
      <c r="H319" s="67"/>
      <c r="I319" s="39"/>
      <c r="K319" s="39"/>
      <c r="L319" s="39"/>
      <c r="M319" s="39"/>
    </row>
    <row r="320" spans="1:13" ht="13">
      <c r="A320" s="66"/>
      <c r="B320" s="61"/>
      <c r="C320" s="63"/>
      <c r="D320" s="63"/>
      <c r="E320" s="63"/>
      <c r="F320" s="63"/>
      <c r="G320" s="63"/>
      <c r="H320" s="67"/>
      <c r="I320" s="39"/>
      <c r="K320" s="39"/>
      <c r="L320" s="39"/>
      <c r="M320" s="39"/>
    </row>
    <row r="321" spans="1:13" ht="13">
      <c r="A321" s="66"/>
      <c r="B321" s="61"/>
      <c r="C321" s="63"/>
      <c r="D321" s="63"/>
      <c r="E321" s="63"/>
      <c r="F321" s="63"/>
      <c r="G321" s="63"/>
      <c r="H321" s="67"/>
      <c r="I321" s="39"/>
      <c r="K321" s="39"/>
      <c r="L321" s="39"/>
      <c r="M321" s="39"/>
    </row>
    <row r="322" spans="1:13" ht="13">
      <c r="A322" s="66"/>
      <c r="B322" s="61"/>
      <c r="C322" s="63"/>
      <c r="D322" s="63"/>
      <c r="E322" s="63"/>
      <c r="F322" s="63"/>
      <c r="G322" s="63"/>
      <c r="H322" s="67"/>
      <c r="I322" s="39"/>
      <c r="K322" s="39"/>
      <c r="L322" s="39"/>
      <c r="M322" s="39"/>
    </row>
    <row r="323" spans="1:13" ht="13">
      <c r="A323" s="66"/>
      <c r="B323" s="61"/>
      <c r="C323" s="63"/>
      <c r="D323" s="63"/>
      <c r="E323" s="63"/>
      <c r="F323" s="63"/>
      <c r="G323" s="63"/>
      <c r="H323" s="67"/>
      <c r="I323" s="39"/>
      <c r="K323" s="39"/>
      <c r="L323" s="39"/>
      <c r="M323" s="39"/>
    </row>
    <row r="324" spans="1:13" ht="13">
      <c r="A324" s="66"/>
      <c r="B324" s="61"/>
      <c r="C324" s="63"/>
      <c r="D324" s="63"/>
      <c r="E324" s="63"/>
      <c r="F324" s="63"/>
      <c r="G324" s="63"/>
      <c r="H324" s="67"/>
      <c r="I324" s="39"/>
      <c r="K324" s="39"/>
      <c r="L324" s="39"/>
      <c r="M324" s="39"/>
    </row>
    <row r="325" spans="1:13" ht="13">
      <c r="A325" s="66"/>
      <c r="B325" s="61"/>
      <c r="C325" s="63"/>
      <c r="D325" s="63"/>
      <c r="E325" s="63"/>
      <c r="F325" s="63"/>
      <c r="G325" s="63"/>
      <c r="H325" s="67"/>
      <c r="I325" s="39"/>
      <c r="K325" s="39"/>
      <c r="L325" s="39"/>
      <c r="M325" s="39"/>
    </row>
    <row r="326" spans="1:13" ht="13">
      <c r="A326" s="66"/>
      <c r="B326" s="61"/>
      <c r="C326" s="63"/>
      <c r="D326" s="63"/>
      <c r="E326" s="63"/>
      <c r="F326" s="63"/>
      <c r="G326" s="63"/>
      <c r="H326" s="67"/>
      <c r="I326" s="39"/>
      <c r="K326" s="39"/>
      <c r="L326" s="39"/>
      <c r="M326" s="39"/>
    </row>
    <row r="327" spans="1:13" ht="13">
      <c r="A327" s="66"/>
      <c r="B327" s="61"/>
      <c r="C327" s="63"/>
      <c r="D327" s="63"/>
      <c r="E327" s="63"/>
      <c r="F327" s="63"/>
      <c r="G327" s="63"/>
      <c r="H327" s="67"/>
      <c r="I327" s="39"/>
      <c r="K327" s="39"/>
      <c r="L327" s="39"/>
      <c r="M327" s="39"/>
    </row>
    <row r="328" spans="1:13" ht="13">
      <c r="A328" s="66"/>
      <c r="B328" s="61"/>
      <c r="C328" s="63"/>
      <c r="D328" s="63"/>
      <c r="E328" s="63"/>
      <c r="F328" s="63"/>
      <c r="G328" s="63"/>
      <c r="H328" s="67"/>
      <c r="I328" s="39"/>
      <c r="K328" s="39"/>
      <c r="L328" s="39"/>
      <c r="M328" s="39"/>
    </row>
    <row r="329" spans="1:13" ht="13">
      <c r="A329" s="66"/>
      <c r="B329" s="61"/>
      <c r="C329" s="63"/>
      <c r="D329" s="63"/>
      <c r="E329" s="63"/>
      <c r="F329" s="63"/>
      <c r="G329" s="63"/>
      <c r="H329" s="67"/>
      <c r="I329" s="39"/>
      <c r="K329" s="39"/>
      <c r="L329" s="39"/>
      <c r="M329" s="39"/>
    </row>
    <row r="330" spans="1:13" ht="13">
      <c r="A330" s="66"/>
      <c r="B330" s="61"/>
      <c r="C330" s="63"/>
      <c r="D330" s="63"/>
      <c r="E330" s="63"/>
      <c r="F330" s="63"/>
      <c r="G330" s="63"/>
      <c r="H330" s="67"/>
      <c r="I330" s="39"/>
      <c r="K330" s="39"/>
      <c r="L330" s="39"/>
      <c r="M330" s="39"/>
    </row>
    <row r="331" spans="1:13" ht="13">
      <c r="A331" s="66"/>
      <c r="B331" s="61"/>
      <c r="C331" s="63"/>
      <c r="D331" s="63"/>
      <c r="E331" s="63"/>
      <c r="F331" s="63"/>
      <c r="G331" s="63"/>
      <c r="H331" s="67"/>
      <c r="I331" s="39"/>
      <c r="K331" s="39"/>
      <c r="L331" s="39"/>
      <c r="M331" s="39"/>
    </row>
    <row r="332" spans="1:13" ht="13">
      <c r="A332" s="66"/>
      <c r="B332" s="61"/>
      <c r="C332" s="63"/>
      <c r="D332" s="63"/>
      <c r="E332" s="63"/>
      <c r="F332" s="63"/>
      <c r="G332" s="63"/>
      <c r="H332" s="67"/>
      <c r="I332" s="39"/>
      <c r="K332" s="39"/>
      <c r="L332" s="39"/>
      <c r="M332" s="39"/>
    </row>
    <row r="333" spans="1:13" ht="13">
      <c r="A333" s="66"/>
      <c r="B333" s="61"/>
      <c r="C333" s="63"/>
      <c r="D333" s="63"/>
      <c r="E333" s="63"/>
      <c r="F333" s="63"/>
      <c r="G333" s="63"/>
      <c r="H333" s="67"/>
      <c r="I333" s="39"/>
      <c r="K333" s="39"/>
      <c r="L333" s="39"/>
      <c r="M333" s="39"/>
    </row>
    <row r="334" spans="1:13" ht="13">
      <c r="A334" s="66"/>
      <c r="B334" s="61"/>
      <c r="C334" s="63"/>
      <c r="D334" s="63"/>
      <c r="E334" s="63"/>
      <c r="F334" s="63"/>
      <c r="G334" s="63"/>
      <c r="H334" s="67"/>
      <c r="I334" s="39"/>
      <c r="K334" s="39"/>
      <c r="L334" s="39"/>
      <c r="M334" s="39"/>
    </row>
    <row r="335" spans="1:13" ht="13">
      <c r="A335" s="66"/>
      <c r="B335" s="61"/>
      <c r="C335" s="63"/>
      <c r="D335" s="63"/>
      <c r="E335" s="63"/>
      <c r="F335" s="63"/>
      <c r="G335" s="63"/>
      <c r="H335" s="67"/>
      <c r="I335" s="39"/>
      <c r="K335" s="39"/>
      <c r="L335" s="39"/>
      <c r="M335" s="39"/>
    </row>
    <row r="336" spans="1:13" ht="13">
      <c r="A336" s="66"/>
      <c r="B336" s="61"/>
      <c r="C336" s="63"/>
      <c r="D336" s="63"/>
      <c r="E336" s="63"/>
      <c r="F336" s="63"/>
      <c r="G336" s="63"/>
      <c r="H336" s="67"/>
      <c r="I336" s="39"/>
      <c r="K336" s="39"/>
      <c r="L336" s="39"/>
      <c r="M336" s="39"/>
    </row>
    <row r="337" spans="1:13" ht="13">
      <c r="A337" s="66"/>
      <c r="B337" s="61"/>
      <c r="C337" s="63"/>
      <c r="D337" s="63"/>
      <c r="E337" s="63"/>
      <c r="F337" s="63"/>
      <c r="G337" s="63"/>
      <c r="H337" s="67"/>
      <c r="I337" s="39"/>
      <c r="K337" s="39"/>
      <c r="L337" s="39"/>
      <c r="M337" s="39"/>
    </row>
    <row r="338" spans="1:13" ht="13">
      <c r="A338" s="66"/>
      <c r="B338" s="61"/>
      <c r="C338" s="63"/>
      <c r="D338" s="63"/>
      <c r="E338" s="63"/>
      <c r="F338" s="63"/>
      <c r="G338" s="63"/>
      <c r="H338" s="67"/>
      <c r="I338" s="39"/>
      <c r="K338" s="39"/>
      <c r="L338" s="39"/>
      <c r="M338" s="39"/>
    </row>
    <row r="339" spans="1:13" ht="13">
      <c r="A339" s="66"/>
      <c r="B339" s="61"/>
      <c r="C339" s="63"/>
      <c r="D339" s="63"/>
      <c r="E339" s="63"/>
      <c r="F339" s="63"/>
      <c r="G339" s="63"/>
      <c r="H339" s="67"/>
      <c r="I339" s="39"/>
      <c r="K339" s="39"/>
      <c r="L339" s="39"/>
      <c r="M339" s="39"/>
    </row>
    <row r="340" spans="1:13" ht="13">
      <c r="A340" s="66"/>
      <c r="B340" s="61"/>
      <c r="C340" s="63"/>
      <c r="D340" s="63"/>
      <c r="E340" s="63"/>
      <c r="F340" s="63"/>
      <c r="G340" s="63"/>
      <c r="H340" s="67"/>
      <c r="I340" s="39"/>
      <c r="K340" s="39"/>
      <c r="L340" s="39"/>
      <c r="M340" s="39"/>
    </row>
    <row r="341" spans="1:13" ht="13">
      <c r="A341" s="66"/>
      <c r="B341" s="61"/>
      <c r="C341" s="63"/>
      <c r="D341" s="63"/>
      <c r="E341" s="63"/>
      <c r="F341" s="63"/>
      <c r="G341" s="63"/>
      <c r="H341" s="67"/>
      <c r="I341" s="39"/>
      <c r="K341" s="39"/>
      <c r="L341" s="39"/>
      <c r="M341" s="39"/>
    </row>
    <row r="342" spans="1:13" ht="13">
      <c r="A342" s="66"/>
      <c r="B342" s="61"/>
      <c r="C342" s="63"/>
      <c r="D342" s="63"/>
      <c r="E342" s="63"/>
      <c r="F342" s="63"/>
      <c r="G342" s="63"/>
      <c r="H342" s="67"/>
      <c r="I342" s="39"/>
      <c r="K342" s="39"/>
      <c r="L342" s="39"/>
      <c r="M342" s="39"/>
    </row>
    <row r="343" spans="1:13" ht="13">
      <c r="A343" s="66"/>
      <c r="B343" s="61"/>
      <c r="C343" s="63"/>
      <c r="D343" s="63"/>
      <c r="E343" s="63"/>
      <c r="F343" s="63"/>
      <c r="G343" s="63"/>
      <c r="H343" s="67"/>
      <c r="I343" s="39"/>
      <c r="K343" s="39"/>
      <c r="L343" s="39"/>
      <c r="M343" s="39"/>
    </row>
    <row r="344" spans="1:13" ht="13">
      <c r="A344" s="66"/>
      <c r="B344" s="61"/>
      <c r="C344" s="63"/>
      <c r="D344" s="63"/>
      <c r="E344" s="63"/>
      <c r="F344" s="63"/>
      <c r="G344" s="63"/>
      <c r="H344" s="67"/>
      <c r="I344" s="39"/>
      <c r="K344" s="39"/>
      <c r="L344" s="39"/>
      <c r="M344" s="39"/>
    </row>
    <row r="345" spans="1:13" ht="13">
      <c r="A345" s="66"/>
      <c r="B345" s="61"/>
      <c r="C345" s="63"/>
      <c r="D345" s="63"/>
      <c r="E345" s="63"/>
      <c r="F345" s="63"/>
      <c r="G345" s="63"/>
      <c r="H345" s="67"/>
      <c r="I345" s="39"/>
      <c r="K345" s="39"/>
      <c r="L345" s="39"/>
      <c r="M345" s="39"/>
    </row>
    <row r="346" spans="1:13" ht="13">
      <c r="A346" s="66"/>
      <c r="B346" s="61"/>
      <c r="C346" s="63"/>
      <c r="D346" s="63"/>
      <c r="E346" s="63"/>
      <c r="F346" s="63"/>
      <c r="G346" s="63"/>
      <c r="H346" s="67"/>
      <c r="I346" s="39"/>
      <c r="K346" s="39"/>
      <c r="L346" s="39"/>
      <c r="M346" s="39"/>
    </row>
    <row r="347" spans="1:13" ht="13">
      <c r="A347" s="66"/>
      <c r="B347" s="61"/>
      <c r="C347" s="63"/>
      <c r="D347" s="63"/>
      <c r="E347" s="63"/>
      <c r="F347" s="63"/>
      <c r="G347" s="63"/>
      <c r="H347" s="67"/>
      <c r="I347" s="39"/>
      <c r="K347" s="39"/>
      <c r="L347" s="39"/>
      <c r="M347" s="39"/>
    </row>
    <row r="348" spans="1:13" ht="13">
      <c r="A348" s="66"/>
      <c r="B348" s="61"/>
      <c r="C348" s="63"/>
      <c r="D348" s="63"/>
      <c r="E348" s="63"/>
      <c r="F348" s="63"/>
      <c r="G348" s="63"/>
      <c r="H348" s="67"/>
      <c r="I348" s="39"/>
      <c r="K348" s="39"/>
      <c r="L348" s="39"/>
      <c r="M348" s="39"/>
    </row>
    <row r="349" spans="1:13" ht="13">
      <c r="A349" s="66"/>
      <c r="B349" s="61"/>
      <c r="C349" s="63"/>
      <c r="D349" s="63"/>
      <c r="E349" s="63"/>
      <c r="F349" s="63"/>
      <c r="G349" s="63"/>
      <c r="H349" s="67"/>
      <c r="I349" s="39"/>
      <c r="K349" s="39"/>
      <c r="L349" s="39"/>
      <c r="M349" s="39"/>
    </row>
    <row r="350" spans="1:13" ht="13">
      <c r="A350" s="66"/>
      <c r="B350" s="61"/>
      <c r="C350" s="63"/>
      <c r="D350" s="63"/>
      <c r="E350" s="63"/>
      <c r="F350" s="63"/>
      <c r="G350" s="63"/>
      <c r="H350" s="67"/>
      <c r="I350" s="39"/>
      <c r="K350" s="39"/>
      <c r="L350" s="39"/>
      <c r="M350" s="39"/>
    </row>
    <row r="351" spans="1:13" ht="13">
      <c r="A351" s="66"/>
      <c r="B351" s="61"/>
      <c r="C351" s="63"/>
      <c r="D351" s="63"/>
      <c r="E351" s="63"/>
      <c r="F351" s="63"/>
      <c r="G351" s="63"/>
      <c r="H351" s="67"/>
      <c r="I351" s="39"/>
      <c r="K351" s="39"/>
      <c r="L351" s="39"/>
      <c r="M351" s="39"/>
    </row>
    <row r="352" spans="1:13" ht="13">
      <c r="A352" s="66"/>
      <c r="B352" s="61"/>
      <c r="C352" s="63"/>
      <c r="D352" s="63"/>
      <c r="E352" s="63"/>
      <c r="F352" s="63"/>
      <c r="G352" s="63"/>
      <c r="H352" s="67"/>
      <c r="I352" s="39"/>
      <c r="K352" s="39"/>
      <c r="L352" s="39"/>
      <c r="M352" s="39"/>
    </row>
    <row r="353" spans="1:13" ht="13">
      <c r="A353" s="66"/>
      <c r="B353" s="61"/>
      <c r="C353" s="63"/>
      <c r="D353" s="63"/>
      <c r="E353" s="63"/>
      <c r="F353" s="63"/>
      <c r="G353" s="63"/>
      <c r="H353" s="67"/>
      <c r="I353" s="39"/>
      <c r="K353" s="39"/>
      <c r="L353" s="39"/>
      <c r="M353" s="39"/>
    </row>
    <row r="354" spans="1:13" ht="13">
      <c r="A354" s="66"/>
      <c r="B354" s="61"/>
      <c r="C354" s="63"/>
      <c r="D354" s="63"/>
      <c r="E354" s="63"/>
      <c r="F354" s="63"/>
      <c r="G354" s="63"/>
      <c r="H354" s="67"/>
      <c r="I354" s="39"/>
      <c r="K354" s="39"/>
      <c r="L354" s="39"/>
      <c r="M354" s="39"/>
    </row>
    <row r="355" spans="1:13" ht="13">
      <c r="A355" s="66"/>
      <c r="B355" s="61"/>
      <c r="C355" s="63"/>
      <c r="D355" s="63"/>
      <c r="E355" s="63"/>
      <c r="F355" s="63"/>
      <c r="G355" s="63"/>
      <c r="H355" s="67"/>
      <c r="I355" s="39"/>
      <c r="K355" s="39"/>
      <c r="L355" s="39"/>
      <c r="M355" s="39"/>
    </row>
    <row r="356" spans="1:13" ht="13">
      <c r="A356" s="66"/>
      <c r="B356" s="61"/>
      <c r="C356" s="63"/>
      <c r="D356" s="63"/>
      <c r="E356" s="63"/>
      <c r="F356" s="63"/>
      <c r="G356" s="63"/>
      <c r="H356" s="67"/>
      <c r="I356" s="39"/>
      <c r="K356" s="39"/>
      <c r="L356" s="39"/>
      <c r="M356" s="39"/>
    </row>
    <row r="357" spans="1:13" ht="13">
      <c r="A357" s="66"/>
      <c r="B357" s="61"/>
      <c r="C357" s="63"/>
      <c r="D357" s="63"/>
      <c r="E357" s="63"/>
      <c r="F357" s="63"/>
      <c r="G357" s="63"/>
      <c r="H357" s="67"/>
      <c r="I357" s="39"/>
      <c r="K357" s="39"/>
      <c r="L357" s="39"/>
      <c r="M357" s="39"/>
    </row>
    <row r="358" spans="1:13" ht="13">
      <c r="A358" s="66"/>
      <c r="B358" s="61"/>
      <c r="C358" s="63"/>
      <c r="D358" s="63"/>
      <c r="E358" s="63"/>
      <c r="F358" s="63"/>
      <c r="G358" s="63"/>
      <c r="H358" s="67"/>
      <c r="I358" s="39"/>
      <c r="K358" s="39"/>
      <c r="L358" s="39"/>
      <c r="M358" s="39"/>
    </row>
    <row r="359" spans="1:13" ht="13">
      <c r="A359" s="66"/>
      <c r="B359" s="61"/>
      <c r="C359" s="63"/>
      <c r="D359" s="63"/>
      <c r="E359" s="63"/>
      <c r="F359" s="63"/>
      <c r="G359" s="63"/>
      <c r="H359" s="67"/>
      <c r="I359" s="39"/>
      <c r="K359" s="39"/>
      <c r="L359" s="39"/>
      <c r="M359" s="39"/>
    </row>
    <row r="360" spans="1:13" ht="13">
      <c r="A360" s="66"/>
      <c r="B360" s="61"/>
      <c r="C360" s="63"/>
      <c r="D360" s="63"/>
      <c r="E360" s="63"/>
      <c r="F360" s="63"/>
      <c r="G360" s="63"/>
      <c r="H360" s="67"/>
      <c r="I360" s="39"/>
      <c r="K360" s="39"/>
      <c r="L360" s="39"/>
      <c r="M360" s="39"/>
    </row>
    <row r="361" spans="1:13" ht="13">
      <c r="A361" s="66"/>
      <c r="B361" s="61"/>
      <c r="C361" s="63"/>
      <c r="D361" s="63"/>
      <c r="E361" s="63"/>
      <c r="F361" s="63"/>
      <c r="G361" s="63"/>
      <c r="H361" s="67"/>
      <c r="I361" s="39"/>
      <c r="K361" s="39"/>
      <c r="L361" s="39"/>
      <c r="M361" s="39"/>
    </row>
    <row r="362" spans="1:13" ht="13">
      <c r="A362" s="66"/>
      <c r="B362" s="61"/>
      <c r="C362" s="63"/>
      <c r="D362" s="63"/>
      <c r="E362" s="63"/>
      <c r="F362" s="63"/>
      <c r="G362" s="63"/>
      <c r="H362" s="67"/>
      <c r="I362" s="39"/>
      <c r="K362" s="39"/>
      <c r="L362" s="39"/>
      <c r="M362" s="39"/>
    </row>
    <row r="363" spans="1:13" ht="13">
      <c r="A363" s="66"/>
      <c r="B363" s="61"/>
      <c r="C363" s="63"/>
      <c r="D363" s="63"/>
      <c r="E363" s="63"/>
      <c r="F363" s="63"/>
      <c r="G363" s="63"/>
      <c r="H363" s="67"/>
      <c r="I363" s="39"/>
      <c r="K363" s="39"/>
      <c r="L363" s="39"/>
      <c r="M363" s="39"/>
    </row>
    <row r="364" spans="1:13" ht="13">
      <c r="A364" s="66"/>
      <c r="B364" s="61"/>
      <c r="C364" s="63"/>
      <c r="D364" s="63"/>
      <c r="E364" s="63"/>
      <c r="F364" s="63"/>
      <c r="G364" s="63"/>
      <c r="H364" s="67"/>
      <c r="I364" s="39"/>
      <c r="K364" s="39"/>
      <c r="L364" s="39"/>
      <c r="M364" s="39"/>
    </row>
    <row r="365" spans="1:13" ht="13">
      <c r="A365" s="66"/>
      <c r="B365" s="61"/>
      <c r="C365" s="63"/>
      <c r="D365" s="63"/>
      <c r="E365" s="63"/>
      <c r="F365" s="63"/>
      <c r="G365" s="63"/>
      <c r="H365" s="67"/>
      <c r="I365" s="39"/>
      <c r="K365" s="39"/>
      <c r="L365" s="39"/>
      <c r="M365" s="39"/>
    </row>
    <row r="366" spans="1:13" ht="13">
      <c r="A366" s="66"/>
      <c r="B366" s="61"/>
      <c r="C366" s="63"/>
      <c r="D366" s="63"/>
      <c r="E366" s="63"/>
      <c r="F366" s="63"/>
      <c r="G366" s="63"/>
      <c r="H366" s="67"/>
      <c r="I366" s="39"/>
      <c r="K366" s="39"/>
      <c r="L366" s="39"/>
      <c r="M366" s="39"/>
    </row>
    <row r="367" spans="1:13" ht="13">
      <c r="A367" s="66"/>
      <c r="B367" s="61"/>
      <c r="C367" s="63"/>
      <c r="D367" s="63"/>
      <c r="E367" s="63"/>
      <c r="F367" s="63"/>
      <c r="G367" s="63"/>
      <c r="H367" s="67"/>
      <c r="I367" s="39"/>
      <c r="K367" s="39"/>
      <c r="L367" s="39"/>
      <c r="M367" s="39"/>
    </row>
    <row r="368" spans="1:13" ht="13">
      <c r="A368" s="66"/>
      <c r="B368" s="61"/>
      <c r="C368" s="63"/>
      <c r="D368" s="63"/>
      <c r="E368" s="63"/>
      <c r="F368" s="63"/>
      <c r="G368" s="63"/>
      <c r="H368" s="67"/>
      <c r="I368" s="39"/>
      <c r="K368" s="39"/>
      <c r="L368" s="39"/>
      <c r="M368" s="39"/>
    </row>
    <row r="369" spans="1:13" ht="13">
      <c r="A369" s="66"/>
      <c r="B369" s="61"/>
      <c r="C369" s="63"/>
      <c r="D369" s="63"/>
      <c r="E369" s="63"/>
      <c r="F369" s="63"/>
      <c r="G369" s="63"/>
      <c r="H369" s="67"/>
      <c r="I369" s="39"/>
      <c r="K369" s="39"/>
      <c r="L369" s="39"/>
      <c r="M369" s="39"/>
    </row>
    <row r="370" spans="1:13" ht="13">
      <c r="A370" s="66"/>
      <c r="B370" s="61"/>
      <c r="C370" s="63"/>
      <c r="D370" s="63"/>
      <c r="E370" s="63"/>
      <c r="F370" s="63"/>
      <c r="G370" s="63"/>
      <c r="H370" s="67"/>
      <c r="I370" s="39"/>
      <c r="K370" s="39"/>
      <c r="L370" s="39"/>
      <c r="M370" s="39"/>
    </row>
    <row r="371" spans="1:13" ht="13">
      <c r="A371" s="66"/>
      <c r="B371" s="61"/>
      <c r="C371" s="63"/>
      <c r="D371" s="63"/>
      <c r="E371" s="63"/>
      <c r="F371" s="63"/>
      <c r="G371" s="63"/>
      <c r="H371" s="67"/>
      <c r="I371" s="39"/>
      <c r="K371" s="39"/>
      <c r="L371" s="39"/>
      <c r="M371" s="39"/>
    </row>
    <row r="372" spans="1:13" ht="13">
      <c r="A372" s="66"/>
      <c r="B372" s="61"/>
      <c r="C372" s="63"/>
      <c r="D372" s="63"/>
      <c r="E372" s="63"/>
      <c r="F372" s="63"/>
      <c r="G372" s="63"/>
      <c r="H372" s="67"/>
      <c r="I372" s="39"/>
      <c r="K372" s="39"/>
      <c r="L372" s="39"/>
      <c r="M372" s="39"/>
    </row>
    <row r="373" spans="1:13" ht="13">
      <c r="A373" s="66"/>
      <c r="B373" s="61"/>
      <c r="C373" s="63"/>
      <c r="D373" s="63"/>
      <c r="E373" s="63"/>
      <c r="F373" s="63"/>
      <c r="G373" s="63"/>
      <c r="H373" s="67"/>
      <c r="I373" s="39"/>
      <c r="K373" s="39"/>
      <c r="L373" s="39"/>
      <c r="M373" s="39"/>
    </row>
    <row r="374" spans="1:13" ht="13">
      <c r="A374" s="66"/>
      <c r="B374" s="61"/>
      <c r="C374" s="63"/>
      <c r="D374" s="63"/>
      <c r="E374" s="63"/>
      <c r="F374" s="63"/>
      <c r="G374" s="63"/>
      <c r="H374" s="67"/>
      <c r="I374" s="39"/>
      <c r="K374" s="39"/>
      <c r="L374" s="39"/>
      <c r="M374" s="39"/>
    </row>
    <row r="375" spans="1:13" ht="13">
      <c r="A375" s="66"/>
      <c r="B375" s="61"/>
      <c r="C375" s="63"/>
      <c r="D375" s="63"/>
      <c r="E375" s="63"/>
      <c r="F375" s="63"/>
      <c r="G375" s="63"/>
      <c r="H375" s="67"/>
      <c r="I375" s="39"/>
      <c r="K375" s="39"/>
      <c r="L375" s="39"/>
      <c r="M375" s="39"/>
    </row>
    <row r="376" spans="1:13" ht="13">
      <c r="A376" s="66"/>
      <c r="B376" s="61"/>
      <c r="C376" s="63"/>
      <c r="D376" s="63"/>
      <c r="E376" s="63"/>
      <c r="F376" s="63"/>
      <c r="G376" s="63"/>
      <c r="H376" s="67"/>
      <c r="I376" s="39"/>
      <c r="K376" s="39"/>
      <c r="L376" s="39"/>
      <c r="M376" s="39"/>
    </row>
    <row r="377" spans="1:13" ht="13">
      <c r="A377" s="66"/>
      <c r="B377" s="61"/>
      <c r="C377" s="63"/>
      <c r="D377" s="63"/>
      <c r="E377" s="63"/>
      <c r="F377" s="63"/>
      <c r="G377" s="63"/>
      <c r="H377" s="67"/>
      <c r="I377" s="39"/>
      <c r="K377" s="39"/>
      <c r="L377" s="39"/>
      <c r="M377" s="39"/>
    </row>
    <row r="378" spans="1:13" ht="13">
      <c r="A378" s="66"/>
      <c r="B378" s="61"/>
      <c r="C378" s="63"/>
      <c r="D378" s="63"/>
      <c r="E378" s="63"/>
      <c r="F378" s="63"/>
      <c r="G378" s="63"/>
      <c r="H378" s="67"/>
      <c r="I378" s="39"/>
      <c r="K378" s="39"/>
      <c r="L378" s="39"/>
      <c r="M378" s="39"/>
    </row>
    <row r="379" spans="1:13" ht="13">
      <c r="A379" s="66"/>
      <c r="B379" s="61"/>
      <c r="C379" s="63"/>
      <c r="D379" s="63"/>
      <c r="E379" s="63"/>
      <c r="F379" s="63"/>
      <c r="G379" s="63"/>
      <c r="H379" s="67"/>
      <c r="I379" s="39"/>
      <c r="K379" s="39"/>
      <c r="L379" s="39"/>
      <c r="M379" s="39"/>
    </row>
    <row r="380" spans="1:13" ht="13">
      <c r="A380" s="66"/>
      <c r="B380" s="61"/>
      <c r="C380" s="63"/>
      <c r="D380" s="63"/>
      <c r="E380" s="63"/>
      <c r="F380" s="63"/>
      <c r="G380" s="63"/>
      <c r="H380" s="67"/>
      <c r="I380" s="39"/>
      <c r="K380" s="39"/>
      <c r="L380" s="39"/>
      <c r="M380" s="39"/>
    </row>
    <row r="381" spans="1:13" ht="13">
      <c r="A381" s="66"/>
      <c r="B381" s="61"/>
      <c r="C381" s="63"/>
      <c r="D381" s="63"/>
      <c r="E381" s="63"/>
      <c r="F381" s="63"/>
      <c r="G381" s="63"/>
      <c r="H381" s="67"/>
      <c r="I381" s="39"/>
      <c r="K381" s="39"/>
      <c r="L381" s="39"/>
      <c r="M381" s="39"/>
    </row>
    <row r="382" spans="1:13" ht="13">
      <c r="A382" s="66"/>
      <c r="B382" s="61"/>
      <c r="C382" s="63"/>
      <c r="D382" s="63"/>
      <c r="E382" s="63"/>
      <c r="F382" s="63"/>
      <c r="G382" s="63"/>
      <c r="H382" s="67"/>
      <c r="I382" s="39"/>
      <c r="K382" s="39"/>
      <c r="L382" s="39"/>
      <c r="M382" s="39"/>
    </row>
    <row r="383" spans="1:13" ht="13">
      <c r="A383" s="66"/>
      <c r="B383" s="61"/>
      <c r="C383" s="63"/>
      <c r="D383" s="63"/>
      <c r="E383" s="63"/>
      <c r="F383" s="63"/>
      <c r="G383" s="63"/>
      <c r="H383" s="67"/>
      <c r="I383" s="39"/>
      <c r="K383" s="39"/>
      <c r="L383" s="39"/>
      <c r="M383" s="39"/>
    </row>
    <row r="384" spans="1:13" ht="13">
      <c r="A384" s="66"/>
      <c r="B384" s="61"/>
      <c r="C384" s="63"/>
      <c r="D384" s="63"/>
      <c r="E384" s="63"/>
      <c r="F384" s="63"/>
      <c r="G384" s="63"/>
      <c r="H384" s="67"/>
      <c r="I384" s="39"/>
      <c r="K384" s="39"/>
      <c r="L384" s="39"/>
      <c r="M384" s="39"/>
    </row>
    <row r="385" spans="1:13" ht="13">
      <c r="A385" s="66"/>
      <c r="B385" s="61"/>
      <c r="C385" s="63"/>
      <c r="D385" s="63"/>
      <c r="E385" s="63"/>
      <c r="F385" s="63"/>
      <c r="G385" s="63"/>
      <c r="H385" s="67"/>
      <c r="I385" s="39"/>
      <c r="K385" s="39"/>
      <c r="L385" s="39"/>
      <c r="M385" s="39"/>
    </row>
    <row r="386" spans="1:13" ht="13">
      <c r="A386" s="66"/>
      <c r="B386" s="61"/>
      <c r="C386" s="63"/>
      <c r="D386" s="63"/>
      <c r="E386" s="63"/>
      <c r="F386" s="63"/>
      <c r="G386" s="63"/>
      <c r="H386" s="67"/>
      <c r="I386" s="39"/>
      <c r="K386" s="39"/>
      <c r="L386" s="39"/>
      <c r="M386" s="39"/>
    </row>
    <row r="387" spans="1:13" ht="13">
      <c r="A387" s="66"/>
      <c r="B387" s="61"/>
      <c r="C387" s="63"/>
      <c r="D387" s="63"/>
      <c r="E387" s="63"/>
      <c r="F387" s="63"/>
      <c r="G387" s="63"/>
      <c r="H387" s="67"/>
      <c r="I387" s="39"/>
      <c r="K387" s="39"/>
      <c r="L387" s="39"/>
      <c r="M387" s="39"/>
    </row>
    <row r="388" spans="1:13" ht="13">
      <c r="A388" s="66"/>
      <c r="B388" s="61"/>
      <c r="C388" s="63"/>
      <c r="D388" s="63"/>
      <c r="E388" s="63"/>
      <c r="F388" s="63"/>
      <c r="G388" s="63"/>
      <c r="H388" s="67"/>
      <c r="I388" s="39"/>
      <c r="K388" s="39"/>
      <c r="L388" s="39"/>
      <c r="M388" s="39"/>
    </row>
    <row r="389" spans="1:13" ht="13">
      <c r="A389" s="66"/>
      <c r="B389" s="61"/>
      <c r="C389" s="63"/>
      <c r="D389" s="63"/>
      <c r="E389" s="63"/>
      <c r="F389" s="63"/>
      <c r="G389" s="63"/>
      <c r="H389" s="67"/>
      <c r="I389" s="39"/>
      <c r="K389" s="39"/>
      <c r="L389" s="39"/>
      <c r="M389" s="39"/>
    </row>
    <row r="390" spans="1:13" ht="13">
      <c r="A390" s="66"/>
      <c r="B390" s="61"/>
      <c r="C390" s="63"/>
      <c r="D390" s="63"/>
      <c r="E390" s="63"/>
      <c r="F390" s="63"/>
      <c r="G390" s="63"/>
      <c r="H390" s="67"/>
      <c r="I390" s="39"/>
      <c r="K390" s="39"/>
      <c r="L390" s="39"/>
      <c r="M390" s="39"/>
    </row>
    <row r="391" spans="1:13" ht="13">
      <c r="A391" s="66"/>
      <c r="B391" s="61"/>
      <c r="C391" s="63"/>
      <c r="D391" s="63"/>
      <c r="E391" s="63"/>
      <c r="F391" s="63"/>
      <c r="G391" s="63"/>
      <c r="H391" s="67"/>
      <c r="I391" s="39"/>
      <c r="K391" s="39"/>
      <c r="L391" s="39"/>
      <c r="M391" s="39"/>
    </row>
    <row r="392" spans="1:13" ht="13">
      <c r="A392" s="66"/>
      <c r="B392" s="61"/>
      <c r="C392" s="63"/>
      <c r="D392" s="63"/>
      <c r="E392" s="63"/>
      <c r="F392" s="63"/>
      <c r="G392" s="63"/>
      <c r="H392" s="67"/>
      <c r="I392" s="39"/>
      <c r="K392" s="39"/>
      <c r="L392" s="39"/>
      <c r="M392" s="39"/>
    </row>
    <row r="393" spans="1:13" ht="13">
      <c r="A393" s="66"/>
      <c r="B393" s="61"/>
      <c r="C393" s="63"/>
      <c r="D393" s="63"/>
      <c r="E393" s="63"/>
      <c r="F393" s="63"/>
      <c r="G393" s="63"/>
      <c r="H393" s="67"/>
      <c r="I393" s="39"/>
      <c r="K393" s="39"/>
      <c r="L393" s="39"/>
      <c r="M393" s="39"/>
    </row>
    <row r="394" spans="1:13" ht="13">
      <c r="A394" s="66"/>
      <c r="B394" s="61"/>
      <c r="C394" s="63"/>
      <c r="D394" s="63"/>
      <c r="E394" s="63"/>
      <c r="F394" s="63"/>
      <c r="G394" s="63"/>
      <c r="H394" s="67"/>
      <c r="I394" s="39"/>
      <c r="K394" s="39"/>
      <c r="L394" s="39"/>
      <c r="M394" s="39"/>
    </row>
    <row r="395" spans="1:13" ht="13">
      <c r="A395" s="66"/>
      <c r="B395" s="61"/>
      <c r="C395" s="63"/>
      <c r="D395" s="63"/>
      <c r="E395" s="63"/>
      <c r="F395" s="63"/>
      <c r="G395" s="63"/>
      <c r="H395" s="67"/>
      <c r="I395" s="39"/>
      <c r="K395" s="39"/>
      <c r="L395" s="39"/>
      <c r="M395" s="39"/>
    </row>
    <row r="396" spans="1:13" ht="13">
      <c r="A396" s="66"/>
      <c r="B396" s="61"/>
      <c r="C396" s="63"/>
      <c r="D396" s="63"/>
      <c r="E396" s="63"/>
      <c r="F396" s="63"/>
      <c r="G396" s="63"/>
      <c r="H396" s="67"/>
      <c r="I396" s="39"/>
      <c r="K396" s="39"/>
      <c r="L396" s="39"/>
      <c r="M396" s="39"/>
    </row>
    <row r="397" spans="1:13" ht="13">
      <c r="A397" s="66"/>
      <c r="B397" s="61"/>
      <c r="C397" s="63"/>
      <c r="D397" s="63"/>
      <c r="E397" s="63"/>
      <c r="F397" s="63"/>
      <c r="G397" s="63"/>
      <c r="H397" s="67"/>
      <c r="I397" s="39"/>
      <c r="K397" s="39"/>
      <c r="L397" s="39"/>
      <c r="M397" s="39"/>
    </row>
    <row r="398" spans="1:13" ht="13">
      <c r="A398" s="66"/>
      <c r="B398" s="61"/>
      <c r="C398" s="63"/>
      <c r="D398" s="63"/>
      <c r="E398" s="63"/>
      <c r="F398" s="63"/>
      <c r="G398" s="63"/>
      <c r="H398" s="67"/>
      <c r="I398" s="39"/>
      <c r="K398" s="39"/>
      <c r="L398" s="39"/>
      <c r="M398" s="39"/>
    </row>
    <row r="399" spans="1:13" ht="13">
      <c r="A399" s="66"/>
      <c r="B399" s="61"/>
      <c r="C399" s="63"/>
      <c r="D399" s="63"/>
      <c r="E399" s="63"/>
      <c r="F399" s="63"/>
      <c r="G399" s="63"/>
      <c r="H399" s="67"/>
      <c r="I399" s="39"/>
      <c r="K399" s="39"/>
      <c r="L399" s="39"/>
      <c r="M399" s="39"/>
    </row>
    <row r="400" spans="1:13" ht="13">
      <c r="A400" s="66"/>
      <c r="B400" s="61"/>
      <c r="C400" s="63"/>
      <c r="D400" s="63"/>
      <c r="E400" s="63"/>
      <c r="F400" s="63"/>
      <c r="G400" s="63"/>
      <c r="H400" s="67"/>
      <c r="I400" s="39"/>
      <c r="K400" s="39"/>
      <c r="L400" s="39"/>
      <c r="M400" s="39"/>
    </row>
    <row r="401" spans="1:13" ht="13">
      <c r="A401" s="66"/>
      <c r="B401" s="61"/>
      <c r="C401" s="63"/>
      <c r="D401" s="63"/>
      <c r="E401" s="63"/>
      <c r="F401" s="63"/>
      <c r="G401" s="63"/>
      <c r="H401" s="67"/>
      <c r="I401" s="39"/>
      <c r="K401" s="39"/>
      <c r="L401" s="39"/>
      <c r="M401" s="39"/>
    </row>
    <row r="402" spans="1:13" ht="13">
      <c r="A402" s="66"/>
      <c r="B402" s="61"/>
      <c r="C402" s="63"/>
      <c r="D402" s="63"/>
      <c r="E402" s="63"/>
      <c r="F402" s="63"/>
      <c r="G402" s="63"/>
      <c r="H402" s="67"/>
      <c r="I402" s="39"/>
      <c r="K402" s="39"/>
      <c r="L402" s="39"/>
      <c r="M402" s="39"/>
    </row>
    <row r="403" spans="1:13" ht="13">
      <c r="A403" s="66"/>
      <c r="B403" s="61"/>
      <c r="C403" s="63"/>
      <c r="D403" s="63"/>
      <c r="E403" s="63"/>
      <c r="F403" s="63"/>
      <c r="G403" s="63"/>
      <c r="H403" s="67"/>
      <c r="I403" s="39"/>
      <c r="K403" s="39"/>
      <c r="L403" s="39"/>
      <c r="M403" s="39"/>
    </row>
    <row r="404" spans="1:13" ht="13">
      <c r="A404" s="66"/>
      <c r="B404" s="61"/>
      <c r="C404" s="63"/>
      <c r="D404" s="63"/>
      <c r="E404" s="63"/>
      <c r="F404" s="63"/>
      <c r="G404" s="63"/>
      <c r="H404" s="67"/>
      <c r="I404" s="39"/>
      <c r="K404" s="39"/>
      <c r="L404" s="39"/>
      <c r="M404" s="39"/>
    </row>
    <row r="405" spans="1:13" ht="13">
      <c r="A405" s="66"/>
      <c r="B405" s="61"/>
      <c r="C405" s="63"/>
      <c r="D405" s="63"/>
      <c r="E405" s="63"/>
      <c r="F405" s="63"/>
      <c r="G405" s="63"/>
      <c r="H405" s="67"/>
      <c r="I405" s="39"/>
      <c r="K405" s="39"/>
      <c r="L405" s="39"/>
      <c r="M405" s="39"/>
    </row>
    <row r="406" spans="1:13" ht="13">
      <c r="A406" s="66"/>
      <c r="B406" s="61"/>
      <c r="C406" s="63"/>
      <c r="D406" s="63"/>
      <c r="E406" s="63"/>
      <c r="F406" s="63"/>
      <c r="G406" s="63"/>
      <c r="H406" s="67"/>
      <c r="I406" s="39"/>
      <c r="K406" s="39"/>
      <c r="L406" s="39"/>
      <c r="M406" s="39"/>
    </row>
    <row r="407" spans="1:13" ht="13">
      <c r="A407" s="66"/>
      <c r="B407" s="61"/>
      <c r="C407" s="63"/>
      <c r="D407" s="63"/>
      <c r="E407" s="63"/>
      <c r="F407" s="63"/>
      <c r="G407" s="63"/>
      <c r="H407" s="67"/>
      <c r="I407" s="39"/>
      <c r="K407" s="39"/>
      <c r="L407" s="39"/>
      <c r="M407" s="39"/>
    </row>
    <row r="408" spans="1:13" ht="13">
      <c r="A408" s="66"/>
      <c r="B408" s="61"/>
      <c r="C408" s="63"/>
      <c r="D408" s="63"/>
      <c r="E408" s="63"/>
      <c r="F408" s="63"/>
      <c r="G408" s="63"/>
      <c r="H408" s="67"/>
      <c r="I408" s="39"/>
      <c r="K408" s="39"/>
      <c r="L408" s="39"/>
      <c r="M408" s="39"/>
    </row>
    <row r="409" spans="1:13" ht="13">
      <c r="A409" s="66"/>
      <c r="B409" s="61"/>
      <c r="C409" s="63"/>
      <c r="D409" s="63"/>
      <c r="E409" s="63"/>
      <c r="F409" s="63"/>
      <c r="G409" s="63"/>
      <c r="H409" s="67"/>
      <c r="I409" s="39"/>
      <c r="K409" s="39"/>
      <c r="L409" s="39"/>
      <c r="M409" s="39"/>
    </row>
    <row r="410" spans="1:13" ht="13">
      <c r="A410" s="66"/>
      <c r="B410" s="61"/>
      <c r="C410" s="63"/>
      <c r="D410" s="63"/>
      <c r="E410" s="63"/>
      <c r="F410" s="63"/>
      <c r="G410" s="63"/>
      <c r="H410" s="67"/>
      <c r="I410" s="39"/>
      <c r="K410" s="39"/>
      <c r="L410" s="39"/>
      <c r="M410" s="39"/>
    </row>
    <row r="411" spans="1:13" ht="13">
      <c r="A411" s="66"/>
      <c r="B411" s="61"/>
      <c r="C411" s="63"/>
      <c r="D411" s="63"/>
      <c r="E411" s="63"/>
      <c r="F411" s="63"/>
      <c r="G411" s="63"/>
      <c r="H411" s="67"/>
      <c r="I411" s="39"/>
      <c r="K411" s="39"/>
      <c r="L411" s="39"/>
      <c r="M411" s="39"/>
    </row>
    <row r="412" spans="1:13" ht="13">
      <c r="A412" s="66"/>
      <c r="B412" s="61"/>
      <c r="C412" s="63"/>
      <c r="D412" s="63"/>
      <c r="E412" s="63"/>
      <c r="F412" s="63"/>
      <c r="G412" s="63"/>
      <c r="H412" s="67"/>
      <c r="I412" s="39"/>
      <c r="K412" s="39"/>
      <c r="L412" s="39"/>
      <c r="M412" s="39"/>
    </row>
    <row r="413" spans="1:13" ht="13">
      <c r="A413" s="66"/>
      <c r="B413" s="61"/>
      <c r="C413" s="63"/>
      <c r="D413" s="63"/>
      <c r="E413" s="63"/>
      <c r="F413" s="63"/>
      <c r="G413" s="63"/>
      <c r="H413" s="67"/>
      <c r="I413" s="39"/>
      <c r="K413" s="39"/>
      <c r="L413" s="39"/>
      <c r="M413" s="39"/>
    </row>
    <row r="414" spans="1:13" ht="13">
      <c r="A414" s="66"/>
      <c r="B414" s="61"/>
      <c r="C414" s="63"/>
      <c r="D414" s="63"/>
      <c r="E414" s="63"/>
      <c r="F414" s="63"/>
      <c r="G414" s="63"/>
      <c r="H414" s="67"/>
      <c r="I414" s="39"/>
      <c r="K414" s="39"/>
      <c r="L414" s="39"/>
      <c r="M414" s="39"/>
    </row>
    <row r="415" spans="1:13" ht="13">
      <c r="A415" s="66"/>
      <c r="B415" s="61"/>
      <c r="C415" s="63"/>
      <c r="D415" s="63"/>
      <c r="E415" s="63"/>
      <c r="F415" s="63"/>
      <c r="G415" s="63"/>
      <c r="H415" s="67"/>
      <c r="I415" s="39"/>
      <c r="K415" s="39"/>
      <c r="L415" s="39"/>
      <c r="M415" s="39"/>
    </row>
    <row r="416" spans="1:13" ht="13">
      <c r="A416" s="66"/>
      <c r="B416" s="61"/>
      <c r="C416" s="63"/>
      <c r="D416" s="63"/>
      <c r="E416" s="63"/>
      <c r="F416" s="63"/>
      <c r="G416" s="63"/>
      <c r="H416" s="67"/>
      <c r="I416" s="39"/>
      <c r="K416" s="39"/>
      <c r="L416" s="39"/>
      <c r="M416" s="39"/>
    </row>
    <row r="417" spans="1:13" ht="13">
      <c r="A417" s="66"/>
      <c r="B417" s="61"/>
      <c r="C417" s="63"/>
      <c r="D417" s="63"/>
      <c r="E417" s="63"/>
      <c r="F417" s="63"/>
      <c r="G417" s="63"/>
      <c r="H417" s="67"/>
      <c r="I417" s="39"/>
      <c r="K417" s="39"/>
      <c r="L417" s="39"/>
      <c r="M417" s="39"/>
    </row>
    <row r="418" spans="1:13" ht="13">
      <c r="A418" s="66"/>
      <c r="B418" s="61"/>
      <c r="C418" s="63"/>
      <c r="D418" s="63"/>
      <c r="E418" s="63"/>
      <c r="F418" s="63"/>
      <c r="G418" s="63"/>
      <c r="H418" s="67"/>
      <c r="I418" s="39"/>
      <c r="K418" s="39"/>
      <c r="L418" s="39"/>
      <c r="M418" s="39"/>
    </row>
    <row r="419" spans="1:13" ht="13">
      <c r="A419" s="66"/>
      <c r="B419" s="61"/>
      <c r="C419" s="63"/>
      <c r="D419" s="63"/>
      <c r="E419" s="63"/>
      <c r="F419" s="63"/>
      <c r="G419" s="63"/>
      <c r="H419" s="67"/>
      <c r="I419" s="39"/>
      <c r="K419" s="39"/>
      <c r="L419" s="39"/>
      <c r="M419" s="39"/>
    </row>
    <row r="420" spans="1:13" ht="13">
      <c r="A420" s="66"/>
      <c r="B420" s="61"/>
      <c r="C420" s="63"/>
      <c r="D420" s="63"/>
      <c r="E420" s="63"/>
      <c r="F420" s="63"/>
      <c r="G420" s="63"/>
      <c r="H420" s="67"/>
      <c r="I420" s="39"/>
      <c r="K420" s="39"/>
      <c r="L420" s="39"/>
      <c r="M420" s="39"/>
    </row>
    <row r="421" spans="1:13" ht="13">
      <c r="A421" s="66"/>
      <c r="B421" s="61"/>
      <c r="C421" s="63"/>
      <c r="D421" s="63"/>
      <c r="E421" s="63"/>
      <c r="F421" s="63"/>
      <c r="G421" s="63"/>
      <c r="H421" s="67"/>
      <c r="I421" s="39"/>
      <c r="K421" s="39"/>
      <c r="L421" s="39"/>
      <c r="M421" s="39"/>
    </row>
    <row r="422" spans="1:13" ht="13">
      <c r="A422" s="66"/>
      <c r="B422" s="61"/>
      <c r="C422" s="63"/>
      <c r="D422" s="63"/>
      <c r="E422" s="63"/>
      <c r="F422" s="63"/>
      <c r="G422" s="63"/>
      <c r="H422" s="67"/>
      <c r="I422" s="39"/>
      <c r="K422" s="39"/>
      <c r="L422" s="39"/>
      <c r="M422" s="39"/>
    </row>
    <row r="423" spans="1:13" ht="13">
      <c r="A423" s="66"/>
      <c r="B423" s="61"/>
      <c r="C423" s="63"/>
      <c r="D423" s="63"/>
      <c r="E423" s="63"/>
      <c r="F423" s="63"/>
      <c r="G423" s="63"/>
      <c r="H423" s="67"/>
      <c r="I423" s="39"/>
      <c r="K423" s="39"/>
      <c r="L423" s="39"/>
      <c r="M423" s="39"/>
    </row>
    <row r="424" spans="1:13" ht="13">
      <c r="A424" s="66"/>
      <c r="B424" s="61"/>
      <c r="C424" s="63"/>
      <c r="D424" s="63"/>
      <c r="E424" s="63"/>
      <c r="F424" s="63"/>
      <c r="G424" s="63"/>
      <c r="H424" s="67"/>
      <c r="I424" s="39"/>
      <c r="K424" s="39"/>
      <c r="L424" s="39"/>
      <c r="M424" s="39"/>
    </row>
    <row r="425" spans="1:13" ht="13">
      <c r="A425" s="66"/>
      <c r="B425" s="61"/>
      <c r="C425" s="63"/>
      <c r="D425" s="63"/>
      <c r="E425" s="63"/>
      <c r="F425" s="63"/>
      <c r="G425" s="63"/>
      <c r="H425" s="67"/>
      <c r="I425" s="39"/>
      <c r="K425" s="39"/>
      <c r="L425" s="39"/>
      <c r="M425" s="39"/>
    </row>
    <row r="426" spans="1:13" ht="13">
      <c r="A426" s="66"/>
      <c r="B426" s="61"/>
      <c r="C426" s="63"/>
      <c r="D426" s="63"/>
      <c r="E426" s="63"/>
      <c r="F426" s="63"/>
      <c r="G426" s="63"/>
      <c r="H426" s="67"/>
      <c r="I426" s="39"/>
      <c r="K426" s="39"/>
      <c r="L426" s="39"/>
      <c r="M426" s="39"/>
    </row>
    <row r="427" spans="1:13" ht="13">
      <c r="A427" s="66"/>
      <c r="B427" s="61"/>
      <c r="C427" s="63"/>
      <c r="D427" s="63"/>
      <c r="E427" s="63"/>
      <c r="F427" s="63"/>
      <c r="G427" s="63"/>
      <c r="H427" s="67"/>
      <c r="I427" s="39"/>
      <c r="K427" s="39"/>
      <c r="L427" s="39"/>
      <c r="M427" s="39"/>
    </row>
    <row r="428" spans="1:13" ht="13">
      <c r="A428" s="66"/>
      <c r="B428" s="61"/>
      <c r="C428" s="63"/>
      <c r="D428" s="63"/>
      <c r="E428" s="63"/>
      <c r="F428" s="63"/>
      <c r="G428" s="63"/>
      <c r="H428" s="67"/>
      <c r="I428" s="39"/>
      <c r="K428" s="39"/>
      <c r="L428" s="39"/>
      <c r="M428" s="39"/>
    </row>
    <row r="429" spans="1:13" ht="13">
      <c r="A429" s="66"/>
      <c r="B429" s="61"/>
      <c r="C429" s="63"/>
      <c r="D429" s="63"/>
      <c r="E429" s="63"/>
      <c r="F429" s="63"/>
      <c r="G429" s="63"/>
      <c r="H429" s="67"/>
      <c r="I429" s="39"/>
      <c r="K429" s="39"/>
      <c r="L429" s="39"/>
      <c r="M429" s="39"/>
    </row>
    <row r="430" spans="1:13" ht="13">
      <c r="A430" s="66"/>
      <c r="B430" s="61"/>
      <c r="C430" s="63"/>
      <c r="D430" s="63"/>
      <c r="E430" s="63"/>
      <c r="F430" s="63"/>
      <c r="G430" s="63"/>
      <c r="H430" s="67"/>
      <c r="I430" s="39"/>
      <c r="K430" s="39"/>
      <c r="L430" s="39"/>
      <c r="M430" s="39"/>
    </row>
    <row r="431" spans="1:13" ht="13">
      <c r="A431" s="66"/>
      <c r="B431" s="61"/>
      <c r="C431" s="63"/>
      <c r="D431" s="63"/>
      <c r="E431" s="63"/>
      <c r="F431" s="63"/>
      <c r="G431" s="63"/>
      <c r="H431" s="67"/>
      <c r="I431" s="39"/>
      <c r="K431" s="39"/>
      <c r="L431" s="39"/>
      <c r="M431" s="39"/>
    </row>
    <row r="432" spans="1:13" ht="13">
      <c r="A432" s="66"/>
      <c r="B432" s="61"/>
      <c r="C432" s="63"/>
      <c r="D432" s="63"/>
      <c r="E432" s="63"/>
      <c r="F432" s="63"/>
      <c r="G432" s="63"/>
      <c r="H432" s="67"/>
      <c r="I432" s="39"/>
      <c r="K432" s="39"/>
      <c r="L432" s="39"/>
      <c r="M432" s="39"/>
    </row>
    <row r="433" spans="1:13" ht="13">
      <c r="A433" s="66"/>
      <c r="B433" s="61"/>
      <c r="C433" s="63"/>
      <c r="D433" s="63"/>
      <c r="E433" s="63"/>
      <c r="F433" s="63"/>
      <c r="G433" s="63"/>
      <c r="H433" s="67"/>
      <c r="I433" s="39"/>
      <c r="K433" s="39"/>
      <c r="L433" s="39"/>
      <c r="M433" s="39"/>
    </row>
    <row r="434" spans="1:13" ht="13">
      <c r="A434" s="66"/>
      <c r="B434" s="61"/>
      <c r="C434" s="63"/>
      <c r="D434" s="63"/>
      <c r="E434" s="63"/>
      <c r="F434" s="63"/>
      <c r="G434" s="63"/>
      <c r="H434" s="67"/>
      <c r="I434" s="39"/>
      <c r="K434" s="39"/>
      <c r="L434" s="39"/>
      <c r="M434" s="39"/>
    </row>
    <row r="435" spans="1:13" ht="13">
      <c r="A435" s="66"/>
      <c r="B435" s="61"/>
      <c r="C435" s="63"/>
      <c r="D435" s="63"/>
      <c r="E435" s="63"/>
      <c r="F435" s="63"/>
      <c r="G435" s="63"/>
      <c r="H435" s="67"/>
      <c r="I435" s="39"/>
      <c r="K435" s="39"/>
      <c r="L435" s="39"/>
      <c r="M435" s="39"/>
    </row>
    <row r="436" spans="1:13" ht="13">
      <c r="A436" s="66"/>
      <c r="B436" s="61"/>
      <c r="C436" s="63"/>
      <c r="D436" s="63"/>
      <c r="E436" s="63"/>
      <c r="F436" s="63"/>
      <c r="G436" s="63"/>
      <c r="H436" s="67"/>
      <c r="I436" s="39"/>
      <c r="K436" s="39"/>
      <c r="L436" s="39"/>
      <c r="M436" s="39"/>
    </row>
    <row r="437" spans="1:13" ht="13">
      <c r="A437" s="66"/>
      <c r="B437" s="61"/>
      <c r="C437" s="63"/>
      <c r="D437" s="63"/>
      <c r="E437" s="63"/>
      <c r="F437" s="63"/>
      <c r="G437" s="63"/>
      <c r="H437" s="67"/>
      <c r="I437" s="39"/>
      <c r="K437" s="39"/>
      <c r="L437" s="39"/>
      <c r="M437" s="39"/>
    </row>
    <row r="438" spans="1:13" ht="13">
      <c r="A438" s="66"/>
      <c r="B438" s="61"/>
      <c r="C438" s="63"/>
      <c r="D438" s="63"/>
      <c r="E438" s="63"/>
      <c r="F438" s="63"/>
      <c r="G438" s="63"/>
      <c r="H438" s="67"/>
      <c r="I438" s="39"/>
      <c r="K438" s="39"/>
      <c r="L438" s="39"/>
      <c r="M438" s="39"/>
    </row>
    <row r="439" spans="1:13" ht="13">
      <c r="A439" s="66"/>
      <c r="B439" s="61"/>
      <c r="C439" s="63"/>
      <c r="D439" s="63"/>
      <c r="E439" s="63"/>
      <c r="F439" s="63"/>
      <c r="G439" s="63"/>
      <c r="H439" s="67"/>
      <c r="I439" s="39"/>
      <c r="K439" s="39"/>
      <c r="L439" s="39"/>
      <c r="M439" s="39"/>
    </row>
    <row r="440" spans="1:13" ht="13">
      <c r="A440" s="66"/>
      <c r="B440" s="61"/>
      <c r="C440" s="63"/>
      <c r="D440" s="63"/>
      <c r="E440" s="63"/>
      <c r="F440" s="63"/>
      <c r="G440" s="63"/>
      <c r="H440" s="67"/>
      <c r="I440" s="39"/>
      <c r="K440" s="39"/>
      <c r="L440" s="39"/>
      <c r="M440" s="39"/>
    </row>
    <row r="441" spans="1:13" ht="13">
      <c r="A441" s="66"/>
      <c r="B441" s="61"/>
      <c r="C441" s="63"/>
      <c r="D441" s="63"/>
      <c r="E441" s="63"/>
      <c r="F441" s="63"/>
      <c r="G441" s="63"/>
      <c r="H441" s="67"/>
      <c r="I441" s="39"/>
      <c r="K441" s="39"/>
      <c r="L441" s="39"/>
      <c r="M441" s="39"/>
    </row>
    <row r="442" spans="1:13" ht="13">
      <c r="A442" s="66"/>
      <c r="B442" s="61"/>
      <c r="C442" s="63"/>
      <c r="D442" s="63"/>
      <c r="E442" s="63"/>
      <c r="F442" s="63"/>
      <c r="G442" s="63"/>
      <c r="H442" s="67"/>
      <c r="I442" s="39"/>
      <c r="K442" s="39"/>
      <c r="L442" s="39"/>
      <c r="M442" s="39"/>
    </row>
    <row r="443" spans="1:13" ht="13">
      <c r="A443" s="66"/>
      <c r="B443" s="61"/>
      <c r="C443" s="63"/>
      <c r="D443" s="63"/>
      <c r="E443" s="63"/>
      <c r="F443" s="63"/>
      <c r="G443" s="63"/>
      <c r="H443" s="67"/>
      <c r="I443" s="39"/>
      <c r="K443" s="39"/>
      <c r="L443" s="39"/>
      <c r="M443" s="39"/>
    </row>
    <row r="444" spans="1:13" ht="13">
      <c r="A444" s="66"/>
      <c r="B444" s="61"/>
      <c r="C444" s="63"/>
      <c r="D444" s="63"/>
      <c r="E444" s="63"/>
      <c r="F444" s="63"/>
      <c r="G444" s="63"/>
      <c r="H444" s="67"/>
      <c r="I444" s="39"/>
      <c r="K444" s="39"/>
      <c r="L444" s="39"/>
      <c r="M444" s="39"/>
    </row>
    <row r="445" spans="1:13" ht="13">
      <c r="A445" s="66"/>
      <c r="B445" s="61"/>
      <c r="C445" s="63"/>
      <c r="D445" s="63"/>
      <c r="E445" s="63"/>
      <c r="F445" s="63"/>
      <c r="G445" s="63"/>
      <c r="H445" s="67"/>
      <c r="I445" s="39"/>
      <c r="K445" s="39"/>
      <c r="L445" s="39"/>
      <c r="M445" s="39"/>
    </row>
    <row r="446" spans="1:13" ht="13">
      <c r="A446" s="66"/>
      <c r="B446" s="61"/>
      <c r="C446" s="63"/>
      <c r="D446" s="63"/>
      <c r="E446" s="63"/>
      <c r="F446" s="63"/>
      <c r="G446" s="63"/>
      <c r="H446" s="67"/>
      <c r="I446" s="39"/>
      <c r="K446" s="39"/>
      <c r="L446" s="39"/>
      <c r="M446" s="39"/>
    </row>
    <row r="447" spans="1:13" ht="13">
      <c r="A447" s="66"/>
      <c r="B447" s="61"/>
      <c r="C447" s="63"/>
      <c r="D447" s="63"/>
      <c r="E447" s="63"/>
      <c r="F447" s="63"/>
      <c r="G447" s="63"/>
      <c r="H447" s="67"/>
      <c r="I447" s="39"/>
      <c r="K447" s="39"/>
      <c r="L447" s="39"/>
      <c r="M447" s="39"/>
    </row>
    <row r="448" spans="1:13" ht="13">
      <c r="A448" s="66"/>
      <c r="B448" s="61"/>
      <c r="C448" s="63"/>
      <c r="D448" s="63"/>
      <c r="E448" s="63"/>
      <c r="F448" s="63"/>
      <c r="G448" s="63"/>
      <c r="H448" s="67"/>
      <c r="I448" s="39"/>
      <c r="K448" s="39"/>
      <c r="L448" s="39"/>
      <c r="M448" s="39"/>
    </row>
    <row r="449" spans="1:13" ht="13">
      <c r="A449" s="66"/>
      <c r="B449" s="61"/>
      <c r="C449" s="63"/>
      <c r="D449" s="63"/>
      <c r="E449" s="63"/>
      <c r="F449" s="63"/>
      <c r="G449" s="63"/>
      <c r="H449" s="67"/>
      <c r="I449" s="39"/>
      <c r="K449" s="39"/>
      <c r="L449" s="39"/>
      <c r="M449" s="39"/>
    </row>
    <row r="450" spans="1:13" ht="13">
      <c r="A450" s="66"/>
      <c r="B450" s="61"/>
      <c r="C450" s="63"/>
      <c r="D450" s="63"/>
      <c r="E450" s="63"/>
      <c r="F450" s="63"/>
      <c r="G450" s="63"/>
      <c r="H450" s="67"/>
      <c r="I450" s="39"/>
      <c r="K450" s="39"/>
      <c r="L450" s="39"/>
      <c r="M450" s="39"/>
    </row>
    <row r="451" spans="1:13" ht="13">
      <c r="A451" s="66"/>
      <c r="B451" s="61"/>
      <c r="C451" s="63"/>
      <c r="D451" s="63"/>
      <c r="E451" s="63"/>
      <c r="F451" s="63"/>
      <c r="G451" s="63"/>
      <c r="H451" s="67"/>
      <c r="I451" s="39"/>
      <c r="K451" s="39"/>
      <c r="L451" s="39"/>
      <c r="M451" s="39"/>
    </row>
    <row r="452" spans="1:13" ht="13">
      <c r="A452" s="66"/>
      <c r="B452" s="61"/>
      <c r="C452" s="63"/>
      <c r="D452" s="63"/>
      <c r="E452" s="63"/>
      <c r="F452" s="63"/>
      <c r="G452" s="63"/>
      <c r="H452" s="67"/>
      <c r="I452" s="39"/>
      <c r="K452" s="39"/>
      <c r="L452" s="39"/>
      <c r="M452" s="39"/>
    </row>
    <row r="453" spans="1:13" ht="13">
      <c r="A453" s="66"/>
      <c r="B453" s="61"/>
      <c r="C453" s="63"/>
      <c r="D453" s="63"/>
      <c r="E453" s="63"/>
      <c r="F453" s="63"/>
      <c r="G453" s="63"/>
      <c r="H453" s="67"/>
      <c r="I453" s="39"/>
      <c r="K453" s="39"/>
      <c r="L453" s="39"/>
      <c r="M453" s="39"/>
    </row>
    <row r="454" spans="1:13" ht="13">
      <c r="A454" s="66"/>
      <c r="B454" s="61"/>
      <c r="C454" s="63"/>
      <c r="D454" s="63"/>
      <c r="E454" s="63"/>
      <c r="F454" s="63"/>
      <c r="G454" s="63"/>
      <c r="H454" s="67"/>
      <c r="I454" s="39"/>
      <c r="K454" s="39"/>
      <c r="L454" s="39"/>
      <c r="M454" s="39"/>
    </row>
    <row r="455" spans="1:13" ht="13">
      <c r="A455" s="66"/>
      <c r="B455" s="61"/>
      <c r="C455" s="63"/>
      <c r="D455" s="63"/>
      <c r="E455" s="63"/>
      <c r="F455" s="63"/>
      <c r="G455" s="63"/>
      <c r="H455" s="67"/>
      <c r="I455" s="39"/>
      <c r="K455" s="39"/>
      <c r="L455" s="39"/>
      <c r="M455" s="39"/>
    </row>
    <row r="456" spans="1:13" ht="13">
      <c r="A456" s="66"/>
      <c r="B456" s="61"/>
      <c r="C456" s="63"/>
      <c r="D456" s="63"/>
      <c r="E456" s="63"/>
      <c r="F456" s="63"/>
      <c r="G456" s="63"/>
      <c r="H456" s="67"/>
      <c r="I456" s="39"/>
      <c r="K456" s="39"/>
      <c r="L456" s="39"/>
      <c r="M456" s="39"/>
    </row>
    <row r="457" spans="1:13" ht="13">
      <c r="A457" s="66"/>
      <c r="B457" s="61"/>
      <c r="C457" s="63"/>
      <c r="D457" s="63"/>
      <c r="E457" s="63"/>
      <c r="F457" s="63"/>
      <c r="G457" s="63"/>
      <c r="H457" s="67"/>
      <c r="I457" s="39"/>
      <c r="K457" s="39"/>
      <c r="L457" s="39"/>
      <c r="M457" s="39"/>
    </row>
    <row r="458" spans="1:13" ht="13">
      <c r="A458" s="66"/>
      <c r="B458" s="61"/>
      <c r="C458" s="63"/>
      <c r="D458" s="63"/>
      <c r="E458" s="63"/>
      <c r="F458" s="63"/>
      <c r="G458" s="63"/>
      <c r="H458" s="67"/>
      <c r="I458" s="39"/>
      <c r="K458" s="39"/>
      <c r="L458" s="39"/>
      <c r="M458" s="39"/>
    </row>
    <row r="459" spans="1:13" ht="13">
      <c r="A459" s="66"/>
      <c r="B459" s="61"/>
      <c r="C459" s="63"/>
      <c r="D459" s="63"/>
      <c r="E459" s="63"/>
      <c r="F459" s="63"/>
      <c r="G459" s="63"/>
      <c r="H459" s="67"/>
      <c r="I459" s="39"/>
      <c r="K459" s="39"/>
      <c r="L459" s="39"/>
      <c r="M459" s="39"/>
    </row>
    <row r="460" spans="1:13" ht="13">
      <c r="A460" s="66"/>
      <c r="B460" s="61"/>
      <c r="C460" s="63"/>
      <c r="D460" s="63"/>
      <c r="E460" s="63"/>
      <c r="F460" s="63"/>
      <c r="G460" s="63"/>
      <c r="H460" s="67"/>
      <c r="I460" s="39"/>
      <c r="K460" s="39"/>
      <c r="L460" s="39"/>
      <c r="M460" s="39"/>
    </row>
    <row r="461" spans="1:13" ht="13">
      <c r="A461" s="66"/>
      <c r="B461" s="61"/>
      <c r="C461" s="63"/>
      <c r="D461" s="63"/>
      <c r="E461" s="63"/>
      <c r="F461" s="63"/>
      <c r="G461" s="63"/>
      <c r="H461" s="67"/>
      <c r="I461" s="39"/>
      <c r="K461" s="39"/>
      <c r="L461" s="39"/>
      <c r="M461" s="39"/>
    </row>
    <row r="462" spans="1:13" ht="13">
      <c r="A462" s="66"/>
      <c r="B462" s="61"/>
      <c r="C462" s="63"/>
      <c r="D462" s="63"/>
      <c r="E462" s="63"/>
      <c r="F462" s="63"/>
      <c r="G462" s="63"/>
      <c r="H462" s="67"/>
      <c r="I462" s="39"/>
      <c r="K462" s="39"/>
      <c r="L462" s="39"/>
      <c r="M462" s="39"/>
    </row>
    <row r="463" spans="1:13" ht="13">
      <c r="A463" s="66"/>
      <c r="B463" s="61"/>
      <c r="C463" s="63"/>
      <c r="D463" s="63"/>
      <c r="E463" s="63"/>
      <c r="F463" s="63"/>
      <c r="G463" s="63"/>
      <c r="H463" s="67"/>
      <c r="I463" s="39"/>
      <c r="K463" s="39"/>
      <c r="L463" s="39"/>
      <c r="M463" s="39"/>
    </row>
    <row r="464" spans="1:13" ht="13">
      <c r="A464" s="66"/>
      <c r="B464" s="61"/>
      <c r="C464" s="63"/>
      <c r="D464" s="63"/>
      <c r="E464" s="63"/>
      <c r="F464" s="63"/>
      <c r="G464" s="63"/>
      <c r="H464" s="67"/>
      <c r="I464" s="39"/>
      <c r="K464" s="39"/>
      <c r="L464" s="39"/>
      <c r="M464" s="39"/>
    </row>
    <row r="465" spans="1:13" ht="13">
      <c r="A465" s="66"/>
      <c r="B465" s="61"/>
      <c r="C465" s="63"/>
      <c r="D465" s="63"/>
      <c r="E465" s="63"/>
      <c r="F465" s="63"/>
      <c r="G465" s="63"/>
      <c r="H465" s="67"/>
      <c r="I465" s="39"/>
      <c r="K465" s="39"/>
      <c r="L465" s="39"/>
      <c r="M465" s="39"/>
    </row>
    <row r="466" spans="1:13" ht="13">
      <c r="A466" s="66"/>
      <c r="B466" s="61"/>
      <c r="C466" s="63"/>
      <c r="D466" s="63"/>
      <c r="E466" s="63"/>
      <c r="F466" s="63"/>
      <c r="G466" s="63"/>
      <c r="H466" s="67"/>
      <c r="I466" s="39"/>
      <c r="K466" s="39"/>
      <c r="L466" s="39"/>
      <c r="M466" s="39"/>
    </row>
    <row r="467" spans="1:13" ht="13">
      <c r="A467" s="66"/>
      <c r="B467" s="61"/>
      <c r="C467" s="63"/>
      <c r="D467" s="63"/>
      <c r="E467" s="63"/>
      <c r="F467" s="63"/>
      <c r="G467" s="63"/>
      <c r="H467" s="67"/>
      <c r="I467" s="39"/>
      <c r="K467" s="39"/>
      <c r="L467" s="39"/>
      <c r="M467" s="39"/>
    </row>
    <row r="468" spans="1:13" ht="13">
      <c r="A468" s="66"/>
      <c r="B468" s="61"/>
      <c r="C468" s="63"/>
      <c r="D468" s="63"/>
      <c r="E468" s="63"/>
      <c r="F468" s="63"/>
      <c r="G468" s="63"/>
      <c r="H468" s="67"/>
      <c r="I468" s="39"/>
      <c r="K468" s="39"/>
      <c r="L468" s="39"/>
      <c r="M468" s="39"/>
    </row>
    <row r="469" spans="1:13" ht="13">
      <c r="A469" s="66"/>
      <c r="B469" s="61"/>
      <c r="C469" s="63"/>
      <c r="D469" s="63"/>
      <c r="E469" s="63"/>
      <c r="F469" s="63"/>
      <c r="G469" s="63"/>
      <c r="H469" s="67"/>
      <c r="I469" s="39"/>
      <c r="K469" s="39"/>
      <c r="L469" s="39"/>
      <c r="M469" s="39"/>
    </row>
    <row r="470" spans="1:13" ht="13">
      <c r="A470" s="66"/>
      <c r="B470" s="61"/>
      <c r="C470" s="63"/>
      <c r="D470" s="63"/>
      <c r="E470" s="63"/>
      <c r="F470" s="63"/>
      <c r="G470" s="63"/>
      <c r="H470" s="67"/>
      <c r="I470" s="39"/>
      <c r="K470" s="39"/>
      <c r="L470" s="39"/>
      <c r="M470" s="39"/>
    </row>
    <row r="471" spans="1:13" ht="13">
      <c r="A471" s="66"/>
      <c r="B471" s="61"/>
      <c r="C471" s="63"/>
      <c r="D471" s="63"/>
      <c r="E471" s="63"/>
      <c r="F471" s="63"/>
      <c r="G471" s="63"/>
      <c r="H471" s="67"/>
      <c r="I471" s="39"/>
      <c r="K471" s="39"/>
      <c r="L471" s="39"/>
      <c r="M471" s="39"/>
    </row>
    <row r="472" spans="1:13" ht="13">
      <c r="A472" s="66"/>
      <c r="B472" s="61"/>
      <c r="C472" s="63"/>
      <c r="D472" s="63"/>
      <c r="E472" s="63"/>
      <c r="F472" s="63"/>
      <c r="G472" s="63"/>
      <c r="H472" s="67"/>
      <c r="I472" s="39"/>
      <c r="K472" s="39"/>
      <c r="L472" s="39"/>
      <c r="M472" s="39"/>
    </row>
    <row r="473" spans="1:13" ht="13">
      <c r="A473" s="66"/>
      <c r="B473" s="61"/>
      <c r="C473" s="63"/>
      <c r="D473" s="63"/>
      <c r="E473" s="63"/>
      <c r="F473" s="63"/>
      <c r="G473" s="63"/>
      <c r="H473" s="67"/>
      <c r="I473" s="39"/>
      <c r="K473" s="39"/>
      <c r="L473" s="39"/>
      <c r="M473" s="39"/>
    </row>
    <row r="474" spans="1:13" ht="13">
      <c r="A474" s="66"/>
      <c r="B474" s="61"/>
      <c r="C474" s="63"/>
      <c r="D474" s="63"/>
      <c r="E474" s="63"/>
      <c r="F474" s="63"/>
      <c r="G474" s="63"/>
      <c r="H474" s="67"/>
      <c r="I474" s="39"/>
      <c r="K474" s="39"/>
      <c r="L474" s="39"/>
      <c r="M474" s="39"/>
    </row>
    <row r="475" spans="1:13" ht="13">
      <c r="A475" s="66"/>
      <c r="B475" s="61"/>
      <c r="C475" s="63"/>
      <c r="D475" s="63"/>
      <c r="E475" s="63"/>
      <c r="F475" s="63"/>
      <c r="G475" s="63"/>
      <c r="H475" s="67"/>
      <c r="I475" s="39"/>
      <c r="K475" s="39"/>
      <c r="L475" s="39"/>
      <c r="M475" s="39"/>
    </row>
    <row r="476" spans="1:13" ht="13">
      <c r="A476" s="66"/>
      <c r="B476" s="61"/>
      <c r="C476" s="63"/>
      <c r="D476" s="63"/>
      <c r="E476" s="63"/>
      <c r="F476" s="63"/>
      <c r="G476" s="63"/>
      <c r="H476" s="67"/>
      <c r="I476" s="39"/>
      <c r="K476" s="39"/>
      <c r="L476" s="39"/>
      <c r="M476" s="39"/>
    </row>
    <row r="477" spans="1:13" ht="13">
      <c r="A477" s="66"/>
      <c r="B477" s="61"/>
      <c r="C477" s="63"/>
      <c r="D477" s="63"/>
      <c r="E477" s="63"/>
      <c r="F477" s="63"/>
      <c r="G477" s="63"/>
      <c r="H477" s="67"/>
      <c r="I477" s="39"/>
      <c r="K477" s="39"/>
      <c r="L477" s="39"/>
      <c r="M477" s="39"/>
    </row>
    <row r="478" spans="1:13" ht="13">
      <c r="A478" s="66"/>
      <c r="B478" s="61"/>
      <c r="C478" s="63"/>
      <c r="D478" s="63"/>
      <c r="E478" s="63"/>
      <c r="F478" s="63"/>
      <c r="G478" s="63"/>
      <c r="H478" s="67"/>
      <c r="I478" s="39"/>
      <c r="K478" s="39"/>
      <c r="L478" s="39"/>
      <c r="M478" s="39"/>
    </row>
    <row r="479" spans="1:13" ht="13">
      <c r="A479" s="66"/>
      <c r="B479" s="61"/>
      <c r="C479" s="63"/>
      <c r="D479" s="63"/>
      <c r="E479" s="63"/>
      <c r="F479" s="63"/>
      <c r="G479" s="63"/>
      <c r="H479" s="67"/>
      <c r="I479" s="39"/>
      <c r="K479" s="39"/>
      <c r="L479" s="39"/>
      <c r="M479" s="39"/>
    </row>
    <row r="480" spans="1:13" ht="13">
      <c r="A480" s="66"/>
      <c r="B480" s="61"/>
      <c r="C480" s="63"/>
      <c r="D480" s="63"/>
      <c r="E480" s="63"/>
      <c r="F480" s="63"/>
      <c r="G480" s="63"/>
      <c r="H480" s="67"/>
      <c r="I480" s="39"/>
      <c r="K480" s="39"/>
      <c r="L480" s="39"/>
      <c r="M480" s="39"/>
    </row>
    <row r="481" spans="1:13" ht="13">
      <c r="A481" s="66"/>
      <c r="B481" s="61"/>
      <c r="C481" s="63"/>
      <c r="D481" s="63"/>
      <c r="E481" s="63"/>
      <c r="F481" s="63"/>
      <c r="G481" s="63"/>
      <c r="H481" s="67"/>
      <c r="I481" s="39"/>
      <c r="K481" s="39"/>
      <c r="L481" s="39"/>
      <c r="M481" s="39"/>
    </row>
    <row r="482" spans="1:13" ht="13">
      <c r="A482" s="66"/>
      <c r="B482" s="61"/>
      <c r="C482" s="63"/>
      <c r="D482" s="63"/>
      <c r="E482" s="63"/>
      <c r="F482" s="63"/>
      <c r="G482" s="63"/>
      <c r="H482" s="67"/>
      <c r="I482" s="39"/>
      <c r="K482" s="39"/>
      <c r="L482" s="39"/>
      <c r="M482" s="39"/>
    </row>
    <row r="483" spans="1:13" ht="13">
      <c r="A483" s="66"/>
      <c r="B483" s="61"/>
      <c r="C483" s="63"/>
      <c r="D483" s="63"/>
      <c r="E483" s="63"/>
      <c r="F483" s="63"/>
      <c r="G483" s="63"/>
      <c r="H483" s="67"/>
      <c r="I483" s="39"/>
      <c r="K483" s="39"/>
      <c r="L483" s="39"/>
      <c r="M483" s="39"/>
    </row>
    <row r="484" spans="1:13" ht="13">
      <c r="A484" s="66"/>
      <c r="B484" s="61"/>
      <c r="C484" s="63"/>
      <c r="D484" s="63"/>
      <c r="E484" s="63"/>
      <c r="F484" s="63"/>
      <c r="G484" s="63"/>
      <c r="H484" s="67"/>
      <c r="I484" s="39"/>
      <c r="K484" s="39"/>
      <c r="L484" s="39"/>
      <c r="M484" s="39"/>
    </row>
    <row r="485" spans="1:13" ht="13">
      <c r="A485" s="66"/>
      <c r="B485" s="61"/>
      <c r="C485" s="63"/>
      <c r="D485" s="63"/>
      <c r="E485" s="63"/>
      <c r="F485" s="63"/>
      <c r="G485" s="63"/>
      <c r="H485" s="67"/>
      <c r="I485" s="39"/>
      <c r="K485" s="39"/>
      <c r="L485" s="39"/>
      <c r="M485" s="39"/>
    </row>
    <row r="486" spans="1:13" ht="13">
      <c r="A486" s="66"/>
      <c r="B486" s="61"/>
      <c r="C486" s="63"/>
      <c r="D486" s="63"/>
      <c r="E486" s="63"/>
      <c r="F486" s="63"/>
      <c r="G486" s="63"/>
      <c r="H486" s="67"/>
      <c r="I486" s="39"/>
      <c r="K486" s="39"/>
      <c r="L486" s="39"/>
      <c r="M486" s="39"/>
    </row>
    <row r="487" spans="1:13" ht="13">
      <c r="A487" s="66"/>
      <c r="B487" s="61"/>
      <c r="C487" s="63"/>
      <c r="D487" s="63"/>
      <c r="E487" s="63"/>
      <c r="F487" s="63"/>
      <c r="G487" s="63"/>
      <c r="H487" s="67"/>
      <c r="I487" s="39"/>
      <c r="K487" s="39"/>
      <c r="L487" s="39"/>
      <c r="M487" s="39"/>
    </row>
    <row r="488" spans="1:13" ht="13">
      <c r="A488" s="66"/>
      <c r="B488" s="61"/>
      <c r="C488" s="63"/>
      <c r="D488" s="63"/>
      <c r="E488" s="63"/>
      <c r="F488" s="63"/>
      <c r="G488" s="63"/>
      <c r="H488" s="67"/>
      <c r="I488" s="39"/>
      <c r="K488" s="39"/>
      <c r="L488" s="39"/>
      <c r="M488" s="39"/>
    </row>
    <row r="489" spans="1:13" ht="13">
      <c r="A489" s="66"/>
      <c r="B489" s="61"/>
      <c r="C489" s="63"/>
      <c r="D489" s="63"/>
      <c r="E489" s="63"/>
      <c r="F489" s="63"/>
      <c r="G489" s="63"/>
      <c r="H489" s="67"/>
      <c r="I489" s="39"/>
      <c r="K489" s="39"/>
      <c r="L489" s="39"/>
      <c r="M489" s="39"/>
    </row>
    <row r="490" spans="1:13" ht="13">
      <c r="A490" s="66"/>
      <c r="B490" s="61"/>
      <c r="C490" s="63"/>
      <c r="D490" s="63"/>
      <c r="E490" s="63"/>
      <c r="F490" s="63"/>
      <c r="G490" s="63"/>
      <c r="H490" s="67"/>
      <c r="I490" s="39"/>
      <c r="K490" s="39"/>
      <c r="L490" s="39"/>
      <c r="M490" s="39"/>
    </row>
    <row r="491" spans="1:13" ht="13">
      <c r="A491" s="66"/>
      <c r="B491" s="61"/>
      <c r="C491" s="63"/>
      <c r="D491" s="63"/>
      <c r="E491" s="63"/>
      <c r="F491" s="63"/>
      <c r="G491" s="63"/>
      <c r="H491" s="67"/>
      <c r="I491" s="39"/>
      <c r="K491" s="39"/>
      <c r="L491" s="39"/>
      <c r="M491" s="39"/>
    </row>
    <row r="492" spans="1:13" ht="13">
      <c r="A492" s="66"/>
      <c r="B492" s="61"/>
      <c r="C492" s="63"/>
      <c r="D492" s="63"/>
      <c r="E492" s="63"/>
      <c r="F492" s="63"/>
      <c r="G492" s="63"/>
      <c r="H492" s="67"/>
      <c r="I492" s="39"/>
      <c r="K492" s="39"/>
      <c r="L492" s="39"/>
      <c r="M492" s="39"/>
    </row>
    <row r="493" spans="1:13" ht="13">
      <c r="A493" s="66"/>
      <c r="B493" s="61"/>
      <c r="C493" s="63"/>
      <c r="D493" s="63"/>
      <c r="E493" s="63"/>
      <c r="F493" s="63"/>
      <c r="G493" s="63"/>
      <c r="H493" s="67"/>
      <c r="I493" s="39"/>
      <c r="K493" s="39"/>
      <c r="L493" s="39"/>
      <c r="M493" s="39"/>
    </row>
    <row r="494" spans="1:13" ht="13">
      <c r="A494" s="66"/>
      <c r="B494" s="61"/>
      <c r="C494" s="63"/>
      <c r="D494" s="63"/>
      <c r="E494" s="63"/>
      <c r="F494" s="63"/>
      <c r="G494" s="63"/>
      <c r="H494" s="67"/>
      <c r="I494" s="39"/>
      <c r="K494" s="39"/>
      <c r="L494" s="39"/>
      <c r="M494" s="39"/>
    </row>
    <row r="495" spans="1:13" ht="13">
      <c r="A495" s="66"/>
      <c r="B495" s="61"/>
      <c r="C495" s="63"/>
      <c r="D495" s="63"/>
      <c r="E495" s="63"/>
      <c r="F495" s="63"/>
      <c r="G495" s="63"/>
      <c r="H495" s="67"/>
      <c r="I495" s="39"/>
      <c r="K495" s="39"/>
      <c r="L495" s="39"/>
      <c r="M495" s="39"/>
    </row>
    <row r="496" spans="1:13" ht="13">
      <c r="A496" s="66"/>
      <c r="B496" s="61"/>
      <c r="C496" s="63"/>
      <c r="D496" s="63"/>
      <c r="E496" s="63"/>
      <c r="F496" s="63"/>
      <c r="G496" s="63"/>
      <c r="H496" s="67"/>
      <c r="I496" s="39"/>
      <c r="K496" s="39"/>
      <c r="L496" s="39"/>
      <c r="M496" s="39"/>
    </row>
    <row r="497" spans="1:13" ht="13">
      <c r="A497" s="66"/>
      <c r="B497" s="61"/>
      <c r="C497" s="63"/>
      <c r="D497" s="63"/>
      <c r="E497" s="63"/>
      <c r="F497" s="63"/>
      <c r="G497" s="63"/>
      <c r="H497" s="67"/>
      <c r="I497" s="39"/>
      <c r="K497" s="39"/>
      <c r="L497" s="39"/>
      <c r="M497" s="39"/>
    </row>
    <row r="498" spans="1:13" ht="13">
      <c r="A498" s="66"/>
      <c r="B498" s="61"/>
      <c r="C498" s="63"/>
      <c r="D498" s="63"/>
      <c r="E498" s="63"/>
      <c r="F498" s="63"/>
      <c r="G498" s="63"/>
      <c r="H498" s="67"/>
      <c r="I498" s="39"/>
      <c r="K498" s="39"/>
      <c r="L498" s="39"/>
      <c r="M498" s="39"/>
    </row>
    <row r="499" spans="1:13" ht="13">
      <c r="A499" s="66"/>
      <c r="B499" s="61"/>
      <c r="C499" s="63"/>
      <c r="D499" s="63"/>
      <c r="E499" s="63"/>
      <c r="F499" s="63"/>
      <c r="G499" s="63"/>
      <c r="H499" s="67"/>
      <c r="I499" s="39"/>
      <c r="K499" s="39"/>
      <c r="L499" s="39"/>
      <c r="M499" s="39"/>
    </row>
    <row r="500" spans="1:13" ht="13">
      <c r="A500" s="66"/>
      <c r="B500" s="61"/>
      <c r="C500" s="63"/>
      <c r="D500" s="63"/>
      <c r="E500" s="63"/>
      <c r="F500" s="63"/>
      <c r="G500" s="63"/>
      <c r="H500" s="67"/>
      <c r="I500" s="39"/>
      <c r="K500" s="39"/>
      <c r="L500" s="39"/>
      <c r="M500" s="39"/>
    </row>
    <row r="501" spans="1:13" ht="13">
      <c r="A501" s="66"/>
      <c r="B501" s="61"/>
      <c r="C501" s="63"/>
      <c r="D501" s="63"/>
      <c r="E501" s="63"/>
      <c r="F501" s="63"/>
      <c r="G501" s="63"/>
      <c r="H501" s="67"/>
      <c r="I501" s="39"/>
      <c r="K501" s="39"/>
      <c r="L501" s="39"/>
      <c r="M501" s="39"/>
    </row>
    <row r="502" spans="1:13" ht="13">
      <c r="A502" s="66"/>
      <c r="B502" s="61"/>
      <c r="C502" s="63"/>
      <c r="D502" s="63"/>
      <c r="E502" s="63"/>
      <c r="F502" s="63"/>
      <c r="G502" s="63"/>
      <c r="H502" s="67"/>
      <c r="I502" s="39"/>
      <c r="K502" s="39"/>
      <c r="L502" s="39"/>
      <c r="M502" s="39"/>
    </row>
    <row r="503" spans="1:13" ht="13">
      <c r="A503" s="66"/>
      <c r="B503" s="61"/>
      <c r="C503" s="63"/>
      <c r="D503" s="63"/>
      <c r="E503" s="63"/>
      <c r="F503" s="63"/>
      <c r="G503" s="63"/>
      <c r="H503" s="67"/>
      <c r="I503" s="39"/>
      <c r="K503" s="39"/>
      <c r="L503" s="39"/>
      <c r="M503" s="39"/>
    </row>
    <row r="504" spans="1:13" ht="13">
      <c r="A504" s="66"/>
      <c r="B504" s="61"/>
      <c r="C504" s="63"/>
      <c r="D504" s="63"/>
      <c r="E504" s="63"/>
      <c r="F504" s="63"/>
      <c r="G504" s="63"/>
      <c r="H504" s="67"/>
      <c r="I504" s="39"/>
      <c r="K504" s="39"/>
      <c r="L504" s="39"/>
      <c r="M504" s="39"/>
    </row>
    <row r="505" spans="1:13" ht="13">
      <c r="A505" s="66"/>
      <c r="B505" s="61"/>
      <c r="C505" s="63"/>
      <c r="D505" s="63"/>
      <c r="E505" s="63"/>
      <c r="F505" s="63"/>
      <c r="G505" s="63"/>
      <c r="H505" s="67"/>
      <c r="I505" s="39"/>
      <c r="K505" s="39"/>
      <c r="L505" s="39"/>
      <c r="M505" s="39"/>
    </row>
    <row r="506" spans="1:13" ht="13">
      <c r="A506" s="66"/>
      <c r="B506" s="61"/>
      <c r="C506" s="63"/>
      <c r="D506" s="63"/>
      <c r="E506" s="63"/>
      <c r="F506" s="63"/>
      <c r="G506" s="63"/>
      <c r="H506" s="67"/>
      <c r="I506" s="39"/>
      <c r="K506" s="39"/>
      <c r="L506" s="39"/>
      <c r="M506" s="39"/>
    </row>
    <row r="507" spans="1:13" ht="13">
      <c r="A507" s="66"/>
      <c r="B507" s="61"/>
      <c r="C507" s="63"/>
      <c r="D507" s="63"/>
      <c r="E507" s="63"/>
      <c r="F507" s="63"/>
      <c r="G507" s="63"/>
      <c r="H507" s="67"/>
      <c r="I507" s="39"/>
      <c r="K507" s="39"/>
      <c r="L507" s="39"/>
      <c r="M507" s="39"/>
    </row>
    <row r="508" spans="1:13" ht="13">
      <c r="A508" s="66"/>
      <c r="B508" s="61"/>
      <c r="C508" s="63"/>
      <c r="D508" s="63"/>
      <c r="E508" s="63"/>
      <c r="F508" s="63"/>
      <c r="G508" s="63"/>
      <c r="H508" s="67"/>
      <c r="I508" s="39"/>
      <c r="K508" s="39"/>
      <c r="L508" s="39"/>
      <c r="M508" s="39"/>
    </row>
    <row r="509" spans="1:13" ht="13">
      <c r="A509" s="66"/>
      <c r="B509" s="61"/>
      <c r="C509" s="63"/>
      <c r="D509" s="63"/>
      <c r="E509" s="63"/>
      <c r="F509" s="63"/>
      <c r="G509" s="63"/>
      <c r="H509" s="67"/>
      <c r="I509" s="39"/>
      <c r="K509" s="39"/>
      <c r="L509" s="39"/>
      <c r="M509" s="39"/>
    </row>
    <row r="510" spans="1:13" ht="13">
      <c r="A510" s="66"/>
      <c r="B510" s="61"/>
      <c r="C510" s="63"/>
      <c r="D510" s="63"/>
      <c r="E510" s="63"/>
      <c r="F510" s="63"/>
      <c r="G510" s="63"/>
      <c r="H510" s="67"/>
      <c r="I510" s="39"/>
      <c r="K510" s="39"/>
      <c r="L510" s="39"/>
      <c r="M510" s="39"/>
    </row>
    <row r="511" spans="1:13" ht="13">
      <c r="A511" s="66"/>
      <c r="B511" s="61"/>
      <c r="C511" s="63"/>
      <c r="D511" s="63"/>
      <c r="E511" s="63"/>
      <c r="F511" s="63"/>
      <c r="G511" s="63"/>
      <c r="H511" s="67"/>
      <c r="I511" s="39"/>
      <c r="K511" s="39"/>
      <c r="L511" s="39"/>
      <c r="M511" s="39"/>
    </row>
    <row r="512" spans="1:13" ht="13">
      <c r="A512" s="66"/>
      <c r="B512" s="61"/>
      <c r="C512" s="63"/>
      <c r="D512" s="63"/>
      <c r="E512" s="63"/>
      <c r="F512" s="63"/>
      <c r="G512" s="63"/>
      <c r="H512" s="67"/>
      <c r="I512" s="39"/>
      <c r="K512" s="39"/>
      <c r="L512" s="39"/>
      <c r="M512" s="39"/>
    </row>
    <row r="513" spans="1:13" ht="13">
      <c r="A513" s="66"/>
      <c r="B513" s="61"/>
      <c r="C513" s="63"/>
      <c r="D513" s="63"/>
      <c r="E513" s="63"/>
      <c r="F513" s="63"/>
      <c r="G513" s="63"/>
      <c r="H513" s="67"/>
      <c r="I513" s="39"/>
      <c r="K513" s="39"/>
      <c r="L513" s="39"/>
      <c r="M513" s="39"/>
    </row>
    <row r="514" spans="1:13" ht="13">
      <c r="A514" s="66"/>
      <c r="B514" s="61"/>
      <c r="C514" s="63"/>
      <c r="D514" s="63"/>
      <c r="E514" s="63"/>
      <c r="F514" s="63"/>
      <c r="G514" s="63"/>
      <c r="H514" s="67"/>
      <c r="I514" s="39"/>
      <c r="K514" s="39"/>
      <c r="L514" s="39"/>
      <c r="M514" s="39"/>
    </row>
    <row r="515" spans="1:13" ht="13">
      <c r="A515" s="66"/>
      <c r="B515" s="61"/>
      <c r="C515" s="63"/>
      <c r="D515" s="63"/>
      <c r="E515" s="63"/>
      <c r="F515" s="63"/>
      <c r="G515" s="63"/>
      <c r="H515" s="67"/>
      <c r="I515" s="39"/>
      <c r="K515" s="39"/>
      <c r="L515" s="39"/>
      <c r="M515" s="39"/>
    </row>
    <row r="516" spans="1:13" ht="13">
      <c r="A516" s="66"/>
      <c r="B516" s="61"/>
      <c r="C516" s="63"/>
      <c r="D516" s="63"/>
      <c r="E516" s="63"/>
      <c r="F516" s="63"/>
      <c r="G516" s="63"/>
      <c r="H516" s="67"/>
      <c r="I516" s="39"/>
      <c r="K516" s="39"/>
      <c r="L516" s="39"/>
      <c r="M516" s="39"/>
    </row>
    <row r="517" spans="1:13" ht="13">
      <c r="A517" s="66"/>
      <c r="B517" s="61"/>
      <c r="C517" s="63"/>
      <c r="D517" s="63"/>
      <c r="E517" s="63"/>
      <c r="F517" s="63"/>
      <c r="G517" s="63"/>
      <c r="H517" s="67"/>
      <c r="I517" s="39"/>
      <c r="K517" s="39"/>
      <c r="L517" s="39"/>
      <c r="M517" s="39"/>
    </row>
    <row r="518" spans="1:13" ht="13">
      <c r="A518" s="66"/>
      <c r="B518" s="61"/>
      <c r="C518" s="63"/>
      <c r="D518" s="63"/>
      <c r="E518" s="63"/>
      <c r="F518" s="63"/>
      <c r="G518" s="63"/>
      <c r="H518" s="67"/>
      <c r="I518" s="39"/>
      <c r="K518" s="39"/>
      <c r="L518" s="39"/>
      <c r="M518" s="39"/>
    </row>
    <row r="519" spans="1:13" ht="13">
      <c r="A519" s="66"/>
      <c r="B519" s="61"/>
      <c r="C519" s="63"/>
      <c r="D519" s="63"/>
      <c r="E519" s="63"/>
      <c r="F519" s="63"/>
      <c r="G519" s="63"/>
      <c r="H519" s="67"/>
      <c r="I519" s="39"/>
      <c r="K519" s="39"/>
      <c r="L519" s="39"/>
      <c r="M519" s="39"/>
    </row>
    <row r="520" spans="1:13" ht="13">
      <c r="A520" s="66"/>
      <c r="B520" s="61"/>
      <c r="C520" s="63"/>
      <c r="D520" s="63"/>
      <c r="E520" s="63"/>
      <c r="F520" s="63"/>
      <c r="G520" s="63"/>
      <c r="H520" s="67"/>
      <c r="I520" s="39"/>
      <c r="K520" s="39"/>
      <c r="L520" s="39"/>
      <c r="M520" s="39"/>
    </row>
    <row r="521" spans="1:13" ht="13">
      <c r="A521" s="66"/>
      <c r="B521" s="61"/>
      <c r="C521" s="63"/>
      <c r="D521" s="63"/>
      <c r="E521" s="63"/>
      <c r="F521" s="63"/>
      <c r="G521" s="63"/>
      <c r="H521" s="67"/>
      <c r="I521" s="39"/>
      <c r="K521" s="39"/>
      <c r="L521" s="39"/>
      <c r="M521" s="39"/>
    </row>
    <row r="522" spans="1:13" ht="13">
      <c r="A522" s="66"/>
      <c r="B522" s="61"/>
      <c r="C522" s="63"/>
      <c r="D522" s="63"/>
      <c r="E522" s="63"/>
      <c r="F522" s="63"/>
      <c r="G522" s="63"/>
      <c r="H522" s="67"/>
      <c r="I522" s="39"/>
      <c r="K522" s="39"/>
      <c r="L522" s="39"/>
      <c r="M522" s="39"/>
    </row>
    <row r="523" spans="1:13" ht="13">
      <c r="A523" s="66"/>
      <c r="B523" s="61"/>
      <c r="C523" s="63"/>
      <c r="D523" s="63"/>
      <c r="E523" s="63"/>
      <c r="F523" s="63"/>
      <c r="G523" s="63"/>
      <c r="H523" s="67"/>
      <c r="I523" s="39"/>
      <c r="K523" s="39"/>
      <c r="L523" s="39"/>
      <c r="M523" s="39"/>
    </row>
    <row r="524" spans="1:13" ht="13">
      <c r="A524" s="66"/>
      <c r="B524" s="61"/>
      <c r="C524" s="63"/>
      <c r="D524" s="63"/>
      <c r="E524" s="63"/>
      <c r="F524" s="63"/>
      <c r="G524" s="63"/>
      <c r="H524" s="67"/>
      <c r="I524" s="39"/>
      <c r="K524" s="39"/>
      <c r="L524" s="39"/>
      <c r="M524" s="39"/>
    </row>
    <row r="525" spans="1:13" ht="13">
      <c r="A525" s="66"/>
      <c r="B525" s="61"/>
      <c r="C525" s="63"/>
      <c r="D525" s="63"/>
      <c r="E525" s="63"/>
      <c r="F525" s="63"/>
      <c r="G525" s="63"/>
      <c r="H525" s="67"/>
      <c r="I525" s="39"/>
      <c r="K525" s="39"/>
      <c r="L525" s="39"/>
      <c r="M525" s="39"/>
    </row>
    <row r="526" spans="1:13" ht="13">
      <c r="A526" s="66"/>
      <c r="B526" s="61"/>
      <c r="C526" s="63"/>
      <c r="D526" s="63"/>
      <c r="E526" s="63"/>
      <c r="F526" s="63"/>
      <c r="G526" s="63"/>
      <c r="H526" s="67"/>
      <c r="I526" s="39"/>
      <c r="K526" s="39"/>
      <c r="L526" s="39"/>
      <c r="M526" s="39"/>
    </row>
    <row r="527" spans="1:13" ht="13">
      <c r="A527" s="66"/>
      <c r="B527" s="61"/>
      <c r="C527" s="63"/>
      <c r="D527" s="63"/>
      <c r="E527" s="63"/>
      <c r="F527" s="63"/>
      <c r="G527" s="63"/>
      <c r="H527" s="67"/>
      <c r="I527" s="39"/>
      <c r="K527" s="39"/>
      <c r="L527" s="39"/>
      <c r="M527" s="39"/>
    </row>
    <row r="528" spans="1:13" ht="13">
      <c r="A528" s="66"/>
      <c r="B528" s="61"/>
      <c r="C528" s="63"/>
      <c r="D528" s="63"/>
      <c r="E528" s="63"/>
      <c r="F528" s="63"/>
      <c r="G528" s="63"/>
      <c r="H528" s="67"/>
      <c r="I528" s="39"/>
      <c r="K528" s="39"/>
      <c r="L528" s="39"/>
      <c r="M528" s="39"/>
    </row>
    <row r="529" spans="1:13" ht="13">
      <c r="A529" s="66"/>
      <c r="B529" s="61"/>
      <c r="C529" s="63"/>
      <c r="D529" s="63"/>
      <c r="E529" s="63"/>
      <c r="F529" s="63"/>
      <c r="G529" s="63"/>
      <c r="H529" s="67"/>
      <c r="I529" s="39"/>
      <c r="K529" s="39"/>
      <c r="L529" s="39"/>
      <c r="M529" s="39"/>
    </row>
    <row r="530" spans="1:13" ht="13">
      <c r="A530" s="66"/>
      <c r="B530" s="61"/>
      <c r="C530" s="63"/>
      <c r="D530" s="63"/>
      <c r="E530" s="63"/>
      <c r="F530" s="63"/>
      <c r="G530" s="63"/>
      <c r="H530" s="67"/>
      <c r="I530" s="39"/>
      <c r="K530" s="39"/>
      <c r="L530" s="39"/>
      <c r="M530" s="39"/>
    </row>
    <row r="531" spans="1:13" ht="13">
      <c r="A531" s="66"/>
      <c r="B531" s="61"/>
      <c r="C531" s="63"/>
      <c r="D531" s="63"/>
      <c r="E531" s="63"/>
      <c r="F531" s="63"/>
      <c r="G531" s="63"/>
      <c r="H531" s="67"/>
      <c r="I531" s="39"/>
      <c r="K531" s="39"/>
      <c r="L531" s="39"/>
      <c r="M531" s="39"/>
    </row>
    <row r="532" spans="1:13" ht="13">
      <c r="A532" s="66"/>
      <c r="B532" s="61"/>
      <c r="C532" s="63"/>
      <c r="D532" s="63"/>
      <c r="E532" s="63"/>
      <c r="F532" s="63"/>
      <c r="G532" s="63"/>
      <c r="H532" s="67"/>
      <c r="I532" s="39"/>
      <c r="K532" s="39"/>
      <c r="L532" s="39"/>
      <c r="M532" s="39"/>
    </row>
    <row r="533" spans="1:13" ht="13">
      <c r="A533" s="66"/>
      <c r="B533" s="61"/>
      <c r="C533" s="63"/>
      <c r="D533" s="63"/>
      <c r="E533" s="63"/>
      <c r="F533" s="63"/>
      <c r="G533" s="63"/>
      <c r="H533" s="67"/>
      <c r="I533" s="39"/>
      <c r="K533" s="39"/>
      <c r="L533" s="39"/>
      <c r="M533" s="39"/>
    </row>
    <row r="534" spans="1:13" ht="13">
      <c r="A534" s="66"/>
      <c r="B534" s="61"/>
      <c r="C534" s="63"/>
      <c r="D534" s="63"/>
      <c r="E534" s="63"/>
      <c r="F534" s="63"/>
      <c r="G534" s="63"/>
      <c r="H534" s="67"/>
      <c r="I534" s="39"/>
      <c r="K534" s="39"/>
      <c r="L534" s="39"/>
      <c r="M534" s="39"/>
    </row>
    <row r="535" spans="1:13" ht="13">
      <c r="A535" s="66"/>
      <c r="B535" s="61"/>
      <c r="C535" s="63"/>
      <c r="D535" s="63"/>
      <c r="E535" s="63"/>
      <c r="F535" s="63"/>
      <c r="G535" s="63"/>
      <c r="H535" s="67"/>
      <c r="I535" s="39"/>
      <c r="K535" s="39"/>
      <c r="L535" s="39"/>
      <c r="M535" s="39"/>
    </row>
    <row r="536" spans="1:13" ht="13">
      <c r="A536" s="66"/>
      <c r="B536" s="61"/>
      <c r="C536" s="63"/>
      <c r="D536" s="63"/>
      <c r="E536" s="63"/>
      <c r="F536" s="63"/>
      <c r="G536" s="63"/>
      <c r="H536" s="67"/>
      <c r="I536" s="39"/>
      <c r="K536" s="39"/>
      <c r="L536" s="39"/>
      <c r="M536" s="39"/>
    </row>
    <row r="537" spans="1:13" ht="13">
      <c r="A537" s="66"/>
      <c r="B537" s="61"/>
      <c r="C537" s="63"/>
      <c r="D537" s="63"/>
      <c r="E537" s="63"/>
      <c r="F537" s="63"/>
      <c r="G537" s="63"/>
      <c r="H537" s="67"/>
      <c r="I537" s="39"/>
      <c r="K537" s="39"/>
      <c r="L537" s="39"/>
      <c r="M537" s="39"/>
    </row>
    <row r="538" spans="1:13" ht="13">
      <c r="A538" s="66"/>
      <c r="B538" s="61"/>
      <c r="C538" s="63"/>
      <c r="D538" s="63"/>
      <c r="E538" s="63"/>
      <c r="F538" s="63"/>
      <c r="G538" s="63"/>
      <c r="H538" s="67"/>
      <c r="I538" s="39"/>
      <c r="K538" s="39"/>
      <c r="L538" s="39"/>
      <c r="M538" s="39"/>
    </row>
    <row r="539" spans="1:13" ht="13">
      <c r="A539" s="66"/>
      <c r="B539" s="61"/>
      <c r="C539" s="63"/>
      <c r="D539" s="63"/>
      <c r="E539" s="63"/>
      <c r="F539" s="63"/>
      <c r="G539" s="63"/>
      <c r="H539" s="67"/>
      <c r="I539" s="39"/>
      <c r="K539" s="39"/>
      <c r="L539" s="39"/>
      <c r="M539" s="39"/>
    </row>
    <row r="540" spans="1:13" ht="13">
      <c r="A540" s="66"/>
      <c r="B540" s="61"/>
      <c r="C540" s="63"/>
      <c r="D540" s="63"/>
      <c r="E540" s="63"/>
      <c r="F540" s="63"/>
      <c r="G540" s="63"/>
      <c r="H540" s="67"/>
      <c r="I540" s="39"/>
      <c r="K540" s="39"/>
      <c r="L540" s="39"/>
      <c r="M540" s="39"/>
    </row>
    <row r="541" spans="1:13" ht="13">
      <c r="A541" s="66"/>
      <c r="B541" s="61"/>
      <c r="C541" s="63"/>
      <c r="D541" s="63"/>
      <c r="E541" s="63"/>
      <c r="F541" s="63"/>
      <c r="G541" s="63"/>
      <c r="H541" s="67"/>
      <c r="I541" s="39"/>
      <c r="K541" s="39"/>
      <c r="L541" s="39"/>
      <c r="M541" s="39"/>
    </row>
    <row r="542" spans="1:13" ht="13">
      <c r="A542" s="66"/>
      <c r="B542" s="61"/>
      <c r="C542" s="63"/>
      <c r="D542" s="63"/>
      <c r="E542" s="63"/>
      <c r="F542" s="63"/>
      <c r="G542" s="63"/>
      <c r="H542" s="67"/>
      <c r="I542" s="39"/>
      <c r="K542" s="39"/>
      <c r="L542" s="39"/>
      <c r="M542" s="39"/>
    </row>
    <row r="543" spans="1:13" ht="13">
      <c r="A543" s="66"/>
      <c r="B543" s="61"/>
      <c r="C543" s="63"/>
      <c r="D543" s="63"/>
      <c r="E543" s="63"/>
      <c r="F543" s="63"/>
      <c r="G543" s="63"/>
      <c r="H543" s="67"/>
      <c r="I543" s="39"/>
      <c r="K543" s="39"/>
      <c r="L543" s="39"/>
      <c r="M543" s="39"/>
    </row>
    <row r="544" spans="1:13" ht="13">
      <c r="A544" s="66"/>
      <c r="B544" s="61"/>
      <c r="C544" s="63"/>
      <c r="D544" s="63"/>
      <c r="E544" s="63"/>
      <c r="F544" s="63"/>
      <c r="G544" s="63"/>
      <c r="H544" s="67"/>
      <c r="I544" s="39"/>
      <c r="K544" s="39"/>
      <c r="L544" s="39"/>
      <c r="M544" s="39"/>
    </row>
    <row r="545" spans="1:13" ht="13">
      <c r="A545" s="66"/>
      <c r="B545" s="61"/>
      <c r="C545" s="63"/>
      <c r="D545" s="63"/>
      <c r="E545" s="63"/>
      <c r="F545" s="63"/>
      <c r="G545" s="63"/>
      <c r="H545" s="67"/>
      <c r="I545" s="39"/>
      <c r="K545" s="39"/>
      <c r="L545" s="39"/>
      <c r="M545" s="39"/>
    </row>
    <row r="546" spans="1:13" ht="13">
      <c r="A546" s="66"/>
      <c r="B546" s="61"/>
      <c r="C546" s="63"/>
      <c r="D546" s="63"/>
      <c r="E546" s="63"/>
      <c r="F546" s="63"/>
      <c r="G546" s="63"/>
      <c r="H546" s="67"/>
      <c r="I546" s="39"/>
      <c r="K546" s="39"/>
      <c r="L546" s="39"/>
      <c r="M546" s="39"/>
    </row>
    <row r="547" spans="1:13" ht="13">
      <c r="A547" s="66"/>
      <c r="B547" s="61"/>
      <c r="C547" s="63"/>
      <c r="D547" s="63"/>
      <c r="E547" s="63"/>
      <c r="F547" s="63"/>
      <c r="G547" s="63"/>
      <c r="H547" s="67"/>
      <c r="I547" s="39"/>
      <c r="K547" s="39"/>
      <c r="L547" s="39"/>
      <c r="M547" s="39"/>
    </row>
    <row r="548" spans="1:13" ht="13">
      <c r="A548" s="66"/>
      <c r="B548" s="61"/>
      <c r="C548" s="63"/>
      <c r="D548" s="63"/>
      <c r="E548" s="63"/>
      <c r="F548" s="63"/>
      <c r="G548" s="63"/>
      <c r="H548" s="67"/>
      <c r="I548" s="39"/>
      <c r="K548" s="39"/>
      <c r="L548" s="39"/>
      <c r="M548" s="39"/>
    </row>
    <row r="549" spans="1:13" ht="13">
      <c r="A549" s="66"/>
      <c r="B549" s="61"/>
      <c r="C549" s="63"/>
      <c r="D549" s="63"/>
      <c r="E549" s="63"/>
      <c r="F549" s="63"/>
      <c r="G549" s="63"/>
      <c r="H549" s="67"/>
      <c r="I549" s="39"/>
      <c r="K549" s="39"/>
      <c r="L549" s="39"/>
      <c r="M549" s="39"/>
    </row>
    <row r="550" spans="1:13" ht="13">
      <c r="A550" s="66"/>
      <c r="B550" s="61"/>
      <c r="C550" s="63"/>
      <c r="D550" s="63"/>
      <c r="E550" s="63"/>
      <c r="F550" s="63"/>
      <c r="G550" s="63"/>
      <c r="H550" s="67"/>
      <c r="I550" s="39"/>
      <c r="K550" s="39"/>
      <c r="L550" s="39"/>
      <c r="M550" s="39"/>
    </row>
    <row r="551" spans="1:13" ht="13">
      <c r="A551" s="66"/>
      <c r="B551" s="61"/>
      <c r="C551" s="63"/>
      <c r="D551" s="63"/>
      <c r="E551" s="63"/>
      <c r="F551" s="63"/>
      <c r="G551" s="63"/>
      <c r="H551" s="67"/>
      <c r="I551" s="39"/>
      <c r="K551" s="39"/>
      <c r="L551" s="39"/>
      <c r="M551" s="39"/>
    </row>
    <row r="552" spans="1:13" ht="13">
      <c r="A552" s="66"/>
      <c r="B552" s="61"/>
      <c r="C552" s="63"/>
      <c r="D552" s="63"/>
      <c r="E552" s="63"/>
      <c r="F552" s="63"/>
      <c r="G552" s="63"/>
      <c r="H552" s="67"/>
      <c r="I552" s="39"/>
      <c r="K552" s="39"/>
      <c r="L552" s="39"/>
      <c r="M552" s="39"/>
    </row>
    <row r="553" spans="1:13" ht="13">
      <c r="A553" s="66"/>
      <c r="B553" s="61"/>
      <c r="C553" s="63"/>
      <c r="D553" s="63"/>
      <c r="E553" s="63"/>
      <c r="F553" s="63"/>
      <c r="G553" s="63"/>
      <c r="H553" s="67"/>
      <c r="I553" s="39"/>
      <c r="K553" s="39"/>
      <c r="L553" s="39"/>
      <c r="M553" s="39"/>
    </row>
    <row r="554" spans="1:13" ht="13">
      <c r="A554" s="66"/>
      <c r="B554" s="61"/>
      <c r="C554" s="63"/>
      <c r="D554" s="63"/>
      <c r="E554" s="63"/>
      <c r="F554" s="63"/>
      <c r="G554" s="63"/>
      <c r="H554" s="67"/>
      <c r="I554" s="39"/>
      <c r="K554" s="39"/>
      <c r="L554" s="39"/>
      <c r="M554" s="39"/>
    </row>
    <row r="555" spans="1:13" ht="13">
      <c r="A555" s="66"/>
      <c r="B555" s="61"/>
      <c r="C555" s="63"/>
      <c r="D555" s="63"/>
      <c r="E555" s="63"/>
      <c r="F555" s="63"/>
      <c r="G555" s="63"/>
      <c r="H555" s="67"/>
      <c r="I555" s="39"/>
      <c r="K555" s="39"/>
      <c r="L555" s="39"/>
      <c r="M555" s="39"/>
    </row>
    <row r="556" spans="1:13" ht="13">
      <c r="A556" s="66"/>
      <c r="B556" s="61"/>
      <c r="C556" s="63"/>
      <c r="D556" s="63"/>
      <c r="E556" s="63"/>
      <c r="F556" s="63"/>
      <c r="G556" s="63"/>
      <c r="H556" s="67"/>
      <c r="I556" s="39"/>
      <c r="K556" s="39"/>
      <c r="L556" s="39"/>
      <c r="M556" s="39"/>
    </row>
    <row r="557" spans="1:13" ht="13">
      <c r="A557" s="66"/>
      <c r="B557" s="61"/>
      <c r="C557" s="63"/>
      <c r="D557" s="63"/>
      <c r="E557" s="63"/>
      <c r="F557" s="63"/>
      <c r="G557" s="63"/>
      <c r="H557" s="67"/>
      <c r="I557" s="39"/>
      <c r="K557" s="39"/>
      <c r="L557" s="39"/>
      <c r="M557" s="39"/>
    </row>
    <row r="558" spans="1:13" ht="13">
      <c r="A558" s="66"/>
      <c r="B558" s="61"/>
      <c r="C558" s="63"/>
      <c r="D558" s="63"/>
      <c r="E558" s="63"/>
      <c r="F558" s="63"/>
      <c r="G558" s="63"/>
      <c r="H558" s="67"/>
      <c r="I558" s="39"/>
      <c r="K558" s="39"/>
      <c r="L558" s="39"/>
      <c r="M558" s="39"/>
    </row>
    <row r="559" spans="1:13" ht="13">
      <c r="A559" s="66"/>
      <c r="B559" s="61"/>
      <c r="C559" s="63"/>
      <c r="D559" s="63"/>
      <c r="E559" s="63"/>
      <c r="F559" s="63"/>
      <c r="G559" s="63"/>
      <c r="H559" s="67"/>
      <c r="I559" s="39"/>
      <c r="K559" s="39"/>
      <c r="L559" s="39"/>
      <c r="M559" s="39"/>
    </row>
    <row r="560" spans="1:13" ht="13">
      <c r="A560" s="66"/>
      <c r="B560" s="61"/>
      <c r="C560" s="63"/>
      <c r="D560" s="63"/>
      <c r="E560" s="63"/>
      <c r="F560" s="63"/>
      <c r="G560" s="63"/>
      <c r="H560" s="67"/>
      <c r="I560" s="39"/>
      <c r="K560" s="39"/>
      <c r="L560" s="39"/>
      <c r="M560" s="39"/>
    </row>
    <row r="561" spans="1:13" ht="13">
      <c r="A561" s="66"/>
      <c r="B561" s="61"/>
      <c r="C561" s="63"/>
      <c r="D561" s="63"/>
      <c r="E561" s="63"/>
      <c r="F561" s="63"/>
      <c r="G561" s="63"/>
      <c r="H561" s="67"/>
      <c r="I561" s="39"/>
      <c r="K561" s="39"/>
      <c r="L561" s="39"/>
      <c r="M561" s="39"/>
    </row>
    <row r="562" spans="1:13" ht="13">
      <c r="A562" s="66"/>
      <c r="B562" s="61"/>
      <c r="C562" s="63"/>
      <c r="D562" s="63"/>
      <c r="E562" s="63"/>
      <c r="F562" s="63"/>
      <c r="G562" s="63"/>
      <c r="H562" s="67"/>
      <c r="I562" s="39"/>
      <c r="K562" s="39"/>
      <c r="L562" s="39"/>
      <c r="M562" s="39"/>
    </row>
    <row r="563" spans="1:13" ht="13">
      <c r="A563" s="66"/>
      <c r="B563" s="61"/>
      <c r="C563" s="63"/>
      <c r="D563" s="63"/>
      <c r="E563" s="63"/>
      <c r="F563" s="63"/>
      <c r="G563" s="63"/>
      <c r="H563" s="67"/>
      <c r="I563" s="39"/>
      <c r="K563" s="39"/>
      <c r="L563" s="39"/>
      <c r="M563" s="39"/>
    </row>
    <row r="564" spans="1:13" ht="13">
      <c r="A564" s="66"/>
      <c r="B564" s="61"/>
      <c r="C564" s="63"/>
      <c r="D564" s="63"/>
      <c r="E564" s="63"/>
      <c r="F564" s="63"/>
      <c r="G564" s="63"/>
      <c r="H564" s="67"/>
      <c r="I564" s="39"/>
      <c r="K564" s="39"/>
      <c r="L564" s="39"/>
      <c r="M564" s="39"/>
    </row>
    <row r="565" spans="1:13" ht="13">
      <c r="A565" s="66"/>
      <c r="B565" s="61"/>
      <c r="C565" s="63"/>
      <c r="D565" s="63"/>
      <c r="E565" s="63"/>
      <c r="F565" s="63"/>
      <c r="G565" s="63"/>
      <c r="H565" s="67"/>
      <c r="I565" s="39"/>
      <c r="K565" s="39"/>
      <c r="L565" s="39"/>
      <c r="M565" s="39"/>
    </row>
    <row r="566" spans="1:13" ht="13">
      <c r="A566" s="66"/>
      <c r="B566" s="61"/>
      <c r="C566" s="63"/>
      <c r="D566" s="63"/>
      <c r="E566" s="63"/>
      <c r="F566" s="63"/>
      <c r="G566" s="63"/>
      <c r="H566" s="67"/>
      <c r="I566" s="39"/>
      <c r="K566" s="39"/>
      <c r="L566" s="39"/>
      <c r="M566" s="39"/>
    </row>
    <row r="567" spans="1:13" ht="13">
      <c r="A567" s="66"/>
      <c r="B567" s="61"/>
      <c r="C567" s="63"/>
      <c r="D567" s="63"/>
      <c r="E567" s="63"/>
      <c r="F567" s="63"/>
      <c r="G567" s="63"/>
      <c r="H567" s="67"/>
      <c r="I567" s="39"/>
      <c r="K567" s="39"/>
      <c r="L567" s="39"/>
      <c r="M567" s="39"/>
    </row>
    <row r="568" spans="1:13" ht="13">
      <c r="A568" s="66"/>
      <c r="B568" s="61"/>
      <c r="C568" s="63"/>
      <c r="D568" s="63"/>
      <c r="E568" s="63"/>
      <c r="F568" s="63"/>
      <c r="G568" s="63"/>
      <c r="H568" s="67"/>
      <c r="I568" s="39"/>
      <c r="K568" s="39"/>
      <c r="L568" s="39"/>
      <c r="M568" s="39"/>
    </row>
    <row r="569" spans="1:13" ht="13">
      <c r="A569" s="66"/>
      <c r="B569" s="61"/>
      <c r="C569" s="63"/>
      <c r="D569" s="63"/>
      <c r="E569" s="63"/>
      <c r="F569" s="63"/>
      <c r="G569" s="63"/>
      <c r="H569" s="67"/>
      <c r="I569" s="39"/>
      <c r="K569" s="39"/>
      <c r="L569" s="39"/>
      <c r="M569" s="39"/>
    </row>
    <row r="570" spans="1:13" ht="13">
      <c r="A570" s="66"/>
      <c r="B570" s="61"/>
      <c r="C570" s="63"/>
      <c r="D570" s="63"/>
      <c r="E570" s="63"/>
      <c r="F570" s="63"/>
      <c r="G570" s="63"/>
      <c r="H570" s="67"/>
      <c r="I570" s="39"/>
      <c r="K570" s="39"/>
      <c r="L570" s="39"/>
      <c r="M570" s="39"/>
    </row>
    <row r="571" spans="1:13" ht="13">
      <c r="A571" s="66"/>
      <c r="B571" s="61"/>
      <c r="C571" s="63"/>
      <c r="D571" s="63"/>
      <c r="E571" s="63"/>
      <c r="F571" s="63"/>
      <c r="G571" s="63"/>
      <c r="H571" s="67"/>
      <c r="I571" s="39"/>
      <c r="K571" s="39"/>
      <c r="L571" s="39"/>
      <c r="M571" s="39"/>
    </row>
    <row r="572" spans="1:13" ht="13">
      <c r="A572" s="66"/>
      <c r="B572" s="61"/>
      <c r="C572" s="63"/>
      <c r="D572" s="63"/>
      <c r="E572" s="63"/>
      <c r="F572" s="63"/>
      <c r="G572" s="63"/>
      <c r="H572" s="67"/>
      <c r="I572" s="39"/>
      <c r="K572" s="39"/>
      <c r="L572" s="39"/>
      <c r="M572" s="39"/>
    </row>
    <row r="573" spans="1:13" ht="13">
      <c r="A573" s="66"/>
      <c r="B573" s="61"/>
      <c r="C573" s="63"/>
      <c r="D573" s="63"/>
      <c r="E573" s="63"/>
      <c r="F573" s="63"/>
      <c r="G573" s="63"/>
      <c r="H573" s="67"/>
      <c r="I573" s="39"/>
      <c r="K573" s="39"/>
      <c r="L573" s="39"/>
      <c r="M573" s="39"/>
    </row>
    <row r="574" spans="1:13" ht="13">
      <c r="A574" s="66"/>
      <c r="B574" s="61"/>
      <c r="C574" s="63"/>
      <c r="D574" s="63"/>
      <c r="E574" s="63"/>
      <c r="F574" s="63"/>
      <c r="G574" s="63"/>
      <c r="H574" s="67"/>
      <c r="I574" s="39"/>
      <c r="K574" s="39"/>
      <c r="L574" s="39"/>
      <c r="M574" s="39"/>
    </row>
    <row r="575" spans="1:13" ht="13">
      <c r="A575" s="66"/>
      <c r="B575" s="61"/>
      <c r="C575" s="63"/>
      <c r="D575" s="63"/>
      <c r="E575" s="63"/>
      <c r="F575" s="63"/>
      <c r="G575" s="63"/>
      <c r="H575" s="67"/>
      <c r="I575" s="39"/>
      <c r="K575" s="39"/>
      <c r="L575" s="39"/>
      <c r="M575" s="39"/>
    </row>
    <row r="576" spans="1:13" ht="13">
      <c r="A576" s="66"/>
      <c r="B576" s="61"/>
      <c r="C576" s="63"/>
      <c r="D576" s="63"/>
      <c r="E576" s="63"/>
      <c r="F576" s="63"/>
      <c r="G576" s="63"/>
      <c r="H576" s="67"/>
      <c r="I576" s="39"/>
      <c r="K576" s="39"/>
      <c r="L576" s="39"/>
      <c r="M576" s="39"/>
    </row>
    <row r="577" spans="1:13" ht="13">
      <c r="A577" s="66"/>
      <c r="B577" s="61"/>
      <c r="C577" s="63"/>
      <c r="D577" s="63"/>
      <c r="E577" s="63"/>
      <c r="F577" s="63"/>
      <c r="G577" s="63"/>
      <c r="H577" s="67"/>
      <c r="I577" s="39"/>
      <c r="K577" s="39"/>
      <c r="L577" s="39"/>
      <c r="M577" s="39"/>
    </row>
    <row r="578" spans="1:13" ht="13">
      <c r="A578" s="66"/>
      <c r="B578" s="61"/>
      <c r="C578" s="63"/>
      <c r="D578" s="63"/>
      <c r="E578" s="63"/>
      <c r="F578" s="63"/>
      <c r="G578" s="63"/>
      <c r="H578" s="67"/>
      <c r="I578" s="39"/>
      <c r="K578" s="39"/>
      <c r="L578" s="39"/>
      <c r="M578" s="39"/>
    </row>
    <row r="579" spans="1:13" ht="13">
      <c r="A579" s="66"/>
      <c r="B579" s="61"/>
      <c r="C579" s="63"/>
      <c r="D579" s="63"/>
      <c r="E579" s="63"/>
      <c r="F579" s="63"/>
      <c r="G579" s="63"/>
      <c r="H579" s="67"/>
      <c r="I579" s="39"/>
      <c r="K579" s="39"/>
      <c r="L579" s="39"/>
      <c r="M579" s="39"/>
    </row>
    <row r="580" spans="1:13" ht="13">
      <c r="A580" s="66"/>
      <c r="B580" s="61"/>
      <c r="C580" s="63"/>
      <c r="D580" s="63"/>
      <c r="E580" s="63"/>
      <c r="F580" s="63"/>
      <c r="G580" s="63"/>
      <c r="H580" s="67"/>
      <c r="I580" s="39"/>
      <c r="K580" s="39"/>
      <c r="L580" s="39"/>
      <c r="M580" s="39"/>
    </row>
    <row r="581" spans="1:13" ht="13">
      <c r="A581" s="66"/>
      <c r="B581" s="61"/>
      <c r="C581" s="63"/>
      <c r="D581" s="63"/>
      <c r="E581" s="63"/>
      <c r="F581" s="63"/>
      <c r="G581" s="63"/>
      <c r="H581" s="67"/>
      <c r="I581" s="39"/>
      <c r="K581" s="39"/>
      <c r="L581" s="39"/>
      <c r="M581" s="39"/>
    </row>
    <row r="582" spans="1:13" ht="13">
      <c r="A582" s="66"/>
      <c r="B582" s="61"/>
      <c r="C582" s="63"/>
      <c r="D582" s="63"/>
      <c r="E582" s="63"/>
      <c r="F582" s="63"/>
      <c r="G582" s="63"/>
      <c r="H582" s="67"/>
      <c r="I582" s="39"/>
      <c r="K582" s="39"/>
      <c r="L582" s="39"/>
      <c r="M582" s="39"/>
    </row>
    <row r="583" spans="1:13" ht="13">
      <c r="A583" s="66"/>
      <c r="B583" s="61"/>
      <c r="C583" s="63"/>
      <c r="D583" s="63"/>
      <c r="E583" s="63"/>
      <c r="F583" s="63"/>
      <c r="G583" s="63"/>
      <c r="H583" s="67"/>
      <c r="I583" s="39"/>
      <c r="K583" s="39"/>
      <c r="L583" s="39"/>
      <c r="M583" s="39"/>
    </row>
    <row r="584" spans="1:13" ht="13">
      <c r="A584" s="66"/>
      <c r="B584" s="61"/>
      <c r="C584" s="63"/>
      <c r="D584" s="63"/>
      <c r="E584" s="63"/>
      <c r="F584" s="63"/>
      <c r="G584" s="63"/>
      <c r="H584" s="67"/>
      <c r="I584" s="39"/>
      <c r="K584" s="39"/>
      <c r="L584" s="39"/>
      <c r="M584" s="39"/>
    </row>
    <row r="585" spans="1:13" ht="13">
      <c r="A585" s="66"/>
      <c r="B585" s="61"/>
      <c r="C585" s="63"/>
      <c r="D585" s="63"/>
      <c r="E585" s="63"/>
      <c r="F585" s="63"/>
      <c r="G585" s="63"/>
      <c r="H585" s="67"/>
      <c r="I585" s="39"/>
      <c r="K585" s="39"/>
      <c r="L585" s="39"/>
      <c r="M585" s="39"/>
    </row>
    <row r="586" spans="1:13" ht="13">
      <c r="A586" s="66"/>
      <c r="B586" s="61"/>
      <c r="C586" s="63"/>
      <c r="D586" s="63"/>
      <c r="E586" s="63"/>
      <c r="F586" s="63"/>
      <c r="G586" s="63"/>
      <c r="H586" s="67"/>
      <c r="I586" s="39"/>
      <c r="K586" s="39"/>
      <c r="L586" s="39"/>
      <c r="M586" s="39"/>
    </row>
    <row r="587" spans="1:13" ht="13">
      <c r="A587" s="66"/>
      <c r="B587" s="61"/>
      <c r="C587" s="63"/>
      <c r="D587" s="63"/>
      <c r="E587" s="63"/>
      <c r="F587" s="63"/>
      <c r="G587" s="63"/>
      <c r="H587" s="67"/>
      <c r="I587" s="39"/>
      <c r="K587" s="39"/>
      <c r="L587" s="39"/>
      <c r="M587" s="39"/>
    </row>
    <row r="588" spans="1:13" ht="13">
      <c r="A588" s="66"/>
      <c r="B588" s="61"/>
      <c r="C588" s="63"/>
      <c r="D588" s="63"/>
      <c r="E588" s="63"/>
      <c r="F588" s="63"/>
      <c r="G588" s="63"/>
      <c r="H588" s="67"/>
      <c r="I588" s="39"/>
      <c r="K588" s="39"/>
      <c r="L588" s="39"/>
      <c r="M588" s="39"/>
    </row>
    <row r="589" spans="1:13" ht="13">
      <c r="A589" s="66"/>
      <c r="B589" s="61"/>
      <c r="C589" s="63"/>
      <c r="D589" s="63"/>
      <c r="E589" s="63"/>
      <c r="F589" s="63"/>
      <c r="G589" s="63"/>
      <c r="H589" s="67"/>
      <c r="I589" s="39"/>
      <c r="K589" s="39"/>
      <c r="L589" s="39"/>
      <c r="M589" s="39"/>
    </row>
    <row r="590" spans="1:13" ht="13">
      <c r="A590" s="66"/>
      <c r="B590" s="61"/>
      <c r="C590" s="63"/>
      <c r="D590" s="63"/>
      <c r="E590" s="63"/>
      <c r="F590" s="63"/>
      <c r="G590" s="63"/>
      <c r="H590" s="67"/>
      <c r="I590" s="39"/>
      <c r="K590" s="39"/>
      <c r="L590" s="39"/>
      <c r="M590" s="39"/>
    </row>
    <row r="591" spans="1:13" ht="13">
      <c r="A591" s="66"/>
      <c r="B591" s="61"/>
      <c r="C591" s="63"/>
      <c r="D591" s="63"/>
      <c r="E591" s="63"/>
      <c r="F591" s="63"/>
      <c r="G591" s="63"/>
      <c r="H591" s="67"/>
      <c r="I591" s="39"/>
      <c r="K591" s="39"/>
      <c r="L591" s="39"/>
      <c r="M591" s="39"/>
    </row>
    <row r="592" spans="1:13" ht="13">
      <c r="A592" s="66"/>
      <c r="B592" s="61"/>
      <c r="C592" s="63"/>
      <c r="D592" s="63"/>
      <c r="E592" s="63"/>
      <c r="F592" s="63"/>
      <c r="G592" s="63"/>
      <c r="H592" s="67"/>
      <c r="I592" s="39"/>
      <c r="K592" s="39"/>
      <c r="L592" s="39"/>
      <c r="M592" s="39"/>
    </row>
    <row r="593" spans="1:13" ht="13">
      <c r="A593" s="66"/>
      <c r="B593" s="61"/>
      <c r="C593" s="63"/>
      <c r="D593" s="63"/>
      <c r="E593" s="63"/>
      <c r="F593" s="63"/>
      <c r="G593" s="63"/>
      <c r="H593" s="67"/>
      <c r="I593" s="39"/>
      <c r="K593" s="39"/>
      <c r="L593" s="39"/>
      <c r="M593" s="39"/>
    </row>
    <row r="594" spans="1:13" ht="13">
      <c r="A594" s="66"/>
      <c r="B594" s="61"/>
      <c r="C594" s="63"/>
      <c r="D594" s="63"/>
      <c r="E594" s="63"/>
      <c r="F594" s="63"/>
      <c r="G594" s="63"/>
      <c r="H594" s="67"/>
      <c r="I594" s="39"/>
      <c r="K594" s="39"/>
      <c r="L594" s="39"/>
      <c r="M594" s="39"/>
    </row>
    <row r="595" spans="1:13" ht="13">
      <c r="A595" s="66"/>
      <c r="B595" s="61"/>
      <c r="C595" s="63"/>
      <c r="D595" s="63"/>
      <c r="E595" s="63"/>
      <c r="F595" s="63"/>
      <c r="G595" s="63"/>
      <c r="H595" s="67"/>
      <c r="I595" s="39"/>
      <c r="K595" s="39"/>
      <c r="L595" s="39"/>
      <c r="M595" s="39"/>
    </row>
    <row r="596" spans="1:13" ht="13">
      <c r="A596" s="66"/>
      <c r="B596" s="61"/>
      <c r="C596" s="63"/>
      <c r="D596" s="63"/>
      <c r="E596" s="63"/>
      <c r="F596" s="63"/>
      <c r="G596" s="63"/>
      <c r="H596" s="67"/>
      <c r="I596" s="39"/>
      <c r="K596" s="39"/>
      <c r="L596" s="39"/>
      <c r="M596" s="39"/>
    </row>
    <row r="597" spans="1:13" ht="13">
      <c r="A597" s="66"/>
      <c r="B597" s="61"/>
      <c r="C597" s="63"/>
      <c r="D597" s="63"/>
      <c r="E597" s="63"/>
      <c r="F597" s="63"/>
      <c r="G597" s="63"/>
      <c r="H597" s="67"/>
      <c r="I597" s="39"/>
      <c r="K597" s="39"/>
      <c r="L597" s="39"/>
      <c r="M597" s="39"/>
    </row>
    <row r="598" spans="1:13" ht="13">
      <c r="A598" s="66"/>
      <c r="B598" s="61"/>
      <c r="C598" s="63"/>
      <c r="D598" s="63"/>
      <c r="E598" s="63"/>
      <c r="F598" s="63"/>
      <c r="G598" s="63"/>
      <c r="H598" s="67"/>
      <c r="I598" s="39"/>
      <c r="K598" s="39"/>
      <c r="L598" s="39"/>
      <c r="M598" s="39"/>
    </row>
    <row r="599" spans="1:13" ht="13">
      <c r="A599" s="66"/>
      <c r="B599" s="61"/>
      <c r="C599" s="63"/>
      <c r="D599" s="63"/>
      <c r="E599" s="63"/>
      <c r="F599" s="63"/>
      <c r="G599" s="63"/>
      <c r="H599" s="67"/>
      <c r="I599" s="39"/>
      <c r="K599" s="39"/>
      <c r="L599" s="39"/>
      <c r="M599" s="39"/>
    </row>
    <row r="600" spans="1:13" ht="13">
      <c r="A600" s="66"/>
      <c r="B600" s="61"/>
      <c r="C600" s="63"/>
      <c r="D600" s="63"/>
      <c r="E600" s="63"/>
      <c r="F600" s="63"/>
      <c r="G600" s="63"/>
      <c r="H600" s="67"/>
      <c r="I600" s="39"/>
      <c r="K600" s="39"/>
      <c r="L600" s="39"/>
      <c r="M600" s="39"/>
    </row>
    <row r="601" spans="1:13" ht="13">
      <c r="A601" s="66"/>
      <c r="B601" s="61"/>
      <c r="C601" s="63"/>
      <c r="D601" s="63"/>
      <c r="E601" s="63"/>
      <c r="F601" s="63"/>
      <c r="G601" s="63"/>
      <c r="H601" s="67"/>
      <c r="I601" s="39"/>
      <c r="K601" s="39"/>
      <c r="L601" s="39"/>
      <c r="M601" s="39"/>
    </row>
    <row r="602" spans="1:13" ht="13">
      <c r="A602" s="66"/>
      <c r="B602" s="61"/>
      <c r="C602" s="63"/>
      <c r="D602" s="63"/>
      <c r="E602" s="63"/>
      <c r="F602" s="63"/>
      <c r="G602" s="63"/>
      <c r="H602" s="67"/>
      <c r="I602" s="39"/>
      <c r="K602" s="39"/>
      <c r="L602" s="39"/>
      <c r="M602" s="39"/>
    </row>
    <row r="603" spans="1:13" ht="13">
      <c r="A603" s="66"/>
      <c r="B603" s="61"/>
      <c r="C603" s="63"/>
      <c r="D603" s="63"/>
      <c r="E603" s="63"/>
      <c r="F603" s="63"/>
      <c r="G603" s="63"/>
      <c r="H603" s="67"/>
      <c r="I603" s="39"/>
      <c r="K603" s="39"/>
      <c r="L603" s="39"/>
      <c r="M603" s="39"/>
    </row>
    <row r="604" spans="1:13" ht="13">
      <c r="A604" s="66"/>
      <c r="B604" s="61"/>
      <c r="C604" s="63"/>
      <c r="D604" s="63"/>
      <c r="E604" s="63"/>
      <c r="F604" s="63"/>
      <c r="G604" s="63"/>
      <c r="H604" s="67"/>
      <c r="I604" s="39"/>
      <c r="K604" s="39"/>
      <c r="L604" s="39"/>
      <c r="M604" s="39"/>
    </row>
    <row r="605" spans="1:13" ht="13">
      <c r="A605" s="66"/>
      <c r="B605" s="61"/>
      <c r="C605" s="63"/>
      <c r="D605" s="63"/>
      <c r="E605" s="63"/>
      <c r="F605" s="63"/>
      <c r="G605" s="63"/>
      <c r="H605" s="67"/>
      <c r="I605" s="39"/>
      <c r="K605" s="39"/>
      <c r="L605" s="39"/>
      <c r="M605" s="39"/>
    </row>
    <row r="606" spans="1:13" ht="13">
      <c r="A606" s="66"/>
      <c r="B606" s="61"/>
      <c r="C606" s="63"/>
      <c r="D606" s="63"/>
      <c r="E606" s="63"/>
      <c r="F606" s="63"/>
      <c r="G606" s="63"/>
      <c r="H606" s="67"/>
      <c r="I606" s="39"/>
      <c r="K606" s="39"/>
      <c r="L606" s="39"/>
      <c r="M606" s="39"/>
    </row>
    <row r="607" spans="1:13" ht="13">
      <c r="A607" s="66"/>
      <c r="B607" s="61"/>
      <c r="C607" s="63"/>
      <c r="D607" s="63"/>
      <c r="E607" s="63"/>
      <c r="F607" s="63"/>
      <c r="G607" s="63"/>
      <c r="H607" s="67"/>
      <c r="I607" s="39"/>
      <c r="K607" s="39"/>
      <c r="L607" s="39"/>
      <c r="M607" s="39"/>
    </row>
    <row r="608" spans="1:13" ht="13">
      <c r="A608" s="66"/>
      <c r="B608" s="61"/>
      <c r="C608" s="63"/>
      <c r="D608" s="63"/>
      <c r="E608" s="63"/>
      <c r="F608" s="63"/>
      <c r="G608" s="63"/>
      <c r="H608" s="67"/>
      <c r="I608" s="39"/>
      <c r="K608" s="39"/>
      <c r="L608" s="39"/>
      <c r="M608" s="39"/>
    </row>
    <row r="609" spans="1:13" ht="13">
      <c r="A609" s="66"/>
      <c r="B609" s="61"/>
      <c r="C609" s="63"/>
      <c r="D609" s="63"/>
      <c r="E609" s="63"/>
      <c r="F609" s="63"/>
      <c r="G609" s="63"/>
      <c r="H609" s="67"/>
      <c r="I609" s="39"/>
      <c r="K609" s="39"/>
      <c r="L609" s="39"/>
      <c r="M609" s="39"/>
    </row>
    <row r="610" spans="1:13" ht="13">
      <c r="A610" s="66"/>
      <c r="B610" s="61"/>
      <c r="C610" s="63"/>
      <c r="D610" s="63"/>
      <c r="E610" s="63"/>
      <c r="F610" s="63"/>
      <c r="G610" s="63"/>
      <c r="H610" s="67"/>
      <c r="I610" s="39"/>
      <c r="K610" s="39"/>
      <c r="L610" s="39"/>
      <c r="M610" s="39"/>
    </row>
    <row r="611" spans="1:13" ht="13">
      <c r="A611" s="66"/>
      <c r="B611" s="61"/>
      <c r="C611" s="63"/>
      <c r="D611" s="63"/>
      <c r="E611" s="63"/>
      <c r="F611" s="63"/>
      <c r="G611" s="63"/>
      <c r="H611" s="67"/>
      <c r="I611" s="39"/>
      <c r="K611" s="39"/>
      <c r="L611" s="39"/>
      <c r="M611" s="39"/>
    </row>
    <row r="612" spans="1:13" ht="13">
      <c r="A612" s="66"/>
      <c r="B612" s="61"/>
      <c r="C612" s="63"/>
      <c r="D612" s="63"/>
      <c r="E612" s="63"/>
      <c r="F612" s="63"/>
      <c r="G612" s="63"/>
      <c r="H612" s="67"/>
      <c r="I612" s="39"/>
      <c r="K612" s="39"/>
      <c r="L612" s="39"/>
      <c r="M612" s="39"/>
    </row>
    <row r="613" spans="1:13" ht="13">
      <c r="A613" s="66"/>
      <c r="B613" s="61"/>
      <c r="C613" s="63"/>
      <c r="D613" s="63"/>
      <c r="E613" s="63"/>
      <c r="F613" s="63"/>
      <c r="G613" s="63"/>
      <c r="H613" s="67"/>
      <c r="I613" s="39"/>
      <c r="K613" s="39"/>
      <c r="L613" s="39"/>
      <c r="M613" s="39"/>
    </row>
    <row r="614" spans="1:13" ht="13">
      <c r="A614" s="66"/>
      <c r="B614" s="61"/>
      <c r="C614" s="63"/>
      <c r="D614" s="63"/>
      <c r="E614" s="63"/>
      <c r="F614" s="63"/>
      <c r="G614" s="63"/>
      <c r="H614" s="67"/>
      <c r="I614" s="39"/>
      <c r="K614" s="39"/>
      <c r="L614" s="39"/>
      <c r="M614" s="39"/>
    </row>
    <row r="615" spans="1:13" ht="13">
      <c r="A615" s="66"/>
      <c r="B615" s="61"/>
      <c r="C615" s="63"/>
      <c r="D615" s="63"/>
      <c r="E615" s="63"/>
      <c r="F615" s="63"/>
      <c r="G615" s="63"/>
      <c r="H615" s="67"/>
      <c r="I615" s="39"/>
      <c r="K615" s="39"/>
      <c r="L615" s="39"/>
      <c r="M615" s="39"/>
    </row>
    <row r="616" spans="1:13" ht="13">
      <c r="A616" s="66"/>
      <c r="B616" s="61"/>
      <c r="C616" s="63"/>
      <c r="D616" s="63"/>
      <c r="E616" s="63"/>
      <c r="F616" s="63"/>
      <c r="G616" s="63"/>
      <c r="H616" s="67"/>
      <c r="I616" s="39"/>
      <c r="K616" s="39"/>
      <c r="L616" s="39"/>
      <c r="M616" s="39"/>
    </row>
    <row r="617" spans="1:13" ht="13">
      <c r="A617" s="66"/>
      <c r="B617" s="61"/>
      <c r="C617" s="63"/>
      <c r="D617" s="63"/>
      <c r="E617" s="63"/>
      <c r="F617" s="63"/>
      <c r="G617" s="63"/>
      <c r="H617" s="67"/>
      <c r="I617" s="39"/>
      <c r="K617" s="39"/>
      <c r="L617" s="39"/>
      <c r="M617" s="39"/>
    </row>
    <row r="618" spans="1:13" ht="13">
      <c r="A618" s="66"/>
      <c r="B618" s="61"/>
      <c r="C618" s="63"/>
      <c r="D618" s="63"/>
      <c r="E618" s="63"/>
      <c r="F618" s="63"/>
      <c r="G618" s="63"/>
      <c r="H618" s="67"/>
      <c r="I618" s="39"/>
      <c r="K618" s="39"/>
      <c r="L618" s="39"/>
      <c r="M618" s="39"/>
    </row>
    <row r="619" spans="1:13" ht="13">
      <c r="A619" s="66"/>
      <c r="B619" s="61"/>
      <c r="C619" s="63"/>
      <c r="D619" s="63"/>
      <c r="E619" s="63"/>
      <c r="F619" s="63"/>
      <c r="G619" s="63"/>
      <c r="H619" s="67"/>
      <c r="I619" s="39"/>
      <c r="K619" s="39"/>
      <c r="L619" s="39"/>
      <c r="M619" s="39"/>
    </row>
    <row r="620" spans="1:13" ht="13">
      <c r="A620" s="66"/>
      <c r="B620" s="61"/>
      <c r="C620" s="63"/>
      <c r="D620" s="63"/>
      <c r="E620" s="63"/>
      <c r="F620" s="63"/>
      <c r="G620" s="63"/>
      <c r="H620" s="67"/>
      <c r="I620" s="39"/>
      <c r="K620" s="39"/>
      <c r="L620" s="39"/>
      <c r="M620" s="39"/>
    </row>
    <row r="621" spans="1:13" ht="13">
      <c r="A621" s="66"/>
      <c r="B621" s="61"/>
      <c r="C621" s="63"/>
      <c r="D621" s="63"/>
      <c r="E621" s="63"/>
      <c r="F621" s="63"/>
      <c r="G621" s="63"/>
      <c r="H621" s="67"/>
      <c r="I621" s="39"/>
      <c r="K621" s="39"/>
      <c r="L621" s="39"/>
      <c r="M621" s="39"/>
    </row>
    <row r="622" spans="1:13" ht="13">
      <c r="A622" s="66"/>
      <c r="B622" s="61"/>
      <c r="C622" s="63"/>
      <c r="D622" s="63"/>
      <c r="E622" s="63"/>
      <c r="F622" s="63"/>
      <c r="G622" s="63"/>
      <c r="H622" s="67"/>
      <c r="I622" s="39"/>
      <c r="K622" s="39"/>
      <c r="L622" s="39"/>
      <c r="M622" s="39"/>
    </row>
    <row r="623" spans="1:13" ht="13">
      <c r="A623" s="66"/>
      <c r="B623" s="61"/>
      <c r="C623" s="63"/>
      <c r="D623" s="63"/>
      <c r="E623" s="63"/>
      <c r="F623" s="63"/>
      <c r="G623" s="63"/>
      <c r="H623" s="67"/>
      <c r="I623" s="39"/>
      <c r="K623" s="39"/>
      <c r="L623" s="39"/>
      <c r="M623" s="39"/>
    </row>
    <row r="624" spans="1:13" ht="13">
      <c r="A624" s="66"/>
      <c r="B624" s="61"/>
      <c r="C624" s="63"/>
      <c r="D624" s="63"/>
      <c r="E624" s="63"/>
      <c r="F624" s="63"/>
      <c r="G624" s="63"/>
      <c r="H624" s="67"/>
      <c r="I624" s="39"/>
      <c r="K624" s="39"/>
      <c r="L624" s="39"/>
      <c r="M624" s="39"/>
    </row>
    <row r="625" spans="1:13" ht="13">
      <c r="A625" s="66"/>
      <c r="B625" s="61"/>
      <c r="C625" s="63"/>
      <c r="D625" s="63"/>
      <c r="E625" s="63"/>
      <c r="F625" s="63"/>
      <c r="G625" s="63"/>
      <c r="H625" s="67"/>
      <c r="I625" s="39"/>
      <c r="K625" s="39"/>
      <c r="L625" s="39"/>
      <c r="M625" s="39"/>
    </row>
    <row r="626" spans="1:13" ht="13">
      <c r="A626" s="66"/>
      <c r="B626" s="61"/>
      <c r="C626" s="63"/>
      <c r="D626" s="63"/>
      <c r="E626" s="63"/>
      <c r="F626" s="63"/>
      <c r="G626" s="63"/>
      <c r="H626" s="67"/>
      <c r="I626" s="39"/>
      <c r="K626" s="39"/>
      <c r="L626" s="39"/>
      <c r="M626" s="39"/>
    </row>
    <row r="627" spans="1:13" ht="13">
      <c r="A627" s="66"/>
      <c r="B627" s="61"/>
      <c r="C627" s="63"/>
      <c r="D627" s="63"/>
      <c r="E627" s="63"/>
      <c r="F627" s="63"/>
      <c r="G627" s="63"/>
      <c r="H627" s="67"/>
      <c r="I627" s="39"/>
      <c r="K627" s="39"/>
      <c r="L627" s="39"/>
      <c r="M627" s="39"/>
    </row>
    <row r="628" spans="1:13" ht="13">
      <c r="A628" s="66"/>
      <c r="B628" s="61"/>
      <c r="C628" s="63"/>
      <c r="D628" s="63"/>
      <c r="E628" s="63"/>
      <c r="F628" s="63"/>
      <c r="G628" s="63"/>
      <c r="H628" s="67"/>
      <c r="I628" s="39"/>
      <c r="K628" s="39"/>
      <c r="L628" s="39"/>
      <c r="M628" s="39"/>
    </row>
    <row r="629" spans="1:13" ht="13">
      <c r="A629" s="66"/>
      <c r="B629" s="61"/>
      <c r="C629" s="63"/>
      <c r="D629" s="63"/>
      <c r="E629" s="63"/>
      <c r="F629" s="63"/>
      <c r="G629" s="63"/>
      <c r="H629" s="67"/>
      <c r="I629" s="39"/>
      <c r="K629" s="39"/>
      <c r="L629" s="39"/>
      <c r="M629" s="39"/>
    </row>
    <row r="630" spans="1:13" ht="13">
      <c r="A630" s="66"/>
      <c r="B630" s="61"/>
      <c r="C630" s="63"/>
      <c r="D630" s="63"/>
      <c r="E630" s="63"/>
      <c r="F630" s="63"/>
      <c r="G630" s="63"/>
      <c r="H630" s="67"/>
      <c r="I630" s="39"/>
      <c r="K630" s="39"/>
      <c r="L630" s="39"/>
      <c r="M630" s="39"/>
    </row>
    <row r="631" spans="1:13" ht="13">
      <c r="A631" s="66"/>
      <c r="B631" s="61"/>
      <c r="C631" s="63"/>
      <c r="D631" s="63"/>
      <c r="E631" s="63"/>
      <c r="F631" s="63"/>
      <c r="G631" s="63"/>
      <c r="H631" s="67"/>
      <c r="I631" s="39"/>
      <c r="K631" s="39"/>
      <c r="L631" s="39"/>
      <c r="M631" s="39"/>
    </row>
    <row r="632" spans="1:13" ht="13">
      <c r="A632" s="66"/>
      <c r="B632" s="61"/>
      <c r="C632" s="63"/>
      <c r="D632" s="63"/>
      <c r="E632" s="63"/>
      <c r="F632" s="63"/>
      <c r="G632" s="63"/>
      <c r="H632" s="67"/>
      <c r="I632" s="39"/>
      <c r="K632" s="39"/>
      <c r="L632" s="39"/>
      <c r="M632" s="39"/>
    </row>
    <row r="633" spans="1:13" ht="13">
      <c r="A633" s="66"/>
      <c r="B633" s="61"/>
      <c r="C633" s="63"/>
      <c r="D633" s="63"/>
      <c r="E633" s="63"/>
      <c r="F633" s="63"/>
      <c r="G633" s="63"/>
      <c r="H633" s="67"/>
      <c r="I633" s="39"/>
      <c r="K633" s="39"/>
      <c r="L633" s="39"/>
      <c r="M633" s="39"/>
    </row>
    <row r="634" spans="1:13" ht="13">
      <c r="A634" s="66"/>
      <c r="B634" s="61"/>
      <c r="C634" s="63"/>
      <c r="D634" s="63"/>
      <c r="E634" s="63"/>
      <c r="F634" s="63"/>
      <c r="G634" s="63"/>
      <c r="H634" s="67"/>
      <c r="I634" s="39"/>
      <c r="K634" s="39"/>
      <c r="L634" s="39"/>
      <c r="M634" s="39"/>
    </row>
    <row r="635" spans="1:13" ht="13">
      <c r="A635" s="66"/>
      <c r="B635" s="61"/>
      <c r="C635" s="63"/>
      <c r="D635" s="63"/>
      <c r="E635" s="63"/>
      <c r="F635" s="63"/>
      <c r="G635" s="63"/>
      <c r="H635" s="67"/>
      <c r="I635" s="39"/>
      <c r="K635" s="39"/>
      <c r="L635" s="39"/>
      <c r="M635" s="39"/>
    </row>
    <row r="636" spans="1:13" ht="13">
      <c r="A636" s="66"/>
      <c r="B636" s="61"/>
      <c r="C636" s="63"/>
      <c r="D636" s="63"/>
      <c r="E636" s="63"/>
      <c r="F636" s="63"/>
      <c r="G636" s="63"/>
      <c r="H636" s="67"/>
      <c r="I636" s="39"/>
      <c r="K636" s="39"/>
      <c r="L636" s="39"/>
      <c r="M636" s="39"/>
    </row>
    <row r="637" spans="1:13" ht="13">
      <c r="A637" s="66"/>
      <c r="B637" s="61"/>
      <c r="C637" s="63"/>
      <c r="D637" s="63"/>
      <c r="E637" s="63"/>
      <c r="F637" s="63"/>
      <c r="G637" s="63"/>
      <c r="H637" s="67"/>
      <c r="I637" s="39"/>
      <c r="K637" s="39"/>
      <c r="L637" s="39"/>
      <c r="M637" s="39"/>
    </row>
    <row r="638" spans="1:13" ht="13">
      <c r="A638" s="66"/>
      <c r="B638" s="61"/>
      <c r="C638" s="63"/>
      <c r="D638" s="63"/>
      <c r="E638" s="63"/>
      <c r="F638" s="63"/>
      <c r="G638" s="63"/>
      <c r="H638" s="67"/>
      <c r="I638" s="39"/>
      <c r="K638" s="39"/>
      <c r="L638" s="39"/>
      <c r="M638" s="39"/>
    </row>
    <row r="639" spans="1:13" ht="13">
      <c r="A639" s="66"/>
      <c r="B639" s="61"/>
      <c r="C639" s="63"/>
      <c r="D639" s="63"/>
      <c r="E639" s="63"/>
      <c r="F639" s="63"/>
      <c r="G639" s="63"/>
      <c r="H639" s="67"/>
      <c r="I639" s="39"/>
      <c r="K639" s="39"/>
      <c r="L639" s="39"/>
      <c r="M639" s="39"/>
    </row>
    <row r="640" spans="1:13" ht="13">
      <c r="A640" s="66"/>
      <c r="B640" s="61"/>
      <c r="C640" s="63"/>
      <c r="D640" s="63"/>
      <c r="E640" s="63"/>
      <c r="F640" s="63"/>
      <c r="G640" s="63"/>
      <c r="H640" s="67"/>
      <c r="I640" s="39"/>
      <c r="K640" s="39"/>
      <c r="L640" s="39"/>
      <c r="M640" s="39"/>
    </row>
    <row r="641" spans="1:13" ht="13">
      <c r="A641" s="66"/>
      <c r="B641" s="61"/>
      <c r="C641" s="63"/>
      <c r="D641" s="63"/>
      <c r="E641" s="63"/>
      <c r="F641" s="63"/>
      <c r="G641" s="63"/>
      <c r="H641" s="67"/>
      <c r="I641" s="39"/>
      <c r="K641" s="39"/>
      <c r="L641" s="39"/>
      <c r="M641" s="39"/>
    </row>
    <row r="642" spans="1:13" ht="13">
      <c r="A642" s="66"/>
      <c r="B642" s="61"/>
      <c r="C642" s="63"/>
      <c r="D642" s="63"/>
      <c r="E642" s="63"/>
      <c r="F642" s="63"/>
      <c r="G642" s="63"/>
      <c r="H642" s="67"/>
      <c r="I642" s="39"/>
      <c r="K642" s="39"/>
      <c r="L642" s="39"/>
      <c r="M642" s="39"/>
    </row>
    <row r="643" spans="1:13" ht="13">
      <c r="A643" s="66"/>
      <c r="B643" s="61"/>
      <c r="C643" s="63"/>
      <c r="D643" s="63"/>
      <c r="E643" s="63"/>
      <c r="F643" s="63"/>
      <c r="G643" s="63"/>
      <c r="H643" s="67"/>
      <c r="I643" s="39"/>
      <c r="K643" s="39"/>
      <c r="L643" s="39"/>
      <c r="M643" s="39"/>
    </row>
    <row r="644" spans="1:13" ht="13">
      <c r="A644" s="66"/>
      <c r="B644" s="61"/>
      <c r="C644" s="63"/>
      <c r="D644" s="63"/>
      <c r="E644" s="63"/>
      <c r="F644" s="63"/>
      <c r="G644" s="63"/>
      <c r="H644" s="67"/>
      <c r="I644" s="39"/>
      <c r="K644" s="39"/>
      <c r="L644" s="39"/>
      <c r="M644" s="39"/>
    </row>
    <row r="645" spans="1:13" ht="13">
      <c r="A645" s="66"/>
      <c r="B645" s="61"/>
      <c r="C645" s="63"/>
      <c r="D645" s="63"/>
      <c r="E645" s="63"/>
      <c r="F645" s="63"/>
      <c r="G645" s="63"/>
      <c r="H645" s="67"/>
      <c r="I645" s="39"/>
      <c r="K645" s="39"/>
      <c r="L645" s="39"/>
      <c r="M645" s="39"/>
    </row>
    <row r="646" spans="1:13" ht="13">
      <c r="A646" s="66"/>
      <c r="B646" s="61"/>
      <c r="C646" s="63"/>
      <c r="D646" s="63"/>
      <c r="E646" s="63"/>
      <c r="F646" s="63"/>
      <c r="G646" s="63"/>
      <c r="H646" s="67"/>
      <c r="I646" s="39"/>
      <c r="K646" s="39"/>
      <c r="L646" s="39"/>
      <c r="M646" s="39"/>
    </row>
    <row r="647" spans="1:13" ht="13">
      <c r="A647" s="66"/>
      <c r="B647" s="61"/>
      <c r="C647" s="63"/>
      <c r="D647" s="63"/>
      <c r="E647" s="63"/>
      <c r="F647" s="63"/>
      <c r="G647" s="63"/>
      <c r="H647" s="67"/>
      <c r="I647" s="39"/>
      <c r="K647" s="39"/>
      <c r="L647" s="39"/>
      <c r="M647" s="39"/>
    </row>
    <row r="648" spans="1:13" ht="13">
      <c r="A648" s="66"/>
      <c r="B648" s="61"/>
      <c r="C648" s="63"/>
      <c r="D648" s="63"/>
      <c r="E648" s="63"/>
      <c r="F648" s="63"/>
      <c r="G648" s="63"/>
      <c r="H648" s="67"/>
      <c r="I648" s="39"/>
      <c r="K648" s="39"/>
      <c r="L648" s="39"/>
      <c r="M648" s="39"/>
    </row>
    <row r="649" spans="1:13" ht="13">
      <c r="A649" s="66"/>
      <c r="B649" s="61"/>
      <c r="C649" s="63"/>
      <c r="D649" s="63"/>
      <c r="E649" s="63"/>
      <c r="F649" s="63"/>
      <c r="G649" s="63"/>
      <c r="H649" s="67"/>
      <c r="I649" s="39"/>
      <c r="K649" s="39"/>
      <c r="L649" s="39"/>
      <c r="M649" s="39"/>
    </row>
    <row r="650" spans="1:13" ht="13">
      <c r="A650" s="66"/>
      <c r="B650" s="61"/>
      <c r="C650" s="63"/>
      <c r="D650" s="63"/>
      <c r="E650" s="63"/>
      <c r="F650" s="63"/>
      <c r="G650" s="63"/>
      <c r="H650" s="67"/>
      <c r="I650" s="39"/>
      <c r="K650" s="39"/>
      <c r="L650" s="39"/>
      <c r="M650" s="39"/>
    </row>
    <row r="651" spans="1:13" ht="13">
      <c r="A651" s="66"/>
      <c r="B651" s="61"/>
      <c r="C651" s="63"/>
      <c r="D651" s="63"/>
      <c r="E651" s="63"/>
      <c r="F651" s="63"/>
      <c r="G651" s="63"/>
      <c r="H651" s="67"/>
      <c r="I651" s="39"/>
      <c r="K651" s="39"/>
      <c r="L651" s="39"/>
      <c r="M651" s="39"/>
    </row>
    <row r="652" spans="1:13" ht="13">
      <c r="A652" s="66"/>
      <c r="B652" s="61"/>
      <c r="C652" s="63"/>
      <c r="D652" s="63"/>
      <c r="E652" s="63"/>
      <c r="F652" s="63"/>
      <c r="G652" s="63"/>
      <c r="H652" s="67"/>
      <c r="I652" s="39"/>
      <c r="K652" s="39"/>
      <c r="L652" s="39"/>
      <c r="M652" s="39"/>
    </row>
    <row r="653" spans="1:13" ht="13">
      <c r="A653" s="66"/>
      <c r="B653" s="61"/>
      <c r="C653" s="63"/>
      <c r="D653" s="63"/>
      <c r="E653" s="63"/>
      <c r="F653" s="63"/>
      <c r="G653" s="63"/>
      <c r="H653" s="67"/>
      <c r="I653" s="39"/>
      <c r="K653" s="39"/>
      <c r="L653" s="39"/>
      <c r="M653" s="39"/>
    </row>
    <row r="654" spans="1:13" ht="13">
      <c r="A654" s="66"/>
      <c r="B654" s="61"/>
      <c r="C654" s="63"/>
      <c r="D654" s="63"/>
      <c r="E654" s="63"/>
      <c r="F654" s="63"/>
      <c r="G654" s="63"/>
      <c r="H654" s="67"/>
      <c r="I654" s="39"/>
      <c r="K654" s="39"/>
      <c r="L654" s="39"/>
      <c r="M654" s="39"/>
    </row>
    <row r="655" spans="1:13" ht="13">
      <c r="A655" s="66"/>
      <c r="B655" s="61"/>
      <c r="C655" s="63"/>
      <c r="D655" s="63"/>
      <c r="E655" s="63"/>
      <c r="F655" s="63"/>
      <c r="G655" s="63"/>
      <c r="H655" s="67"/>
      <c r="I655" s="39"/>
      <c r="K655" s="39"/>
      <c r="L655" s="39"/>
      <c r="M655" s="39"/>
    </row>
    <row r="656" spans="1:13" ht="13">
      <c r="A656" s="66"/>
      <c r="B656" s="61"/>
      <c r="C656" s="63"/>
      <c r="D656" s="63"/>
      <c r="E656" s="63"/>
      <c r="F656" s="63"/>
      <c r="G656" s="63"/>
      <c r="H656" s="67"/>
      <c r="I656" s="39"/>
      <c r="K656" s="39"/>
      <c r="L656" s="39"/>
      <c r="M656" s="39"/>
    </row>
    <row r="657" spans="1:13" ht="13">
      <c r="A657" s="66"/>
      <c r="B657" s="61"/>
      <c r="C657" s="63"/>
      <c r="D657" s="63"/>
      <c r="E657" s="63"/>
      <c r="F657" s="63"/>
      <c r="G657" s="63"/>
      <c r="H657" s="67"/>
      <c r="I657" s="39"/>
      <c r="K657" s="39"/>
      <c r="L657" s="39"/>
      <c r="M657" s="39"/>
    </row>
    <row r="658" spans="1:13" ht="13">
      <c r="A658" s="66"/>
      <c r="B658" s="61"/>
      <c r="C658" s="63"/>
      <c r="D658" s="63"/>
      <c r="E658" s="63"/>
      <c r="F658" s="63"/>
      <c r="G658" s="63"/>
      <c r="H658" s="67"/>
      <c r="I658" s="39"/>
      <c r="K658" s="39"/>
      <c r="L658" s="39"/>
      <c r="M658" s="39"/>
    </row>
    <row r="659" spans="1:13" ht="13">
      <c r="A659" s="66"/>
      <c r="B659" s="61"/>
      <c r="C659" s="63"/>
      <c r="D659" s="63"/>
      <c r="E659" s="63"/>
      <c r="F659" s="63"/>
      <c r="G659" s="63"/>
      <c r="H659" s="67"/>
      <c r="I659" s="39"/>
      <c r="K659" s="39"/>
      <c r="L659" s="39"/>
      <c r="M659" s="39"/>
    </row>
    <row r="660" spans="1:13" ht="13">
      <c r="A660" s="66"/>
      <c r="B660" s="61"/>
      <c r="C660" s="63"/>
      <c r="D660" s="63"/>
      <c r="E660" s="63"/>
      <c r="F660" s="63"/>
      <c r="G660" s="63"/>
      <c r="H660" s="67"/>
      <c r="I660" s="39"/>
      <c r="K660" s="39"/>
      <c r="L660" s="39"/>
      <c r="M660" s="39"/>
    </row>
    <row r="661" spans="1:13" ht="13">
      <c r="A661" s="66"/>
      <c r="B661" s="61"/>
      <c r="C661" s="63"/>
      <c r="D661" s="63"/>
      <c r="E661" s="63"/>
      <c r="F661" s="63"/>
      <c r="G661" s="63"/>
      <c r="H661" s="67"/>
      <c r="I661" s="39"/>
      <c r="K661" s="39"/>
      <c r="L661" s="39"/>
      <c r="M661" s="39"/>
    </row>
    <row r="662" spans="1:13" ht="13">
      <c r="A662" s="66"/>
      <c r="B662" s="61"/>
      <c r="C662" s="63"/>
      <c r="D662" s="63"/>
      <c r="E662" s="63"/>
      <c r="F662" s="63"/>
      <c r="G662" s="63"/>
      <c r="H662" s="67"/>
      <c r="I662" s="39"/>
      <c r="K662" s="39"/>
      <c r="L662" s="39"/>
      <c r="M662" s="39"/>
    </row>
    <row r="663" spans="1:13" ht="13">
      <c r="A663" s="66"/>
      <c r="B663" s="61"/>
      <c r="C663" s="63"/>
      <c r="D663" s="63"/>
      <c r="E663" s="63"/>
      <c r="F663" s="63"/>
      <c r="G663" s="63"/>
      <c r="H663" s="67"/>
      <c r="I663" s="39"/>
      <c r="K663" s="39"/>
      <c r="L663" s="39"/>
      <c r="M663" s="39"/>
    </row>
    <row r="664" spans="1:13" ht="13">
      <c r="A664" s="66"/>
      <c r="B664" s="61"/>
      <c r="C664" s="63"/>
      <c r="D664" s="63"/>
      <c r="E664" s="63"/>
      <c r="F664" s="63"/>
      <c r="G664" s="63"/>
      <c r="H664" s="67"/>
      <c r="I664" s="39"/>
      <c r="K664" s="39"/>
      <c r="L664" s="39"/>
      <c r="M664" s="39"/>
    </row>
    <row r="665" spans="1:13" ht="13">
      <c r="A665" s="66"/>
      <c r="B665" s="61"/>
      <c r="C665" s="63"/>
      <c r="D665" s="63"/>
      <c r="E665" s="63"/>
      <c r="F665" s="63"/>
      <c r="G665" s="63"/>
      <c r="H665" s="67"/>
      <c r="I665" s="39"/>
      <c r="K665" s="39"/>
      <c r="L665" s="39"/>
      <c r="M665" s="39"/>
    </row>
    <row r="666" spans="1:13" ht="13">
      <c r="A666" s="66"/>
      <c r="B666" s="61"/>
      <c r="C666" s="63"/>
      <c r="D666" s="63"/>
      <c r="E666" s="63"/>
      <c r="F666" s="63"/>
      <c r="G666" s="63"/>
      <c r="H666" s="67"/>
      <c r="I666" s="39"/>
      <c r="K666" s="39"/>
      <c r="L666" s="39"/>
      <c r="M666" s="39"/>
    </row>
    <row r="667" spans="1:13" ht="13">
      <c r="A667" s="66"/>
      <c r="B667" s="61"/>
      <c r="C667" s="63"/>
      <c r="D667" s="63"/>
      <c r="E667" s="63"/>
      <c r="F667" s="63"/>
      <c r="G667" s="63"/>
      <c r="H667" s="67"/>
      <c r="I667" s="39"/>
      <c r="K667" s="39"/>
      <c r="L667" s="39"/>
      <c r="M667" s="39"/>
    </row>
    <row r="668" spans="1:13" ht="13">
      <c r="A668" s="66"/>
      <c r="B668" s="61"/>
      <c r="C668" s="63"/>
      <c r="D668" s="63"/>
      <c r="E668" s="63"/>
      <c r="F668" s="63"/>
      <c r="G668" s="63"/>
      <c r="H668" s="67"/>
      <c r="I668" s="39"/>
      <c r="K668" s="39"/>
      <c r="L668" s="39"/>
      <c r="M668" s="39"/>
    </row>
    <row r="669" spans="1:13" ht="13">
      <c r="A669" s="66"/>
      <c r="B669" s="61"/>
      <c r="C669" s="63"/>
      <c r="D669" s="63"/>
      <c r="E669" s="63"/>
      <c r="F669" s="63"/>
      <c r="G669" s="63"/>
      <c r="H669" s="67"/>
      <c r="I669" s="39"/>
      <c r="K669" s="39"/>
      <c r="L669" s="39"/>
      <c r="M669" s="39"/>
    </row>
    <row r="670" spans="1:13" ht="13">
      <c r="A670" s="66"/>
      <c r="B670" s="61"/>
      <c r="C670" s="63"/>
      <c r="D670" s="63"/>
      <c r="E670" s="63"/>
      <c r="F670" s="63"/>
      <c r="G670" s="63"/>
      <c r="H670" s="67"/>
      <c r="I670" s="39"/>
      <c r="K670" s="39"/>
      <c r="L670" s="39"/>
      <c r="M670" s="39"/>
    </row>
    <row r="671" spans="1:13" ht="13">
      <c r="A671" s="66"/>
      <c r="B671" s="61"/>
      <c r="C671" s="63"/>
      <c r="D671" s="63"/>
      <c r="E671" s="63"/>
      <c r="F671" s="63"/>
      <c r="G671" s="63"/>
      <c r="H671" s="67"/>
      <c r="I671" s="39"/>
      <c r="K671" s="39"/>
      <c r="L671" s="39"/>
      <c r="M671" s="39"/>
    </row>
    <row r="672" spans="1:13" ht="13">
      <c r="A672" s="66"/>
      <c r="B672" s="61"/>
      <c r="C672" s="63"/>
      <c r="D672" s="63"/>
      <c r="E672" s="63"/>
      <c r="F672" s="63"/>
      <c r="G672" s="63"/>
      <c r="H672" s="67"/>
      <c r="I672" s="39"/>
      <c r="K672" s="39"/>
      <c r="L672" s="39"/>
      <c r="M672" s="39"/>
    </row>
    <row r="673" spans="1:13" ht="13">
      <c r="A673" s="66"/>
      <c r="B673" s="61"/>
      <c r="C673" s="63"/>
      <c r="D673" s="63"/>
      <c r="E673" s="63"/>
      <c r="F673" s="63"/>
      <c r="G673" s="63"/>
      <c r="H673" s="67"/>
      <c r="I673" s="39"/>
      <c r="K673" s="39"/>
      <c r="L673" s="39"/>
      <c r="M673" s="39"/>
    </row>
    <row r="674" spans="1:13" ht="13">
      <c r="A674" s="66"/>
      <c r="B674" s="61"/>
      <c r="C674" s="63"/>
      <c r="D674" s="63"/>
      <c r="E674" s="63"/>
      <c r="F674" s="63"/>
      <c r="G674" s="63"/>
      <c r="H674" s="67"/>
      <c r="I674" s="39"/>
      <c r="K674" s="39"/>
      <c r="L674" s="39"/>
      <c r="M674" s="39"/>
    </row>
    <row r="675" spans="1:13" ht="13">
      <c r="A675" s="66"/>
      <c r="B675" s="61"/>
      <c r="C675" s="63"/>
      <c r="D675" s="63"/>
      <c r="E675" s="63"/>
      <c r="F675" s="63"/>
      <c r="G675" s="63"/>
      <c r="H675" s="67"/>
      <c r="I675" s="39"/>
      <c r="K675" s="39"/>
      <c r="L675" s="39"/>
      <c r="M675" s="39"/>
    </row>
    <row r="676" spans="1:13" ht="13">
      <c r="A676" s="66"/>
      <c r="B676" s="61"/>
      <c r="C676" s="63"/>
      <c r="D676" s="63"/>
      <c r="E676" s="63"/>
      <c r="F676" s="63"/>
      <c r="G676" s="63"/>
      <c r="H676" s="67"/>
      <c r="I676" s="39"/>
      <c r="K676" s="39"/>
      <c r="L676" s="39"/>
      <c r="M676" s="39"/>
    </row>
    <row r="677" spans="1:13" ht="13">
      <c r="A677" s="66"/>
      <c r="B677" s="61"/>
      <c r="C677" s="63"/>
      <c r="D677" s="63"/>
      <c r="E677" s="63"/>
      <c r="F677" s="63"/>
      <c r="G677" s="63"/>
      <c r="H677" s="67"/>
      <c r="I677" s="39"/>
      <c r="K677" s="39"/>
      <c r="L677" s="39"/>
      <c r="M677" s="39"/>
    </row>
    <row r="678" spans="1:13" ht="13">
      <c r="A678" s="66"/>
      <c r="B678" s="61"/>
      <c r="C678" s="63"/>
      <c r="D678" s="63"/>
      <c r="E678" s="63"/>
      <c r="F678" s="63"/>
      <c r="G678" s="63"/>
      <c r="H678" s="67"/>
      <c r="I678" s="39"/>
      <c r="K678" s="39"/>
      <c r="L678" s="39"/>
      <c r="M678" s="39"/>
    </row>
    <row r="679" spans="1:13" ht="13">
      <c r="A679" s="66"/>
      <c r="B679" s="61"/>
      <c r="C679" s="63"/>
      <c r="D679" s="63"/>
      <c r="E679" s="63"/>
      <c r="F679" s="63"/>
      <c r="G679" s="63"/>
      <c r="H679" s="67"/>
      <c r="I679" s="39"/>
      <c r="K679" s="39"/>
      <c r="L679" s="39"/>
      <c r="M679" s="39"/>
    </row>
    <row r="680" spans="1:13" ht="13">
      <c r="A680" s="66"/>
      <c r="B680" s="61"/>
      <c r="C680" s="63"/>
      <c r="D680" s="63"/>
      <c r="E680" s="63"/>
      <c r="F680" s="63"/>
      <c r="G680" s="63"/>
      <c r="H680" s="67"/>
      <c r="I680" s="39"/>
      <c r="K680" s="39"/>
      <c r="L680" s="39"/>
      <c r="M680" s="39"/>
    </row>
    <row r="681" spans="1:13" ht="13">
      <c r="A681" s="66"/>
      <c r="B681" s="61"/>
      <c r="C681" s="63"/>
      <c r="D681" s="63"/>
      <c r="E681" s="63"/>
      <c r="F681" s="63"/>
      <c r="G681" s="63"/>
      <c r="H681" s="67"/>
      <c r="I681" s="39"/>
      <c r="K681" s="39"/>
      <c r="L681" s="39"/>
      <c r="M681" s="39"/>
    </row>
    <row r="682" spans="1:13" ht="13">
      <c r="A682" s="66"/>
      <c r="B682" s="61"/>
      <c r="C682" s="63"/>
      <c r="D682" s="63"/>
      <c r="E682" s="63"/>
      <c r="F682" s="63"/>
      <c r="G682" s="63"/>
      <c r="H682" s="67"/>
      <c r="I682" s="39"/>
      <c r="K682" s="39"/>
      <c r="L682" s="39"/>
      <c r="M682" s="39"/>
    </row>
    <row r="683" spans="1:13" ht="13">
      <c r="A683" s="66"/>
      <c r="B683" s="61"/>
      <c r="C683" s="63"/>
      <c r="D683" s="63"/>
      <c r="E683" s="63"/>
      <c r="F683" s="63"/>
      <c r="G683" s="63"/>
      <c r="H683" s="67"/>
      <c r="I683" s="39"/>
      <c r="K683" s="39"/>
      <c r="L683" s="39"/>
      <c r="M683" s="39"/>
    </row>
    <row r="684" spans="1:13" ht="13">
      <c r="A684" s="66"/>
      <c r="B684" s="61"/>
      <c r="C684" s="63"/>
      <c r="D684" s="63"/>
      <c r="E684" s="63"/>
      <c r="F684" s="63"/>
      <c r="G684" s="63"/>
      <c r="H684" s="67"/>
      <c r="I684" s="39"/>
      <c r="K684" s="39"/>
      <c r="L684" s="39"/>
      <c r="M684" s="39"/>
    </row>
    <row r="685" spans="1:13" ht="13">
      <c r="A685" s="66"/>
      <c r="B685" s="61"/>
      <c r="C685" s="63"/>
      <c r="D685" s="63"/>
      <c r="E685" s="63"/>
      <c r="F685" s="63"/>
      <c r="G685" s="63"/>
      <c r="H685" s="67"/>
      <c r="I685" s="39"/>
      <c r="K685" s="39"/>
      <c r="L685" s="39"/>
      <c r="M685" s="39"/>
    </row>
    <row r="686" spans="1:13" ht="13">
      <c r="A686" s="66"/>
      <c r="B686" s="61"/>
      <c r="C686" s="63"/>
      <c r="D686" s="63"/>
      <c r="E686" s="63"/>
      <c r="F686" s="63"/>
      <c r="G686" s="63"/>
      <c r="H686" s="67"/>
      <c r="I686" s="39"/>
      <c r="K686" s="39"/>
      <c r="L686" s="39"/>
      <c r="M686" s="39"/>
    </row>
    <row r="687" spans="1:13" ht="13">
      <c r="A687" s="66"/>
      <c r="B687" s="61"/>
      <c r="C687" s="63"/>
      <c r="D687" s="63"/>
      <c r="E687" s="63"/>
      <c r="F687" s="63"/>
      <c r="G687" s="63"/>
      <c r="H687" s="67"/>
      <c r="I687" s="39"/>
      <c r="K687" s="39"/>
      <c r="L687" s="39"/>
      <c r="M687" s="39"/>
    </row>
    <row r="688" spans="1:13" ht="13">
      <c r="A688" s="66"/>
      <c r="B688" s="61"/>
      <c r="C688" s="63"/>
      <c r="D688" s="63"/>
      <c r="E688" s="63"/>
      <c r="F688" s="63"/>
      <c r="G688" s="63"/>
      <c r="H688" s="67"/>
      <c r="I688" s="39"/>
      <c r="K688" s="39"/>
      <c r="L688" s="39"/>
      <c r="M688" s="39"/>
    </row>
    <row r="689" spans="1:13" ht="13">
      <c r="A689" s="66"/>
      <c r="B689" s="61"/>
      <c r="C689" s="63"/>
      <c r="D689" s="63"/>
      <c r="E689" s="63"/>
      <c r="F689" s="63"/>
      <c r="G689" s="63"/>
      <c r="H689" s="67"/>
      <c r="I689" s="39"/>
      <c r="K689" s="39"/>
      <c r="L689" s="39"/>
      <c r="M689" s="39"/>
    </row>
    <row r="690" spans="1:13" ht="13">
      <c r="A690" s="66"/>
      <c r="B690" s="61"/>
      <c r="C690" s="63"/>
      <c r="D690" s="63"/>
      <c r="E690" s="63"/>
      <c r="F690" s="63"/>
      <c r="G690" s="63"/>
      <c r="H690" s="67"/>
      <c r="I690" s="39"/>
      <c r="K690" s="39"/>
      <c r="L690" s="39"/>
      <c r="M690" s="39"/>
    </row>
    <row r="691" spans="1:13" ht="13">
      <c r="A691" s="66"/>
      <c r="B691" s="61"/>
      <c r="C691" s="63"/>
      <c r="D691" s="63"/>
      <c r="E691" s="63"/>
      <c r="F691" s="63"/>
      <c r="G691" s="63"/>
      <c r="H691" s="67"/>
      <c r="I691" s="39"/>
      <c r="K691" s="39"/>
      <c r="L691" s="39"/>
      <c r="M691" s="39"/>
    </row>
    <row r="692" spans="1:13" ht="13">
      <c r="A692" s="66"/>
      <c r="B692" s="61"/>
      <c r="C692" s="63"/>
      <c r="D692" s="63"/>
      <c r="E692" s="63"/>
      <c r="F692" s="63"/>
      <c r="G692" s="63"/>
      <c r="H692" s="67"/>
      <c r="I692" s="39"/>
      <c r="K692" s="39"/>
      <c r="L692" s="39"/>
      <c r="M692" s="39"/>
    </row>
    <row r="693" spans="1:13" ht="13">
      <c r="A693" s="66"/>
      <c r="B693" s="61"/>
      <c r="C693" s="63"/>
      <c r="D693" s="63"/>
      <c r="E693" s="63"/>
      <c r="F693" s="63"/>
      <c r="G693" s="63"/>
      <c r="H693" s="67"/>
      <c r="I693" s="39"/>
      <c r="K693" s="39"/>
      <c r="L693" s="39"/>
      <c r="M693" s="39"/>
    </row>
    <row r="694" spans="1:13" ht="13">
      <c r="A694" s="66"/>
      <c r="B694" s="61"/>
      <c r="C694" s="63"/>
      <c r="D694" s="63"/>
      <c r="E694" s="63"/>
      <c r="F694" s="63"/>
      <c r="G694" s="63"/>
      <c r="H694" s="67"/>
      <c r="I694" s="39"/>
      <c r="K694" s="39"/>
      <c r="L694" s="39"/>
      <c r="M694" s="39"/>
    </row>
    <row r="695" spans="1:13" ht="13">
      <c r="A695" s="66"/>
      <c r="B695" s="61"/>
      <c r="C695" s="63"/>
      <c r="D695" s="63"/>
      <c r="E695" s="63"/>
      <c r="F695" s="63"/>
      <c r="G695" s="63"/>
      <c r="H695" s="67"/>
      <c r="I695" s="39"/>
      <c r="K695" s="39"/>
      <c r="L695" s="39"/>
      <c r="M695" s="39"/>
    </row>
    <row r="696" spans="1:13" ht="13">
      <c r="A696" s="66"/>
      <c r="B696" s="61"/>
      <c r="C696" s="63"/>
      <c r="D696" s="63"/>
      <c r="E696" s="63"/>
      <c r="F696" s="63"/>
      <c r="G696" s="63"/>
      <c r="H696" s="67"/>
      <c r="I696" s="39"/>
      <c r="K696" s="39"/>
      <c r="L696" s="39"/>
      <c r="M696" s="39"/>
    </row>
    <row r="697" spans="1:13" ht="13">
      <c r="A697" s="66"/>
      <c r="B697" s="61"/>
      <c r="C697" s="63"/>
      <c r="D697" s="63"/>
      <c r="E697" s="63"/>
      <c r="F697" s="63"/>
      <c r="G697" s="63"/>
      <c r="H697" s="67"/>
      <c r="I697" s="39"/>
      <c r="K697" s="39"/>
      <c r="L697" s="39"/>
      <c r="M697" s="39"/>
    </row>
    <row r="698" spans="1:13" ht="13">
      <c r="A698" s="66"/>
      <c r="B698" s="61"/>
      <c r="C698" s="63"/>
      <c r="D698" s="63"/>
      <c r="E698" s="63"/>
      <c r="F698" s="63"/>
      <c r="G698" s="63"/>
      <c r="H698" s="67"/>
      <c r="I698" s="39"/>
      <c r="K698" s="39"/>
      <c r="L698" s="39"/>
      <c r="M698" s="39"/>
    </row>
    <row r="699" spans="1:13" ht="13">
      <c r="A699" s="66"/>
      <c r="B699" s="61"/>
      <c r="C699" s="63"/>
      <c r="D699" s="63"/>
      <c r="E699" s="63"/>
      <c r="F699" s="63"/>
      <c r="G699" s="63"/>
      <c r="H699" s="67"/>
      <c r="I699" s="39"/>
      <c r="K699" s="39"/>
      <c r="L699" s="39"/>
      <c r="M699" s="39"/>
    </row>
    <row r="700" spans="1:13" ht="13">
      <c r="A700" s="66"/>
      <c r="B700" s="61"/>
      <c r="C700" s="63"/>
      <c r="D700" s="63"/>
      <c r="E700" s="63"/>
      <c r="F700" s="63"/>
      <c r="G700" s="63"/>
      <c r="H700" s="67"/>
      <c r="I700" s="39"/>
      <c r="K700" s="39"/>
      <c r="L700" s="39"/>
      <c r="M700" s="39"/>
    </row>
    <row r="701" spans="1:13" ht="13">
      <c r="A701" s="66"/>
      <c r="B701" s="61"/>
      <c r="C701" s="63"/>
      <c r="D701" s="63"/>
      <c r="E701" s="63"/>
      <c r="F701" s="63"/>
      <c r="G701" s="63"/>
      <c r="H701" s="67"/>
      <c r="I701" s="39"/>
      <c r="K701" s="39"/>
      <c r="L701" s="39"/>
      <c r="M701" s="39"/>
    </row>
    <row r="702" spans="1:13" ht="13">
      <c r="A702" s="66"/>
      <c r="B702" s="61"/>
      <c r="C702" s="63"/>
      <c r="D702" s="63"/>
      <c r="E702" s="63"/>
      <c r="F702" s="63"/>
      <c r="G702" s="63"/>
      <c r="H702" s="67"/>
      <c r="I702" s="39"/>
      <c r="K702" s="39"/>
      <c r="L702" s="39"/>
      <c r="M702" s="39"/>
    </row>
    <row r="703" spans="1:13" ht="13">
      <c r="A703" s="66"/>
      <c r="B703" s="61"/>
      <c r="C703" s="63"/>
      <c r="D703" s="63"/>
      <c r="E703" s="63"/>
      <c r="F703" s="63"/>
      <c r="G703" s="63"/>
      <c r="H703" s="67"/>
      <c r="I703" s="39"/>
      <c r="K703" s="39"/>
      <c r="L703" s="39"/>
      <c r="M703" s="39"/>
    </row>
    <row r="704" spans="1:13" ht="13">
      <c r="A704" s="66"/>
      <c r="B704" s="61"/>
      <c r="C704" s="63"/>
      <c r="D704" s="63"/>
      <c r="E704" s="63"/>
      <c r="F704" s="63"/>
      <c r="G704" s="63"/>
      <c r="H704" s="67"/>
      <c r="I704" s="39"/>
      <c r="K704" s="39"/>
      <c r="L704" s="39"/>
      <c r="M704" s="39"/>
    </row>
    <row r="705" spans="1:13" ht="13">
      <c r="A705" s="66"/>
      <c r="B705" s="61"/>
      <c r="C705" s="63"/>
      <c r="D705" s="63"/>
      <c r="E705" s="63"/>
      <c r="F705" s="63"/>
      <c r="G705" s="63"/>
      <c r="H705" s="67"/>
      <c r="I705" s="39"/>
      <c r="K705" s="39"/>
      <c r="L705" s="39"/>
      <c r="M705" s="39"/>
    </row>
    <row r="706" spans="1:13" ht="13">
      <c r="A706" s="66"/>
      <c r="B706" s="61"/>
      <c r="C706" s="63"/>
      <c r="D706" s="63"/>
      <c r="E706" s="63"/>
      <c r="F706" s="63"/>
      <c r="G706" s="63"/>
      <c r="H706" s="67"/>
      <c r="I706" s="39"/>
      <c r="K706" s="39"/>
      <c r="L706" s="39"/>
      <c r="M706" s="39"/>
    </row>
    <row r="707" spans="1:13" ht="13">
      <c r="A707" s="66"/>
      <c r="B707" s="61"/>
      <c r="C707" s="63"/>
      <c r="D707" s="63"/>
      <c r="E707" s="63"/>
      <c r="F707" s="63"/>
      <c r="G707" s="63"/>
      <c r="H707" s="67"/>
      <c r="I707" s="39"/>
      <c r="K707" s="39"/>
      <c r="L707" s="39"/>
      <c r="M707" s="39"/>
    </row>
    <row r="708" spans="1:13" ht="13">
      <c r="A708" s="66"/>
      <c r="B708" s="61"/>
      <c r="C708" s="63"/>
      <c r="D708" s="63"/>
      <c r="E708" s="63"/>
      <c r="F708" s="63"/>
      <c r="G708" s="63"/>
      <c r="H708" s="67"/>
      <c r="I708" s="39"/>
      <c r="K708" s="39"/>
      <c r="L708" s="39"/>
      <c r="M708" s="39"/>
    </row>
    <row r="709" spans="1:13" ht="13">
      <c r="A709" s="66"/>
      <c r="B709" s="61"/>
      <c r="C709" s="63"/>
      <c r="D709" s="63"/>
      <c r="E709" s="63"/>
      <c r="F709" s="63"/>
      <c r="G709" s="63"/>
      <c r="H709" s="67"/>
      <c r="I709" s="39"/>
      <c r="K709" s="39"/>
      <c r="L709" s="39"/>
      <c r="M709" s="39"/>
    </row>
    <row r="710" spans="1:13" ht="13">
      <c r="A710" s="66"/>
      <c r="B710" s="61"/>
      <c r="C710" s="63"/>
      <c r="D710" s="63"/>
      <c r="E710" s="63"/>
      <c r="F710" s="63"/>
      <c r="G710" s="63"/>
      <c r="H710" s="67"/>
      <c r="I710" s="39"/>
      <c r="K710" s="39"/>
      <c r="L710" s="39"/>
      <c r="M710" s="39"/>
    </row>
    <row r="711" spans="1:13" ht="13">
      <c r="A711" s="66"/>
      <c r="B711" s="61"/>
      <c r="C711" s="63"/>
      <c r="D711" s="63"/>
      <c r="E711" s="63"/>
      <c r="F711" s="63"/>
      <c r="G711" s="63"/>
      <c r="H711" s="67"/>
      <c r="I711" s="39"/>
      <c r="K711" s="39"/>
      <c r="L711" s="39"/>
      <c r="M711" s="39"/>
    </row>
    <row r="712" spans="1:13" ht="13">
      <c r="A712" s="66"/>
      <c r="B712" s="61"/>
      <c r="C712" s="63"/>
      <c r="D712" s="63"/>
      <c r="E712" s="63"/>
      <c r="F712" s="63"/>
      <c r="G712" s="63"/>
      <c r="H712" s="67"/>
      <c r="I712" s="39"/>
      <c r="K712" s="39"/>
      <c r="L712" s="39"/>
      <c r="M712" s="39"/>
    </row>
    <row r="713" spans="1:13" ht="13">
      <c r="A713" s="66"/>
      <c r="B713" s="61"/>
      <c r="C713" s="63"/>
      <c r="D713" s="63"/>
      <c r="E713" s="63"/>
      <c r="F713" s="63"/>
      <c r="G713" s="63"/>
      <c r="H713" s="67"/>
      <c r="I713" s="39"/>
      <c r="K713" s="39"/>
      <c r="L713" s="39"/>
      <c r="M713" s="39"/>
    </row>
    <row r="714" spans="1:13" ht="13">
      <c r="A714" s="66"/>
      <c r="B714" s="61"/>
      <c r="C714" s="63"/>
      <c r="D714" s="63"/>
      <c r="E714" s="63"/>
      <c r="F714" s="63"/>
      <c r="G714" s="63"/>
      <c r="H714" s="67"/>
      <c r="I714" s="39"/>
      <c r="K714" s="39"/>
      <c r="L714" s="39"/>
      <c r="M714" s="39"/>
    </row>
    <row r="715" spans="1:13" ht="13">
      <c r="A715" s="66"/>
      <c r="B715" s="61"/>
      <c r="C715" s="63"/>
      <c r="D715" s="63"/>
      <c r="E715" s="63"/>
      <c r="F715" s="63"/>
      <c r="G715" s="63"/>
      <c r="H715" s="67"/>
      <c r="I715" s="39"/>
      <c r="K715" s="39"/>
      <c r="L715" s="39"/>
      <c r="M715" s="39"/>
    </row>
    <row r="716" spans="1:13" ht="13">
      <c r="A716" s="66"/>
      <c r="B716" s="61"/>
      <c r="C716" s="63"/>
      <c r="D716" s="63"/>
      <c r="E716" s="63"/>
      <c r="F716" s="63"/>
      <c r="G716" s="63"/>
      <c r="H716" s="67"/>
      <c r="I716" s="39"/>
      <c r="K716" s="39"/>
      <c r="L716" s="39"/>
      <c r="M716" s="39"/>
    </row>
    <row r="717" spans="1:13" ht="13">
      <c r="A717" s="66"/>
      <c r="B717" s="61"/>
      <c r="C717" s="63"/>
      <c r="D717" s="63"/>
      <c r="E717" s="63"/>
      <c r="F717" s="63"/>
      <c r="G717" s="63"/>
      <c r="H717" s="67"/>
      <c r="I717" s="39"/>
      <c r="K717" s="39"/>
      <c r="L717" s="39"/>
      <c r="M717" s="39"/>
    </row>
    <row r="718" spans="1:13" ht="13">
      <c r="A718" s="66"/>
      <c r="B718" s="61"/>
      <c r="C718" s="63"/>
      <c r="D718" s="63"/>
      <c r="E718" s="63"/>
      <c r="F718" s="63"/>
      <c r="G718" s="63"/>
      <c r="H718" s="67"/>
      <c r="I718" s="39"/>
      <c r="K718" s="39"/>
      <c r="L718" s="39"/>
      <c r="M718" s="39"/>
    </row>
    <row r="719" spans="1:13" ht="13">
      <c r="A719" s="66"/>
      <c r="B719" s="61"/>
      <c r="C719" s="63"/>
      <c r="D719" s="63"/>
      <c r="E719" s="63"/>
      <c r="F719" s="63"/>
      <c r="G719" s="63"/>
      <c r="H719" s="67"/>
      <c r="I719" s="39"/>
      <c r="K719" s="39"/>
      <c r="L719" s="39"/>
      <c r="M719" s="39"/>
    </row>
    <row r="720" spans="1:13" ht="13">
      <c r="A720" s="66"/>
      <c r="B720" s="61"/>
      <c r="C720" s="63"/>
      <c r="D720" s="63"/>
      <c r="E720" s="63"/>
      <c r="F720" s="63"/>
      <c r="G720" s="63"/>
      <c r="H720" s="67"/>
      <c r="I720" s="39"/>
      <c r="K720" s="39"/>
      <c r="L720" s="39"/>
      <c r="M720" s="39"/>
    </row>
    <row r="721" spans="1:13" ht="13">
      <c r="A721" s="66"/>
      <c r="B721" s="61"/>
      <c r="C721" s="63"/>
      <c r="D721" s="63"/>
      <c r="E721" s="63"/>
      <c r="F721" s="63"/>
      <c r="G721" s="63"/>
      <c r="H721" s="67"/>
      <c r="I721" s="39"/>
      <c r="K721" s="39"/>
      <c r="L721" s="39"/>
      <c r="M721" s="39"/>
    </row>
    <row r="722" spans="1:13" ht="13">
      <c r="A722" s="66"/>
      <c r="B722" s="61"/>
      <c r="C722" s="63"/>
      <c r="D722" s="63"/>
      <c r="E722" s="63"/>
      <c r="F722" s="63"/>
      <c r="G722" s="63"/>
      <c r="H722" s="67"/>
      <c r="I722" s="39"/>
      <c r="K722" s="39"/>
      <c r="L722" s="39"/>
      <c r="M722" s="39"/>
    </row>
    <row r="723" spans="1:13" ht="13">
      <c r="A723" s="66"/>
      <c r="B723" s="61"/>
      <c r="C723" s="63"/>
      <c r="D723" s="63"/>
      <c r="E723" s="63"/>
      <c r="F723" s="63"/>
      <c r="G723" s="63"/>
      <c r="H723" s="67"/>
      <c r="I723" s="39"/>
      <c r="K723" s="39"/>
      <c r="L723" s="39"/>
      <c r="M723" s="39"/>
    </row>
    <row r="724" spans="1:13" ht="13">
      <c r="A724" s="66"/>
      <c r="B724" s="61"/>
      <c r="C724" s="63"/>
      <c r="D724" s="63"/>
      <c r="E724" s="63"/>
      <c r="F724" s="63"/>
      <c r="G724" s="63"/>
      <c r="H724" s="67"/>
      <c r="I724" s="39"/>
      <c r="K724" s="39"/>
      <c r="L724" s="39"/>
      <c r="M724" s="39"/>
    </row>
    <row r="725" spans="1:13" ht="13">
      <c r="A725" s="66"/>
      <c r="B725" s="61"/>
      <c r="C725" s="63"/>
      <c r="D725" s="63"/>
      <c r="E725" s="63"/>
      <c r="F725" s="63"/>
      <c r="G725" s="63"/>
      <c r="H725" s="67"/>
      <c r="I725" s="39"/>
      <c r="K725" s="39"/>
      <c r="L725" s="39"/>
      <c r="M725" s="39"/>
    </row>
    <row r="726" spans="1:13" ht="13">
      <c r="A726" s="66"/>
      <c r="B726" s="61"/>
      <c r="C726" s="63"/>
      <c r="D726" s="63"/>
      <c r="E726" s="63"/>
      <c r="F726" s="63"/>
      <c r="G726" s="63"/>
      <c r="H726" s="67"/>
      <c r="I726" s="39"/>
      <c r="K726" s="39"/>
      <c r="L726" s="39"/>
      <c r="M726" s="39"/>
    </row>
    <row r="727" spans="1:13" ht="13">
      <c r="A727" s="66"/>
      <c r="B727" s="61"/>
      <c r="C727" s="63"/>
      <c r="D727" s="63"/>
      <c r="E727" s="63"/>
      <c r="F727" s="63"/>
      <c r="G727" s="63"/>
      <c r="H727" s="67"/>
      <c r="I727" s="39"/>
      <c r="K727" s="39"/>
      <c r="L727" s="39"/>
      <c r="M727" s="39"/>
    </row>
    <row r="728" spans="1:13" ht="13">
      <c r="A728" s="66"/>
      <c r="B728" s="61"/>
      <c r="C728" s="63"/>
      <c r="D728" s="63"/>
      <c r="E728" s="63"/>
      <c r="F728" s="63"/>
      <c r="G728" s="63"/>
      <c r="H728" s="67"/>
      <c r="I728" s="39"/>
      <c r="K728" s="39"/>
      <c r="L728" s="39"/>
      <c r="M728" s="39"/>
    </row>
    <row r="729" spans="1:13" ht="13">
      <c r="A729" s="66"/>
      <c r="B729" s="61"/>
      <c r="C729" s="63"/>
      <c r="D729" s="63"/>
      <c r="E729" s="63"/>
      <c r="F729" s="63"/>
      <c r="G729" s="63"/>
      <c r="H729" s="67"/>
      <c r="I729" s="39"/>
      <c r="K729" s="39"/>
      <c r="L729" s="39"/>
      <c r="M729" s="39"/>
    </row>
    <row r="730" spans="1:13" ht="13">
      <c r="A730" s="66"/>
      <c r="B730" s="61"/>
      <c r="C730" s="63"/>
      <c r="D730" s="63"/>
      <c r="E730" s="63"/>
      <c r="F730" s="63"/>
      <c r="G730" s="63"/>
      <c r="H730" s="67"/>
      <c r="I730" s="39"/>
      <c r="K730" s="39"/>
      <c r="L730" s="39"/>
      <c r="M730" s="39"/>
    </row>
    <row r="731" spans="1:13" ht="13">
      <c r="A731" s="66"/>
      <c r="B731" s="61"/>
      <c r="C731" s="63"/>
      <c r="D731" s="63"/>
      <c r="E731" s="63"/>
      <c r="F731" s="63"/>
      <c r="G731" s="63"/>
      <c r="H731" s="67"/>
      <c r="I731" s="39"/>
      <c r="K731" s="39"/>
      <c r="L731" s="39"/>
      <c r="M731" s="39"/>
    </row>
    <row r="732" spans="1:13" ht="13">
      <c r="A732" s="66"/>
      <c r="B732" s="61"/>
      <c r="C732" s="63"/>
      <c r="D732" s="63"/>
      <c r="E732" s="63"/>
      <c r="F732" s="63"/>
      <c r="G732" s="63"/>
      <c r="H732" s="67"/>
      <c r="I732" s="39"/>
      <c r="K732" s="39"/>
      <c r="L732" s="39"/>
      <c r="M732" s="39"/>
    </row>
    <row r="733" spans="1:13" ht="13">
      <c r="A733" s="66"/>
      <c r="B733" s="61"/>
      <c r="C733" s="63"/>
      <c r="D733" s="63"/>
      <c r="E733" s="63"/>
      <c r="F733" s="63"/>
      <c r="G733" s="63"/>
      <c r="H733" s="67"/>
      <c r="I733" s="39"/>
      <c r="K733" s="39"/>
      <c r="L733" s="39"/>
      <c r="M733" s="39"/>
    </row>
    <row r="734" spans="1:13" ht="13">
      <c r="A734" s="66"/>
      <c r="B734" s="61"/>
      <c r="C734" s="63"/>
      <c r="D734" s="63"/>
      <c r="E734" s="63"/>
      <c r="F734" s="63"/>
      <c r="G734" s="63"/>
      <c r="H734" s="67"/>
      <c r="I734" s="39"/>
      <c r="K734" s="39"/>
      <c r="L734" s="39"/>
      <c r="M734" s="39"/>
    </row>
    <row r="735" spans="1:13" ht="13">
      <c r="A735" s="66"/>
      <c r="B735" s="61"/>
      <c r="C735" s="63"/>
      <c r="D735" s="63"/>
      <c r="E735" s="63"/>
      <c r="F735" s="63"/>
      <c r="G735" s="63"/>
      <c r="H735" s="67"/>
      <c r="I735" s="39"/>
      <c r="K735" s="39"/>
      <c r="L735" s="39"/>
      <c r="M735" s="39"/>
    </row>
    <row r="736" spans="1:13" ht="13">
      <c r="A736" s="66"/>
      <c r="B736" s="61"/>
      <c r="C736" s="63"/>
      <c r="D736" s="63"/>
      <c r="E736" s="63"/>
      <c r="F736" s="63"/>
      <c r="G736" s="63"/>
      <c r="H736" s="67"/>
      <c r="I736" s="39"/>
      <c r="K736" s="39"/>
      <c r="L736" s="39"/>
      <c r="M736" s="39"/>
    </row>
    <row r="737" spans="1:13" ht="13">
      <c r="A737" s="66"/>
      <c r="B737" s="61"/>
      <c r="C737" s="63"/>
      <c r="D737" s="63"/>
      <c r="E737" s="63"/>
      <c r="F737" s="63"/>
      <c r="G737" s="63"/>
      <c r="H737" s="67"/>
      <c r="I737" s="39"/>
      <c r="K737" s="39"/>
      <c r="L737" s="39"/>
      <c r="M737" s="39"/>
    </row>
    <row r="738" spans="1:13" ht="13">
      <c r="A738" s="66"/>
      <c r="B738" s="61"/>
      <c r="C738" s="63"/>
      <c r="D738" s="63"/>
      <c r="E738" s="63"/>
      <c r="F738" s="63"/>
      <c r="G738" s="63"/>
      <c r="H738" s="67"/>
      <c r="I738" s="39"/>
      <c r="K738" s="39"/>
      <c r="L738" s="39"/>
      <c r="M738" s="39"/>
    </row>
    <row r="739" spans="1:13" ht="13">
      <c r="A739" s="66"/>
      <c r="B739" s="61"/>
      <c r="C739" s="63"/>
      <c r="D739" s="63"/>
      <c r="E739" s="63"/>
      <c r="F739" s="63"/>
      <c r="G739" s="63"/>
      <c r="H739" s="67"/>
      <c r="I739" s="39"/>
      <c r="K739" s="39"/>
      <c r="L739" s="39"/>
      <c r="M739" s="39"/>
    </row>
    <row r="740" spans="1:13" ht="13">
      <c r="A740" s="66"/>
      <c r="B740" s="61"/>
      <c r="C740" s="63"/>
      <c r="D740" s="63"/>
      <c r="E740" s="63"/>
      <c r="F740" s="63"/>
      <c r="G740" s="63"/>
      <c r="H740" s="67"/>
      <c r="I740" s="39"/>
      <c r="K740" s="39"/>
      <c r="L740" s="39"/>
      <c r="M740" s="39"/>
    </row>
    <row r="741" spans="1:13" ht="13">
      <c r="A741" s="66"/>
      <c r="B741" s="61"/>
      <c r="C741" s="63"/>
      <c r="D741" s="63"/>
      <c r="E741" s="63"/>
      <c r="F741" s="63"/>
      <c r="G741" s="63"/>
      <c r="H741" s="67"/>
      <c r="I741" s="39"/>
      <c r="K741" s="39"/>
      <c r="L741" s="39"/>
      <c r="M741" s="39"/>
    </row>
    <row r="742" spans="1:13" ht="13">
      <c r="A742" s="66"/>
      <c r="B742" s="61"/>
      <c r="C742" s="63"/>
      <c r="D742" s="63"/>
      <c r="E742" s="63"/>
      <c r="F742" s="63"/>
      <c r="G742" s="63"/>
      <c r="H742" s="67"/>
      <c r="I742" s="39"/>
      <c r="K742" s="39"/>
      <c r="L742" s="39"/>
      <c r="M742" s="39"/>
    </row>
    <row r="743" spans="1:13" ht="13">
      <c r="A743" s="66"/>
      <c r="B743" s="61"/>
      <c r="C743" s="63"/>
      <c r="D743" s="63"/>
      <c r="E743" s="63"/>
      <c r="F743" s="63"/>
      <c r="G743" s="63"/>
      <c r="H743" s="67"/>
      <c r="I743" s="39"/>
      <c r="K743" s="39"/>
      <c r="L743" s="39"/>
      <c r="M743" s="39"/>
    </row>
    <row r="744" spans="1:13" ht="13">
      <c r="A744" s="66"/>
      <c r="B744" s="61"/>
      <c r="C744" s="63"/>
      <c r="D744" s="63"/>
      <c r="E744" s="63"/>
      <c r="F744" s="63"/>
      <c r="G744" s="63"/>
      <c r="H744" s="67"/>
      <c r="I744" s="39"/>
      <c r="K744" s="39"/>
      <c r="L744" s="39"/>
      <c r="M744" s="39"/>
    </row>
    <row r="745" spans="1:13" ht="13">
      <c r="A745" s="66"/>
      <c r="B745" s="61"/>
      <c r="C745" s="63"/>
      <c r="D745" s="63"/>
      <c r="E745" s="63"/>
      <c r="F745" s="63"/>
      <c r="G745" s="63"/>
      <c r="H745" s="67"/>
      <c r="I745" s="39"/>
      <c r="K745" s="39"/>
      <c r="L745" s="39"/>
      <c r="M745" s="39"/>
    </row>
    <row r="746" spans="1:13" ht="13">
      <c r="A746" s="66"/>
      <c r="B746" s="61"/>
      <c r="C746" s="63"/>
      <c r="D746" s="63"/>
      <c r="E746" s="63"/>
      <c r="F746" s="63"/>
      <c r="G746" s="63"/>
      <c r="H746" s="67"/>
      <c r="I746" s="39"/>
      <c r="K746" s="39"/>
      <c r="L746" s="39"/>
      <c r="M746" s="39"/>
    </row>
    <row r="747" spans="1:13" ht="13">
      <c r="A747" s="66"/>
      <c r="B747" s="61"/>
      <c r="C747" s="63"/>
      <c r="D747" s="63"/>
      <c r="E747" s="63"/>
      <c r="F747" s="63"/>
      <c r="G747" s="63"/>
      <c r="H747" s="67"/>
      <c r="I747" s="39"/>
      <c r="K747" s="39"/>
      <c r="L747" s="39"/>
      <c r="M747" s="39"/>
    </row>
    <row r="748" spans="1:13" ht="13">
      <c r="A748" s="66"/>
      <c r="B748" s="61"/>
      <c r="C748" s="63"/>
      <c r="D748" s="63"/>
      <c r="E748" s="63"/>
      <c r="F748" s="63"/>
      <c r="G748" s="63"/>
      <c r="H748" s="67"/>
      <c r="I748" s="39"/>
      <c r="K748" s="39"/>
      <c r="L748" s="39"/>
      <c r="M748" s="39"/>
    </row>
    <row r="749" spans="1:13" ht="13">
      <c r="A749" s="66"/>
      <c r="B749" s="61"/>
      <c r="C749" s="63"/>
      <c r="D749" s="63"/>
      <c r="E749" s="63"/>
      <c r="F749" s="63"/>
      <c r="G749" s="63"/>
      <c r="H749" s="67"/>
      <c r="I749" s="39"/>
      <c r="K749" s="39"/>
      <c r="L749" s="39"/>
      <c r="M749" s="39"/>
    </row>
    <row r="750" spans="1:13" ht="13">
      <c r="A750" s="66"/>
      <c r="B750" s="61"/>
      <c r="C750" s="63"/>
      <c r="D750" s="63"/>
      <c r="E750" s="63"/>
      <c r="F750" s="63"/>
      <c r="G750" s="63"/>
      <c r="H750" s="67"/>
      <c r="I750" s="39"/>
      <c r="K750" s="39"/>
      <c r="L750" s="39"/>
      <c r="M750" s="39"/>
    </row>
    <row r="751" spans="1:13" ht="13">
      <c r="A751" s="66"/>
      <c r="B751" s="61"/>
      <c r="C751" s="63"/>
      <c r="D751" s="63"/>
      <c r="E751" s="63"/>
      <c r="F751" s="63"/>
      <c r="G751" s="63"/>
      <c r="H751" s="67"/>
      <c r="I751" s="39"/>
      <c r="K751" s="39"/>
      <c r="L751" s="39"/>
      <c r="M751" s="39"/>
    </row>
    <row r="752" spans="1:13" ht="13">
      <c r="A752" s="66"/>
      <c r="B752" s="61"/>
      <c r="C752" s="63"/>
      <c r="D752" s="63"/>
      <c r="E752" s="63"/>
      <c r="F752" s="63"/>
      <c r="G752" s="63"/>
      <c r="H752" s="67"/>
      <c r="I752" s="39"/>
      <c r="K752" s="39"/>
      <c r="L752" s="39"/>
      <c r="M752" s="39"/>
    </row>
    <row r="753" spans="1:13" ht="13">
      <c r="A753" s="66"/>
      <c r="B753" s="61"/>
      <c r="C753" s="63"/>
      <c r="D753" s="63"/>
      <c r="E753" s="63"/>
      <c r="F753" s="63"/>
      <c r="G753" s="63"/>
      <c r="H753" s="67"/>
      <c r="I753" s="39"/>
      <c r="K753" s="39"/>
      <c r="L753" s="39"/>
      <c r="M753" s="39"/>
    </row>
    <row r="754" spans="1:13" ht="13">
      <c r="A754" s="66"/>
      <c r="B754" s="61"/>
      <c r="C754" s="63"/>
      <c r="D754" s="63"/>
      <c r="E754" s="63"/>
      <c r="F754" s="63"/>
      <c r="G754" s="63"/>
      <c r="H754" s="67"/>
      <c r="I754" s="39"/>
      <c r="K754" s="39"/>
      <c r="L754" s="39"/>
      <c r="M754" s="39"/>
    </row>
    <row r="755" spans="1:13" ht="13">
      <c r="A755" s="66"/>
      <c r="B755" s="61"/>
      <c r="C755" s="63"/>
      <c r="D755" s="63"/>
      <c r="E755" s="63"/>
      <c r="F755" s="63"/>
      <c r="G755" s="63"/>
      <c r="H755" s="67"/>
      <c r="I755" s="39"/>
      <c r="K755" s="39"/>
      <c r="L755" s="39"/>
      <c r="M755" s="39"/>
    </row>
    <row r="756" spans="1:13" ht="13">
      <c r="A756" s="66"/>
      <c r="B756" s="61"/>
      <c r="C756" s="63"/>
      <c r="D756" s="63"/>
      <c r="E756" s="63"/>
      <c r="F756" s="63"/>
      <c r="G756" s="63"/>
      <c r="H756" s="67"/>
      <c r="I756" s="39"/>
      <c r="K756" s="39"/>
      <c r="L756" s="39"/>
      <c r="M756" s="39"/>
    </row>
    <row r="757" spans="1:13" ht="13">
      <c r="A757" s="66"/>
      <c r="B757" s="61"/>
      <c r="C757" s="63"/>
      <c r="D757" s="63"/>
      <c r="E757" s="63"/>
      <c r="F757" s="63"/>
      <c r="G757" s="63"/>
      <c r="H757" s="67"/>
      <c r="I757" s="39"/>
      <c r="K757" s="39"/>
      <c r="L757" s="39"/>
      <c r="M757" s="39"/>
    </row>
    <row r="758" spans="1:13" ht="13">
      <c r="A758" s="66"/>
      <c r="B758" s="61"/>
      <c r="C758" s="63"/>
      <c r="D758" s="63"/>
      <c r="E758" s="63"/>
      <c r="F758" s="63"/>
      <c r="G758" s="63"/>
      <c r="H758" s="67"/>
      <c r="I758" s="39"/>
      <c r="K758" s="39"/>
      <c r="L758" s="39"/>
      <c r="M758" s="39"/>
    </row>
    <row r="759" spans="1:13" ht="13">
      <c r="A759" s="66"/>
      <c r="B759" s="61"/>
      <c r="C759" s="63"/>
      <c r="D759" s="63"/>
      <c r="E759" s="63"/>
      <c r="F759" s="63"/>
      <c r="G759" s="63"/>
      <c r="H759" s="67"/>
      <c r="I759" s="39"/>
      <c r="K759" s="39"/>
      <c r="L759" s="39"/>
      <c r="M759" s="39"/>
    </row>
    <row r="760" spans="1:13" ht="13">
      <c r="A760" s="66"/>
      <c r="B760" s="61"/>
      <c r="C760" s="63"/>
      <c r="D760" s="63"/>
      <c r="E760" s="63"/>
      <c r="F760" s="63"/>
      <c r="G760" s="63"/>
      <c r="H760" s="67"/>
      <c r="I760" s="39"/>
      <c r="K760" s="39"/>
      <c r="L760" s="39"/>
      <c r="M760" s="39"/>
    </row>
    <row r="761" spans="1:13" ht="13">
      <c r="A761" s="66"/>
      <c r="B761" s="61"/>
      <c r="C761" s="63"/>
      <c r="D761" s="63"/>
      <c r="E761" s="63"/>
      <c r="F761" s="63"/>
      <c r="G761" s="63"/>
      <c r="H761" s="67"/>
      <c r="I761" s="39"/>
      <c r="K761" s="39"/>
      <c r="L761" s="39"/>
      <c r="M761" s="39"/>
    </row>
    <row r="762" spans="1:13" ht="13">
      <c r="A762" s="66"/>
      <c r="B762" s="61"/>
      <c r="C762" s="63"/>
      <c r="D762" s="63"/>
      <c r="E762" s="63"/>
      <c r="F762" s="63"/>
      <c r="G762" s="63"/>
      <c r="H762" s="67"/>
      <c r="I762" s="39"/>
      <c r="K762" s="39"/>
      <c r="L762" s="39"/>
      <c r="M762" s="39"/>
    </row>
    <row r="763" spans="1:13" ht="13">
      <c r="A763" s="66"/>
      <c r="B763" s="61"/>
      <c r="C763" s="63"/>
      <c r="D763" s="63"/>
      <c r="E763" s="63"/>
      <c r="F763" s="63"/>
      <c r="G763" s="63"/>
      <c r="H763" s="67"/>
      <c r="I763" s="39"/>
      <c r="K763" s="39"/>
      <c r="L763" s="39"/>
      <c r="M763" s="39"/>
    </row>
    <row r="764" spans="1:13" ht="13">
      <c r="A764" s="66"/>
      <c r="B764" s="61"/>
      <c r="C764" s="63"/>
      <c r="D764" s="63"/>
      <c r="E764" s="63"/>
      <c r="F764" s="63"/>
      <c r="G764" s="63"/>
      <c r="H764" s="67"/>
      <c r="I764" s="39"/>
      <c r="K764" s="39"/>
      <c r="L764" s="39"/>
      <c r="M764" s="39"/>
    </row>
    <row r="765" spans="1:13" ht="13">
      <c r="A765" s="66"/>
      <c r="B765" s="61"/>
      <c r="C765" s="63"/>
      <c r="D765" s="63"/>
      <c r="E765" s="63"/>
      <c r="F765" s="63"/>
      <c r="G765" s="63"/>
      <c r="H765" s="67"/>
      <c r="I765" s="39"/>
      <c r="K765" s="39"/>
      <c r="L765" s="39"/>
      <c r="M765" s="39"/>
    </row>
    <row r="766" spans="1:13" ht="13">
      <c r="A766" s="66"/>
      <c r="B766" s="61"/>
      <c r="C766" s="63"/>
      <c r="D766" s="63"/>
      <c r="E766" s="63"/>
      <c r="F766" s="63"/>
      <c r="G766" s="63"/>
      <c r="H766" s="67"/>
      <c r="I766" s="39"/>
      <c r="K766" s="39"/>
      <c r="L766" s="39"/>
      <c r="M766" s="39"/>
    </row>
    <row r="767" spans="1:13" ht="13">
      <c r="A767" s="66"/>
      <c r="B767" s="61"/>
      <c r="C767" s="63"/>
      <c r="D767" s="63"/>
      <c r="E767" s="63"/>
      <c r="F767" s="63"/>
      <c r="G767" s="63"/>
      <c r="H767" s="67"/>
      <c r="I767" s="39"/>
      <c r="K767" s="39"/>
      <c r="L767" s="39"/>
      <c r="M767" s="39"/>
    </row>
    <row r="768" spans="1:13" ht="13">
      <c r="A768" s="66"/>
      <c r="B768" s="61"/>
      <c r="C768" s="63"/>
      <c r="D768" s="63"/>
      <c r="E768" s="63"/>
      <c r="F768" s="63"/>
      <c r="G768" s="63"/>
      <c r="H768" s="67"/>
      <c r="I768" s="39"/>
      <c r="K768" s="39"/>
      <c r="L768" s="39"/>
      <c r="M768" s="39"/>
    </row>
    <row r="769" spans="1:13" ht="13">
      <c r="A769" s="66"/>
      <c r="B769" s="61"/>
      <c r="C769" s="63"/>
      <c r="D769" s="63"/>
      <c r="E769" s="63"/>
      <c r="F769" s="63"/>
      <c r="G769" s="63"/>
      <c r="H769" s="67"/>
      <c r="I769" s="39"/>
      <c r="K769" s="39"/>
      <c r="L769" s="39"/>
      <c r="M769" s="39"/>
    </row>
    <row r="770" spans="1:13" ht="13">
      <c r="A770" s="66"/>
      <c r="B770" s="61"/>
      <c r="C770" s="63"/>
      <c r="D770" s="63"/>
      <c r="E770" s="63"/>
      <c r="F770" s="63"/>
      <c r="G770" s="63"/>
      <c r="H770" s="67"/>
      <c r="I770" s="39"/>
      <c r="K770" s="39"/>
      <c r="L770" s="39"/>
      <c r="M770" s="39"/>
    </row>
    <row r="771" spans="1:13" ht="13">
      <c r="A771" s="66"/>
      <c r="B771" s="61"/>
      <c r="C771" s="63"/>
      <c r="D771" s="63"/>
      <c r="E771" s="63"/>
      <c r="F771" s="63"/>
      <c r="G771" s="63"/>
      <c r="H771" s="67"/>
      <c r="I771" s="39"/>
      <c r="K771" s="39"/>
      <c r="L771" s="39"/>
      <c r="M771" s="39"/>
    </row>
    <row r="772" spans="1:13" ht="13">
      <c r="A772" s="66"/>
      <c r="B772" s="61"/>
      <c r="C772" s="63"/>
      <c r="D772" s="63"/>
      <c r="E772" s="63"/>
      <c r="F772" s="63"/>
      <c r="G772" s="63"/>
      <c r="H772" s="67"/>
      <c r="I772" s="39"/>
      <c r="K772" s="39"/>
      <c r="L772" s="39"/>
      <c r="M772" s="39"/>
    </row>
    <row r="773" spans="1:13" ht="13">
      <c r="A773" s="66"/>
      <c r="B773" s="61"/>
      <c r="C773" s="63"/>
      <c r="D773" s="63"/>
      <c r="E773" s="63"/>
      <c r="F773" s="63"/>
      <c r="G773" s="63"/>
      <c r="H773" s="67"/>
      <c r="I773" s="39"/>
      <c r="K773" s="39"/>
      <c r="L773" s="39"/>
      <c r="M773" s="39"/>
    </row>
    <row r="774" spans="1:13" ht="13">
      <c r="A774" s="66"/>
      <c r="B774" s="61"/>
      <c r="C774" s="63"/>
      <c r="D774" s="63"/>
      <c r="E774" s="63"/>
      <c r="F774" s="63"/>
      <c r="G774" s="63"/>
      <c r="H774" s="67"/>
      <c r="I774" s="39"/>
      <c r="K774" s="39"/>
      <c r="L774" s="39"/>
      <c r="M774" s="39"/>
    </row>
    <row r="775" spans="1:13" ht="13">
      <c r="A775" s="66"/>
      <c r="B775" s="61"/>
      <c r="C775" s="63"/>
      <c r="D775" s="63"/>
      <c r="E775" s="63"/>
      <c r="F775" s="63"/>
      <c r="G775" s="63"/>
      <c r="H775" s="67"/>
      <c r="I775" s="39"/>
      <c r="K775" s="39"/>
      <c r="L775" s="39"/>
      <c r="M775" s="39"/>
    </row>
    <row r="776" spans="1:13" ht="13">
      <c r="A776" s="66"/>
      <c r="B776" s="61"/>
      <c r="C776" s="63"/>
      <c r="D776" s="63"/>
      <c r="E776" s="63"/>
      <c r="F776" s="63"/>
      <c r="G776" s="63"/>
      <c r="H776" s="67"/>
      <c r="I776" s="39"/>
      <c r="K776" s="39"/>
      <c r="L776" s="39"/>
      <c r="M776" s="39"/>
    </row>
    <row r="777" spans="1:13" ht="13">
      <c r="A777" s="66"/>
      <c r="B777" s="61"/>
      <c r="C777" s="63"/>
      <c r="D777" s="63"/>
      <c r="E777" s="63"/>
      <c r="F777" s="63"/>
      <c r="G777" s="63"/>
      <c r="H777" s="67"/>
      <c r="I777" s="39"/>
      <c r="K777" s="39"/>
      <c r="L777" s="39"/>
      <c r="M777" s="39"/>
    </row>
    <row r="778" spans="1:13" ht="13">
      <c r="A778" s="66"/>
      <c r="B778" s="61"/>
      <c r="C778" s="63"/>
      <c r="D778" s="63"/>
      <c r="E778" s="63"/>
      <c r="F778" s="63"/>
      <c r="G778" s="63"/>
      <c r="H778" s="67"/>
      <c r="I778" s="39"/>
      <c r="K778" s="39"/>
      <c r="L778" s="39"/>
      <c r="M778" s="39"/>
    </row>
    <row r="779" spans="1:13" ht="13">
      <c r="A779" s="66"/>
      <c r="B779" s="61"/>
      <c r="C779" s="63"/>
      <c r="D779" s="63"/>
      <c r="E779" s="63"/>
      <c r="F779" s="63"/>
      <c r="G779" s="63"/>
      <c r="H779" s="67"/>
      <c r="I779" s="39"/>
      <c r="K779" s="39"/>
      <c r="L779" s="39"/>
      <c r="M779" s="39"/>
    </row>
    <row r="780" spans="1:13" ht="13">
      <c r="A780" s="66"/>
      <c r="B780" s="61"/>
      <c r="C780" s="63"/>
      <c r="D780" s="63"/>
      <c r="E780" s="63"/>
      <c r="F780" s="63"/>
      <c r="G780" s="63"/>
      <c r="H780" s="67"/>
      <c r="I780" s="39"/>
      <c r="K780" s="39"/>
      <c r="L780" s="39"/>
      <c r="M780" s="39"/>
    </row>
    <row r="781" spans="1:13" ht="13">
      <c r="A781" s="66"/>
      <c r="B781" s="61"/>
      <c r="C781" s="63"/>
      <c r="D781" s="63"/>
      <c r="E781" s="63"/>
      <c r="F781" s="63"/>
      <c r="G781" s="63"/>
      <c r="H781" s="67"/>
      <c r="I781" s="39"/>
      <c r="K781" s="39"/>
      <c r="L781" s="39"/>
      <c r="M781" s="39"/>
    </row>
    <row r="782" spans="1:13" ht="13">
      <c r="A782" s="66"/>
      <c r="B782" s="61"/>
      <c r="C782" s="63"/>
      <c r="D782" s="63"/>
      <c r="E782" s="63"/>
      <c r="F782" s="63"/>
      <c r="G782" s="63"/>
      <c r="H782" s="67"/>
      <c r="I782" s="39"/>
      <c r="K782" s="39"/>
      <c r="L782" s="39"/>
      <c r="M782" s="39"/>
    </row>
    <row r="783" spans="1:13" ht="13">
      <c r="A783" s="66"/>
      <c r="B783" s="61"/>
      <c r="C783" s="63"/>
      <c r="D783" s="63"/>
      <c r="E783" s="63"/>
      <c r="F783" s="63"/>
      <c r="G783" s="63"/>
      <c r="H783" s="67"/>
      <c r="I783" s="39"/>
      <c r="K783" s="39"/>
      <c r="L783" s="39"/>
      <c r="M783" s="39"/>
    </row>
    <row r="784" spans="1:13" ht="13">
      <c r="A784" s="66"/>
      <c r="B784" s="61"/>
      <c r="C784" s="63"/>
      <c r="D784" s="63"/>
      <c r="E784" s="63"/>
      <c r="F784" s="63"/>
      <c r="G784" s="63"/>
      <c r="H784" s="67"/>
      <c r="I784" s="39"/>
      <c r="K784" s="39"/>
      <c r="L784" s="39"/>
      <c r="M784" s="39"/>
    </row>
    <row r="785" spans="1:13" ht="13">
      <c r="A785" s="66"/>
      <c r="B785" s="61"/>
      <c r="C785" s="63"/>
      <c r="D785" s="63"/>
      <c r="E785" s="63"/>
      <c r="F785" s="63"/>
      <c r="G785" s="63"/>
      <c r="H785" s="67"/>
      <c r="I785" s="39"/>
      <c r="K785" s="39"/>
      <c r="L785" s="39"/>
      <c r="M785" s="39"/>
    </row>
    <row r="786" spans="1:13" ht="13">
      <c r="A786" s="66"/>
      <c r="B786" s="61"/>
      <c r="C786" s="63"/>
      <c r="D786" s="63"/>
      <c r="E786" s="63"/>
      <c r="F786" s="63"/>
      <c r="G786" s="63"/>
      <c r="H786" s="67"/>
      <c r="I786" s="39"/>
      <c r="K786" s="39"/>
      <c r="L786" s="39"/>
      <c r="M786" s="39"/>
    </row>
    <row r="787" spans="1:13" ht="13">
      <c r="A787" s="66"/>
      <c r="B787" s="61"/>
      <c r="C787" s="63"/>
      <c r="D787" s="63"/>
      <c r="E787" s="63"/>
      <c r="F787" s="63"/>
      <c r="G787" s="63"/>
      <c r="H787" s="67"/>
      <c r="I787" s="39"/>
      <c r="K787" s="39"/>
      <c r="L787" s="39"/>
      <c r="M787" s="39"/>
    </row>
    <row r="788" spans="1:13" ht="13">
      <c r="A788" s="66"/>
      <c r="B788" s="61"/>
      <c r="C788" s="63"/>
      <c r="D788" s="63"/>
      <c r="E788" s="63"/>
      <c r="F788" s="63"/>
      <c r="G788" s="63"/>
      <c r="H788" s="67"/>
      <c r="I788" s="39"/>
      <c r="K788" s="39"/>
      <c r="L788" s="39"/>
      <c r="M788" s="39"/>
    </row>
    <row r="789" spans="1:13" ht="13">
      <c r="A789" s="66"/>
      <c r="B789" s="61"/>
      <c r="C789" s="63"/>
      <c r="D789" s="63"/>
      <c r="E789" s="63"/>
      <c r="F789" s="63"/>
      <c r="G789" s="63"/>
      <c r="H789" s="67"/>
      <c r="I789" s="39"/>
      <c r="K789" s="39"/>
      <c r="L789" s="39"/>
      <c r="M789" s="39"/>
    </row>
    <row r="790" spans="1:13" ht="13">
      <c r="A790" s="66"/>
      <c r="B790" s="61"/>
      <c r="C790" s="63"/>
      <c r="D790" s="63"/>
      <c r="E790" s="63"/>
      <c r="F790" s="63"/>
      <c r="G790" s="63"/>
      <c r="H790" s="67"/>
      <c r="I790" s="39"/>
      <c r="K790" s="39"/>
      <c r="L790" s="39"/>
      <c r="M790" s="39"/>
    </row>
    <row r="791" spans="1:13" ht="13">
      <c r="A791" s="66"/>
      <c r="B791" s="61"/>
      <c r="C791" s="63"/>
      <c r="D791" s="63"/>
      <c r="E791" s="63"/>
      <c r="F791" s="63"/>
      <c r="G791" s="63"/>
      <c r="H791" s="67"/>
      <c r="I791" s="39"/>
      <c r="K791" s="39"/>
      <c r="L791" s="39"/>
      <c r="M791" s="39"/>
    </row>
    <row r="792" spans="1:13" ht="13">
      <c r="A792" s="66"/>
      <c r="B792" s="61"/>
      <c r="C792" s="63"/>
      <c r="D792" s="63"/>
      <c r="E792" s="63"/>
      <c r="F792" s="63"/>
      <c r="G792" s="63"/>
      <c r="H792" s="67"/>
      <c r="I792" s="39"/>
      <c r="K792" s="39"/>
      <c r="L792" s="39"/>
      <c r="M792" s="39"/>
    </row>
    <row r="793" spans="1:13" ht="13">
      <c r="A793" s="66"/>
      <c r="B793" s="61"/>
      <c r="C793" s="63"/>
      <c r="D793" s="63"/>
      <c r="E793" s="63"/>
      <c r="F793" s="63"/>
      <c r="G793" s="63"/>
      <c r="H793" s="67"/>
      <c r="I793" s="39"/>
      <c r="K793" s="39"/>
      <c r="L793" s="39"/>
      <c r="M793" s="39"/>
    </row>
    <row r="794" spans="1:13" ht="13">
      <c r="A794" s="66"/>
      <c r="B794" s="61"/>
      <c r="C794" s="63"/>
      <c r="D794" s="63"/>
      <c r="E794" s="63"/>
      <c r="F794" s="63"/>
      <c r="G794" s="63"/>
      <c r="H794" s="67"/>
      <c r="I794" s="39"/>
      <c r="K794" s="39"/>
      <c r="L794" s="39"/>
      <c r="M794" s="39"/>
    </row>
    <row r="795" spans="1:13" ht="13">
      <c r="A795" s="66"/>
      <c r="B795" s="61"/>
      <c r="C795" s="63"/>
      <c r="D795" s="63"/>
      <c r="E795" s="63"/>
      <c r="F795" s="63"/>
      <c r="G795" s="63"/>
      <c r="H795" s="67"/>
      <c r="I795" s="39"/>
      <c r="K795" s="39"/>
      <c r="L795" s="39"/>
      <c r="M795" s="39"/>
    </row>
    <row r="796" spans="1:13" ht="13">
      <c r="A796" s="66"/>
      <c r="B796" s="61"/>
      <c r="C796" s="63"/>
      <c r="D796" s="63"/>
      <c r="E796" s="63"/>
      <c r="F796" s="63"/>
      <c r="G796" s="63"/>
      <c r="H796" s="67"/>
      <c r="I796" s="39"/>
      <c r="K796" s="39"/>
      <c r="L796" s="39"/>
      <c r="M796" s="39"/>
    </row>
    <row r="797" spans="1:13" ht="13">
      <c r="A797" s="66"/>
      <c r="B797" s="61"/>
      <c r="C797" s="63"/>
      <c r="D797" s="63"/>
      <c r="E797" s="63"/>
      <c r="F797" s="63"/>
      <c r="G797" s="63"/>
      <c r="H797" s="67"/>
      <c r="I797" s="39"/>
      <c r="K797" s="39"/>
      <c r="L797" s="39"/>
      <c r="M797" s="39"/>
    </row>
    <row r="798" spans="1:13" ht="13">
      <c r="A798" s="66"/>
      <c r="B798" s="61"/>
      <c r="C798" s="63"/>
      <c r="D798" s="63"/>
      <c r="E798" s="63"/>
      <c r="F798" s="63"/>
      <c r="G798" s="63"/>
      <c r="H798" s="67"/>
      <c r="I798" s="39"/>
      <c r="K798" s="39"/>
      <c r="L798" s="39"/>
      <c r="M798" s="39"/>
    </row>
    <row r="799" spans="1:13" ht="13">
      <c r="A799" s="66"/>
      <c r="B799" s="61"/>
      <c r="C799" s="63"/>
      <c r="D799" s="63"/>
      <c r="E799" s="63"/>
      <c r="F799" s="63"/>
      <c r="G799" s="63"/>
      <c r="H799" s="67"/>
      <c r="I799" s="39"/>
      <c r="K799" s="39"/>
      <c r="L799" s="39"/>
      <c r="M799" s="39"/>
    </row>
    <row r="800" spans="1:13" ht="13">
      <c r="A800" s="66"/>
      <c r="B800" s="61"/>
      <c r="C800" s="63"/>
      <c r="D800" s="63"/>
      <c r="E800" s="63"/>
      <c r="F800" s="63"/>
      <c r="G800" s="63"/>
      <c r="H800" s="67"/>
      <c r="I800" s="39"/>
      <c r="K800" s="39"/>
      <c r="L800" s="39"/>
      <c r="M800" s="39"/>
    </row>
    <row r="801" spans="1:13" ht="13">
      <c r="A801" s="66"/>
      <c r="B801" s="61"/>
      <c r="C801" s="63"/>
      <c r="D801" s="63"/>
      <c r="E801" s="63"/>
      <c r="F801" s="63"/>
      <c r="G801" s="63"/>
      <c r="H801" s="67"/>
      <c r="I801" s="39"/>
      <c r="K801" s="39"/>
      <c r="L801" s="39"/>
      <c r="M801" s="39"/>
    </row>
    <row r="802" spans="1:13" ht="13">
      <c r="A802" s="66"/>
      <c r="B802" s="61"/>
      <c r="C802" s="63"/>
      <c r="D802" s="63"/>
      <c r="E802" s="63"/>
      <c r="F802" s="63"/>
      <c r="G802" s="63"/>
      <c r="H802" s="67"/>
      <c r="I802" s="39"/>
      <c r="K802" s="39"/>
      <c r="L802" s="39"/>
      <c r="M802" s="39"/>
    </row>
    <row r="803" spans="1:13" ht="13">
      <c r="A803" s="66"/>
      <c r="B803" s="61"/>
      <c r="C803" s="63"/>
      <c r="D803" s="63"/>
      <c r="E803" s="63"/>
      <c r="F803" s="63"/>
      <c r="G803" s="63"/>
      <c r="H803" s="67"/>
      <c r="I803" s="39"/>
      <c r="K803" s="39"/>
      <c r="L803" s="39"/>
      <c r="M803" s="39"/>
    </row>
    <row r="804" spans="1:13" ht="13">
      <c r="A804" s="66"/>
      <c r="B804" s="61"/>
      <c r="C804" s="63"/>
      <c r="D804" s="63"/>
      <c r="E804" s="63"/>
      <c r="F804" s="63"/>
      <c r="G804" s="63"/>
      <c r="H804" s="67"/>
      <c r="I804" s="39"/>
      <c r="K804" s="39"/>
      <c r="L804" s="39"/>
      <c r="M804" s="39"/>
    </row>
    <row r="805" spans="1:13" ht="13">
      <c r="A805" s="66"/>
      <c r="B805" s="61"/>
      <c r="C805" s="63"/>
      <c r="D805" s="63"/>
      <c r="E805" s="63"/>
      <c r="F805" s="63"/>
      <c r="G805" s="63"/>
      <c r="H805" s="67"/>
      <c r="I805" s="39"/>
      <c r="K805" s="39"/>
      <c r="L805" s="39"/>
      <c r="M805" s="39"/>
    </row>
    <row r="806" spans="1:13" ht="13">
      <c r="A806" s="66"/>
      <c r="B806" s="61"/>
      <c r="C806" s="63"/>
      <c r="D806" s="63"/>
      <c r="E806" s="63"/>
      <c r="F806" s="63"/>
      <c r="G806" s="63"/>
      <c r="H806" s="67"/>
      <c r="I806" s="39"/>
      <c r="K806" s="39"/>
      <c r="L806" s="39"/>
      <c r="M806" s="39"/>
    </row>
    <row r="807" spans="1:13" ht="13">
      <c r="A807" s="66"/>
      <c r="B807" s="61"/>
      <c r="C807" s="63"/>
      <c r="D807" s="63"/>
      <c r="E807" s="63"/>
      <c r="F807" s="63"/>
      <c r="G807" s="63"/>
      <c r="H807" s="67"/>
      <c r="I807" s="39"/>
      <c r="K807" s="39"/>
      <c r="L807" s="39"/>
      <c r="M807" s="39"/>
    </row>
    <row r="808" spans="1:13" ht="13">
      <c r="A808" s="66"/>
      <c r="B808" s="61"/>
      <c r="C808" s="63"/>
      <c r="D808" s="63"/>
      <c r="E808" s="63"/>
      <c r="F808" s="63"/>
      <c r="G808" s="63"/>
      <c r="H808" s="67"/>
      <c r="I808" s="39"/>
      <c r="K808" s="39"/>
      <c r="L808" s="39"/>
      <c r="M808" s="39"/>
    </row>
    <row r="809" spans="1:13" ht="13">
      <c r="A809" s="66"/>
      <c r="B809" s="61"/>
      <c r="C809" s="63"/>
      <c r="D809" s="63"/>
      <c r="E809" s="63"/>
      <c r="F809" s="63"/>
      <c r="G809" s="63"/>
      <c r="H809" s="67"/>
      <c r="I809" s="39"/>
      <c r="K809" s="39"/>
      <c r="L809" s="39"/>
      <c r="M809" s="39"/>
    </row>
    <row r="810" spans="1:13" ht="13">
      <c r="A810" s="66"/>
      <c r="B810" s="61"/>
      <c r="C810" s="63"/>
      <c r="D810" s="63"/>
      <c r="E810" s="63"/>
      <c r="F810" s="63"/>
      <c r="G810" s="63"/>
      <c r="H810" s="67"/>
      <c r="I810" s="39"/>
      <c r="K810" s="39"/>
      <c r="L810" s="39"/>
      <c r="M810" s="39"/>
    </row>
    <row r="811" spans="1:13" ht="13">
      <c r="A811" s="66"/>
      <c r="B811" s="61"/>
      <c r="C811" s="63"/>
      <c r="D811" s="63"/>
      <c r="E811" s="63"/>
      <c r="F811" s="63"/>
      <c r="G811" s="63"/>
      <c r="H811" s="67"/>
      <c r="I811" s="39"/>
      <c r="K811" s="39"/>
      <c r="L811" s="39"/>
      <c r="M811" s="39"/>
    </row>
    <row r="812" spans="1:13" ht="13">
      <c r="A812" s="66"/>
      <c r="B812" s="61"/>
      <c r="C812" s="63"/>
      <c r="D812" s="63"/>
      <c r="E812" s="63"/>
      <c r="F812" s="63"/>
      <c r="G812" s="63"/>
      <c r="H812" s="67"/>
      <c r="I812" s="39"/>
      <c r="K812" s="39"/>
      <c r="L812" s="39"/>
      <c r="M812" s="39"/>
    </row>
    <row r="813" spans="1:13" ht="13">
      <c r="A813" s="66"/>
      <c r="B813" s="61"/>
      <c r="C813" s="63"/>
      <c r="D813" s="63"/>
      <c r="E813" s="63"/>
      <c r="F813" s="63"/>
      <c r="G813" s="63"/>
      <c r="H813" s="67"/>
      <c r="I813" s="39"/>
      <c r="K813" s="39"/>
      <c r="L813" s="39"/>
      <c r="M813" s="39"/>
    </row>
    <row r="814" spans="1:13" ht="13">
      <c r="A814" s="66"/>
      <c r="B814" s="61"/>
      <c r="C814" s="63"/>
      <c r="D814" s="63"/>
      <c r="E814" s="63"/>
      <c r="F814" s="63"/>
      <c r="G814" s="63"/>
      <c r="H814" s="67"/>
      <c r="I814" s="39"/>
      <c r="K814" s="39"/>
      <c r="L814" s="39"/>
      <c r="M814" s="39"/>
    </row>
    <row r="815" spans="1:13" ht="13">
      <c r="A815" s="66"/>
      <c r="B815" s="61"/>
      <c r="C815" s="63"/>
      <c r="D815" s="63"/>
      <c r="E815" s="63"/>
      <c r="F815" s="63"/>
      <c r="G815" s="63"/>
      <c r="H815" s="67"/>
      <c r="I815" s="39"/>
      <c r="K815" s="39"/>
      <c r="L815" s="39"/>
      <c r="M815" s="39"/>
    </row>
    <row r="816" spans="1:13" ht="13">
      <c r="A816" s="66"/>
      <c r="B816" s="61"/>
      <c r="C816" s="63"/>
      <c r="D816" s="63"/>
      <c r="E816" s="63"/>
      <c r="F816" s="63"/>
      <c r="G816" s="63"/>
      <c r="H816" s="67"/>
      <c r="I816" s="39"/>
      <c r="K816" s="39"/>
      <c r="L816" s="39"/>
      <c r="M816" s="39"/>
    </row>
    <row r="817" spans="1:13" ht="13">
      <c r="A817" s="66"/>
      <c r="B817" s="61"/>
      <c r="C817" s="63"/>
      <c r="D817" s="63"/>
      <c r="E817" s="63"/>
      <c r="F817" s="63"/>
      <c r="G817" s="63"/>
      <c r="H817" s="67"/>
      <c r="I817" s="39"/>
      <c r="K817" s="39"/>
      <c r="L817" s="39"/>
      <c r="M817" s="39"/>
    </row>
    <row r="818" spans="1:13" ht="13">
      <c r="A818" s="66"/>
      <c r="B818" s="61"/>
      <c r="C818" s="63"/>
      <c r="D818" s="63"/>
      <c r="E818" s="63"/>
      <c r="F818" s="63"/>
      <c r="G818" s="63"/>
      <c r="H818" s="67"/>
      <c r="I818" s="39"/>
      <c r="K818" s="39"/>
      <c r="L818" s="39"/>
      <c r="M818" s="39"/>
    </row>
    <row r="819" spans="1:13" ht="13">
      <c r="A819" s="66"/>
      <c r="B819" s="61"/>
      <c r="C819" s="63"/>
      <c r="D819" s="63"/>
      <c r="E819" s="63"/>
      <c r="F819" s="63"/>
      <c r="G819" s="63"/>
      <c r="H819" s="67"/>
      <c r="I819" s="39"/>
      <c r="K819" s="39"/>
      <c r="L819" s="39"/>
      <c r="M819" s="39"/>
    </row>
    <row r="820" spans="1:13" ht="13">
      <c r="A820" s="66"/>
      <c r="B820" s="61"/>
      <c r="C820" s="63"/>
      <c r="D820" s="63"/>
      <c r="E820" s="63"/>
      <c r="F820" s="63"/>
      <c r="G820" s="63"/>
      <c r="H820" s="67"/>
      <c r="I820" s="39"/>
      <c r="K820" s="39"/>
      <c r="L820" s="39"/>
      <c r="M820" s="39"/>
    </row>
    <row r="821" spans="1:13" ht="13">
      <c r="A821" s="66"/>
      <c r="B821" s="61"/>
      <c r="C821" s="63"/>
      <c r="D821" s="63"/>
      <c r="E821" s="63"/>
      <c r="F821" s="63"/>
      <c r="G821" s="63"/>
      <c r="H821" s="67"/>
      <c r="I821" s="39"/>
      <c r="K821" s="39"/>
      <c r="L821" s="39"/>
      <c r="M821" s="39"/>
    </row>
    <row r="822" spans="1:13" ht="13">
      <c r="A822" s="66"/>
      <c r="B822" s="61"/>
      <c r="C822" s="63"/>
      <c r="D822" s="63"/>
      <c r="E822" s="63"/>
      <c r="F822" s="63"/>
      <c r="G822" s="63"/>
      <c r="H822" s="67"/>
      <c r="I822" s="39"/>
      <c r="K822" s="39"/>
      <c r="L822" s="39"/>
      <c r="M822" s="39"/>
    </row>
    <row r="823" spans="1:13" ht="13">
      <c r="A823" s="66"/>
      <c r="B823" s="61"/>
      <c r="C823" s="63"/>
      <c r="D823" s="63"/>
      <c r="E823" s="63"/>
      <c r="F823" s="63"/>
      <c r="G823" s="63"/>
      <c r="H823" s="67"/>
      <c r="I823" s="39"/>
      <c r="K823" s="39"/>
      <c r="L823" s="39"/>
      <c r="M823" s="39"/>
    </row>
    <row r="824" spans="1:13" ht="13">
      <c r="A824" s="66"/>
      <c r="B824" s="61"/>
      <c r="C824" s="63"/>
      <c r="D824" s="63"/>
      <c r="E824" s="63"/>
      <c r="F824" s="63"/>
      <c r="G824" s="63"/>
      <c r="H824" s="67"/>
      <c r="I824" s="39"/>
      <c r="K824" s="39"/>
      <c r="L824" s="39"/>
      <c r="M824" s="39"/>
    </row>
    <row r="825" spans="1:13" ht="13">
      <c r="A825" s="66"/>
      <c r="B825" s="61"/>
      <c r="C825" s="63"/>
      <c r="D825" s="63"/>
      <c r="E825" s="63"/>
      <c r="F825" s="63"/>
      <c r="G825" s="63"/>
      <c r="H825" s="67"/>
      <c r="I825" s="39"/>
      <c r="K825" s="39"/>
      <c r="L825" s="39"/>
      <c r="M825" s="39"/>
    </row>
    <row r="826" spans="1:13" ht="13">
      <c r="A826" s="66"/>
      <c r="B826" s="61"/>
      <c r="C826" s="63"/>
      <c r="D826" s="63"/>
      <c r="E826" s="63"/>
      <c r="F826" s="63"/>
      <c r="G826" s="63"/>
      <c r="H826" s="67"/>
      <c r="I826" s="39"/>
      <c r="K826" s="39"/>
      <c r="L826" s="39"/>
      <c r="M826" s="39"/>
    </row>
    <row r="827" spans="1:13" ht="13">
      <c r="A827" s="66"/>
      <c r="B827" s="61"/>
      <c r="C827" s="63"/>
      <c r="D827" s="63"/>
      <c r="E827" s="63"/>
      <c r="F827" s="63"/>
      <c r="G827" s="63"/>
      <c r="H827" s="67"/>
      <c r="I827" s="39"/>
      <c r="K827" s="39"/>
      <c r="L827" s="39"/>
      <c r="M827" s="39"/>
    </row>
    <row r="828" spans="1:13" ht="13">
      <c r="A828" s="66"/>
      <c r="B828" s="61"/>
      <c r="C828" s="63"/>
      <c r="D828" s="63"/>
      <c r="E828" s="63"/>
      <c r="F828" s="63"/>
      <c r="G828" s="63"/>
      <c r="H828" s="67"/>
      <c r="I828" s="39"/>
      <c r="K828" s="39"/>
      <c r="L828" s="39"/>
      <c r="M828" s="39"/>
    </row>
    <row r="829" spans="1:13" ht="13">
      <c r="A829" s="66"/>
      <c r="B829" s="61"/>
      <c r="C829" s="63"/>
      <c r="D829" s="63"/>
      <c r="E829" s="63"/>
      <c r="F829" s="63"/>
      <c r="G829" s="63"/>
      <c r="H829" s="67"/>
      <c r="I829" s="39"/>
      <c r="K829" s="39"/>
      <c r="L829" s="39"/>
      <c r="M829" s="39"/>
    </row>
    <row r="830" spans="1:13" ht="13">
      <c r="A830" s="66"/>
      <c r="B830" s="61"/>
      <c r="C830" s="63"/>
      <c r="D830" s="63"/>
      <c r="E830" s="63"/>
      <c r="F830" s="63"/>
      <c r="G830" s="63"/>
      <c r="H830" s="67"/>
      <c r="I830" s="39"/>
      <c r="K830" s="39"/>
      <c r="L830" s="39"/>
      <c r="M830" s="39"/>
    </row>
    <row r="831" spans="1:13" ht="13">
      <c r="A831" s="66"/>
      <c r="B831" s="61"/>
      <c r="C831" s="63"/>
      <c r="D831" s="63"/>
      <c r="E831" s="63"/>
      <c r="F831" s="63"/>
      <c r="G831" s="63"/>
      <c r="H831" s="67"/>
      <c r="I831" s="39"/>
      <c r="K831" s="39"/>
      <c r="L831" s="39"/>
      <c r="M831" s="39"/>
    </row>
    <row r="832" spans="1:13" ht="13">
      <c r="A832" s="66"/>
      <c r="B832" s="61"/>
      <c r="C832" s="63"/>
      <c r="D832" s="63"/>
      <c r="E832" s="63"/>
      <c r="F832" s="63"/>
      <c r="G832" s="63"/>
      <c r="H832" s="67"/>
      <c r="I832" s="39"/>
      <c r="K832" s="39"/>
      <c r="L832" s="39"/>
      <c r="M832" s="39"/>
    </row>
    <row r="833" spans="1:13" ht="13">
      <c r="A833" s="66"/>
      <c r="B833" s="61"/>
      <c r="C833" s="63"/>
      <c r="D833" s="63"/>
      <c r="E833" s="63"/>
      <c r="F833" s="63"/>
      <c r="G833" s="63"/>
      <c r="H833" s="67"/>
      <c r="I833" s="39"/>
      <c r="K833" s="39"/>
      <c r="L833" s="39"/>
      <c r="M833" s="39"/>
    </row>
    <row r="834" spans="1:13" ht="13">
      <c r="A834" s="66"/>
      <c r="B834" s="61"/>
      <c r="C834" s="63"/>
      <c r="D834" s="63"/>
      <c r="E834" s="63"/>
      <c r="F834" s="63"/>
      <c r="G834" s="63"/>
      <c r="H834" s="67"/>
      <c r="I834" s="39"/>
      <c r="K834" s="39"/>
      <c r="L834" s="39"/>
      <c r="M834" s="39"/>
    </row>
    <row r="835" spans="1:13" ht="13">
      <c r="A835" s="66"/>
      <c r="B835" s="61"/>
      <c r="C835" s="63"/>
      <c r="D835" s="63"/>
      <c r="E835" s="63"/>
      <c r="F835" s="63"/>
      <c r="G835" s="63"/>
      <c r="H835" s="67"/>
      <c r="I835" s="39"/>
      <c r="K835" s="39"/>
      <c r="L835" s="39"/>
      <c r="M835" s="39"/>
    </row>
    <row r="836" spans="1:13" ht="13">
      <c r="A836" s="66"/>
      <c r="B836" s="61"/>
      <c r="C836" s="63"/>
      <c r="D836" s="63"/>
      <c r="E836" s="63"/>
      <c r="F836" s="63"/>
      <c r="G836" s="63"/>
      <c r="H836" s="67"/>
      <c r="I836" s="39"/>
      <c r="K836" s="39"/>
      <c r="L836" s="39"/>
      <c r="M836" s="39"/>
    </row>
    <row r="837" spans="1:13" ht="13">
      <c r="A837" s="66"/>
      <c r="B837" s="61"/>
      <c r="C837" s="63"/>
      <c r="D837" s="63"/>
      <c r="E837" s="63"/>
      <c r="F837" s="63"/>
      <c r="G837" s="63"/>
      <c r="H837" s="67"/>
      <c r="I837" s="39"/>
      <c r="K837" s="39"/>
      <c r="L837" s="39"/>
      <c r="M837" s="39"/>
    </row>
    <row r="838" spans="1:13" ht="13">
      <c r="A838" s="66"/>
      <c r="B838" s="61"/>
      <c r="C838" s="63"/>
      <c r="D838" s="63"/>
      <c r="E838" s="63"/>
      <c r="F838" s="63"/>
      <c r="G838" s="63"/>
      <c r="H838" s="67"/>
      <c r="I838" s="39"/>
      <c r="K838" s="39"/>
      <c r="L838" s="39"/>
      <c r="M838" s="39"/>
    </row>
    <row r="839" spans="1:13" ht="13">
      <c r="A839" s="66"/>
      <c r="B839" s="61"/>
      <c r="C839" s="63"/>
      <c r="D839" s="63"/>
      <c r="E839" s="63"/>
      <c r="F839" s="63"/>
      <c r="G839" s="63"/>
      <c r="H839" s="67"/>
      <c r="I839" s="39"/>
      <c r="K839" s="39"/>
      <c r="L839" s="39"/>
      <c r="M839" s="39"/>
    </row>
    <row r="840" spans="1:13" ht="13">
      <c r="A840" s="66"/>
      <c r="B840" s="61"/>
      <c r="C840" s="63"/>
      <c r="D840" s="63"/>
      <c r="E840" s="63"/>
      <c r="F840" s="63"/>
      <c r="G840" s="63"/>
      <c r="H840" s="67"/>
      <c r="I840" s="39"/>
      <c r="K840" s="39"/>
      <c r="L840" s="39"/>
      <c r="M840" s="39"/>
    </row>
    <row r="841" spans="1:13" ht="13">
      <c r="A841" s="66"/>
      <c r="B841" s="61"/>
      <c r="C841" s="63"/>
      <c r="D841" s="63"/>
      <c r="E841" s="63"/>
      <c r="F841" s="63"/>
      <c r="G841" s="63"/>
      <c r="H841" s="67"/>
      <c r="I841" s="39"/>
      <c r="K841" s="39"/>
      <c r="L841" s="39"/>
      <c r="M841" s="39"/>
    </row>
    <row r="842" spans="1:13" ht="13">
      <c r="A842" s="66"/>
      <c r="B842" s="61"/>
      <c r="C842" s="63"/>
      <c r="D842" s="63"/>
      <c r="E842" s="63"/>
      <c r="F842" s="63"/>
      <c r="G842" s="63"/>
      <c r="H842" s="67"/>
      <c r="I842" s="39"/>
      <c r="K842" s="39"/>
      <c r="L842" s="39"/>
      <c r="M842" s="39"/>
    </row>
    <row r="843" spans="1:13" ht="13">
      <c r="A843" s="66"/>
      <c r="B843" s="61"/>
      <c r="C843" s="63"/>
      <c r="D843" s="63"/>
      <c r="E843" s="63"/>
      <c r="F843" s="63"/>
      <c r="G843" s="63"/>
      <c r="H843" s="67"/>
      <c r="I843" s="39"/>
      <c r="K843" s="39"/>
      <c r="L843" s="39"/>
      <c r="M843" s="39"/>
    </row>
    <row r="844" spans="1:13" ht="13">
      <c r="A844" s="66"/>
      <c r="B844" s="61"/>
      <c r="C844" s="63"/>
      <c r="D844" s="63"/>
      <c r="E844" s="63"/>
      <c r="F844" s="63"/>
      <c r="G844" s="63"/>
      <c r="H844" s="67"/>
      <c r="I844" s="39"/>
      <c r="K844" s="39"/>
      <c r="L844" s="39"/>
      <c r="M844" s="39"/>
    </row>
    <row r="845" spans="1:13" ht="13">
      <c r="A845" s="66"/>
      <c r="B845" s="61"/>
      <c r="C845" s="63"/>
      <c r="D845" s="63"/>
      <c r="E845" s="63"/>
      <c r="F845" s="63"/>
      <c r="G845" s="63"/>
      <c r="H845" s="67"/>
      <c r="I845" s="39"/>
      <c r="K845" s="39"/>
      <c r="L845" s="39"/>
      <c r="M845" s="39"/>
    </row>
    <row r="846" spans="1:13" ht="13">
      <c r="A846" s="66"/>
      <c r="B846" s="61"/>
      <c r="C846" s="63"/>
      <c r="D846" s="63"/>
      <c r="E846" s="63"/>
      <c r="F846" s="63"/>
      <c r="G846" s="63"/>
      <c r="H846" s="67"/>
      <c r="I846" s="39"/>
      <c r="K846" s="39"/>
      <c r="L846" s="39"/>
      <c r="M846" s="39"/>
    </row>
    <row r="847" spans="1:13" ht="13">
      <c r="A847" s="66"/>
      <c r="B847" s="61"/>
      <c r="C847" s="63"/>
      <c r="D847" s="63"/>
      <c r="E847" s="63"/>
      <c r="F847" s="63"/>
      <c r="G847" s="63"/>
      <c r="H847" s="67"/>
      <c r="I847" s="39"/>
      <c r="K847" s="39"/>
      <c r="L847" s="39"/>
      <c r="M847" s="39"/>
    </row>
    <row r="848" spans="1:13" ht="13">
      <c r="A848" s="66"/>
      <c r="B848" s="61"/>
      <c r="C848" s="63"/>
      <c r="D848" s="63"/>
      <c r="E848" s="63"/>
      <c r="F848" s="63"/>
      <c r="G848" s="63"/>
      <c r="H848" s="67"/>
      <c r="I848" s="39"/>
      <c r="K848" s="39"/>
      <c r="L848" s="39"/>
      <c r="M848" s="39"/>
    </row>
    <row r="849" spans="1:13" ht="13">
      <c r="A849" s="66"/>
      <c r="B849" s="61"/>
      <c r="C849" s="63"/>
      <c r="D849" s="63"/>
      <c r="E849" s="63"/>
      <c r="F849" s="63"/>
      <c r="G849" s="63"/>
      <c r="H849" s="67"/>
      <c r="I849" s="39"/>
      <c r="K849" s="39"/>
      <c r="L849" s="39"/>
      <c r="M849" s="39"/>
    </row>
    <row r="850" spans="1:13" ht="13">
      <c r="A850" s="66"/>
      <c r="B850" s="61"/>
      <c r="C850" s="63"/>
      <c r="D850" s="63"/>
      <c r="E850" s="63"/>
      <c r="F850" s="63"/>
      <c r="G850" s="63"/>
      <c r="H850" s="67"/>
      <c r="I850" s="39"/>
      <c r="K850" s="39"/>
      <c r="L850" s="39"/>
      <c r="M850" s="39"/>
    </row>
    <row r="851" spans="1:13" ht="13">
      <c r="A851" s="66"/>
      <c r="B851" s="61"/>
      <c r="C851" s="63"/>
      <c r="D851" s="63"/>
      <c r="E851" s="63"/>
      <c r="F851" s="63"/>
      <c r="G851" s="63"/>
      <c r="H851" s="67"/>
      <c r="I851" s="39"/>
      <c r="K851" s="39"/>
      <c r="L851" s="39"/>
      <c r="M851" s="39"/>
    </row>
    <row r="852" spans="1:13" ht="13">
      <c r="A852" s="66"/>
      <c r="B852" s="61"/>
      <c r="C852" s="63"/>
      <c r="D852" s="63"/>
      <c r="E852" s="63"/>
      <c r="F852" s="63"/>
      <c r="G852" s="63"/>
      <c r="H852" s="67"/>
      <c r="I852" s="39"/>
      <c r="K852" s="39"/>
      <c r="L852" s="39"/>
      <c r="M852" s="39"/>
    </row>
    <row r="853" spans="1:13" ht="13">
      <c r="A853" s="66"/>
      <c r="B853" s="61"/>
      <c r="C853" s="63"/>
      <c r="D853" s="63"/>
      <c r="E853" s="63"/>
      <c r="F853" s="63"/>
      <c r="G853" s="63"/>
      <c r="H853" s="67"/>
      <c r="I853" s="39"/>
      <c r="K853" s="39"/>
      <c r="L853" s="39"/>
      <c r="M853" s="39"/>
    </row>
    <row r="854" spans="1:13" ht="13">
      <c r="A854" s="66"/>
      <c r="B854" s="61"/>
      <c r="C854" s="63"/>
      <c r="D854" s="63"/>
      <c r="E854" s="63"/>
      <c r="F854" s="63"/>
      <c r="G854" s="63"/>
      <c r="H854" s="67"/>
      <c r="I854" s="39"/>
      <c r="K854" s="39"/>
      <c r="L854" s="39"/>
      <c r="M854" s="39"/>
    </row>
    <row r="855" spans="1:13" ht="13">
      <c r="A855" s="66"/>
      <c r="B855" s="61"/>
      <c r="C855" s="63"/>
      <c r="D855" s="63"/>
      <c r="E855" s="63"/>
      <c r="F855" s="63"/>
      <c r="G855" s="63"/>
      <c r="H855" s="67"/>
      <c r="I855" s="39"/>
      <c r="K855" s="39"/>
      <c r="L855" s="39"/>
      <c r="M855" s="39"/>
    </row>
    <row r="856" spans="1:13" ht="13">
      <c r="A856" s="66"/>
      <c r="B856" s="61"/>
      <c r="C856" s="63"/>
      <c r="D856" s="63"/>
      <c r="E856" s="63"/>
      <c r="F856" s="63"/>
      <c r="G856" s="63"/>
      <c r="H856" s="67"/>
      <c r="I856" s="39"/>
      <c r="K856" s="39"/>
      <c r="L856" s="39"/>
      <c r="M856" s="39"/>
    </row>
    <row r="857" spans="1:13" ht="13">
      <c r="A857" s="66"/>
      <c r="B857" s="61"/>
      <c r="C857" s="63"/>
      <c r="D857" s="63"/>
      <c r="E857" s="63"/>
      <c r="F857" s="63"/>
      <c r="G857" s="63"/>
      <c r="H857" s="67"/>
      <c r="I857" s="39"/>
      <c r="K857" s="39"/>
      <c r="L857" s="39"/>
      <c r="M857" s="39"/>
    </row>
    <row r="858" spans="1:13" ht="13">
      <c r="A858" s="66"/>
      <c r="B858" s="61"/>
      <c r="C858" s="63"/>
      <c r="D858" s="63"/>
      <c r="E858" s="63"/>
      <c r="F858" s="63"/>
      <c r="G858" s="63"/>
      <c r="H858" s="67"/>
      <c r="I858" s="39"/>
      <c r="K858" s="39"/>
      <c r="L858" s="39"/>
      <c r="M858" s="39"/>
    </row>
    <row r="859" spans="1:13" ht="13">
      <c r="A859" s="66"/>
      <c r="B859" s="61"/>
      <c r="C859" s="63"/>
      <c r="D859" s="63"/>
      <c r="E859" s="63"/>
      <c r="F859" s="63"/>
      <c r="G859" s="63"/>
      <c r="H859" s="67"/>
      <c r="I859" s="39"/>
      <c r="K859" s="39"/>
      <c r="L859" s="39"/>
      <c r="M859" s="39"/>
    </row>
    <row r="860" spans="1:13" ht="13">
      <c r="A860" s="66"/>
      <c r="B860" s="61"/>
      <c r="C860" s="63"/>
      <c r="D860" s="63"/>
      <c r="E860" s="63"/>
      <c r="F860" s="63"/>
      <c r="G860" s="63"/>
      <c r="H860" s="67"/>
      <c r="I860" s="39"/>
      <c r="K860" s="39"/>
      <c r="L860" s="39"/>
      <c r="M860" s="39"/>
    </row>
    <row r="861" spans="1:13" ht="13">
      <c r="A861" s="66"/>
      <c r="B861" s="61"/>
      <c r="C861" s="63"/>
      <c r="D861" s="63"/>
      <c r="E861" s="63"/>
      <c r="F861" s="63"/>
      <c r="G861" s="63"/>
      <c r="H861" s="67"/>
      <c r="I861" s="39"/>
      <c r="K861" s="39"/>
      <c r="L861" s="39"/>
      <c r="M861" s="39"/>
    </row>
    <row r="862" spans="1:13" ht="13">
      <c r="A862" s="66"/>
      <c r="B862" s="61"/>
      <c r="C862" s="63"/>
      <c r="D862" s="63"/>
      <c r="E862" s="63"/>
      <c r="F862" s="63"/>
      <c r="G862" s="63"/>
      <c r="H862" s="67"/>
      <c r="I862" s="39"/>
      <c r="K862" s="39"/>
      <c r="L862" s="39"/>
      <c r="M862" s="39"/>
    </row>
    <row r="863" spans="1:13" ht="13">
      <c r="A863" s="66"/>
      <c r="B863" s="61"/>
      <c r="C863" s="63"/>
      <c r="D863" s="63"/>
      <c r="E863" s="63"/>
      <c r="F863" s="63"/>
      <c r="G863" s="63"/>
      <c r="H863" s="67"/>
      <c r="I863" s="39"/>
      <c r="K863" s="39"/>
      <c r="L863" s="39"/>
      <c r="M863" s="39"/>
    </row>
    <row r="864" spans="1:13" ht="13">
      <c r="A864" s="66"/>
      <c r="B864" s="61"/>
      <c r="C864" s="63"/>
      <c r="D864" s="63"/>
      <c r="E864" s="63"/>
      <c r="F864" s="63"/>
      <c r="G864" s="63"/>
      <c r="H864" s="67"/>
      <c r="I864" s="39"/>
      <c r="K864" s="39"/>
      <c r="L864" s="39"/>
      <c r="M864" s="39"/>
    </row>
    <row r="865" spans="1:13" ht="13">
      <c r="A865" s="66"/>
      <c r="B865" s="61"/>
      <c r="C865" s="63"/>
      <c r="D865" s="63"/>
      <c r="E865" s="63"/>
      <c r="F865" s="63"/>
      <c r="G865" s="63"/>
      <c r="H865" s="67"/>
      <c r="I865" s="39"/>
      <c r="K865" s="39"/>
      <c r="L865" s="39"/>
      <c r="M865" s="39"/>
    </row>
    <row r="866" spans="1:13" ht="13">
      <c r="A866" s="66"/>
      <c r="B866" s="61"/>
      <c r="C866" s="63"/>
      <c r="D866" s="63"/>
      <c r="E866" s="63"/>
      <c r="F866" s="63"/>
      <c r="G866" s="63"/>
      <c r="H866" s="67"/>
      <c r="I866" s="39"/>
      <c r="K866" s="39"/>
      <c r="L866" s="39"/>
      <c r="M866" s="39"/>
    </row>
    <row r="867" spans="1:13" ht="13">
      <c r="A867" s="66"/>
      <c r="B867" s="61"/>
      <c r="C867" s="63"/>
      <c r="D867" s="63"/>
      <c r="E867" s="63"/>
      <c r="F867" s="63"/>
      <c r="G867" s="63"/>
      <c r="H867" s="67"/>
      <c r="I867" s="39"/>
      <c r="K867" s="39"/>
      <c r="L867" s="39"/>
      <c r="M867" s="39"/>
    </row>
    <row r="868" spans="1:13" ht="13">
      <c r="A868" s="66"/>
      <c r="B868" s="61"/>
      <c r="C868" s="63"/>
      <c r="D868" s="63"/>
      <c r="E868" s="63"/>
      <c r="F868" s="63"/>
      <c r="G868" s="63"/>
      <c r="H868" s="67"/>
      <c r="I868" s="39"/>
      <c r="K868" s="39"/>
      <c r="L868" s="39"/>
      <c r="M868" s="39"/>
    </row>
    <row r="869" spans="1:13" ht="13">
      <c r="A869" s="66"/>
      <c r="B869" s="61"/>
      <c r="C869" s="63"/>
      <c r="D869" s="63"/>
      <c r="E869" s="63"/>
      <c r="F869" s="63"/>
      <c r="G869" s="63"/>
      <c r="H869" s="67"/>
      <c r="I869" s="39"/>
      <c r="K869" s="39"/>
      <c r="L869" s="39"/>
      <c r="M869" s="39"/>
    </row>
    <row r="870" spans="1:13" ht="13">
      <c r="A870" s="66"/>
      <c r="B870" s="61"/>
      <c r="C870" s="63"/>
      <c r="D870" s="63"/>
      <c r="E870" s="63"/>
      <c r="F870" s="63"/>
      <c r="G870" s="63"/>
      <c r="H870" s="67"/>
      <c r="I870" s="39"/>
      <c r="K870" s="39"/>
      <c r="L870" s="39"/>
      <c r="M870" s="39"/>
    </row>
    <row r="871" spans="1:13" ht="13">
      <c r="A871" s="66"/>
      <c r="B871" s="61"/>
      <c r="C871" s="63"/>
      <c r="D871" s="63"/>
      <c r="E871" s="63"/>
      <c r="F871" s="63"/>
      <c r="G871" s="63"/>
      <c r="H871" s="67"/>
      <c r="I871" s="39"/>
      <c r="K871" s="39"/>
      <c r="L871" s="39"/>
      <c r="M871" s="39"/>
    </row>
    <row r="872" spans="1:13" ht="13">
      <c r="A872" s="66"/>
      <c r="B872" s="61"/>
      <c r="C872" s="63"/>
      <c r="D872" s="63"/>
      <c r="E872" s="63"/>
      <c r="F872" s="63"/>
      <c r="G872" s="63"/>
      <c r="H872" s="67"/>
      <c r="I872" s="39"/>
      <c r="K872" s="39"/>
      <c r="L872" s="39"/>
      <c r="M872" s="39"/>
    </row>
    <row r="873" spans="1:13" ht="13">
      <c r="A873" s="66"/>
      <c r="B873" s="61"/>
      <c r="C873" s="63"/>
      <c r="D873" s="63"/>
      <c r="E873" s="63"/>
      <c r="F873" s="63"/>
      <c r="G873" s="63"/>
      <c r="H873" s="67"/>
      <c r="I873" s="39"/>
      <c r="K873" s="39"/>
      <c r="L873" s="39"/>
      <c r="M873" s="39"/>
    </row>
    <row r="874" spans="1:13" ht="13">
      <c r="A874" s="66"/>
      <c r="B874" s="61"/>
      <c r="C874" s="63"/>
      <c r="D874" s="63"/>
      <c r="E874" s="63"/>
      <c r="F874" s="63"/>
      <c r="G874" s="63"/>
      <c r="H874" s="67"/>
      <c r="I874" s="39"/>
      <c r="K874" s="39"/>
      <c r="L874" s="39"/>
      <c r="M874" s="39"/>
    </row>
    <row r="875" spans="1:13" ht="13">
      <c r="A875" s="66"/>
      <c r="B875" s="61"/>
      <c r="C875" s="63"/>
      <c r="D875" s="63"/>
      <c r="E875" s="63"/>
      <c r="F875" s="63"/>
      <c r="G875" s="63"/>
      <c r="H875" s="67"/>
      <c r="I875" s="39"/>
      <c r="K875" s="39"/>
      <c r="L875" s="39"/>
      <c r="M875" s="39"/>
    </row>
    <row r="876" spans="1:13" ht="13">
      <c r="A876" s="66"/>
      <c r="B876" s="61"/>
      <c r="C876" s="63"/>
      <c r="D876" s="63"/>
      <c r="E876" s="63"/>
      <c r="F876" s="63"/>
      <c r="G876" s="63"/>
      <c r="H876" s="67"/>
      <c r="I876" s="39"/>
      <c r="K876" s="39"/>
      <c r="L876" s="39"/>
      <c r="M876" s="39"/>
    </row>
    <row r="877" spans="1:13" ht="13">
      <c r="A877" s="66"/>
      <c r="B877" s="61"/>
      <c r="C877" s="63"/>
      <c r="D877" s="63"/>
      <c r="E877" s="63"/>
      <c r="F877" s="63"/>
      <c r="G877" s="63"/>
      <c r="H877" s="67"/>
      <c r="I877" s="39"/>
      <c r="K877" s="39"/>
      <c r="L877" s="39"/>
      <c r="M877" s="39"/>
    </row>
    <row r="878" spans="1:13" ht="13">
      <c r="A878" s="66"/>
      <c r="B878" s="61"/>
      <c r="C878" s="63"/>
      <c r="D878" s="63"/>
      <c r="E878" s="63"/>
      <c r="F878" s="63"/>
      <c r="G878" s="63"/>
      <c r="H878" s="67"/>
      <c r="I878" s="39"/>
      <c r="K878" s="39"/>
      <c r="L878" s="39"/>
      <c r="M878" s="39"/>
    </row>
    <row r="879" spans="1:13" ht="13">
      <c r="A879" s="66"/>
      <c r="B879" s="61"/>
      <c r="C879" s="63"/>
      <c r="D879" s="63"/>
      <c r="E879" s="63"/>
      <c r="F879" s="63"/>
      <c r="G879" s="63"/>
      <c r="H879" s="67"/>
      <c r="I879" s="39"/>
      <c r="K879" s="39"/>
      <c r="L879" s="39"/>
      <c r="M879" s="39"/>
    </row>
    <row r="880" spans="1:13" ht="13">
      <c r="A880" s="66"/>
      <c r="B880" s="61"/>
      <c r="C880" s="63"/>
      <c r="D880" s="63"/>
      <c r="E880" s="63"/>
      <c r="F880" s="63"/>
      <c r="G880" s="63"/>
      <c r="H880" s="67"/>
      <c r="I880" s="39"/>
      <c r="K880" s="39"/>
      <c r="L880" s="39"/>
      <c r="M880" s="39"/>
    </row>
    <row r="881" spans="1:13" ht="13">
      <c r="A881" s="66"/>
      <c r="B881" s="61"/>
      <c r="C881" s="63"/>
      <c r="D881" s="63"/>
      <c r="E881" s="63"/>
      <c r="F881" s="63"/>
      <c r="G881" s="63"/>
      <c r="H881" s="67"/>
      <c r="I881" s="39"/>
      <c r="K881" s="39"/>
      <c r="L881" s="39"/>
      <c r="M881" s="39"/>
    </row>
    <row r="882" spans="1:13" ht="13">
      <c r="A882" s="66"/>
      <c r="B882" s="61"/>
      <c r="C882" s="63"/>
      <c r="D882" s="63"/>
      <c r="E882" s="63"/>
      <c r="F882" s="63"/>
      <c r="G882" s="63"/>
      <c r="H882" s="67"/>
      <c r="I882" s="39"/>
      <c r="K882" s="39"/>
      <c r="L882" s="39"/>
      <c r="M882" s="39"/>
    </row>
    <row r="883" spans="1:13" ht="13">
      <c r="A883" s="66"/>
      <c r="B883" s="61"/>
      <c r="C883" s="63"/>
      <c r="D883" s="63"/>
      <c r="E883" s="63"/>
      <c r="F883" s="63"/>
      <c r="G883" s="63"/>
      <c r="H883" s="67"/>
      <c r="I883" s="39"/>
      <c r="K883" s="39"/>
      <c r="L883" s="39"/>
      <c r="M883" s="39"/>
    </row>
    <row r="884" spans="1:13" ht="13">
      <c r="A884" s="66"/>
      <c r="B884" s="61"/>
      <c r="C884" s="63"/>
      <c r="D884" s="63"/>
      <c r="E884" s="63"/>
      <c r="F884" s="63"/>
      <c r="G884" s="63"/>
      <c r="H884" s="67"/>
      <c r="I884" s="39"/>
      <c r="K884" s="39"/>
      <c r="L884" s="39"/>
      <c r="M884" s="39"/>
    </row>
    <row r="885" spans="1:13" ht="13">
      <c r="A885" s="66"/>
      <c r="B885" s="61"/>
      <c r="C885" s="63"/>
      <c r="D885" s="63"/>
      <c r="E885" s="63"/>
      <c r="F885" s="63"/>
      <c r="G885" s="63"/>
      <c r="H885" s="67"/>
      <c r="I885" s="39"/>
      <c r="K885" s="39"/>
      <c r="L885" s="39"/>
      <c r="M885" s="39"/>
    </row>
    <row r="886" spans="1:13" ht="13">
      <c r="A886" s="66"/>
      <c r="B886" s="61"/>
      <c r="C886" s="63"/>
      <c r="D886" s="63"/>
      <c r="E886" s="63"/>
      <c r="F886" s="63"/>
      <c r="G886" s="63"/>
      <c r="H886" s="67"/>
      <c r="I886" s="39"/>
      <c r="K886" s="39"/>
      <c r="L886" s="39"/>
      <c r="M886" s="39"/>
    </row>
    <row r="887" spans="1:13" ht="13">
      <c r="A887" s="66"/>
      <c r="B887" s="61"/>
      <c r="C887" s="63"/>
      <c r="D887" s="63"/>
      <c r="E887" s="63"/>
      <c r="F887" s="63"/>
      <c r="G887" s="63"/>
      <c r="H887" s="67"/>
      <c r="I887" s="39"/>
      <c r="K887" s="39"/>
      <c r="L887" s="39"/>
      <c r="M887" s="39"/>
    </row>
    <row r="888" spans="1:13" ht="13">
      <c r="A888" s="66"/>
      <c r="B888" s="61"/>
      <c r="C888" s="63"/>
      <c r="D888" s="63"/>
      <c r="E888" s="63"/>
      <c r="F888" s="63"/>
      <c r="G888" s="63"/>
      <c r="H888" s="67"/>
      <c r="I888" s="39"/>
      <c r="K888" s="39"/>
      <c r="L888" s="39"/>
      <c r="M888" s="39"/>
    </row>
    <row r="889" spans="1:13" ht="13">
      <c r="A889" s="66"/>
      <c r="B889" s="61"/>
      <c r="C889" s="63"/>
      <c r="D889" s="63"/>
      <c r="E889" s="63"/>
      <c r="F889" s="63"/>
      <c r="G889" s="63"/>
      <c r="H889" s="67"/>
      <c r="I889" s="39"/>
      <c r="K889" s="39"/>
      <c r="L889" s="39"/>
      <c r="M889" s="39"/>
    </row>
    <row r="890" spans="1:13" ht="13">
      <c r="A890" s="66"/>
      <c r="B890" s="61"/>
      <c r="C890" s="63"/>
      <c r="D890" s="63"/>
      <c r="E890" s="63"/>
      <c r="F890" s="63"/>
      <c r="G890" s="63"/>
      <c r="H890" s="67"/>
      <c r="I890" s="39"/>
      <c r="K890" s="39"/>
      <c r="L890" s="39"/>
      <c r="M890" s="39"/>
    </row>
    <row r="891" spans="1:13" ht="13">
      <c r="A891" s="66"/>
      <c r="B891" s="61"/>
      <c r="C891" s="63"/>
      <c r="D891" s="63"/>
      <c r="E891" s="63"/>
      <c r="F891" s="63"/>
      <c r="G891" s="63"/>
      <c r="H891" s="67"/>
      <c r="I891" s="39"/>
      <c r="K891" s="39"/>
      <c r="L891" s="39"/>
      <c r="M891" s="39"/>
    </row>
    <row r="892" spans="1:13" ht="13">
      <c r="A892" s="66"/>
      <c r="B892" s="61"/>
      <c r="C892" s="63"/>
      <c r="D892" s="63"/>
      <c r="E892" s="63"/>
      <c r="F892" s="63"/>
      <c r="G892" s="63"/>
      <c r="H892" s="67"/>
      <c r="I892" s="39"/>
      <c r="K892" s="39"/>
      <c r="L892" s="39"/>
      <c r="M892" s="39"/>
    </row>
    <row r="893" spans="1:13" ht="13">
      <c r="A893" s="66"/>
      <c r="B893" s="61"/>
      <c r="C893" s="63"/>
      <c r="D893" s="63"/>
      <c r="E893" s="63"/>
      <c r="F893" s="63"/>
      <c r="G893" s="63"/>
      <c r="H893" s="67"/>
      <c r="I893" s="39"/>
      <c r="K893" s="39"/>
      <c r="L893" s="39"/>
      <c r="M893" s="39"/>
    </row>
    <row r="894" spans="1:13" ht="13">
      <c r="A894" s="66"/>
      <c r="B894" s="61"/>
      <c r="C894" s="63"/>
      <c r="D894" s="63"/>
      <c r="E894" s="63"/>
      <c r="F894" s="63"/>
      <c r="G894" s="63"/>
      <c r="H894" s="67"/>
      <c r="I894" s="39"/>
      <c r="K894" s="39"/>
      <c r="L894" s="39"/>
      <c r="M894" s="39"/>
    </row>
    <row r="895" spans="1:13" ht="13">
      <c r="A895" s="66"/>
      <c r="B895" s="61"/>
      <c r="C895" s="63"/>
      <c r="D895" s="63"/>
      <c r="E895" s="63"/>
      <c r="F895" s="63"/>
      <c r="G895" s="63"/>
      <c r="H895" s="67"/>
      <c r="I895" s="39"/>
      <c r="K895" s="39"/>
      <c r="L895" s="39"/>
      <c r="M895" s="39"/>
    </row>
    <row r="896" spans="1:13" ht="13">
      <c r="A896" s="66"/>
      <c r="B896" s="61"/>
      <c r="C896" s="63"/>
      <c r="D896" s="63"/>
      <c r="E896" s="63"/>
      <c r="F896" s="63"/>
      <c r="G896" s="63"/>
      <c r="H896" s="67"/>
      <c r="I896" s="39"/>
      <c r="K896" s="39"/>
      <c r="L896" s="39"/>
      <c r="M896" s="39"/>
    </row>
    <row r="897" spans="1:13" ht="13">
      <c r="A897" s="66"/>
      <c r="B897" s="61"/>
      <c r="C897" s="63"/>
      <c r="D897" s="63"/>
      <c r="E897" s="63"/>
      <c r="F897" s="63"/>
      <c r="G897" s="63"/>
      <c r="H897" s="67"/>
      <c r="I897" s="39"/>
      <c r="K897" s="39"/>
      <c r="L897" s="39"/>
      <c r="M897" s="39"/>
    </row>
    <row r="898" spans="1:13" ht="13">
      <c r="A898" s="66"/>
      <c r="B898" s="61"/>
      <c r="C898" s="63"/>
      <c r="D898" s="63"/>
      <c r="E898" s="63"/>
      <c r="F898" s="63"/>
      <c r="G898" s="63"/>
      <c r="H898" s="67"/>
      <c r="I898" s="39"/>
      <c r="K898" s="39"/>
      <c r="L898" s="39"/>
      <c r="M898" s="39"/>
    </row>
    <row r="899" spans="1:13" ht="13">
      <c r="A899" s="66"/>
      <c r="B899" s="61"/>
      <c r="C899" s="63"/>
      <c r="D899" s="63"/>
      <c r="E899" s="63"/>
      <c r="F899" s="63"/>
      <c r="G899" s="63"/>
      <c r="H899" s="67"/>
      <c r="I899" s="39"/>
      <c r="K899" s="39"/>
      <c r="L899" s="39"/>
      <c r="M899" s="39"/>
    </row>
    <row r="900" spans="1:13" ht="13">
      <c r="A900" s="66"/>
      <c r="B900" s="61"/>
      <c r="C900" s="63"/>
      <c r="D900" s="63"/>
      <c r="E900" s="63"/>
      <c r="F900" s="63"/>
      <c r="G900" s="63"/>
      <c r="H900" s="67"/>
      <c r="I900" s="39"/>
      <c r="K900" s="39"/>
      <c r="L900" s="39"/>
      <c r="M900" s="39"/>
    </row>
    <row r="901" spans="1:13" ht="13">
      <c r="A901" s="66"/>
      <c r="B901" s="61"/>
      <c r="C901" s="63"/>
      <c r="D901" s="63"/>
      <c r="E901" s="63"/>
      <c r="F901" s="63"/>
      <c r="G901" s="63"/>
      <c r="H901" s="67"/>
      <c r="I901" s="39"/>
      <c r="K901" s="39"/>
      <c r="L901" s="39"/>
      <c r="M901" s="39"/>
    </row>
    <row r="902" spans="1:13" ht="13">
      <c r="A902" s="66"/>
      <c r="B902" s="61"/>
      <c r="C902" s="63"/>
      <c r="D902" s="63"/>
      <c r="E902" s="63"/>
      <c r="F902" s="63"/>
      <c r="G902" s="63"/>
      <c r="H902" s="67"/>
      <c r="I902" s="39"/>
      <c r="K902" s="39"/>
      <c r="L902" s="39"/>
      <c r="M902" s="39"/>
    </row>
    <row r="903" spans="1:13" ht="13">
      <c r="A903" s="66"/>
      <c r="B903" s="61"/>
      <c r="C903" s="63"/>
      <c r="D903" s="63"/>
      <c r="E903" s="63"/>
      <c r="F903" s="63"/>
      <c r="G903" s="63"/>
      <c r="H903" s="67"/>
      <c r="I903" s="39"/>
      <c r="K903" s="39"/>
      <c r="L903" s="39"/>
      <c r="M903" s="39"/>
    </row>
    <row r="904" spans="1:13" ht="13">
      <c r="A904" s="66"/>
      <c r="B904" s="61"/>
      <c r="C904" s="63"/>
      <c r="D904" s="63"/>
      <c r="E904" s="63"/>
      <c r="F904" s="63"/>
      <c r="G904" s="63"/>
      <c r="H904" s="67"/>
      <c r="I904" s="39"/>
      <c r="K904" s="39"/>
      <c r="L904" s="39"/>
      <c r="M904" s="39"/>
    </row>
    <row r="905" spans="1:13" ht="13">
      <c r="A905" s="66"/>
      <c r="B905" s="61"/>
      <c r="C905" s="63"/>
      <c r="D905" s="63"/>
      <c r="E905" s="63"/>
      <c r="F905" s="63"/>
      <c r="G905" s="63"/>
      <c r="H905" s="67"/>
      <c r="I905" s="39"/>
      <c r="K905" s="39"/>
      <c r="L905" s="39"/>
      <c r="M905" s="39"/>
    </row>
    <row r="906" spans="1:13" ht="13">
      <c r="A906" s="66"/>
      <c r="B906" s="61"/>
      <c r="C906" s="63"/>
      <c r="D906" s="63"/>
      <c r="E906" s="63"/>
      <c r="F906" s="63"/>
      <c r="G906" s="63"/>
      <c r="H906" s="67"/>
      <c r="I906" s="39"/>
      <c r="K906" s="39"/>
      <c r="L906" s="39"/>
      <c r="M906" s="39"/>
    </row>
    <row r="907" spans="1:13" ht="13">
      <c r="A907" s="66"/>
      <c r="B907" s="61"/>
      <c r="C907" s="63"/>
      <c r="D907" s="63"/>
      <c r="E907" s="63"/>
      <c r="F907" s="63"/>
      <c r="G907" s="63"/>
      <c r="H907" s="67"/>
      <c r="I907" s="39"/>
      <c r="K907" s="39"/>
      <c r="L907" s="39"/>
      <c r="M907" s="39"/>
    </row>
    <row r="908" spans="1:13" ht="13">
      <c r="A908" s="66"/>
      <c r="B908" s="61"/>
      <c r="C908" s="63"/>
      <c r="D908" s="63"/>
      <c r="E908" s="63"/>
      <c r="F908" s="63"/>
      <c r="G908" s="63"/>
      <c r="H908" s="67"/>
      <c r="I908" s="39"/>
      <c r="K908" s="39"/>
      <c r="L908" s="39"/>
      <c r="M908" s="39"/>
    </row>
    <row r="909" spans="1:13" ht="13">
      <c r="A909" s="66"/>
      <c r="B909" s="61"/>
      <c r="C909" s="63"/>
      <c r="D909" s="63"/>
      <c r="E909" s="63"/>
      <c r="F909" s="63"/>
      <c r="G909" s="63"/>
      <c r="H909" s="67"/>
      <c r="I909" s="39"/>
      <c r="K909" s="39"/>
      <c r="L909" s="39"/>
      <c r="M909" s="39"/>
    </row>
    <row r="910" spans="1:13" ht="13">
      <c r="A910" s="66"/>
      <c r="B910" s="61"/>
      <c r="C910" s="63"/>
      <c r="D910" s="63"/>
      <c r="E910" s="63"/>
      <c r="F910" s="63"/>
      <c r="G910" s="63"/>
      <c r="H910" s="67"/>
      <c r="I910" s="39"/>
      <c r="K910" s="39"/>
      <c r="L910" s="39"/>
      <c r="M910" s="39"/>
    </row>
    <row r="911" spans="1:13" ht="13">
      <c r="A911" s="66"/>
      <c r="B911" s="61"/>
      <c r="C911" s="63"/>
      <c r="D911" s="63"/>
      <c r="E911" s="63"/>
      <c r="F911" s="63"/>
      <c r="G911" s="63"/>
      <c r="H911" s="67"/>
      <c r="I911" s="39"/>
      <c r="K911" s="39"/>
      <c r="L911" s="39"/>
      <c r="M911" s="39"/>
    </row>
    <row r="912" spans="1:13" ht="13">
      <c r="A912" s="66"/>
      <c r="B912" s="61"/>
      <c r="C912" s="63"/>
      <c r="D912" s="63"/>
      <c r="E912" s="63"/>
      <c r="F912" s="63"/>
      <c r="G912" s="63"/>
      <c r="H912" s="67"/>
      <c r="I912" s="39"/>
      <c r="K912" s="39"/>
      <c r="L912" s="39"/>
      <c r="M912" s="39"/>
    </row>
    <row r="913" spans="1:13" ht="13">
      <c r="A913" s="66"/>
      <c r="B913" s="61"/>
      <c r="C913" s="63"/>
      <c r="D913" s="63"/>
      <c r="E913" s="63"/>
      <c r="F913" s="63"/>
      <c r="G913" s="63"/>
      <c r="H913" s="67"/>
      <c r="I913" s="39"/>
      <c r="K913" s="39"/>
      <c r="L913" s="39"/>
      <c r="M913" s="39"/>
    </row>
    <row r="914" spans="1:13" ht="13">
      <c r="A914" s="66"/>
      <c r="B914" s="61"/>
      <c r="C914" s="63"/>
      <c r="D914" s="63"/>
      <c r="E914" s="63"/>
      <c r="F914" s="63"/>
      <c r="G914" s="63"/>
      <c r="H914" s="67"/>
      <c r="I914" s="39"/>
      <c r="K914" s="39"/>
      <c r="L914" s="39"/>
      <c r="M914" s="39"/>
    </row>
    <row r="915" spans="1:13" ht="13">
      <c r="A915" s="66"/>
      <c r="B915" s="61"/>
      <c r="C915" s="63"/>
      <c r="D915" s="63"/>
      <c r="E915" s="63"/>
      <c r="F915" s="63"/>
      <c r="G915" s="63"/>
      <c r="H915" s="67"/>
      <c r="I915" s="39"/>
      <c r="K915" s="39"/>
      <c r="L915" s="39"/>
      <c r="M915" s="39"/>
    </row>
    <row r="916" spans="1:13" ht="13">
      <c r="A916" s="66"/>
      <c r="B916" s="61"/>
      <c r="C916" s="63"/>
      <c r="D916" s="63"/>
      <c r="E916" s="63"/>
      <c r="F916" s="63"/>
      <c r="G916" s="63"/>
      <c r="H916" s="67"/>
      <c r="I916" s="39"/>
      <c r="K916" s="39"/>
      <c r="L916" s="39"/>
      <c r="M916" s="39"/>
    </row>
    <row r="917" spans="1:13" ht="13">
      <c r="A917" s="66"/>
      <c r="B917" s="61"/>
      <c r="C917" s="63"/>
      <c r="D917" s="63"/>
      <c r="E917" s="63"/>
      <c r="F917" s="63"/>
      <c r="G917" s="63"/>
      <c r="H917" s="67"/>
      <c r="I917" s="39"/>
      <c r="K917" s="39"/>
      <c r="L917" s="39"/>
      <c r="M917" s="39"/>
    </row>
    <row r="918" spans="1:13" ht="13">
      <c r="A918" s="66"/>
      <c r="B918" s="61"/>
      <c r="C918" s="63"/>
      <c r="D918" s="63"/>
      <c r="E918" s="63"/>
      <c r="F918" s="63"/>
      <c r="G918" s="63"/>
      <c r="H918" s="67"/>
      <c r="I918" s="39"/>
      <c r="K918" s="39"/>
      <c r="L918" s="39"/>
      <c r="M918" s="39"/>
    </row>
    <row r="919" spans="1:13" ht="13">
      <c r="A919" s="66"/>
      <c r="B919" s="61"/>
      <c r="C919" s="63"/>
      <c r="D919" s="63"/>
      <c r="E919" s="63"/>
      <c r="F919" s="63"/>
      <c r="G919" s="63"/>
      <c r="H919" s="67"/>
      <c r="I919" s="39"/>
      <c r="K919" s="39"/>
      <c r="L919" s="39"/>
      <c r="M919" s="39"/>
    </row>
    <row r="920" spans="1:13" ht="13">
      <c r="A920" s="66"/>
      <c r="B920" s="61"/>
      <c r="C920" s="63"/>
      <c r="D920" s="63"/>
      <c r="E920" s="63"/>
      <c r="F920" s="63"/>
      <c r="G920" s="63"/>
      <c r="H920" s="67"/>
      <c r="I920" s="39"/>
      <c r="K920" s="39"/>
      <c r="L920" s="39"/>
      <c r="M920" s="39"/>
    </row>
    <row r="921" spans="1:13" ht="13">
      <c r="A921" s="66"/>
      <c r="B921" s="61"/>
      <c r="C921" s="63"/>
      <c r="D921" s="63"/>
      <c r="E921" s="63"/>
      <c r="F921" s="63"/>
      <c r="G921" s="63"/>
      <c r="H921" s="67"/>
      <c r="I921" s="39"/>
      <c r="K921" s="39"/>
      <c r="L921" s="39"/>
      <c r="M921" s="39"/>
    </row>
    <row r="922" spans="1:13" ht="13">
      <c r="A922" s="66"/>
      <c r="B922" s="61"/>
      <c r="C922" s="63"/>
      <c r="D922" s="63"/>
      <c r="E922" s="63"/>
      <c r="F922" s="63"/>
      <c r="G922" s="63"/>
      <c r="H922" s="67"/>
      <c r="I922" s="39"/>
      <c r="K922" s="39"/>
      <c r="L922" s="39"/>
      <c r="M922" s="39"/>
    </row>
    <row r="923" spans="1:13" ht="13">
      <c r="A923" s="66"/>
      <c r="B923" s="61"/>
      <c r="C923" s="63"/>
      <c r="D923" s="63"/>
      <c r="E923" s="63"/>
      <c r="F923" s="63"/>
      <c r="G923" s="63"/>
      <c r="H923" s="67"/>
      <c r="I923" s="39"/>
      <c r="K923" s="39"/>
      <c r="L923" s="39"/>
      <c r="M923" s="39"/>
    </row>
    <row r="924" spans="1:13" ht="13">
      <c r="A924" s="66"/>
      <c r="B924" s="61"/>
      <c r="C924" s="63"/>
      <c r="D924" s="63"/>
      <c r="E924" s="63"/>
      <c r="F924" s="63"/>
      <c r="G924" s="63"/>
      <c r="H924" s="67"/>
      <c r="I924" s="39"/>
      <c r="K924" s="39"/>
      <c r="L924" s="39"/>
      <c r="M924" s="39"/>
    </row>
    <row r="925" spans="1:13" ht="13">
      <c r="A925" s="66"/>
      <c r="B925" s="61"/>
      <c r="C925" s="63"/>
      <c r="D925" s="63"/>
      <c r="E925" s="63"/>
      <c r="F925" s="63"/>
      <c r="G925" s="63"/>
      <c r="H925" s="67"/>
      <c r="I925" s="39"/>
      <c r="K925" s="39"/>
      <c r="L925" s="39"/>
      <c r="M925" s="39"/>
    </row>
    <row r="926" spans="1:13" ht="13">
      <c r="A926" s="66"/>
      <c r="B926" s="61"/>
      <c r="C926" s="63"/>
      <c r="D926" s="63"/>
      <c r="E926" s="63"/>
      <c r="F926" s="63"/>
      <c r="G926" s="63"/>
      <c r="H926" s="67"/>
      <c r="I926" s="39"/>
      <c r="K926" s="39"/>
      <c r="L926" s="39"/>
      <c r="M926" s="39"/>
    </row>
    <row r="927" spans="1:13" ht="13">
      <c r="A927" s="66"/>
      <c r="B927" s="61"/>
      <c r="C927" s="63"/>
      <c r="D927" s="63"/>
      <c r="E927" s="63"/>
      <c r="F927" s="63"/>
      <c r="G927" s="63"/>
      <c r="H927" s="67"/>
      <c r="I927" s="39"/>
      <c r="K927" s="39"/>
      <c r="L927" s="39"/>
      <c r="M927" s="39"/>
    </row>
    <row r="928" spans="1:13" ht="13">
      <c r="A928" s="66"/>
      <c r="B928" s="61"/>
      <c r="C928" s="63"/>
      <c r="D928" s="63"/>
      <c r="E928" s="63"/>
      <c r="F928" s="63"/>
      <c r="G928" s="63"/>
      <c r="H928" s="67"/>
      <c r="I928" s="39"/>
      <c r="K928" s="39"/>
      <c r="L928" s="39"/>
      <c r="M928" s="39"/>
    </row>
    <row r="929" spans="1:13" ht="13">
      <c r="A929" s="66"/>
      <c r="B929" s="61"/>
      <c r="C929" s="63"/>
      <c r="D929" s="63"/>
      <c r="E929" s="63"/>
      <c r="F929" s="63"/>
      <c r="G929" s="63"/>
      <c r="H929" s="67"/>
      <c r="I929" s="39"/>
      <c r="K929" s="39"/>
      <c r="L929" s="39"/>
      <c r="M929" s="39"/>
    </row>
    <row r="930" spans="1:13" ht="13">
      <c r="A930" s="66"/>
      <c r="B930" s="61"/>
      <c r="C930" s="63"/>
      <c r="D930" s="63"/>
      <c r="E930" s="63"/>
      <c r="F930" s="63"/>
      <c r="G930" s="63"/>
      <c r="H930" s="67"/>
      <c r="I930" s="39"/>
      <c r="K930" s="39"/>
      <c r="L930" s="39"/>
      <c r="M930" s="39"/>
    </row>
    <row r="931" spans="1:13" ht="13">
      <c r="A931" s="66"/>
      <c r="B931" s="61"/>
      <c r="C931" s="63"/>
      <c r="D931" s="63"/>
      <c r="E931" s="63"/>
      <c r="F931" s="63"/>
      <c r="G931" s="63"/>
      <c r="H931" s="67"/>
      <c r="I931" s="39"/>
      <c r="K931" s="39"/>
      <c r="L931" s="39"/>
      <c r="M931" s="39"/>
    </row>
    <row r="932" spans="1:13" ht="13">
      <c r="A932" s="66"/>
      <c r="B932" s="61"/>
      <c r="C932" s="63"/>
      <c r="D932" s="63"/>
      <c r="E932" s="63"/>
      <c r="F932" s="63"/>
      <c r="G932" s="63"/>
      <c r="H932" s="67"/>
      <c r="I932" s="39"/>
      <c r="K932" s="39"/>
      <c r="L932" s="39"/>
      <c r="M932" s="39"/>
    </row>
    <row r="933" spans="1:13" ht="13">
      <c r="A933" s="66"/>
      <c r="B933" s="61"/>
      <c r="C933" s="63"/>
      <c r="D933" s="63"/>
      <c r="E933" s="63"/>
      <c r="F933" s="63"/>
      <c r="G933" s="63"/>
      <c r="H933" s="67"/>
      <c r="I933" s="39"/>
      <c r="K933" s="39"/>
      <c r="L933" s="39"/>
      <c r="M933" s="39"/>
    </row>
    <row r="934" spans="1:13" ht="13">
      <c r="A934" s="66"/>
      <c r="B934" s="61"/>
      <c r="C934" s="63"/>
      <c r="D934" s="63"/>
      <c r="E934" s="63"/>
      <c r="F934" s="63"/>
      <c r="G934" s="63"/>
      <c r="H934" s="67"/>
      <c r="I934" s="39"/>
      <c r="K934" s="39"/>
      <c r="L934" s="39"/>
      <c r="M934" s="39"/>
    </row>
    <row r="935" spans="1:13" ht="13">
      <c r="A935" s="66"/>
      <c r="B935" s="61"/>
      <c r="C935" s="63"/>
      <c r="D935" s="63"/>
      <c r="E935" s="63"/>
      <c r="F935" s="63"/>
      <c r="G935" s="63"/>
      <c r="H935" s="67"/>
      <c r="I935" s="39"/>
      <c r="K935" s="39"/>
      <c r="L935" s="39"/>
      <c r="M935" s="39"/>
    </row>
    <row r="936" spans="1:13" ht="13">
      <c r="A936" s="66"/>
      <c r="B936" s="61"/>
      <c r="C936" s="63"/>
      <c r="D936" s="63"/>
      <c r="E936" s="63"/>
      <c r="F936" s="63"/>
      <c r="G936" s="63"/>
      <c r="H936" s="67"/>
      <c r="I936" s="39"/>
      <c r="K936" s="39"/>
      <c r="L936" s="39"/>
      <c r="M936" s="39"/>
    </row>
    <row r="937" spans="1:13" ht="13">
      <c r="A937" s="66"/>
      <c r="B937" s="61"/>
      <c r="C937" s="63"/>
      <c r="D937" s="63"/>
      <c r="E937" s="63"/>
      <c r="F937" s="63"/>
      <c r="G937" s="63"/>
      <c r="H937" s="67"/>
      <c r="I937" s="39"/>
      <c r="K937" s="39"/>
      <c r="L937" s="39"/>
      <c r="M937" s="39"/>
    </row>
    <row r="938" spans="1:13" ht="13">
      <c r="A938" s="66"/>
      <c r="B938" s="61"/>
      <c r="C938" s="63"/>
      <c r="D938" s="63"/>
      <c r="E938" s="63"/>
      <c r="F938" s="63"/>
      <c r="G938" s="63"/>
      <c r="H938" s="67"/>
      <c r="I938" s="39"/>
      <c r="K938" s="39"/>
      <c r="L938" s="39"/>
      <c r="M938" s="39"/>
    </row>
    <row r="939" spans="1:13" ht="13">
      <c r="A939" s="66"/>
      <c r="B939" s="61"/>
      <c r="C939" s="63"/>
      <c r="D939" s="63"/>
      <c r="E939" s="63"/>
      <c r="F939" s="63"/>
      <c r="G939" s="63"/>
      <c r="H939" s="67"/>
      <c r="I939" s="39"/>
      <c r="K939" s="39"/>
      <c r="L939" s="39"/>
      <c r="M939" s="39"/>
    </row>
    <row r="940" spans="1:13" ht="13">
      <c r="A940" s="66"/>
      <c r="B940" s="61"/>
      <c r="C940" s="63"/>
      <c r="D940" s="63"/>
      <c r="E940" s="63"/>
      <c r="F940" s="63"/>
      <c r="G940" s="63"/>
      <c r="H940" s="67"/>
      <c r="I940" s="39"/>
      <c r="K940" s="39"/>
      <c r="L940" s="39"/>
      <c r="M940" s="39"/>
    </row>
    <row r="941" spans="1:13" ht="13">
      <c r="A941" s="66"/>
      <c r="B941" s="61"/>
      <c r="C941" s="63"/>
      <c r="D941" s="63"/>
      <c r="E941" s="63"/>
      <c r="F941" s="63"/>
      <c r="G941" s="63"/>
      <c r="H941" s="67"/>
      <c r="I941" s="39"/>
      <c r="K941" s="39"/>
      <c r="L941" s="39"/>
      <c r="M941" s="39"/>
    </row>
    <row r="942" spans="1:13" ht="13">
      <c r="A942" s="66"/>
      <c r="B942" s="61"/>
      <c r="C942" s="63"/>
      <c r="D942" s="63"/>
      <c r="E942" s="63"/>
      <c r="F942" s="63"/>
      <c r="G942" s="63"/>
      <c r="H942" s="67"/>
      <c r="I942" s="39"/>
      <c r="K942" s="39"/>
      <c r="L942" s="39"/>
      <c r="M942" s="39"/>
    </row>
    <row r="943" spans="1:13" ht="13">
      <c r="A943" s="66"/>
      <c r="B943" s="61"/>
      <c r="C943" s="63"/>
      <c r="D943" s="63"/>
      <c r="E943" s="63"/>
      <c r="F943" s="63"/>
      <c r="G943" s="63"/>
      <c r="H943" s="67"/>
      <c r="I943" s="39"/>
      <c r="K943" s="39"/>
      <c r="L943" s="39"/>
      <c r="M943" s="39"/>
    </row>
    <row r="944" spans="1:13" ht="13">
      <c r="A944" s="66"/>
      <c r="B944" s="61"/>
      <c r="C944" s="63"/>
      <c r="D944" s="63"/>
      <c r="E944" s="63"/>
      <c r="F944" s="63"/>
      <c r="G944" s="63"/>
      <c r="H944" s="67"/>
      <c r="I944" s="39"/>
      <c r="K944" s="39"/>
      <c r="L944" s="39"/>
      <c r="M944" s="39"/>
    </row>
    <row r="945" spans="1:13" ht="13">
      <c r="A945" s="66"/>
      <c r="B945" s="61"/>
      <c r="C945" s="63"/>
      <c r="D945" s="63"/>
      <c r="E945" s="63"/>
      <c r="F945" s="63"/>
      <c r="G945" s="63"/>
      <c r="H945" s="67"/>
      <c r="I945" s="39"/>
      <c r="K945" s="39"/>
      <c r="L945" s="39"/>
      <c r="M945" s="39"/>
    </row>
    <row r="946" spans="1:13" ht="13">
      <c r="A946" s="66"/>
      <c r="B946" s="61"/>
      <c r="C946" s="63"/>
      <c r="D946" s="63"/>
      <c r="E946" s="63"/>
      <c r="F946" s="63"/>
      <c r="G946" s="63"/>
      <c r="H946" s="67"/>
      <c r="I946" s="39"/>
      <c r="K946" s="39"/>
      <c r="L946" s="39"/>
      <c r="M946" s="39"/>
    </row>
    <row r="947" spans="1:13" ht="13">
      <c r="A947" s="66"/>
      <c r="B947" s="61"/>
      <c r="C947" s="63"/>
      <c r="D947" s="63"/>
      <c r="E947" s="63"/>
      <c r="F947" s="63"/>
      <c r="G947" s="63"/>
      <c r="H947" s="67"/>
      <c r="I947" s="39"/>
      <c r="K947" s="39"/>
      <c r="L947" s="39"/>
      <c r="M947" s="39"/>
    </row>
    <row r="948" spans="1:13" ht="13">
      <c r="A948" s="66"/>
      <c r="B948" s="61"/>
      <c r="C948" s="63"/>
      <c r="D948" s="63"/>
      <c r="E948" s="63"/>
      <c r="F948" s="63"/>
      <c r="G948" s="63"/>
      <c r="H948" s="67"/>
      <c r="I948" s="39"/>
      <c r="K948" s="39"/>
      <c r="L948" s="39"/>
      <c r="M948" s="39"/>
    </row>
    <row r="949" spans="1:13" ht="13">
      <c r="A949" s="66"/>
      <c r="B949" s="61"/>
      <c r="C949" s="63"/>
      <c r="D949" s="63"/>
      <c r="E949" s="63"/>
      <c r="F949" s="63"/>
      <c r="G949" s="63"/>
      <c r="H949" s="67"/>
      <c r="I949" s="39"/>
      <c r="K949" s="39"/>
      <c r="L949" s="39"/>
      <c r="M949" s="39"/>
    </row>
    <row r="950" spans="1:13" ht="13">
      <c r="A950" s="66"/>
      <c r="B950" s="61"/>
      <c r="C950" s="63"/>
      <c r="D950" s="63"/>
      <c r="E950" s="63"/>
      <c r="F950" s="63"/>
      <c r="G950" s="63"/>
      <c r="H950" s="67"/>
      <c r="I950" s="39"/>
      <c r="K950" s="39"/>
      <c r="L950" s="39"/>
      <c r="M950" s="39"/>
    </row>
    <row r="951" spans="1:13" ht="13">
      <c r="A951" s="66"/>
      <c r="B951" s="61"/>
      <c r="C951" s="63"/>
      <c r="D951" s="63"/>
      <c r="E951" s="63"/>
      <c r="F951" s="63"/>
      <c r="G951" s="63"/>
      <c r="H951" s="67"/>
      <c r="I951" s="39"/>
      <c r="K951" s="39"/>
      <c r="L951" s="39"/>
      <c r="M951" s="39"/>
    </row>
    <row r="952" spans="1:13" ht="13">
      <c r="A952" s="66"/>
      <c r="B952" s="61"/>
      <c r="C952" s="63"/>
      <c r="D952" s="63"/>
      <c r="E952" s="63"/>
      <c r="F952" s="63"/>
      <c r="G952" s="63"/>
      <c r="H952" s="67"/>
      <c r="I952" s="39"/>
      <c r="K952" s="39"/>
      <c r="L952" s="39"/>
      <c r="M952" s="39"/>
    </row>
    <row r="953" spans="1:13" ht="13">
      <c r="A953" s="66"/>
      <c r="B953" s="61"/>
      <c r="C953" s="63"/>
      <c r="D953" s="63"/>
      <c r="E953" s="63"/>
      <c r="F953" s="63"/>
      <c r="G953" s="63"/>
      <c r="H953" s="67"/>
      <c r="I953" s="39"/>
      <c r="K953" s="39"/>
      <c r="L953" s="39"/>
      <c r="M953" s="39"/>
    </row>
    <row r="954" spans="1:13" ht="13">
      <c r="A954" s="66"/>
      <c r="B954" s="61"/>
      <c r="C954" s="63"/>
      <c r="D954" s="63"/>
      <c r="E954" s="63"/>
      <c r="F954" s="63"/>
      <c r="G954" s="63"/>
      <c r="H954" s="67"/>
      <c r="I954" s="39"/>
      <c r="K954" s="39"/>
      <c r="L954" s="39"/>
      <c r="M954" s="39"/>
    </row>
    <row r="955" spans="1:13" ht="13">
      <c r="A955" s="66"/>
      <c r="B955" s="61"/>
      <c r="C955" s="63"/>
      <c r="D955" s="63"/>
      <c r="E955" s="63"/>
      <c r="F955" s="63"/>
      <c r="G955" s="63"/>
      <c r="H955" s="67"/>
      <c r="I955" s="39"/>
      <c r="K955" s="39"/>
      <c r="L955" s="39"/>
      <c r="M955" s="39"/>
    </row>
    <row r="956" spans="1:13" ht="13">
      <c r="A956" s="66"/>
      <c r="B956" s="61"/>
      <c r="C956" s="63"/>
      <c r="D956" s="63"/>
      <c r="E956" s="63"/>
      <c r="F956" s="63"/>
      <c r="G956" s="63"/>
      <c r="H956" s="67"/>
      <c r="I956" s="39"/>
      <c r="K956" s="39"/>
      <c r="L956" s="39"/>
      <c r="M956" s="39"/>
    </row>
    <row r="957" spans="1:13" ht="13">
      <c r="A957" s="66"/>
      <c r="B957" s="61"/>
      <c r="C957" s="63"/>
      <c r="D957" s="63"/>
      <c r="E957" s="63"/>
      <c r="F957" s="63"/>
      <c r="G957" s="63"/>
      <c r="H957" s="67"/>
      <c r="I957" s="39"/>
      <c r="K957" s="39"/>
      <c r="L957" s="39"/>
      <c r="M957" s="39"/>
    </row>
    <row r="958" spans="1:13" ht="13">
      <c r="A958" s="66"/>
      <c r="B958" s="61"/>
      <c r="C958" s="63"/>
      <c r="D958" s="63"/>
      <c r="E958" s="63"/>
      <c r="F958" s="63"/>
      <c r="G958" s="63"/>
      <c r="H958" s="67"/>
      <c r="I958" s="39"/>
      <c r="K958" s="39"/>
      <c r="L958" s="39"/>
      <c r="M958" s="39"/>
    </row>
    <row r="959" spans="1:13" ht="13">
      <c r="A959" s="66"/>
      <c r="B959" s="61"/>
      <c r="C959" s="63"/>
      <c r="D959" s="63"/>
      <c r="E959" s="63"/>
      <c r="F959" s="63"/>
      <c r="G959" s="63"/>
      <c r="H959" s="67"/>
      <c r="I959" s="39"/>
      <c r="K959" s="39"/>
      <c r="L959" s="39"/>
      <c r="M959" s="39"/>
    </row>
    <row r="960" spans="1:13" ht="13">
      <c r="A960" s="66"/>
      <c r="B960" s="61"/>
      <c r="C960" s="63"/>
      <c r="D960" s="63"/>
      <c r="E960" s="63"/>
      <c r="F960" s="63"/>
      <c r="G960" s="63"/>
      <c r="H960" s="67"/>
      <c r="I960" s="39"/>
      <c r="K960" s="39"/>
      <c r="L960" s="39"/>
      <c r="M960" s="39"/>
    </row>
    <row r="961" spans="1:13" ht="13">
      <c r="A961" s="66"/>
      <c r="B961" s="61"/>
      <c r="C961" s="63"/>
      <c r="D961" s="63"/>
      <c r="E961" s="63"/>
      <c r="F961" s="63"/>
      <c r="G961" s="63"/>
      <c r="H961" s="67"/>
      <c r="I961" s="39"/>
      <c r="K961" s="39"/>
      <c r="L961" s="39"/>
      <c r="M961" s="39"/>
    </row>
    <row r="962" spans="1:13" ht="13">
      <c r="A962" s="66"/>
      <c r="B962" s="61"/>
      <c r="C962" s="63"/>
      <c r="D962" s="63"/>
      <c r="E962" s="63"/>
      <c r="F962" s="63"/>
      <c r="G962" s="63"/>
      <c r="H962" s="67"/>
      <c r="I962" s="39"/>
      <c r="K962" s="39"/>
      <c r="L962" s="39"/>
      <c r="M962" s="39"/>
    </row>
    <row r="963" spans="1:13" ht="13">
      <c r="A963" s="66"/>
      <c r="B963" s="61"/>
      <c r="C963" s="63"/>
      <c r="D963" s="63"/>
      <c r="E963" s="63"/>
      <c r="F963" s="63"/>
      <c r="G963" s="63"/>
      <c r="H963" s="67"/>
      <c r="I963" s="39"/>
      <c r="K963" s="39"/>
      <c r="L963" s="39"/>
      <c r="M963" s="39"/>
    </row>
    <row r="964" spans="1:13" ht="13">
      <c r="A964" s="66"/>
      <c r="B964" s="61"/>
      <c r="C964" s="63"/>
      <c r="D964" s="63"/>
      <c r="E964" s="63"/>
      <c r="F964" s="63"/>
      <c r="G964" s="63"/>
      <c r="H964" s="67"/>
      <c r="I964" s="39"/>
      <c r="K964" s="39"/>
      <c r="L964" s="39"/>
      <c r="M964" s="39"/>
    </row>
    <row r="965" spans="1:13" ht="13">
      <c r="A965" s="66"/>
      <c r="B965" s="61"/>
      <c r="C965" s="63"/>
      <c r="D965" s="63"/>
      <c r="E965" s="63"/>
      <c r="F965" s="63"/>
      <c r="G965" s="63"/>
      <c r="H965" s="67"/>
      <c r="I965" s="39"/>
      <c r="K965" s="39"/>
      <c r="L965" s="39"/>
      <c r="M965" s="39"/>
    </row>
    <row r="966" spans="1:13" ht="13">
      <c r="A966" s="66"/>
      <c r="B966" s="61"/>
      <c r="C966" s="63"/>
      <c r="D966" s="63"/>
      <c r="E966" s="63"/>
      <c r="F966" s="63"/>
      <c r="G966" s="63"/>
      <c r="H966" s="67"/>
      <c r="I966" s="39"/>
      <c r="K966" s="39"/>
      <c r="L966" s="39"/>
      <c r="M966" s="39"/>
    </row>
    <row r="967" spans="1:13" ht="13">
      <c r="A967" s="66"/>
      <c r="B967" s="61"/>
      <c r="C967" s="63"/>
      <c r="D967" s="63"/>
      <c r="E967" s="63"/>
      <c r="F967" s="63"/>
      <c r="G967" s="63"/>
      <c r="H967" s="67"/>
      <c r="I967" s="39"/>
      <c r="K967" s="39"/>
      <c r="L967" s="39"/>
      <c r="M967" s="39"/>
    </row>
    <row r="968" spans="1:13" ht="13">
      <c r="A968" s="66"/>
      <c r="B968" s="61"/>
      <c r="C968" s="63"/>
      <c r="D968" s="63"/>
      <c r="E968" s="63"/>
      <c r="F968" s="63"/>
      <c r="G968" s="63"/>
      <c r="H968" s="67"/>
      <c r="I968" s="39"/>
      <c r="K968" s="39"/>
      <c r="L968" s="39"/>
      <c r="M968" s="39"/>
    </row>
    <row r="969" spans="1:13" ht="13">
      <c r="A969" s="66"/>
      <c r="B969" s="61"/>
      <c r="C969" s="63"/>
      <c r="D969" s="63"/>
      <c r="E969" s="63"/>
      <c r="F969" s="63"/>
      <c r="G969" s="63"/>
      <c r="H969" s="67"/>
      <c r="I969" s="39"/>
      <c r="K969" s="39"/>
      <c r="L969" s="39"/>
      <c r="M969" s="39"/>
    </row>
    <row r="970" spans="1:13" ht="13">
      <c r="A970" s="66"/>
      <c r="B970" s="61"/>
      <c r="C970" s="63"/>
      <c r="D970" s="63"/>
      <c r="E970" s="63"/>
      <c r="F970" s="63"/>
      <c r="G970" s="63"/>
      <c r="H970" s="67"/>
      <c r="I970" s="39"/>
      <c r="K970" s="39"/>
      <c r="L970" s="39"/>
      <c r="M970" s="39"/>
    </row>
    <row r="971" spans="1:13" ht="13">
      <c r="A971" s="66"/>
      <c r="B971" s="61"/>
      <c r="C971" s="63"/>
      <c r="D971" s="63"/>
      <c r="E971" s="63"/>
      <c r="F971" s="63"/>
      <c r="G971" s="63"/>
      <c r="H971" s="67"/>
      <c r="I971" s="39"/>
      <c r="K971" s="39"/>
      <c r="L971" s="39"/>
      <c r="M971" s="39"/>
    </row>
    <row r="972" spans="1:13" ht="13">
      <c r="A972" s="66"/>
      <c r="B972" s="61"/>
      <c r="C972" s="63"/>
      <c r="D972" s="63"/>
      <c r="E972" s="63"/>
      <c r="F972" s="63"/>
      <c r="G972" s="63"/>
      <c r="H972" s="67"/>
      <c r="I972" s="39"/>
      <c r="K972" s="39"/>
      <c r="L972" s="39"/>
      <c r="M972" s="39"/>
    </row>
    <row r="973" spans="1:13" ht="13">
      <c r="A973" s="66"/>
      <c r="B973" s="61"/>
      <c r="C973" s="63"/>
      <c r="D973" s="63"/>
      <c r="E973" s="63"/>
      <c r="F973" s="63"/>
      <c r="G973" s="63"/>
      <c r="H973" s="67"/>
      <c r="I973" s="39"/>
      <c r="K973" s="39"/>
      <c r="L973" s="39"/>
      <c r="M973" s="39"/>
    </row>
    <row r="974" spans="1:13" ht="13">
      <c r="A974" s="66"/>
      <c r="B974" s="61"/>
      <c r="C974" s="63"/>
      <c r="D974" s="63"/>
      <c r="E974" s="63"/>
      <c r="F974" s="63"/>
      <c r="G974" s="63"/>
      <c r="H974" s="67"/>
      <c r="I974" s="39"/>
      <c r="K974" s="39"/>
      <c r="L974" s="39"/>
      <c r="M974" s="39"/>
    </row>
    <row r="975" spans="1:13" ht="13">
      <c r="A975" s="66"/>
      <c r="B975" s="61"/>
      <c r="C975" s="63"/>
      <c r="D975" s="63"/>
      <c r="E975" s="63"/>
      <c r="F975" s="63"/>
      <c r="G975" s="63"/>
      <c r="H975" s="67"/>
      <c r="I975" s="39"/>
      <c r="K975" s="39"/>
      <c r="L975" s="39"/>
      <c r="M975" s="39"/>
    </row>
    <row r="976" spans="1:13" ht="13">
      <c r="A976" s="66"/>
      <c r="B976" s="61"/>
      <c r="C976" s="63"/>
      <c r="D976" s="63"/>
      <c r="E976" s="63"/>
      <c r="F976" s="63"/>
      <c r="G976" s="63"/>
      <c r="H976" s="67"/>
      <c r="I976" s="39"/>
      <c r="K976" s="39"/>
      <c r="L976" s="39"/>
      <c r="M976" s="39"/>
    </row>
    <row r="977" spans="1:13" ht="13">
      <c r="A977" s="66"/>
      <c r="B977" s="61"/>
      <c r="C977" s="63"/>
      <c r="D977" s="63"/>
      <c r="E977" s="63"/>
      <c r="F977" s="63"/>
      <c r="G977" s="63"/>
      <c r="H977" s="67"/>
      <c r="I977" s="39"/>
      <c r="K977" s="39"/>
      <c r="L977" s="39"/>
      <c r="M977" s="39"/>
    </row>
    <row r="978" spans="1:13" ht="13">
      <c r="A978" s="66"/>
      <c r="B978" s="61"/>
      <c r="C978" s="63"/>
      <c r="D978" s="63"/>
      <c r="E978" s="63"/>
      <c r="F978" s="63"/>
      <c r="G978" s="63"/>
      <c r="H978" s="67"/>
      <c r="I978" s="39"/>
      <c r="K978" s="39"/>
      <c r="L978" s="39"/>
      <c r="M978" s="39"/>
    </row>
    <row r="979" spans="1:13" ht="13">
      <c r="A979" s="66"/>
      <c r="B979" s="61"/>
      <c r="C979" s="63"/>
      <c r="D979" s="63"/>
      <c r="E979" s="63"/>
      <c r="F979" s="63"/>
      <c r="G979" s="63"/>
      <c r="H979" s="67"/>
      <c r="I979" s="39"/>
      <c r="K979" s="39"/>
      <c r="L979" s="39"/>
      <c r="M979" s="39"/>
    </row>
    <row r="980" spans="1:13" ht="13">
      <c r="A980" s="66"/>
      <c r="B980" s="61"/>
      <c r="C980" s="63"/>
      <c r="D980" s="63"/>
      <c r="E980" s="63"/>
      <c r="F980" s="63"/>
      <c r="G980" s="63"/>
      <c r="H980" s="67"/>
      <c r="I980" s="39"/>
      <c r="K980" s="39"/>
      <c r="L980" s="39"/>
      <c r="M980" s="39"/>
    </row>
    <row r="981" spans="1:13" ht="13">
      <c r="A981" s="66"/>
      <c r="B981" s="61"/>
      <c r="C981" s="63"/>
      <c r="D981" s="63"/>
      <c r="E981" s="63"/>
      <c r="F981" s="63"/>
      <c r="G981" s="63"/>
      <c r="H981" s="67"/>
      <c r="I981" s="39"/>
      <c r="K981" s="39"/>
      <c r="L981" s="39"/>
      <c r="M981" s="39"/>
    </row>
    <row r="982" spans="1:13" ht="13">
      <c r="A982" s="66"/>
      <c r="B982" s="61"/>
      <c r="C982" s="63"/>
      <c r="D982" s="63"/>
      <c r="E982" s="63"/>
      <c r="F982" s="63"/>
      <c r="G982" s="63"/>
      <c r="H982" s="67"/>
      <c r="I982" s="39"/>
      <c r="K982" s="39"/>
      <c r="L982" s="39"/>
      <c r="M982" s="39"/>
    </row>
    <row r="983" spans="1:13" ht="13">
      <c r="A983" s="66"/>
      <c r="B983" s="61"/>
      <c r="C983" s="63"/>
      <c r="D983" s="63"/>
      <c r="E983" s="63"/>
      <c r="F983" s="63"/>
      <c r="G983" s="63"/>
      <c r="H983" s="67"/>
      <c r="I983" s="39"/>
      <c r="K983" s="39"/>
      <c r="L983" s="39"/>
      <c r="M983" s="39"/>
    </row>
    <row r="984" spans="1:13" ht="13">
      <c r="A984" s="66"/>
      <c r="B984" s="61"/>
      <c r="C984" s="63"/>
      <c r="D984" s="63"/>
      <c r="E984" s="63"/>
      <c r="F984" s="63"/>
      <c r="G984" s="63"/>
      <c r="H984" s="67"/>
      <c r="I984" s="39"/>
      <c r="K984" s="39"/>
      <c r="L984" s="39"/>
      <c r="M984" s="39"/>
    </row>
    <row r="985" spans="1:13" ht="13">
      <c r="A985" s="66"/>
      <c r="B985" s="61"/>
      <c r="C985" s="63"/>
      <c r="D985" s="63"/>
      <c r="E985" s="63"/>
      <c r="F985" s="63"/>
      <c r="G985" s="63"/>
      <c r="H985" s="67"/>
      <c r="I985" s="39"/>
      <c r="K985" s="39"/>
      <c r="L985" s="39"/>
      <c r="M985" s="39"/>
    </row>
    <row r="986" spans="1:13" ht="13">
      <c r="A986" s="66"/>
      <c r="B986" s="61"/>
      <c r="C986" s="63"/>
      <c r="D986" s="63"/>
      <c r="E986" s="63"/>
      <c r="F986" s="63"/>
      <c r="G986" s="63"/>
      <c r="H986" s="67"/>
      <c r="I986" s="39"/>
      <c r="K986" s="39"/>
      <c r="L986" s="39"/>
      <c r="M986" s="39"/>
    </row>
    <row r="987" spans="1:13" ht="13">
      <c r="A987" s="66"/>
      <c r="B987" s="61"/>
      <c r="C987" s="63"/>
      <c r="D987" s="63"/>
      <c r="E987" s="63"/>
      <c r="F987" s="63"/>
      <c r="G987" s="63"/>
      <c r="H987" s="67"/>
      <c r="I987" s="39"/>
      <c r="K987" s="39"/>
      <c r="L987" s="39"/>
      <c r="M987" s="39"/>
    </row>
    <row r="988" spans="1:13" ht="13">
      <c r="A988" s="66"/>
      <c r="B988" s="61"/>
      <c r="C988" s="63"/>
      <c r="D988" s="63"/>
      <c r="E988" s="63"/>
      <c r="F988" s="63"/>
      <c r="G988" s="63"/>
      <c r="H988" s="67"/>
      <c r="I988" s="39"/>
      <c r="K988" s="39"/>
      <c r="L988" s="39"/>
      <c r="M988" s="39"/>
    </row>
    <row r="989" spans="1:13" ht="13">
      <c r="A989" s="66"/>
      <c r="B989" s="61"/>
      <c r="C989" s="63"/>
      <c r="D989" s="63"/>
      <c r="E989" s="63"/>
      <c r="F989" s="63"/>
      <c r="G989" s="63"/>
      <c r="H989" s="67"/>
      <c r="I989" s="39"/>
      <c r="K989" s="39"/>
      <c r="L989" s="39"/>
      <c r="M989" s="39"/>
    </row>
    <row r="990" spans="1:13" ht="13">
      <c r="A990" s="66"/>
      <c r="B990" s="61"/>
      <c r="C990" s="63"/>
      <c r="D990" s="63"/>
      <c r="E990" s="63"/>
      <c r="F990" s="63"/>
      <c r="G990" s="63"/>
      <c r="H990" s="67"/>
      <c r="I990" s="39"/>
      <c r="K990" s="39"/>
      <c r="L990" s="39"/>
      <c r="M990" s="39"/>
    </row>
    <row r="991" spans="1:13" ht="13">
      <c r="A991" s="66"/>
      <c r="B991" s="61"/>
      <c r="C991" s="63"/>
      <c r="D991" s="63"/>
      <c r="E991" s="63"/>
      <c r="F991" s="63"/>
      <c r="G991" s="63"/>
      <c r="H991" s="67"/>
      <c r="I991" s="39"/>
      <c r="K991" s="39"/>
      <c r="L991" s="39"/>
      <c r="M991" s="39"/>
    </row>
    <row r="992" spans="1:13" ht="13">
      <c r="A992" s="66"/>
      <c r="B992" s="61"/>
      <c r="C992" s="63"/>
      <c r="D992" s="63"/>
      <c r="E992" s="63"/>
      <c r="F992" s="63"/>
      <c r="G992" s="63"/>
      <c r="H992" s="67"/>
      <c r="I992" s="39"/>
      <c r="K992" s="39"/>
      <c r="L992" s="39"/>
      <c r="M992" s="39"/>
    </row>
    <row r="993" spans="1:13" ht="13">
      <c r="A993" s="66"/>
      <c r="B993" s="61"/>
      <c r="C993" s="63"/>
      <c r="D993" s="63"/>
      <c r="E993" s="63"/>
      <c r="F993" s="63"/>
      <c r="G993" s="63"/>
      <c r="H993" s="67"/>
      <c r="I993" s="39"/>
      <c r="K993" s="39"/>
      <c r="L993" s="39"/>
      <c r="M993" s="39"/>
    </row>
    <row r="994" spans="1:13" ht="13">
      <c r="A994" s="66"/>
      <c r="B994" s="61"/>
      <c r="C994" s="63"/>
      <c r="D994" s="63"/>
      <c r="E994" s="63"/>
      <c r="F994" s="63"/>
      <c r="G994" s="63"/>
      <c r="H994" s="67"/>
      <c r="I994" s="39"/>
      <c r="K994" s="39"/>
      <c r="L994" s="39"/>
      <c r="M994" s="39"/>
    </row>
    <row r="995" spans="1:13" ht="13">
      <c r="A995" s="66"/>
      <c r="B995" s="61"/>
      <c r="C995" s="63"/>
      <c r="D995" s="63"/>
      <c r="E995" s="63"/>
      <c r="F995" s="63"/>
      <c r="G995" s="63"/>
      <c r="H995" s="67"/>
      <c r="I995" s="39"/>
      <c r="K995" s="39"/>
      <c r="L995" s="39"/>
      <c r="M995" s="39"/>
    </row>
    <row r="996" spans="1:13" ht="13">
      <c r="A996" s="66"/>
      <c r="B996" s="61"/>
      <c r="C996" s="63"/>
      <c r="D996" s="63"/>
      <c r="E996" s="63"/>
      <c r="F996" s="63"/>
      <c r="G996" s="63"/>
      <c r="H996" s="67"/>
      <c r="I996" s="39"/>
      <c r="K996" s="39"/>
      <c r="L996" s="39"/>
      <c r="M996" s="39"/>
    </row>
    <row r="997" spans="1:13" ht="13">
      <c r="A997" s="66"/>
      <c r="B997" s="61"/>
      <c r="C997" s="63"/>
      <c r="D997" s="63"/>
      <c r="E997" s="63"/>
      <c r="F997" s="63"/>
      <c r="G997" s="63"/>
      <c r="H997" s="67"/>
      <c r="I997" s="39"/>
      <c r="K997" s="39"/>
      <c r="L997" s="39"/>
      <c r="M997" s="39"/>
    </row>
    <row r="998" spans="1:13" ht="13">
      <c r="A998" s="66"/>
      <c r="B998" s="61"/>
      <c r="C998" s="63"/>
      <c r="D998" s="63"/>
      <c r="E998" s="63"/>
      <c r="F998" s="63"/>
      <c r="G998" s="63"/>
      <c r="H998" s="67"/>
      <c r="I998" s="39"/>
      <c r="K998" s="39"/>
      <c r="L998" s="39"/>
      <c r="M998" s="39"/>
    </row>
    <row r="999" spans="1:13" ht="13">
      <c r="A999" s="66"/>
      <c r="B999" s="61"/>
      <c r="C999" s="63"/>
      <c r="D999" s="63"/>
      <c r="E999" s="63"/>
      <c r="F999" s="63"/>
      <c r="G999" s="63"/>
      <c r="H999" s="67"/>
      <c r="I999" s="39"/>
      <c r="K999" s="39"/>
      <c r="L999" s="39"/>
      <c r="M999" s="39"/>
    </row>
    <row r="1000" spans="1:13" ht="13">
      <c r="A1000" s="66"/>
      <c r="B1000" s="61"/>
      <c r="C1000" s="63"/>
      <c r="D1000" s="63"/>
      <c r="E1000" s="63"/>
      <c r="F1000" s="63"/>
      <c r="G1000" s="63"/>
      <c r="H1000" s="67"/>
      <c r="I1000" s="39"/>
      <c r="K1000" s="39"/>
      <c r="L1000" s="39"/>
      <c r="M1000" s="39"/>
    </row>
    <row r="1001" spans="1:13" ht="13">
      <c r="A1001" s="66"/>
      <c r="B1001" s="61"/>
      <c r="C1001" s="63"/>
      <c r="D1001" s="63"/>
      <c r="E1001" s="63"/>
      <c r="F1001" s="63"/>
      <c r="G1001" s="63"/>
      <c r="H1001" s="67"/>
      <c r="I1001" s="39"/>
      <c r="K1001" s="39"/>
      <c r="L1001" s="39"/>
      <c r="M1001" s="39"/>
    </row>
    <row r="1002" spans="1:13" ht="13">
      <c r="A1002" s="66"/>
      <c r="B1002" s="61"/>
      <c r="C1002" s="63"/>
      <c r="D1002" s="63"/>
      <c r="E1002" s="63"/>
      <c r="F1002" s="63"/>
      <c r="G1002" s="63"/>
      <c r="H1002" s="67"/>
      <c r="I1002" s="39"/>
      <c r="K1002" s="39"/>
      <c r="L1002" s="39"/>
      <c r="M1002" s="39"/>
    </row>
    <row r="1003" spans="1:13" ht="13">
      <c r="A1003" s="66"/>
      <c r="B1003" s="61"/>
      <c r="C1003" s="63"/>
      <c r="D1003" s="63"/>
      <c r="E1003" s="63"/>
      <c r="F1003" s="63"/>
      <c r="G1003" s="63"/>
      <c r="H1003" s="67"/>
      <c r="I1003" s="39"/>
      <c r="K1003" s="39"/>
      <c r="L1003" s="39"/>
      <c r="M1003" s="39"/>
    </row>
    <row r="1004" spans="1:13" ht="13">
      <c r="A1004" s="66"/>
      <c r="B1004" s="61"/>
      <c r="C1004" s="63"/>
      <c r="D1004" s="63"/>
      <c r="E1004" s="63"/>
      <c r="F1004" s="63"/>
      <c r="G1004" s="63"/>
      <c r="H1004" s="67"/>
      <c r="I1004" s="39"/>
      <c r="K1004" s="39"/>
      <c r="L1004" s="39"/>
      <c r="M1004" s="39"/>
    </row>
    <row r="1005" spans="1:13" ht="13">
      <c r="A1005" s="66"/>
      <c r="B1005" s="61"/>
      <c r="C1005" s="63"/>
      <c r="D1005" s="63"/>
      <c r="E1005" s="63"/>
      <c r="F1005" s="63"/>
      <c r="G1005" s="63"/>
      <c r="H1005" s="67"/>
      <c r="I1005" s="39"/>
      <c r="K1005" s="39"/>
      <c r="L1005" s="39"/>
      <c r="M1005" s="39"/>
    </row>
    <row r="1006" spans="1:13" ht="13">
      <c r="A1006" s="66"/>
      <c r="B1006" s="61"/>
      <c r="C1006" s="63"/>
      <c r="D1006" s="63"/>
      <c r="E1006" s="63"/>
      <c r="F1006" s="63"/>
      <c r="G1006" s="63"/>
      <c r="H1006" s="67"/>
      <c r="I1006" s="39"/>
      <c r="K1006" s="39"/>
      <c r="L1006" s="39"/>
      <c r="M1006" s="39"/>
    </row>
    <row r="1007" spans="1:13" ht="13">
      <c r="A1007" s="66"/>
      <c r="B1007" s="61"/>
      <c r="C1007" s="63"/>
      <c r="D1007" s="63"/>
      <c r="E1007" s="63"/>
      <c r="F1007" s="63"/>
      <c r="G1007" s="63"/>
      <c r="H1007" s="67"/>
      <c r="I1007" s="39"/>
      <c r="K1007" s="39"/>
      <c r="L1007" s="39"/>
      <c r="M1007" s="39"/>
    </row>
    <row r="1008" spans="1:13" ht="13">
      <c r="A1008" s="66"/>
      <c r="B1008" s="61"/>
      <c r="C1008" s="63"/>
      <c r="D1008" s="63"/>
      <c r="E1008" s="63"/>
      <c r="F1008" s="63"/>
      <c r="G1008" s="63"/>
      <c r="H1008" s="67"/>
      <c r="I1008" s="39"/>
      <c r="K1008" s="39"/>
      <c r="L1008" s="39"/>
      <c r="M1008" s="39"/>
    </row>
    <row r="1009" spans="1:13" ht="13">
      <c r="A1009" s="66"/>
      <c r="B1009" s="61"/>
      <c r="C1009" s="63"/>
      <c r="D1009" s="63"/>
      <c r="E1009" s="63"/>
      <c r="F1009" s="63"/>
      <c r="G1009" s="63"/>
      <c r="H1009" s="67"/>
      <c r="I1009" s="39"/>
      <c r="K1009" s="39"/>
      <c r="L1009" s="39"/>
      <c r="M1009" s="39"/>
    </row>
    <row r="1010" spans="1:13" ht="13">
      <c r="A1010" s="66"/>
      <c r="B1010" s="61"/>
      <c r="C1010" s="63"/>
      <c r="D1010" s="63"/>
      <c r="E1010" s="63"/>
      <c r="F1010" s="63"/>
      <c r="G1010" s="63"/>
      <c r="H1010" s="67"/>
      <c r="I1010" s="39"/>
      <c r="K1010" s="39"/>
      <c r="L1010" s="39"/>
      <c r="M1010" s="39"/>
    </row>
    <row r="1011" spans="1:13" ht="13">
      <c r="A1011" s="66"/>
      <c r="B1011" s="61"/>
      <c r="C1011" s="63"/>
      <c r="D1011" s="63"/>
      <c r="E1011" s="63"/>
      <c r="F1011" s="63"/>
      <c r="G1011" s="63"/>
      <c r="H1011" s="67"/>
      <c r="I1011" s="39"/>
      <c r="K1011" s="39"/>
      <c r="L1011" s="39"/>
      <c r="M1011" s="39"/>
    </row>
    <row r="1012" spans="1:13" ht="13">
      <c r="A1012" s="66"/>
      <c r="B1012" s="61"/>
      <c r="C1012" s="63"/>
      <c r="D1012" s="63"/>
      <c r="E1012" s="63"/>
      <c r="F1012" s="63"/>
      <c r="G1012" s="63"/>
      <c r="H1012" s="67"/>
      <c r="I1012" s="39"/>
      <c r="K1012" s="39"/>
      <c r="L1012" s="39"/>
      <c r="M1012" s="39"/>
    </row>
    <row r="1013" spans="1:13" ht="13">
      <c r="A1013" s="66"/>
      <c r="B1013" s="61"/>
      <c r="C1013" s="63"/>
      <c r="D1013" s="63"/>
      <c r="E1013" s="63"/>
      <c r="F1013" s="63"/>
      <c r="G1013" s="63"/>
      <c r="H1013" s="67"/>
      <c r="I1013" s="39"/>
      <c r="K1013" s="39"/>
      <c r="L1013" s="39"/>
      <c r="M1013" s="39"/>
    </row>
    <row r="1014" spans="1:13" ht="13">
      <c r="A1014" s="66"/>
      <c r="B1014" s="61"/>
      <c r="C1014" s="63"/>
      <c r="D1014" s="63"/>
      <c r="E1014" s="63"/>
      <c r="F1014" s="63"/>
      <c r="G1014" s="63"/>
      <c r="H1014" s="67"/>
      <c r="I1014" s="39"/>
      <c r="K1014" s="39"/>
      <c r="L1014" s="39"/>
      <c r="M1014" s="39"/>
    </row>
    <row r="1015" spans="1:13" ht="13">
      <c r="A1015" s="66"/>
      <c r="B1015" s="61"/>
      <c r="C1015" s="63"/>
      <c r="D1015" s="63"/>
      <c r="E1015" s="63"/>
      <c r="F1015" s="63"/>
      <c r="G1015" s="63"/>
      <c r="H1015" s="67"/>
      <c r="I1015" s="39"/>
      <c r="K1015" s="39"/>
      <c r="L1015" s="39"/>
      <c r="M1015" s="39"/>
    </row>
    <row r="1016" spans="1:13" ht="13">
      <c r="A1016" s="66"/>
      <c r="B1016" s="61"/>
      <c r="C1016" s="63"/>
      <c r="D1016" s="63"/>
      <c r="E1016" s="63"/>
      <c r="F1016" s="63"/>
      <c r="G1016" s="63"/>
      <c r="H1016" s="67"/>
      <c r="I1016" s="39"/>
      <c r="K1016" s="39"/>
      <c r="L1016" s="39"/>
      <c r="M1016" s="39"/>
    </row>
    <row r="1017" spans="1:13" ht="13">
      <c r="A1017" s="66"/>
      <c r="B1017" s="61"/>
      <c r="C1017" s="63"/>
      <c r="D1017" s="63"/>
      <c r="E1017" s="63"/>
      <c r="F1017" s="63"/>
      <c r="G1017" s="63"/>
      <c r="H1017" s="67"/>
      <c r="I1017" s="39"/>
      <c r="K1017" s="39"/>
      <c r="L1017" s="39"/>
      <c r="M1017" s="39"/>
    </row>
    <row r="1018" spans="1:13" ht="13">
      <c r="A1018" s="66"/>
      <c r="B1018" s="61"/>
      <c r="C1018" s="63"/>
      <c r="D1018" s="63"/>
      <c r="E1018" s="63"/>
      <c r="F1018" s="63"/>
      <c r="G1018" s="63"/>
      <c r="H1018" s="67"/>
      <c r="I1018" s="39"/>
      <c r="K1018" s="39"/>
      <c r="L1018" s="39"/>
      <c r="M1018" s="39"/>
    </row>
    <row r="1019" spans="1:13" ht="13">
      <c r="A1019" s="66"/>
      <c r="B1019" s="61"/>
      <c r="C1019" s="63"/>
      <c r="D1019" s="63"/>
      <c r="E1019" s="63"/>
      <c r="F1019" s="63"/>
      <c r="G1019" s="63"/>
      <c r="H1019" s="67"/>
      <c r="I1019" s="39"/>
      <c r="K1019" s="39"/>
      <c r="L1019" s="39"/>
      <c r="M1019" s="39"/>
    </row>
    <row r="1020" spans="1:13" ht="13">
      <c r="A1020" s="66"/>
      <c r="B1020" s="61"/>
      <c r="C1020" s="63"/>
      <c r="D1020" s="63"/>
      <c r="E1020" s="63"/>
      <c r="F1020" s="63"/>
      <c r="G1020" s="63"/>
      <c r="H1020" s="67"/>
      <c r="I1020" s="39"/>
      <c r="K1020" s="39"/>
      <c r="L1020" s="39"/>
      <c r="M1020" s="39"/>
    </row>
    <row r="1021" spans="1:13" ht="13">
      <c r="A1021" s="66"/>
      <c r="B1021" s="61"/>
      <c r="C1021" s="63"/>
      <c r="D1021" s="63"/>
      <c r="E1021" s="63"/>
      <c r="F1021" s="63"/>
      <c r="G1021" s="63"/>
      <c r="H1021" s="67"/>
      <c r="I1021" s="39"/>
      <c r="K1021" s="39"/>
      <c r="L1021" s="39"/>
      <c r="M1021" s="39"/>
    </row>
    <row r="1022" spans="1:13" ht="13">
      <c r="A1022" s="66"/>
      <c r="B1022" s="61"/>
      <c r="C1022" s="63"/>
      <c r="D1022" s="63"/>
      <c r="E1022" s="63"/>
      <c r="F1022" s="63"/>
      <c r="G1022" s="63"/>
      <c r="H1022" s="67"/>
      <c r="I1022" s="39"/>
      <c r="K1022" s="39"/>
      <c r="L1022" s="39"/>
      <c r="M1022" s="39"/>
    </row>
    <row r="1023" spans="1:13" ht="13">
      <c r="A1023" s="66"/>
      <c r="B1023" s="61"/>
      <c r="C1023" s="63"/>
      <c r="D1023" s="63"/>
      <c r="E1023" s="63"/>
      <c r="F1023" s="63"/>
      <c r="G1023" s="63"/>
      <c r="H1023" s="67"/>
      <c r="I1023" s="39"/>
      <c r="K1023" s="39"/>
      <c r="L1023" s="39"/>
      <c r="M1023" s="39"/>
    </row>
    <row r="1024" spans="1:13" ht="13">
      <c r="A1024" s="66"/>
      <c r="B1024" s="61"/>
      <c r="C1024" s="63"/>
      <c r="D1024" s="63"/>
      <c r="E1024" s="63"/>
      <c r="F1024" s="63"/>
      <c r="G1024" s="63"/>
      <c r="H1024" s="67"/>
      <c r="I1024" s="39"/>
      <c r="K1024" s="39"/>
      <c r="L1024" s="39"/>
      <c r="M1024" s="39"/>
    </row>
    <row r="1025" spans="1:13" ht="13">
      <c r="A1025" s="66"/>
      <c r="B1025" s="61"/>
      <c r="C1025" s="63"/>
      <c r="D1025" s="63"/>
      <c r="E1025" s="63"/>
      <c r="F1025" s="63"/>
      <c r="G1025" s="63"/>
      <c r="H1025" s="67"/>
      <c r="I1025" s="39"/>
      <c r="K1025" s="39"/>
      <c r="L1025" s="39"/>
      <c r="M1025" s="39"/>
    </row>
    <row r="1026" spans="1:13" ht="13">
      <c r="A1026" s="66"/>
      <c r="B1026" s="61"/>
      <c r="C1026" s="63"/>
      <c r="D1026" s="63"/>
      <c r="E1026" s="63"/>
      <c r="F1026" s="63"/>
      <c r="G1026" s="63"/>
      <c r="H1026" s="67"/>
      <c r="I1026" s="39"/>
      <c r="K1026" s="39"/>
      <c r="L1026" s="39"/>
      <c r="M1026" s="39"/>
    </row>
    <row r="1027" spans="1:13" ht="13">
      <c r="A1027" s="66"/>
      <c r="B1027" s="61"/>
      <c r="C1027" s="63"/>
      <c r="D1027" s="63"/>
      <c r="E1027" s="63"/>
      <c r="F1027" s="63"/>
      <c r="G1027" s="63"/>
      <c r="H1027" s="67"/>
      <c r="I1027" s="39"/>
      <c r="K1027" s="39"/>
      <c r="L1027" s="39"/>
      <c r="M1027" s="39"/>
    </row>
    <row r="1028" spans="1:13" ht="13">
      <c r="A1028" s="66"/>
      <c r="B1028" s="61"/>
      <c r="C1028" s="63"/>
      <c r="D1028" s="63"/>
      <c r="E1028" s="63"/>
      <c r="F1028" s="63"/>
      <c r="G1028" s="63"/>
      <c r="H1028" s="67"/>
      <c r="I1028" s="39"/>
      <c r="K1028" s="39"/>
      <c r="L1028" s="39"/>
      <c r="M1028" s="39"/>
    </row>
    <row r="1029" spans="1:13" ht="13">
      <c r="A1029" s="66"/>
      <c r="B1029" s="61"/>
      <c r="C1029" s="63"/>
      <c r="D1029" s="63"/>
      <c r="E1029" s="63"/>
      <c r="F1029" s="63"/>
      <c r="G1029" s="63"/>
      <c r="H1029" s="67"/>
      <c r="I1029" s="39"/>
      <c r="K1029" s="39"/>
      <c r="L1029" s="39"/>
      <c r="M1029" s="39"/>
    </row>
    <row r="1030" spans="1:13" ht="13">
      <c r="A1030" s="66"/>
      <c r="B1030" s="61"/>
      <c r="C1030" s="63"/>
      <c r="D1030" s="63"/>
      <c r="E1030" s="63"/>
      <c r="F1030" s="63"/>
      <c r="G1030" s="63"/>
      <c r="H1030" s="67"/>
      <c r="I1030" s="39"/>
      <c r="K1030" s="39"/>
      <c r="L1030" s="39"/>
      <c r="M1030" s="39"/>
    </row>
    <row r="1031" spans="1:13" ht="13">
      <c r="A1031" s="66"/>
      <c r="B1031" s="61"/>
      <c r="C1031" s="63"/>
      <c r="D1031" s="63"/>
      <c r="E1031" s="63"/>
      <c r="F1031" s="63"/>
      <c r="G1031" s="63"/>
      <c r="H1031" s="67"/>
      <c r="I1031" s="39"/>
      <c r="K1031" s="39"/>
      <c r="L1031" s="39"/>
      <c r="M1031" s="39"/>
    </row>
    <row r="1032" spans="1:13" ht="13">
      <c r="A1032" s="66"/>
      <c r="B1032" s="61"/>
      <c r="C1032" s="63"/>
      <c r="D1032" s="63"/>
      <c r="E1032" s="63"/>
      <c r="F1032" s="63"/>
      <c r="G1032" s="63"/>
      <c r="H1032" s="67"/>
      <c r="I1032" s="39"/>
      <c r="K1032" s="39"/>
      <c r="L1032" s="39"/>
      <c r="M1032" s="39"/>
    </row>
    <row r="1033" spans="1:13" ht="13">
      <c r="A1033" s="66"/>
      <c r="B1033" s="61"/>
      <c r="C1033" s="63"/>
      <c r="D1033" s="63"/>
      <c r="E1033" s="63"/>
      <c r="F1033" s="63"/>
      <c r="G1033" s="63"/>
      <c r="H1033" s="67"/>
      <c r="I1033" s="39"/>
      <c r="K1033" s="39"/>
      <c r="L1033" s="39"/>
      <c r="M1033" s="39"/>
    </row>
    <row r="1034" spans="1:13" ht="13">
      <c r="A1034" s="66"/>
      <c r="B1034" s="61"/>
      <c r="C1034" s="63"/>
      <c r="D1034" s="63"/>
      <c r="E1034" s="63"/>
      <c r="F1034" s="63"/>
      <c r="G1034" s="63"/>
      <c r="H1034" s="67"/>
      <c r="I1034" s="39"/>
      <c r="K1034" s="39"/>
      <c r="L1034" s="39"/>
      <c r="M1034" s="39"/>
    </row>
    <row r="1035" spans="1:13" ht="13">
      <c r="A1035" s="66"/>
      <c r="B1035" s="61"/>
      <c r="C1035" s="63"/>
      <c r="D1035" s="63"/>
      <c r="E1035" s="63"/>
      <c r="F1035" s="63"/>
      <c r="G1035" s="63"/>
      <c r="H1035" s="67"/>
      <c r="I1035" s="39"/>
      <c r="K1035" s="39"/>
      <c r="L1035" s="39"/>
      <c r="M1035" s="39"/>
    </row>
    <row r="1036" spans="1:13" ht="13">
      <c r="A1036" s="66"/>
      <c r="B1036" s="61"/>
      <c r="C1036" s="63"/>
      <c r="D1036" s="63"/>
      <c r="E1036" s="63"/>
      <c r="F1036" s="63"/>
      <c r="G1036" s="63"/>
      <c r="H1036" s="67"/>
      <c r="I1036" s="39"/>
      <c r="K1036" s="39"/>
      <c r="L1036" s="39"/>
      <c r="M1036" s="39"/>
    </row>
    <row r="1037" spans="1:13" ht="13">
      <c r="A1037" s="66"/>
      <c r="B1037" s="61"/>
      <c r="C1037" s="63"/>
      <c r="D1037" s="63"/>
      <c r="E1037" s="63"/>
      <c r="F1037" s="63"/>
      <c r="G1037" s="63"/>
      <c r="H1037" s="67"/>
      <c r="I1037" s="39"/>
      <c r="K1037" s="39"/>
      <c r="L1037" s="39"/>
      <c r="M1037" s="39"/>
    </row>
    <row r="1038" spans="1:13" ht="13">
      <c r="A1038" s="66"/>
      <c r="B1038" s="61"/>
      <c r="C1038" s="63"/>
      <c r="D1038" s="63"/>
      <c r="E1038" s="63"/>
      <c r="F1038" s="63"/>
      <c r="G1038" s="63"/>
      <c r="H1038" s="67"/>
      <c r="I1038" s="39"/>
      <c r="K1038" s="39"/>
      <c r="L1038" s="39"/>
      <c r="M1038" s="39"/>
    </row>
    <row r="1039" spans="1:13" ht="13">
      <c r="A1039" s="66"/>
      <c r="B1039" s="61"/>
      <c r="C1039" s="63"/>
      <c r="D1039" s="63"/>
      <c r="E1039" s="63"/>
      <c r="F1039" s="63"/>
      <c r="G1039" s="63"/>
      <c r="H1039" s="67"/>
      <c r="I1039" s="39"/>
      <c r="K1039" s="39"/>
      <c r="L1039" s="39"/>
      <c r="M1039" s="39"/>
    </row>
    <row r="1040" spans="1:13" ht="13">
      <c r="A1040" s="66"/>
      <c r="B1040" s="61"/>
      <c r="C1040" s="63"/>
      <c r="D1040" s="63"/>
      <c r="E1040" s="63"/>
      <c r="F1040" s="63"/>
      <c r="G1040" s="63"/>
      <c r="H1040" s="67"/>
      <c r="I1040" s="39"/>
      <c r="K1040" s="39"/>
      <c r="L1040" s="39"/>
      <c r="M1040" s="39"/>
    </row>
    <row r="1041" spans="1:13" ht="13">
      <c r="A1041" s="66"/>
      <c r="B1041" s="61"/>
      <c r="C1041" s="63"/>
      <c r="D1041" s="63"/>
      <c r="E1041" s="63"/>
      <c r="F1041" s="63"/>
      <c r="G1041" s="63"/>
      <c r="H1041" s="67"/>
      <c r="I1041" s="39"/>
      <c r="K1041" s="39"/>
      <c r="L1041" s="39"/>
      <c r="M1041" s="39"/>
    </row>
    <row r="1042" spans="1:13" ht="13">
      <c r="A1042" s="66"/>
      <c r="B1042" s="61"/>
      <c r="C1042" s="63"/>
      <c r="D1042" s="63"/>
      <c r="E1042" s="63"/>
      <c r="F1042" s="63"/>
      <c r="G1042" s="63"/>
      <c r="H1042" s="67"/>
      <c r="I1042" s="39"/>
      <c r="K1042" s="39"/>
      <c r="L1042" s="39"/>
      <c r="M1042" s="39"/>
    </row>
    <row r="1043" spans="1:13" ht="13">
      <c r="A1043" s="66"/>
      <c r="B1043" s="61"/>
      <c r="C1043" s="63"/>
      <c r="D1043" s="63"/>
      <c r="E1043" s="63"/>
      <c r="F1043" s="63"/>
      <c r="G1043" s="63"/>
      <c r="H1043" s="67"/>
      <c r="I1043" s="39"/>
      <c r="K1043" s="39"/>
      <c r="L1043" s="39"/>
      <c r="M1043" s="39"/>
    </row>
    <row r="1044" spans="1:13" ht="13">
      <c r="A1044" s="66"/>
      <c r="B1044" s="61"/>
      <c r="C1044" s="63"/>
      <c r="D1044" s="63"/>
      <c r="E1044" s="63"/>
      <c r="F1044" s="63"/>
      <c r="G1044" s="63"/>
      <c r="H1044" s="67"/>
      <c r="I1044" s="39"/>
      <c r="K1044" s="39"/>
      <c r="L1044" s="39"/>
      <c r="M1044" s="39"/>
    </row>
    <row r="1045" spans="1:13" ht="13">
      <c r="A1045" s="66"/>
      <c r="B1045" s="61"/>
      <c r="C1045" s="63"/>
      <c r="D1045" s="63"/>
      <c r="E1045" s="63"/>
      <c r="F1045" s="63"/>
      <c r="G1045" s="63"/>
      <c r="H1045" s="67"/>
      <c r="I1045" s="39"/>
      <c r="K1045" s="39"/>
      <c r="L1045" s="39"/>
      <c r="M1045" s="39"/>
    </row>
    <row r="1046" spans="1:13" ht="13">
      <c r="A1046" s="66"/>
      <c r="B1046" s="61"/>
      <c r="C1046" s="63"/>
      <c r="D1046" s="63"/>
      <c r="E1046" s="63"/>
      <c r="F1046" s="63"/>
      <c r="G1046" s="63"/>
      <c r="H1046" s="67"/>
      <c r="I1046" s="39"/>
      <c r="K1046" s="39"/>
      <c r="L1046" s="39"/>
      <c r="M1046" s="39"/>
    </row>
    <row r="1047" spans="1:13" ht="13">
      <c r="A1047" s="66"/>
      <c r="B1047" s="61"/>
      <c r="C1047" s="63"/>
      <c r="D1047" s="63"/>
      <c r="E1047" s="63"/>
      <c r="F1047" s="63"/>
      <c r="G1047" s="63"/>
      <c r="H1047" s="67"/>
      <c r="I1047" s="39"/>
      <c r="K1047" s="39"/>
      <c r="L1047" s="39"/>
      <c r="M1047" s="39"/>
    </row>
    <row r="1048" spans="1:13" ht="13">
      <c r="A1048" s="66"/>
      <c r="B1048" s="61"/>
      <c r="C1048" s="63"/>
      <c r="D1048" s="63"/>
      <c r="E1048" s="63"/>
      <c r="F1048" s="63"/>
      <c r="G1048" s="63"/>
      <c r="H1048" s="67"/>
      <c r="I1048" s="39"/>
      <c r="K1048" s="39"/>
      <c r="L1048" s="39"/>
      <c r="M1048" s="39"/>
    </row>
    <row r="1049" spans="1:13" ht="13">
      <c r="A1049" s="66"/>
      <c r="B1049" s="61"/>
      <c r="C1049" s="63"/>
      <c r="D1049" s="63"/>
      <c r="E1049" s="63"/>
      <c r="F1049" s="63"/>
      <c r="G1049" s="63"/>
      <c r="H1049" s="67"/>
      <c r="I1049" s="39"/>
      <c r="K1049" s="39"/>
      <c r="L1049" s="39"/>
      <c r="M1049" s="39"/>
    </row>
    <row r="1050" spans="1:13" ht="13">
      <c r="A1050" s="66"/>
      <c r="B1050" s="61"/>
      <c r="C1050" s="63"/>
      <c r="D1050" s="63"/>
      <c r="E1050" s="63"/>
      <c r="F1050" s="63"/>
      <c r="G1050" s="63"/>
      <c r="H1050" s="67"/>
      <c r="I1050" s="39"/>
      <c r="K1050" s="39"/>
      <c r="L1050" s="39"/>
      <c r="M1050" s="39"/>
    </row>
    <row r="1051" spans="1:13" ht="13">
      <c r="A1051" s="66"/>
      <c r="B1051" s="61"/>
      <c r="C1051" s="63"/>
      <c r="D1051" s="63"/>
      <c r="E1051" s="63"/>
      <c r="F1051" s="63"/>
      <c r="G1051" s="63"/>
      <c r="H1051" s="67"/>
      <c r="I1051" s="39"/>
      <c r="K1051" s="39"/>
      <c r="L1051" s="39"/>
      <c r="M1051" s="39"/>
    </row>
    <row r="1052" spans="1:13" ht="13">
      <c r="A1052" s="66"/>
      <c r="B1052" s="61"/>
      <c r="C1052" s="63"/>
      <c r="D1052" s="63"/>
      <c r="E1052" s="63"/>
      <c r="F1052" s="63"/>
      <c r="G1052" s="63"/>
      <c r="H1052" s="67"/>
      <c r="I1052" s="39"/>
      <c r="K1052" s="39"/>
      <c r="L1052" s="39"/>
      <c r="M1052" s="39"/>
    </row>
    <row r="1053" spans="1:13" ht="13">
      <c r="A1053" s="66"/>
      <c r="B1053" s="61"/>
      <c r="C1053" s="63"/>
      <c r="D1053" s="63"/>
      <c r="E1053" s="63"/>
      <c r="F1053" s="63"/>
      <c r="G1053" s="63"/>
      <c r="H1053" s="67"/>
      <c r="I1053" s="39"/>
      <c r="K1053" s="39"/>
      <c r="L1053" s="39"/>
      <c r="M1053" s="39"/>
    </row>
    <row r="1054" spans="1:13" ht="13">
      <c r="A1054" s="66"/>
      <c r="B1054" s="61"/>
      <c r="C1054" s="63"/>
      <c r="D1054" s="63"/>
      <c r="E1054" s="63"/>
      <c r="F1054" s="63"/>
      <c r="G1054" s="63"/>
      <c r="H1054" s="67"/>
      <c r="I1054" s="39"/>
      <c r="K1054" s="39"/>
      <c r="L1054" s="39"/>
      <c r="M1054" s="39"/>
    </row>
    <row r="1055" spans="1:13" ht="13">
      <c r="A1055" s="66"/>
      <c r="B1055" s="61"/>
      <c r="C1055" s="63"/>
      <c r="D1055" s="63"/>
      <c r="E1055" s="63"/>
      <c r="F1055" s="63"/>
      <c r="G1055" s="63"/>
      <c r="H1055" s="67"/>
      <c r="I1055" s="39"/>
      <c r="K1055" s="39"/>
      <c r="L1055" s="39"/>
      <c r="M1055" s="39"/>
    </row>
    <row r="1056" spans="1:13" ht="13">
      <c r="A1056" s="66"/>
      <c r="B1056" s="61"/>
      <c r="C1056" s="63"/>
      <c r="D1056" s="63"/>
      <c r="E1056" s="63"/>
      <c r="F1056" s="63"/>
      <c r="G1056" s="63"/>
      <c r="H1056" s="67"/>
      <c r="I1056" s="39"/>
      <c r="K1056" s="39"/>
      <c r="L1056" s="39"/>
      <c r="M1056" s="39"/>
    </row>
    <row r="1057" spans="1:13" ht="13">
      <c r="A1057" s="66"/>
      <c r="B1057" s="61"/>
      <c r="C1057" s="63"/>
      <c r="D1057" s="63"/>
      <c r="E1057" s="63"/>
      <c r="F1057" s="63"/>
      <c r="G1057" s="63"/>
      <c r="H1057" s="67"/>
      <c r="I1057" s="39"/>
      <c r="K1057" s="39"/>
      <c r="L1057" s="39"/>
      <c r="M1057" s="39"/>
    </row>
    <row r="1058" spans="1:13" ht="13">
      <c r="A1058" s="66"/>
      <c r="B1058" s="61"/>
      <c r="C1058" s="63"/>
      <c r="D1058" s="63"/>
      <c r="E1058" s="63"/>
      <c r="F1058" s="63"/>
      <c r="G1058" s="63"/>
      <c r="H1058" s="67"/>
      <c r="I1058" s="39"/>
      <c r="K1058" s="39"/>
      <c r="L1058" s="39"/>
      <c r="M1058" s="39"/>
    </row>
    <row r="1059" spans="1:13" ht="13">
      <c r="A1059" s="66"/>
      <c r="B1059" s="61"/>
      <c r="C1059" s="63"/>
      <c r="D1059" s="63"/>
      <c r="E1059" s="63"/>
      <c r="F1059" s="63"/>
      <c r="G1059" s="63"/>
      <c r="H1059" s="67"/>
      <c r="I1059" s="39"/>
      <c r="K1059" s="39"/>
      <c r="L1059" s="39"/>
      <c r="M1059" s="39"/>
    </row>
    <row r="1060" spans="1:13" ht="13">
      <c r="A1060" s="66"/>
      <c r="B1060" s="61"/>
      <c r="C1060" s="63"/>
      <c r="D1060" s="63"/>
      <c r="E1060" s="63"/>
      <c r="F1060" s="63"/>
      <c r="G1060" s="63"/>
      <c r="H1060" s="67"/>
      <c r="I1060" s="39"/>
      <c r="K1060" s="39"/>
      <c r="L1060" s="39"/>
      <c r="M1060" s="39"/>
    </row>
    <row r="1061" spans="1:13" ht="13">
      <c r="A1061" s="66"/>
      <c r="B1061" s="61"/>
      <c r="C1061" s="63"/>
      <c r="D1061" s="63"/>
      <c r="E1061" s="63"/>
      <c r="F1061" s="63"/>
      <c r="G1061" s="63"/>
      <c r="H1061" s="67"/>
      <c r="I1061" s="39"/>
      <c r="K1061" s="39"/>
      <c r="L1061" s="39"/>
      <c r="M1061" s="39"/>
    </row>
  </sheetData>
  <autoFilter ref="A1:R1061" xr:uid="{00000000-0009-0000-0000-000000000000}"/>
  <phoneticPr fontId="72" type="noConversion"/>
  <conditionalFormatting sqref="D237:D238">
    <cfRule type="expression" dxfId="4" priority="1">
      <formula>COUNTIF(D:D,D:D)&gt;1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F273"/>
  <sheetViews>
    <sheetView workbookViewId="0"/>
  </sheetViews>
  <sheetFormatPr baseColWidth="10" defaultColWidth="12.6640625" defaultRowHeight="15.75" customHeight="1"/>
  <cols>
    <col min="1" max="1" width="17.1640625" customWidth="1"/>
    <col min="7" max="7" width="17.5" customWidth="1"/>
    <col min="8" max="8" width="28.6640625" customWidth="1"/>
    <col min="9" max="9" width="47.1640625" customWidth="1"/>
    <col min="10" max="58" width="38.1640625" customWidth="1"/>
  </cols>
  <sheetData>
    <row r="1" spans="1:58" ht="15.75" customHeight="1">
      <c r="A1" s="68" t="s">
        <v>874</v>
      </c>
      <c r="B1" s="68" t="s">
        <v>875</v>
      </c>
      <c r="C1" s="68" t="s">
        <v>876</v>
      </c>
      <c r="D1" s="68" t="s">
        <v>877</v>
      </c>
      <c r="E1" s="68" t="s">
        <v>878</v>
      </c>
      <c r="F1" s="68" t="s">
        <v>5</v>
      </c>
      <c r="G1" s="69" t="s">
        <v>879</v>
      </c>
      <c r="H1" s="70" t="s">
        <v>3</v>
      </c>
      <c r="I1" s="68" t="s">
        <v>880</v>
      </c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</row>
    <row r="2" spans="1:58" ht="15.75" customHeight="1">
      <c r="A2" s="65" t="s">
        <v>881</v>
      </c>
      <c r="B2" s="65" t="s">
        <v>882</v>
      </c>
      <c r="C2" s="72"/>
      <c r="D2" s="65" t="s">
        <v>883</v>
      </c>
      <c r="E2" s="73">
        <v>40931</v>
      </c>
      <c r="F2" s="65" t="s">
        <v>884</v>
      </c>
      <c r="G2" s="58" t="s">
        <v>885</v>
      </c>
      <c r="H2" s="58"/>
      <c r="I2" s="74" t="s">
        <v>886</v>
      </c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</row>
    <row r="3" spans="1:58" ht="15.75" customHeight="1">
      <c r="A3" s="65" t="s">
        <v>881</v>
      </c>
      <c r="B3" s="65" t="s">
        <v>882</v>
      </c>
      <c r="C3" s="72"/>
      <c r="D3" s="65" t="s">
        <v>887</v>
      </c>
      <c r="E3" s="73">
        <v>40931</v>
      </c>
      <c r="F3" s="65" t="s">
        <v>868</v>
      </c>
      <c r="G3" s="58" t="s">
        <v>869</v>
      </c>
      <c r="H3" s="59" t="s">
        <v>870</v>
      </c>
      <c r="I3" s="75"/>
      <c r="J3" s="71" t="str">
        <f t="array" ref="J3">IFERROR(INDEX(All_User!D:D,MATCH(D3,All_User!H:H,0)),"없음")</f>
        <v>jpcustoms.skl@stryker.com</v>
      </c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</row>
    <row r="4" spans="1:58" ht="15.75" customHeight="1">
      <c r="A4" s="65" t="s">
        <v>881</v>
      </c>
      <c r="B4" s="65" t="s">
        <v>882</v>
      </c>
      <c r="C4" s="72"/>
      <c r="D4" s="65" t="s">
        <v>888</v>
      </c>
      <c r="E4" s="73">
        <v>40931</v>
      </c>
      <c r="F4" s="65" t="s">
        <v>833</v>
      </c>
      <c r="G4" s="59" t="s">
        <v>213</v>
      </c>
      <c r="H4" s="59" t="s">
        <v>215</v>
      </c>
      <c r="I4" s="76"/>
      <c r="J4" s="71" t="str">
        <f t="array" ref="J4">IFERROR(INDEX(All_User!D:D,MATCH(D4,All_User!H:H,0)),"없음")</f>
        <v>theo.hwang@stryker.com</v>
      </c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</row>
    <row r="5" spans="1:58" ht="15.75" customHeight="1">
      <c r="A5" s="65" t="s">
        <v>881</v>
      </c>
      <c r="B5" s="65" t="s">
        <v>882</v>
      </c>
      <c r="C5" s="72"/>
      <c r="D5" s="65" t="s">
        <v>889</v>
      </c>
      <c r="E5" s="73">
        <v>40931</v>
      </c>
      <c r="F5" s="65" t="s">
        <v>884</v>
      </c>
      <c r="G5" s="59" t="s">
        <v>763</v>
      </c>
      <c r="H5" s="59" t="s">
        <v>764</v>
      </c>
      <c r="I5" s="59"/>
      <c r="J5" s="71" t="str">
        <f t="array" ref="J5">IFERROR(INDEX(All_User!D:D,MATCH(D5,All_User!H:H,0)),"없음")</f>
        <v>kale.lee@stryker.com</v>
      </c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</row>
    <row r="6" spans="1:58" ht="15.75" customHeight="1">
      <c r="A6" s="65" t="s">
        <v>881</v>
      </c>
      <c r="B6" s="65" t="s">
        <v>882</v>
      </c>
      <c r="C6" s="72"/>
      <c r="D6" s="65" t="s">
        <v>890</v>
      </c>
      <c r="E6" s="73">
        <v>40931</v>
      </c>
      <c r="F6" s="65" t="s">
        <v>850</v>
      </c>
      <c r="G6" s="59" t="s">
        <v>47</v>
      </c>
      <c r="H6" s="59" t="s">
        <v>49</v>
      </c>
      <c r="I6" s="59"/>
      <c r="J6" s="71" t="str">
        <f t="array" ref="J6">IFERROR(INDEX(All_User!D:D,MATCH(D6,All_User!H:H,0)),"없음")</f>
        <v>sophie.bae@stryker.com</v>
      </c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</row>
    <row r="7" spans="1:58" ht="15.75" customHeight="1">
      <c r="A7" s="65" t="s">
        <v>881</v>
      </c>
      <c r="B7" s="65" t="s">
        <v>882</v>
      </c>
      <c r="C7" s="72"/>
      <c r="D7" s="65" t="s">
        <v>891</v>
      </c>
      <c r="E7" s="73">
        <v>40931</v>
      </c>
      <c r="F7" s="65" t="s">
        <v>790</v>
      </c>
      <c r="G7" s="59" t="s">
        <v>473</v>
      </c>
      <c r="H7" s="59" t="s">
        <v>475</v>
      </c>
      <c r="I7" s="59"/>
      <c r="J7" s="71" t="str">
        <f t="array" ref="J7">IFERROR(INDEX(All_User!D:D,MATCH(D7,All_User!H:H,0)),"없음")</f>
        <v>nathan.lee@stryker.com</v>
      </c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</row>
    <row r="8" spans="1:58" ht="15.75" customHeight="1">
      <c r="A8" s="65" t="s">
        <v>881</v>
      </c>
      <c r="B8" s="65" t="s">
        <v>882</v>
      </c>
      <c r="C8" s="72"/>
      <c r="D8" s="65" t="s">
        <v>892</v>
      </c>
      <c r="E8" s="73">
        <v>40931</v>
      </c>
      <c r="F8" s="65" t="s">
        <v>102</v>
      </c>
      <c r="G8" s="59" t="s">
        <v>893</v>
      </c>
      <c r="H8" s="59" t="s">
        <v>250</v>
      </c>
      <c r="I8" s="59"/>
      <c r="J8" s="71" t="str">
        <f t="array" ref="J8">IFERROR(INDEX(All_User!D:D,MATCH(D8,All_User!H:H,0)),"없음")</f>
        <v>sungyi.jeon@stryker.com</v>
      </c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</row>
    <row r="9" spans="1:58" ht="15.75" customHeight="1">
      <c r="A9" s="65" t="s">
        <v>881</v>
      </c>
      <c r="B9" s="65" t="s">
        <v>882</v>
      </c>
      <c r="C9" s="72"/>
      <c r="D9" s="65" t="s">
        <v>894</v>
      </c>
      <c r="E9" s="73">
        <v>40931</v>
      </c>
      <c r="F9" s="65" t="s">
        <v>102</v>
      </c>
      <c r="G9" s="59" t="s">
        <v>586</v>
      </c>
      <c r="H9" s="59" t="s">
        <v>588</v>
      </c>
      <c r="I9" s="59"/>
      <c r="J9" s="71" t="str">
        <f t="array" ref="J9">IFERROR(INDEX(All_User!D:D,MATCH(D9,All_User!H:H,0)),"없음")</f>
        <v>freddy.park@stryker.com</v>
      </c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</row>
    <row r="10" spans="1:58" ht="15.75" customHeight="1">
      <c r="A10" s="65" t="s">
        <v>881</v>
      </c>
      <c r="B10" s="65" t="s">
        <v>882</v>
      </c>
      <c r="C10" s="72"/>
      <c r="D10" s="65" t="s">
        <v>895</v>
      </c>
      <c r="E10" s="73">
        <v>40931</v>
      </c>
      <c r="F10" s="65" t="s">
        <v>790</v>
      </c>
      <c r="G10" s="59" t="s">
        <v>896</v>
      </c>
      <c r="H10" s="59" t="s">
        <v>582</v>
      </c>
      <c r="I10" s="59"/>
      <c r="J10" s="71" t="str">
        <f t="array" ref="J10">IFERROR(INDEX(All_User!D:D,MATCH(D10,All_User!H:H,0)),"없음")</f>
        <v>jackson.park@stryker.com</v>
      </c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</row>
    <row r="11" spans="1:58" ht="15.75" customHeight="1">
      <c r="A11" s="65" t="s">
        <v>881</v>
      </c>
      <c r="B11" s="65" t="s">
        <v>882</v>
      </c>
      <c r="C11" s="72"/>
      <c r="D11" s="65" t="s">
        <v>897</v>
      </c>
      <c r="E11" s="73">
        <v>40931</v>
      </c>
      <c r="F11" s="59" t="s">
        <v>790</v>
      </c>
      <c r="G11" s="58" t="s">
        <v>84</v>
      </c>
      <c r="H11" s="58" t="s">
        <v>86</v>
      </c>
      <c r="I11" s="59"/>
      <c r="J11" s="71" t="str">
        <f t="array" ref="J11">IFERROR(INDEX(All_User!D:D,MATCH(D11,All_User!H:H,0)),"없음")</f>
        <v>Bruce.Cha@stryker.com</v>
      </c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</row>
    <row r="12" spans="1:58" ht="15.75" customHeight="1">
      <c r="A12" s="65" t="s">
        <v>881</v>
      </c>
      <c r="B12" s="65" t="s">
        <v>882</v>
      </c>
      <c r="C12" s="72"/>
      <c r="D12" s="65" t="s">
        <v>898</v>
      </c>
      <c r="E12" s="73">
        <v>40931</v>
      </c>
      <c r="F12" s="65" t="s">
        <v>899</v>
      </c>
      <c r="G12" s="59" t="s">
        <v>465</v>
      </c>
      <c r="H12" s="59" t="s">
        <v>467</v>
      </c>
      <c r="I12" s="59"/>
      <c r="J12" s="71" t="str">
        <f t="array" ref="J12">IFERROR(INDEX(All_User!D:D,MATCH(D12,All_User!H:H,0)),"없음")</f>
        <v>chloe.lee@stryker.com</v>
      </c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</row>
    <row r="13" spans="1:58" ht="15.75" customHeight="1">
      <c r="A13" s="65" t="s">
        <v>881</v>
      </c>
      <c r="B13" s="65" t="s">
        <v>882</v>
      </c>
      <c r="C13" s="72"/>
      <c r="D13" s="65" t="s">
        <v>900</v>
      </c>
      <c r="E13" s="73">
        <v>40931</v>
      </c>
      <c r="F13" s="65" t="s">
        <v>102</v>
      </c>
      <c r="G13" s="59" t="s">
        <v>901</v>
      </c>
      <c r="H13" s="59" t="s">
        <v>743</v>
      </c>
      <c r="I13" s="59"/>
      <c r="J13" s="71" t="str">
        <f t="array" ref="J13">IFERROR(INDEX(All_User!D:D,MATCH(D13,All_User!H:H,0)),"없음")</f>
        <v>jenna.yoo@stryker.com</v>
      </c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</row>
    <row r="14" spans="1:58" ht="15.75" customHeight="1">
      <c r="A14" s="65" t="s">
        <v>881</v>
      </c>
      <c r="B14" s="51" t="s">
        <v>882</v>
      </c>
      <c r="C14" s="77"/>
      <c r="D14" s="65" t="s">
        <v>902</v>
      </c>
      <c r="E14" s="78">
        <v>40931</v>
      </c>
      <c r="F14" s="58" t="s">
        <v>790</v>
      </c>
      <c r="G14" s="58" t="s">
        <v>903</v>
      </c>
      <c r="H14" s="79" t="s">
        <v>904</v>
      </c>
      <c r="I14" s="80"/>
      <c r="J14" s="71" t="str">
        <f t="array" ref="J14">IFERROR(INDEX(All_User!D:D,MATCH(D14,All_User!H:H,0)),"없음")</f>
        <v>david.oh@stryker.com</v>
      </c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</row>
    <row r="15" spans="1:58" ht="15.75" customHeight="1">
      <c r="A15" s="65" t="s">
        <v>881</v>
      </c>
      <c r="B15" s="65" t="s">
        <v>882</v>
      </c>
      <c r="C15" s="72"/>
      <c r="D15" s="65" t="s">
        <v>905</v>
      </c>
      <c r="E15" s="73">
        <v>40931</v>
      </c>
      <c r="F15" s="65" t="s">
        <v>102</v>
      </c>
      <c r="G15" s="59" t="s">
        <v>906</v>
      </c>
      <c r="H15" s="79" t="s">
        <v>907</v>
      </c>
      <c r="I15" s="76"/>
      <c r="J15" s="71" t="str">
        <f t="array" ref="J15">IFERROR(INDEX(All_User!D:D,MATCH(D15,All_User!H:H,0)),"없음")</f>
        <v>mihee.han@stryker.com</v>
      </c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</row>
    <row r="16" spans="1:58" ht="15.75" customHeight="1">
      <c r="A16" s="65" t="s">
        <v>881</v>
      </c>
      <c r="B16" s="65" t="s">
        <v>882</v>
      </c>
      <c r="C16" s="72"/>
      <c r="D16" s="65" t="s">
        <v>908</v>
      </c>
      <c r="E16" s="73">
        <v>40931</v>
      </c>
      <c r="F16" s="65" t="s">
        <v>909</v>
      </c>
      <c r="G16" s="59" t="s">
        <v>583</v>
      </c>
      <c r="H16" s="59" t="s">
        <v>585</v>
      </c>
      <c r="I16" s="59"/>
      <c r="J16" s="71" t="str">
        <f t="array" ref="J16">IFERROR(INDEX(All_User!D:D,MATCH(D16,All_User!H:H,0)),"없음")</f>
        <v>owen.park@stryker.com</v>
      </c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</row>
    <row r="17" spans="1:58" ht="15.75" customHeight="1">
      <c r="A17" s="65" t="s">
        <v>881</v>
      </c>
      <c r="B17" s="65" t="s">
        <v>882</v>
      </c>
      <c r="C17" s="72"/>
      <c r="D17" s="65" t="s">
        <v>910</v>
      </c>
      <c r="E17" s="73">
        <v>40931</v>
      </c>
      <c r="F17" s="65" t="s">
        <v>911</v>
      </c>
      <c r="G17" s="59" t="s">
        <v>430</v>
      </c>
      <c r="H17" s="59" t="s">
        <v>432</v>
      </c>
      <c r="I17" s="59"/>
      <c r="J17" s="71" t="str">
        <f t="array" ref="J17">IFERROR(INDEX(All_User!D:D,MATCH(D17,All_User!H:H,0)),"없음")</f>
        <v>theo.kim@stryker.com</v>
      </c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</row>
    <row r="18" spans="1:58" ht="15.75" customHeight="1">
      <c r="A18" s="65" t="s">
        <v>881</v>
      </c>
      <c r="B18" s="65" t="s">
        <v>882</v>
      </c>
      <c r="C18" s="72"/>
      <c r="D18" s="65" t="s">
        <v>912</v>
      </c>
      <c r="E18" s="73">
        <v>40931</v>
      </c>
      <c r="F18" s="65" t="s">
        <v>102</v>
      </c>
      <c r="G18" s="59" t="s">
        <v>913</v>
      </c>
      <c r="H18" s="59" t="s">
        <v>501</v>
      </c>
      <c r="I18" s="76"/>
      <c r="J18" s="71" t="str">
        <f t="array" ref="J18">IFERROR(INDEX(All_User!D:D,MATCH(D18,All_User!H:H,0)),"없음")</f>
        <v>annie.lee@stryker.com</v>
      </c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</row>
    <row r="19" spans="1:58" ht="15.75" customHeight="1">
      <c r="A19" s="65" t="s">
        <v>881</v>
      </c>
      <c r="B19" s="65" t="s">
        <v>882</v>
      </c>
      <c r="C19" s="72"/>
      <c r="D19" s="65" t="s">
        <v>914</v>
      </c>
      <c r="E19" s="73">
        <v>40931</v>
      </c>
      <c r="F19" s="65" t="s">
        <v>790</v>
      </c>
      <c r="G19" s="59" t="s">
        <v>476</v>
      </c>
      <c r="H19" s="59" t="s">
        <v>478</v>
      </c>
      <c r="I19" s="59"/>
      <c r="J19" s="71" t="str">
        <f t="array" ref="J19">IFERROR(INDEX(All_User!D:D,MATCH(D19,All_User!H:H,0)),"없음")</f>
        <v>rosie.lee@stryker.com</v>
      </c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</row>
    <row r="20" spans="1:58" ht="15.75" customHeight="1">
      <c r="A20" s="65" t="s">
        <v>881</v>
      </c>
      <c r="B20" s="65" t="s">
        <v>882</v>
      </c>
      <c r="C20" s="72"/>
      <c r="D20" s="65" t="s">
        <v>915</v>
      </c>
      <c r="E20" s="73">
        <v>40931</v>
      </c>
      <c r="F20" s="65" t="s">
        <v>911</v>
      </c>
      <c r="G20" s="59" t="s">
        <v>336</v>
      </c>
      <c r="H20" s="59" t="s">
        <v>338</v>
      </c>
      <c r="I20" s="59"/>
      <c r="J20" s="71" t="str">
        <f t="array" ref="J20">IFERROR(INDEX(All_User!D:D,MATCH(D20,All_User!H:H,0)),"없음")</f>
        <v>songmin.kim@stryker.com</v>
      </c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</row>
    <row r="21" spans="1:58" ht="15.75" customHeight="1">
      <c r="A21" s="65" t="s">
        <v>881</v>
      </c>
      <c r="B21" s="65" t="s">
        <v>882</v>
      </c>
      <c r="C21" s="72">
        <v>430530</v>
      </c>
      <c r="D21" s="65" t="s">
        <v>916</v>
      </c>
      <c r="E21" s="73">
        <v>40931</v>
      </c>
      <c r="F21" s="65" t="s">
        <v>917</v>
      </c>
      <c r="G21" s="59" t="s">
        <v>767</v>
      </c>
      <c r="H21" s="58" t="s">
        <v>768</v>
      </c>
      <c r="I21" s="59"/>
      <c r="J21" s="71" t="str">
        <f t="array" ref="J21">IFERROR(INDEX(All_User!D:D,MATCH(D21,All_User!H:H,0)),"없음")</f>
        <v>yongma01(깡통)</v>
      </c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</row>
    <row r="22" spans="1:58" ht="15.75" customHeight="1">
      <c r="A22" s="65" t="s">
        <v>881</v>
      </c>
      <c r="B22" s="65" t="s">
        <v>882</v>
      </c>
      <c r="C22" s="72">
        <v>445031</v>
      </c>
      <c r="D22" s="65" t="s">
        <v>918</v>
      </c>
      <c r="E22" s="73">
        <v>40931</v>
      </c>
      <c r="F22" s="65" t="s">
        <v>884</v>
      </c>
      <c r="G22" s="58" t="s">
        <v>885</v>
      </c>
      <c r="H22" s="58"/>
      <c r="I22" s="59" t="s">
        <v>919</v>
      </c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</row>
    <row r="23" spans="1:58" ht="15.75" customHeight="1">
      <c r="A23" s="65" t="s">
        <v>881</v>
      </c>
      <c r="B23" s="65" t="s">
        <v>882</v>
      </c>
      <c r="C23" s="72"/>
      <c r="D23" s="65" t="s">
        <v>920</v>
      </c>
      <c r="E23" s="73">
        <v>40931</v>
      </c>
      <c r="F23" s="65" t="s">
        <v>921</v>
      </c>
      <c r="G23" s="59" t="s">
        <v>657</v>
      </c>
      <c r="H23" s="59" t="s">
        <v>659</v>
      </c>
      <c r="I23" s="59"/>
      <c r="J23" s="71" t="str">
        <f t="array" ref="J23">IFERROR(INDEX(All_User!D:D,MATCH(D23,All_User!H:H,0)),"없음")</f>
        <v>hansol.shin@stryker.com</v>
      </c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</row>
    <row r="24" spans="1:58" ht="15.75" customHeight="1">
      <c r="A24" s="65" t="s">
        <v>881</v>
      </c>
      <c r="B24" s="65" t="s">
        <v>882</v>
      </c>
      <c r="C24" s="72"/>
      <c r="D24" s="65" t="s">
        <v>922</v>
      </c>
      <c r="E24" s="73">
        <v>40931</v>
      </c>
      <c r="F24" s="65" t="s">
        <v>829</v>
      </c>
      <c r="G24" s="59" t="s">
        <v>56</v>
      </c>
      <c r="H24" s="59" t="s">
        <v>58</v>
      </c>
      <c r="I24" s="59"/>
      <c r="J24" s="71" t="str">
        <f t="array" ref="J24">IFERROR(INDEX(All_User!D:D,MATCH(D24,All_User!H:H,0)),"없음")</f>
        <v>chloe.baek@stryker.com</v>
      </c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</row>
    <row r="25" spans="1:58" ht="15.75" customHeight="1">
      <c r="A25" s="65" t="s">
        <v>881</v>
      </c>
      <c r="B25" s="65" t="s">
        <v>882</v>
      </c>
      <c r="C25" s="72"/>
      <c r="D25" s="65" t="s">
        <v>923</v>
      </c>
      <c r="E25" s="73">
        <v>40931</v>
      </c>
      <c r="F25" s="65" t="s">
        <v>924</v>
      </c>
      <c r="G25" s="59" t="s">
        <v>769</v>
      </c>
      <c r="H25" s="59" t="s">
        <v>770</v>
      </c>
      <c r="I25" s="59"/>
      <c r="J25" s="71" t="str">
        <f t="array" ref="J25">IFERROR(INDEX(All_User!D:D,MATCH(D25,All_User!H:H,0)),"없음")</f>
        <v>financeadmin4.skl@stryker.com</v>
      </c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</row>
    <row r="26" spans="1:58" ht="15.75" customHeight="1">
      <c r="A26" s="65" t="s">
        <v>881</v>
      </c>
      <c r="B26" s="65" t="s">
        <v>882</v>
      </c>
      <c r="C26" s="72"/>
      <c r="D26" s="65" t="s">
        <v>925</v>
      </c>
      <c r="E26" s="73">
        <v>40931</v>
      </c>
      <c r="F26" s="65" t="s">
        <v>829</v>
      </c>
      <c r="G26" s="59" t="s">
        <v>926</v>
      </c>
      <c r="H26" s="59" t="s">
        <v>226</v>
      </c>
      <c r="I26" s="59"/>
      <c r="J26" s="71" t="str">
        <f t="array" ref="J26">IFERROR(INDEX(All_User!D:D,MATCH(D26,All_User!H:H,0)),"없음")</f>
        <v>cindy.jeon@stryker.com</v>
      </c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</row>
    <row r="27" spans="1:58" ht="15.75" customHeight="1">
      <c r="A27" s="65" t="s">
        <v>881</v>
      </c>
      <c r="B27" s="65" t="s">
        <v>882</v>
      </c>
      <c r="C27" s="72"/>
      <c r="D27" s="65" t="s">
        <v>927</v>
      </c>
      <c r="E27" s="73">
        <v>40931</v>
      </c>
      <c r="F27" s="65" t="s">
        <v>899</v>
      </c>
      <c r="G27" s="59" t="s">
        <v>266</v>
      </c>
      <c r="H27" s="59" t="s">
        <v>268</v>
      </c>
      <c r="I27" s="59"/>
      <c r="J27" s="71" t="str">
        <f t="array" ref="J27">IFERROR(INDEX(All_User!D:D,MATCH(D27,All_User!H:H,0)),"없음")</f>
        <v>irene.jun@stryker.com</v>
      </c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</row>
    <row r="28" spans="1:58" ht="15.75" customHeight="1">
      <c r="A28" s="65" t="s">
        <v>881</v>
      </c>
      <c r="B28" s="65" t="s">
        <v>882</v>
      </c>
      <c r="C28" s="72"/>
      <c r="D28" s="65" t="s">
        <v>928</v>
      </c>
      <c r="E28" s="73">
        <v>40931</v>
      </c>
      <c r="F28" s="59" t="s">
        <v>929</v>
      </c>
      <c r="G28" s="59" t="s">
        <v>930</v>
      </c>
      <c r="H28" s="59" t="s">
        <v>443</v>
      </c>
      <c r="I28" s="59"/>
      <c r="J28" s="71" t="str">
        <f t="array" ref="J28">IFERROR(INDEX(All_User!D:D,MATCH(D28,All_User!H:H,0)),"없음")</f>
        <v>wondae.ko@stryker.com</v>
      </c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</row>
    <row r="29" spans="1:58" ht="15.75" customHeight="1">
      <c r="A29" s="65" t="s">
        <v>881</v>
      </c>
      <c r="B29" s="65" t="s">
        <v>882</v>
      </c>
      <c r="C29" s="72"/>
      <c r="D29" s="65" t="s">
        <v>931</v>
      </c>
      <c r="E29" s="73">
        <v>40931</v>
      </c>
      <c r="F29" s="65" t="s">
        <v>932</v>
      </c>
      <c r="G29" s="59" t="s">
        <v>273</v>
      </c>
      <c r="H29" s="59" t="s">
        <v>275</v>
      </c>
      <c r="I29" s="59"/>
      <c r="J29" s="71" t="str">
        <f t="array" ref="J29">IFERROR(INDEX(All_User!D:D,MATCH(D29,All_User!H:H,0)),"없음")</f>
        <v>jenny.jung@stryker.com</v>
      </c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</row>
    <row r="30" spans="1:58" ht="15.75" customHeight="1">
      <c r="A30" s="65" t="s">
        <v>881</v>
      </c>
      <c r="B30" s="65" t="s">
        <v>882</v>
      </c>
      <c r="C30" s="72"/>
      <c r="D30" s="65" t="s">
        <v>933</v>
      </c>
      <c r="E30" s="73">
        <v>40931</v>
      </c>
      <c r="F30" s="65" t="s">
        <v>309</v>
      </c>
      <c r="G30" s="59" t="s">
        <v>369</v>
      </c>
      <c r="H30" s="59" t="s">
        <v>371</v>
      </c>
      <c r="I30" s="59"/>
      <c r="J30" s="71" t="str">
        <f t="array" ref="J30">IFERROR(INDEX(All_User!D:D,MATCH(D30,All_User!H:H,0)),"없음")</f>
        <v>ahyoung.kim@stryker.com</v>
      </c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</row>
    <row r="31" spans="1:58" ht="15.75" customHeight="1">
      <c r="A31" s="65" t="s">
        <v>881</v>
      </c>
      <c r="B31" s="65" t="s">
        <v>882</v>
      </c>
      <c r="C31" s="72"/>
      <c r="D31" s="65" t="s">
        <v>934</v>
      </c>
      <c r="E31" s="73">
        <v>40931</v>
      </c>
      <c r="F31" s="65" t="s">
        <v>917</v>
      </c>
      <c r="G31" s="59" t="s">
        <v>765</v>
      </c>
      <c r="H31" s="59" t="s">
        <v>766</v>
      </c>
      <c r="I31" s="59"/>
      <c r="J31" s="71" t="str">
        <f t="array" ref="J31">IFERROR(INDEX(All_User!D:D,MATCH(D31,All_User!H:H,0)),"없음")</f>
        <v>yongma05(깡통)</v>
      </c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</row>
    <row r="32" spans="1:58" ht="15.75" customHeight="1">
      <c r="A32" s="81" t="s">
        <v>881</v>
      </c>
      <c r="B32" s="81" t="s">
        <v>882</v>
      </c>
      <c r="C32" s="82"/>
      <c r="D32" s="81" t="s">
        <v>935</v>
      </c>
      <c r="E32" s="83" t="s">
        <v>936</v>
      </c>
      <c r="F32" s="84" t="s">
        <v>884</v>
      </c>
      <c r="G32" s="84" t="s">
        <v>937</v>
      </c>
      <c r="H32" s="84"/>
      <c r="I32" s="84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</row>
    <row r="33" spans="1:58" ht="15.75" customHeight="1">
      <c r="A33" s="65" t="s">
        <v>881</v>
      </c>
      <c r="B33" s="65" t="s">
        <v>882</v>
      </c>
      <c r="C33" s="72"/>
      <c r="D33" s="65" t="s">
        <v>938</v>
      </c>
      <c r="E33" s="85" t="s">
        <v>936</v>
      </c>
      <c r="F33" s="65" t="s">
        <v>921</v>
      </c>
      <c r="G33" s="59" t="s">
        <v>330</v>
      </c>
      <c r="H33" s="59" t="s">
        <v>332</v>
      </c>
      <c r="I33" s="59"/>
      <c r="J33" s="71" t="str">
        <f t="array" ref="J33">IFERROR(INDEX(All_User!D:D,MATCH(D33,All_User!H:H,0)),"없음")</f>
        <v>yoori.kim@stryker.com</v>
      </c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</row>
    <row r="34" spans="1:58" ht="15.75" customHeight="1">
      <c r="A34" s="65" t="s">
        <v>881</v>
      </c>
      <c r="B34" s="65" t="s">
        <v>882</v>
      </c>
      <c r="C34" s="72"/>
      <c r="D34" s="65" t="s">
        <v>939</v>
      </c>
      <c r="E34" s="85" t="s">
        <v>936</v>
      </c>
      <c r="F34" s="65" t="s">
        <v>850</v>
      </c>
      <c r="G34" s="59" t="s">
        <v>314</v>
      </c>
      <c r="H34" s="59" t="s">
        <v>316</v>
      </c>
      <c r="I34" s="59"/>
      <c r="J34" s="71" t="str">
        <f t="array" ref="J34">IFERROR(INDEX(All_User!D:D,MATCH(D34,All_User!H:H,0)),"없음")</f>
        <v>Sue.Kim@stryker.com</v>
      </c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</row>
    <row r="35" spans="1:58" ht="15.75" customHeight="1">
      <c r="A35" s="65" t="s">
        <v>881</v>
      </c>
      <c r="B35" s="65" t="s">
        <v>882</v>
      </c>
      <c r="C35" s="72"/>
      <c r="D35" s="65" t="s">
        <v>940</v>
      </c>
      <c r="E35" s="85" t="s">
        <v>936</v>
      </c>
      <c r="F35" s="65" t="s">
        <v>540</v>
      </c>
      <c r="G35" s="59" t="s">
        <v>326</v>
      </c>
      <c r="H35" s="59" t="s">
        <v>328</v>
      </c>
      <c r="I35" s="59"/>
      <c r="J35" s="71" t="str">
        <f t="array" ref="J35">IFERROR(INDEX(All_User!D:D,MATCH(D35,All_User!H:H,0)),"없음")</f>
        <v>Suhyun.Kim@stryker.com</v>
      </c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</row>
    <row r="36" spans="1:58" ht="15.75" customHeight="1">
      <c r="A36" s="65" t="s">
        <v>881</v>
      </c>
      <c r="B36" s="65" t="s">
        <v>882</v>
      </c>
      <c r="C36" s="72"/>
      <c r="D36" s="65" t="s">
        <v>941</v>
      </c>
      <c r="E36" s="85" t="s">
        <v>936</v>
      </c>
      <c r="F36" s="65" t="s">
        <v>850</v>
      </c>
      <c r="G36" s="59" t="s">
        <v>353</v>
      </c>
      <c r="H36" s="59" t="s">
        <v>355</v>
      </c>
      <c r="I36" s="59"/>
      <c r="J36" s="71" t="str">
        <f t="array" ref="J36">IFERROR(INDEX(All_User!D:D,MATCH(D36,All_User!H:H,0)),"없음")</f>
        <v>henry.kim1@stryker.com</v>
      </c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</row>
    <row r="37" spans="1:58" ht="15.75" customHeight="1">
      <c r="A37" s="65" t="s">
        <v>881</v>
      </c>
      <c r="B37" s="65" t="s">
        <v>882</v>
      </c>
      <c r="C37" s="72"/>
      <c r="D37" s="65" t="s">
        <v>942</v>
      </c>
      <c r="E37" s="85" t="s">
        <v>936</v>
      </c>
      <c r="F37" s="65" t="s">
        <v>884</v>
      </c>
      <c r="G37" s="59" t="s">
        <v>943</v>
      </c>
      <c r="H37" s="58" t="s">
        <v>842</v>
      </c>
      <c r="I37" s="59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</row>
    <row r="38" spans="1:58" ht="15.75" customHeight="1">
      <c r="A38" s="65" t="s">
        <v>881</v>
      </c>
      <c r="B38" s="65" t="s">
        <v>882</v>
      </c>
      <c r="C38" s="72"/>
      <c r="D38" s="65" t="s">
        <v>944</v>
      </c>
      <c r="E38" s="73">
        <v>38407</v>
      </c>
      <c r="F38" s="86" t="s">
        <v>929</v>
      </c>
      <c r="G38" s="59" t="s">
        <v>773</v>
      </c>
      <c r="H38" s="79" t="s">
        <v>945</v>
      </c>
      <c r="I38" s="59"/>
      <c r="J38" s="71" t="str">
        <f t="array" ref="J38">IFERROR(INDEX(All_User!D:D,MATCH(D38,All_User!H:H,0)),"없음")</f>
        <v>demoadmin.ym@stryker.com</v>
      </c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</row>
    <row r="39" spans="1:58" ht="15.75" customHeight="1">
      <c r="A39" s="65" t="s">
        <v>881</v>
      </c>
      <c r="B39" s="65" t="s">
        <v>882</v>
      </c>
      <c r="C39" s="72"/>
      <c r="D39" s="65" t="s">
        <v>946</v>
      </c>
      <c r="E39" s="73">
        <v>38407</v>
      </c>
      <c r="F39" s="65" t="s">
        <v>884</v>
      </c>
      <c r="G39" s="59" t="s">
        <v>885</v>
      </c>
      <c r="H39" s="87"/>
      <c r="I39" s="58" t="s">
        <v>947</v>
      </c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</row>
    <row r="40" spans="1:58" ht="15.75" customHeight="1">
      <c r="A40" s="65" t="s">
        <v>881</v>
      </c>
      <c r="B40" s="65" t="s">
        <v>882</v>
      </c>
      <c r="C40" s="72"/>
      <c r="D40" s="65" t="s">
        <v>948</v>
      </c>
      <c r="E40" s="73">
        <v>38407</v>
      </c>
      <c r="F40" s="65" t="s">
        <v>884</v>
      </c>
      <c r="G40" s="59" t="s">
        <v>885</v>
      </c>
      <c r="H40" s="58"/>
      <c r="I40" s="88" t="s">
        <v>949</v>
      </c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  <c r="BC40" s="71"/>
      <c r="BD40" s="71"/>
      <c r="BE40" s="71"/>
      <c r="BF40" s="71"/>
    </row>
    <row r="41" spans="1:58" ht="15.75" customHeight="1">
      <c r="A41" s="65" t="s">
        <v>881</v>
      </c>
      <c r="B41" s="65" t="s">
        <v>882</v>
      </c>
      <c r="C41" s="72">
        <v>435615</v>
      </c>
      <c r="D41" s="65" t="s">
        <v>950</v>
      </c>
      <c r="E41" s="73">
        <v>38407</v>
      </c>
      <c r="F41" s="65" t="s">
        <v>924</v>
      </c>
      <c r="G41" s="59" t="s">
        <v>951</v>
      </c>
      <c r="H41" s="58" t="s">
        <v>858</v>
      </c>
      <c r="I41" s="59"/>
      <c r="J41" s="71" t="str">
        <f t="array" ref="J41">IFERROR(INDEX(All_User!D:D,MATCH(D41,All_User!H:H,0)),"없음")</f>
        <v>Financeadmin3.SKL@stryker.com</v>
      </c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71"/>
      <c r="BF41" s="71"/>
    </row>
    <row r="42" spans="1:58" ht="15.75" customHeight="1">
      <c r="A42" s="65" t="s">
        <v>881</v>
      </c>
      <c r="B42" s="65" t="s">
        <v>882</v>
      </c>
      <c r="C42" s="72"/>
      <c r="D42" s="65" t="s">
        <v>952</v>
      </c>
      <c r="E42" s="73">
        <v>38407</v>
      </c>
      <c r="F42" s="65" t="s">
        <v>102</v>
      </c>
      <c r="G42" s="59" t="s">
        <v>953</v>
      </c>
      <c r="H42" s="59" t="s">
        <v>528</v>
      </c>
      <c r="I42" s="76"/>
      <c r="J42" s="71" t="str">
        <f t="array" ref="J42">IFERROR(INDEX(All_User!D:D,MATCH(D42,All_User!H:H,0)),"없음")</f>
        <v>jay.moon@stryker.com</v>
      </c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/>
      <c r="BB42" s="71"/>
      <c r="BC42" s="71"/>
      <c r="BD42" s="71"/>
      <c r="BE42" s="71"/>
      <c r="BF42" s="71"/>
    </row>
    <row r="43" spans="1:58" ht="15.75" customHeight="1">
      <c r="A43" s="65" t="s">
        <v>881</v>
      </c>
      <c r="B43" s="65" t="s">
        <v>882</v>
      </c>
      <c r="C43" s="72"/>
      <c r="D43" s="65" t="s">
        <v>954</v>
      </c>
      <c r="E43" s="73">
        <v>38407</v>
      </c>
      <c r="F43" s="65" t="s">
        <v>955</v>
      </c>
      <c r="G43" s="59" t="s">
        <v>956</v>
      </c>
      <c r="H43" s="59" t="s">
        <v>44</v>
      </c>
      <c r="I43" s="59"/>
      <c r="J43" s="71" t="str">
        <f t="array" ref="J43">IFERROR(INDEX(All_User!D:D,MATCH(D43,All_User!H:H,0)),"없음")</f>
        <v>hyeran.an@stryker.com</v>
      </c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  <c r="BC43" s="71"/>
      <c r="BD43" s="71"/>
      <c r="BE43" s="71"/>
      <c r="BF43" s="71"/>
    </row>
    <row r="44" spans="1:58" ht="15.75" customHeight="1">
      <c r="A44" s="65" t="s">
        <v>881</v>
      </c>
      <c r="B44" s="65" t="s">
        <v>882</v>
      </c>
      <c r="C44" s="72"/>
      <c r="D44" s="65" t="s">
        <v>957</v>
      </c>
      <c r="E44" s="73">
        <v>38407</v>
      </c>
      <c r="F44" s="65" t="s">
        <v>958</v>
      </c>
      <c r="G44" s="59" t="s">
        <v>424</v>
      </c>
      <c r="H44" s="59" t="s">
        <v>426</v>
      </c>
      <c r="I44" s="59"/>
      <c r="J44" s="71" t="str">
        <f t="array" ref="J44">IFERROR(INDEX(All_User!D:D,MATCH(D44,All_User!H:H,0)),"없음")</f>
        <v>greg.kim@stryker.com</v>
      </c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1"/>
      <c r="BC44" s="71"/>
      <c r="BD44" s="71"/>
      <c r="BE44" s="71"/>
      <c r="BF44" s="71"/>
    </row>
    <row r="45" spans="1:58" ht="15.75" customHeight="1">
      <c r="A45" s="65" t="s">
        <v>881</v>
      </c>
      <c r="B45" s="65" t="s">
        <v>882</v>
      </c>
      <c r="C45" s="72"/>
      <c r="D45" s="65" t="s">
        <v>959</v>
      </c>
      <c r="E45" s="73">
        <v>38407</v>
      </c>
      <c r="F45" s="65" t="s">
        <v>790</v>
      </c>
      <c r="G45" s="59" t="s">
        <v>396</v>
      </c>
      <c r="H45" s="59" t="s">
        <v>398</v>
      </c>
      <c r="I45" s="59"/>
      <c r="J45" s="71" t="str">
        <f t="array" ref="J45">IFERROR(INDEX(All_User!D:D,MATCH(D45,All_User!H:H,0)),"없음")</f>
        <v>mason.kim1@stryker.com</v>
      </c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1"/>
      <c r="BB45" s="71"/>
      <c r="BC45" s="71"/>
      <c r="BD45" s="71"/>
      <c r="BE45" s="71"/>
      <c r="BF45" s="71"/>
    </row>
    <row r="46" spans="1:58" ht="15.75" customHeight="1">
      <c r="A46" s="65" t="s">
        <v>881</v>
      </c>
      <c r="B46" s="65" t="s">
        <v>882</v>
      </c>
      <c r="C46" s="72"/>
      <c r="D46" s="65" t="s">
        <v>960</v>
      </c>
      <c r="E46" s="73">
        <v>38407</v>
      </c>
      <c r="F46" s="59" t="s">
        <v>929</v>
      </c>
      <c r="G46" s="59" t="s">
        <v>961</v>
      </c>
      <c r="H46" s="59" t="s">
        <v>246</v>
      </c>
      <c r="I46" s="59"/>
      <c r="J46" s="71" t="str">
        <f t="array" ref="J46">IFERROR(INDEX(All_User!D:D,MATCH(D46,All_User!H:H,0)),"없음")</f>
        <v>hangil.jeong@stryker.com</v>
      </c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1"/>
      <c r="AX46" s="71"/>
      <c r="AY46" s="71"/>
      <c r="AZ46" s="71"/>
      <c r="BA46" s="71"/>
      <c r="BB46" s="71"/>
      <c r="BC46" s="71"/>
      <c r="BD46" s="71"/>
      <c r="BE46" s="71"/>
      <c r="BF46" s="71"/>
    </row>
    <row r="47" spans="1:58" ht="15.75" customHeight="1">
      <c r="A47" s="65" t="s">
        <v>881</v>
      </c>
      <c r="B47" s="65" t="s">
        <v>882</v>
      </c>
      <c r="C47" s="72"/>
      <c r="D47" s="65" t="s">
        <v>962</v>
      </c>
      <c r="E47" s="73">
        <v>38407</v>
      </c>
      <c r="F47" s="65" t="s">
        <v>932</v>
      </c>
      <c r="G47" s="59" t="s">
        <v>751</v>
      </c>
      <c r="H47" s="59" t="s">
        <v>753</v>
      </c>
      <c r="I47" s="59"/>
      <c r="J47" s="71" t="str">
        <f t="array" ref="J47">IFERROR(INDEX(All_User!D:D,MATCH(D47,All_User!H:H,0)),"없음")</f>
        <v>jw.yoon@stryker.com</v>
      </c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71"/>
      <c r="BC47" s="71"/>
      <c r="BD47" s="71"/>
      <c r="BE47" s="71"/>
      <c r="BF47" s="71"/>
    </row>
    <row r="48" spans="1:58" ht="15.75" customHeight="1">
      <c r="A48" s="65" t="s">
        <v>881</v>
      </c>
      <c r="B48" s="51" t="s">
        <v>882</v>
      </c>
      <c r="C48" s="77"/>
      <c r="D48" s="65" t="s">
        <v>963</v>
      </c>
      <c r="E48" s="78">
        <v>38407</v>
      </c>
      <c r="F48" s="65" t="s">
        <v>884</v>
      </c>
      <c r="G48" s="59" t="s">
        <v>964</v>
      </c>
      <c r="H48" s="58" t="s">
        <v>965</v>
      </c>
      <c r="I48" s="59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71"/>
      <c r="AX48" s="71"/>
      <c r="AY48" s="71"/>
      <c r="AZ48" s="71"/>
      <c r="BA48" s="71"/>
      <c r="BB48" s="71"/>
      <c r="BC48" s="71"/>
      <c r="BD48" s="71"/>
      <c r="BE48" s="71"/>
      <c r="BF48" s="71"/>
    </row>
    <row r="49" spans="1:58" ht="15.75" customHeight="1">
      <c r="A49" s="65" t="s">
        <v>881</v>
      </c>
      <c r="B49" s="65" t="s">
        <v>882</v>
      </c>
      <c r="C49" s="72"/>
      <c r="D49" s="65" t="s">
        <v>966</v>
      </c>
      <c r="E49" s="73">
        <v>38407</v>
      </c>
      <c r="F49" s="65" t="s">
        <v>833</v>
      </c>
      <c r="G49" s="59" t="s">
        <v>530</v>
      </c>
      <c r="H49" s="59" t="s">
        <v>532</v>
      </c>
      <c r="I49" s="59"/>
      <c r="J49" s="71" t="str">
        <f t="array" ref="J49">IFERROR(INDEX(All_User!D:D,MATCH(D49,All_User!H:H,0)),"없음")</f>
        <v>ethan.na@stryker.com</v>
      </c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</row>
    <row r="50" spans="1:58" ht="17">
      <c r="A50" s="65" t="s">
        <v>881</v>
      </c>
      <c r="B50" s="65" t="s">
        <v>882</v>
      </c>
      <c r="C50" s="72"/>
      <c r="D50" s="65" t="s">
        <v>967</v>
      </c>
      <c r="E50" s="73">
        <v>38407</v>
      </c>
      <c r="F50" s="65" t="s">
        <v>829</v>
      </c>
      <c r="G50" s="59" t="s">
        <v>574</v>
      </c>
      <c r="H50" s="59" t="s">
        <v>576</v>
      </c>
      <c r="I50" s="59"/>
      <c r="J50" s="71" t="str">
        <f t="array" ref="J50">IFERROR(INDEX(All_User!D:D,MATCH(D50,All_User!H:H,0)),"없음")</f>
        <v>james.park@stryker.com</v>
      </c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1"/>
      <c r="AW50" s="71"/>
      <c r="AX50" s="71"/>
      <c r="AY50" s="71"/>
      <c r="AZ50" s="71"/>
      <c r="BA50" s="71"/>
      <c r="BB50" s="71"/>
      <c r="BC50" s="71"/>
      <c r="BD50" s="71"/>
      <c r="BE50" s="71"/>
      <c r="BF50" s="71"/>
    </row>
    <row r="51" spans="1:58" ht="17">
      <c r="A51" s="65" t="s">
        <v>881</v>
      </c>
      <c r="B51" s="65" t="s">
        <v>882</v>
      </c>
      <c r="C51" s="72"/>
      <c r="D51" s="65" t="s">
        <v>968</v>
      </c>
      <c r="E51" s="73">
        <v>38407</v>
      </c>
      <c r="F51" s="65" t="s">
        <v>540</v>
      </c>
      <c r="G51" s="59" t="s">
        <v>119</v>
      </c>
      <c r="H51" s="59" t="s">
        <v>121</v>
      </c>
      <c r="I51" s="89"/>
      <c r="J51" s="71" t="str">
        <f t="array" ref="J51">IFERROR(INDEX(All_User!D:D,MATCH(D51,All_User!H:H,0)),"없음")</f>
        <v>brad.choi@stryker.com</v>
      </c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1"/>
      <c r="BC51" s="71"/>
      <c r="BD51" s="71"/>
      <c r="BE51" s="71"/>
      <c r="BF51" s="71"/>
    </row>
    <row r="52" spans="1:58" ht="17">
      <c r="A52" s="65" t="s">
        <v>881</v>
      </c>
      <c r="B52" s="65" t="s">
        <v>882</v>
      </c>
      <c r="C52" s="72"/>
      <c r="D52" s="65" t="s">
        <v>969</v>
      </c>
      <c r="E52" s="85" t="s">
        <v>970</v>
      </c>
      <c r="F52" s="65" t="s">
        <v>884</v>
      </c>
      <c r="G52" s="59" t="s">
        <v>943</v>
      </c>
      <c r="H52" s="79" t="s">
        <v>971</v>
      </c>
      <c r="I52" s="79" t="s">
        <v>972</v>
      </c>
      <c r="J52" s="71" t="s">
        <v>973</v>
      </c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1"/>
      <c r="AW52" s="71"/>
      <c r="AX52" s="71"/>
      <c r="AY52" s="71"/>
      <c r="AZ52" s="71"/>
      <c r="BA52" s="71"/>
      <c r="BB52" s="71"/>
      <c r="BC52" s="71"/>
      <c r="BD52" s="71"/>
      <c r="BE52" s="71"/>
      <c r="BF52" s="71"/>
    </row>
    <row r="53" spans="1:58" ht="17">
      <c r="A53" s="65" t="s">
        <v>881</v>
      </c>
      <c r="B53" s="65" t="s">
        <v>882</v>
      </c>
      <c r="C53" s="72"/>
      <c r="D53" s="65" t="s">
        <v>974</v>
      </c>
      <c r="E53" s="85" t="s">
        <v>970</v>
      </c>
      <c r="F53" s="65" t="s">
        <v>884</v>
      </c>
      <c r="G53" s="59" t="s">
        <v>885</v>
      </c>
      <c r="H53" s="58"/>
      <c r="I53" s="59" t="s">
        <v>975</v>
      </c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71"/>
      <c r="AK53" s="71"/>
      <c r="AL53" s="71"/>
      <c r="AM53" s="71"/>
      <c r="AN53" s="71"/>
      <c r="AO53" s="71"/>
      <c r="AP53" s="71"/>
      <c r="AQ53" s="71"/>
      <c r="AR53" s="71"/>
      <c r="AS53" s="71"/>
      <c r="AT53" s="71"/>
      <c r="AU53" s="71"/>
      <c r="AV53" s="71"/>
      <c r="AW53" s="71"/>
      <c r="AX53" s="71"/>
      <c r="AY53" s="71"/>
      <c r="AZ53" s="71"/>
      <c r="BA53" s="71"/>
      <c r="BB53" s="71"/>
      <c r="BC53" s="71"/>
      <c r="BD53" s="71"/>
      <c r="BE53" s="71"/>
      <c r="BF53" s="71"/>
    </row>
    <row r="54" spans="1:58" ht="17">
      <c r="A54" s="65" t="s">
        <v>881</v>
      </c>
      <c r="B54" s="51" t="s">
        <v>882</v>
      </c>
      <c r="C54" s="77"/>
      <c r="D54" s="65" t="s">
        <v>976</v>
      </c>
      <c r="E54" s="90" t="s">
        <v>970</v>
      </c>
      <c r="F54" s="65" t="s">
        <v>977</v>
      </c>
      <c r="G54" s="59" t="s">
        <v>978</v>
      </c>
      <c r="H54" s="79" t="s">
        <v>979</v>
      </c>
      <c r="I54" s="59"/>
      <c r="J54" s="71" t="str">
        <f t="array" ref="J54">IFERROR(INDEX(All_User!D:D,MATCH(D54,All_User!H:H,0)),"없음")</f>
        <v>yeonjoo.kim@stryker.com</v>
      </c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71"/>
      <c r="AP54" s="71"/>
      <c r="AQ54" s="71"/>
      <c r="AR54" s="71"/>
      <c r="AS54" s="71"/>
      <c r="AT54" s="71"/>
      <c r="AU54" s="71"/>
      <c r="AV54" s="71"/>
      <c r="AW54" s="71"/>
      <c r="AX54" s="71"/>
      <c r="AY54" s="71"/>
      <c r="AZ54" s="71"/>
      <c r="BA54" s="71"/>
      <c r="BB54" s="71"/>
      <c r="BC54" s="71"/>
      <c r="BD54" s="71"/>
      <c r="BE54" s="71"/>
      <c r="BF54" s="71"/>
    </row>
    <row r="55" spans="1:58" ht="17">
      <c r="A55" s="65" t="s">
        <v>881</v>
      </c>
      <c r="B55" s="65" t="s">
        <v>882</v>
      </c>
      <c r="C55" s="72"/>
      <c r="D55" s="65" t="s">
        <v>980</v>
      </c>
      <c r="E55" s="85" t="s">
        <v>970</v>
      </c>
      <c r="F55" s="65" t="s">
        <v>790</v>
      </c>
      <c r="G55" s="91" t="s">
        <v>542</v>
      </c>
      <c r="H55" s="58" t="s">
        <v>544</v>
      </c>
      <c r="I55" s="59"/>
      <c r="J55" s="71" t="str">
        <f t="array" ref="J55">IFERROR(INDEX(All_User!D:D,MATCH(D55,All_User!H:H,0)),"없음")</f>
        <v>mason.oh@stryker.com</v>
      </c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1"/>
      <c r="BB55" s="71"/>
      <c r="BC55" s="71"/>
      <c r="BD55" s="71"/>
      <c r="BE55" s="71"/>
      <c r="BF55" s="71"/>
    </row>
    <row r="56" spans="1:58" ht="17">
      <c r="A56" s="65" t="s">
        <v>881</v>
      </c>
      <c r="B56" s="65" t="s">
        <v>882</v>
      </c>
      <c r="C56" s="72"/>
      <c r="D56" s="65" t="s">
        <v>981</v>
      </c>
      <c r="E56" s="85" t="s">
        <v>970</v>
      </c>
      <c r="F56" s="65" t="s">
        <v>909</v>
      </c>
      <c r="G56" s="59" t="s">
        <v>693</v>
      </c>
      <c r="H56" s="59" t="s">
        <v>695</v>
      </c>
      <c r="I56" s="59"/>
      <c r="J56" s="71" t="str">
        <f t="array" ref="J56">IFERROR(INDEX(All_User!D:D,MATCH(D56,All_User!H:H,0)),"없음")</f>
        <v>jayden.song@stryker.com</v>
      </c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71"/>
      <c r="BF56" s="71"/>
    </row>
    <row r="57" spans="1:58" ht="17">
      <c r="A57" s="65" t="s">
        <v>881</v>
      </c>
      <c r="B57" s="65" t="s">
        <v>882</v>
      </c>
      <c r="C57" s="72"/>
      <c r="D57" s="65" t="s">
        <v>982</v>
      </c>
      <c r="E57" s="85" t="s">
        <v>970</v>
      </c>
      <c r="F57" s="65" t="s">
        <v>909</v>
      </c>
      <c r="G57" s="59" t="s">
        <v>469</v>
      </c>
      <c r="H57" s="59" t="s">
        <v>471</v>
      </c>
      <c r="I57" s="59"/>
      <c r="J57" s="71" t="str">
        <f t="array" ref="J57">IFERROR(INDEX(All_User!D:D,MATCH(D57,All_User!H:H,0)),"없음")</f>
        <v>david.lee4@stryker.com</v>
      </c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1"/>
      <c r="AP57" s="71"/>
      <c r="AQ57" s="71"/>
      <c r="AR57" s="71"/>
      <c r="AS57" s="71"/>
      <c r="AT57" s="71"/>
      <c r="AU57" s="71"/>
      <c r="AV57" s="71"/>
      <c r="AW57" s="71"/>
      <c r="AX57" s="71"/>
      <c r="AY57" s="71"/>
      <c r="AZ57" s="71"/>
      <c r="BA57" s="71"/>
      <c r="BB57" s="71"/>
      <c r="BC57" s="71"/>
      <c r="BD57" s="71"/>
      <c r="BE57" s="71"/>
      <c r="BF57" s="71"/>
    </row>
    <row r="58" spans="1:58" ht="17">
      <c r="A58" s="65" t="s">
        <v>881</v>
      </c>
      <c r="B58" s="65" t="s">
        <v>882</v>
      </c>
      <c r="C58" s="72"/>
      <c r="D58" s="65" t="s">
        <v>983</v>
      </c>
      <c r="E58" s="85" t="s">
        <v>970</v>
      </c>
      <c r="F58" s="59" t="s">
        <v>932</v>
      </c>
      <c r="G58" s="59" t="s">
        <v>984</v>
      </c>
      <c r="H58" s="59" t="s">
        <v>137</v>
      </c>
      <c r="I58" s="59"/>
      <c r="J58" s="71" t="str">
        <f t="array" ref="J58">IFERROR(INDEX(All_User!D:D,MATCH(D58,All_User!H:H,0)),"없음")</f>
        <v>david.chung@stryker.com</v>
      </c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  <c r="AO58" s="71"/>
      <c r="AP58" s="71"/>
      <c r="AQ58" s="71"/>
      <c r="AR58" s="71"/>
      <c r="AS58" s="71"/>
      <c r="AT58" s="71"/>
      <c r="AU58" s="71"/>
      <c r="AV58" s="71"/>
      <c r="AW58" s="71"/>
      <c r="AX58" s="71"/>
      <c r="AY58" s="71"/>
      <c r="AZ58" s="71"/>
      <c r="BA58" s="71"/>
      <c r="BB58" s="71"/>
      <c r="BC58" s="71"/>
      <c r="BD58" s="71"/>
      <c r="BE58" s="71"/>
      <c r="BF58" s="71"/>
    </row>
    <row r="59" spans="1:58" ht="17">
      <c r="A59" s="65" t="s">
        <v>881</v>
      </c>
      <c r="B59" s="65" t="s">
        <v>882</v>
      </c>
      <c r="C59" s="72"/>
      <c r="D59" s="65" t="s">
        <v>985</v>
      </c>
      <c r="E59" s="85" t="s">
        <v>970</v>
      </c>
      <c r="F59" s="65" t="s">
        <v>833</v>
      </c>
      <c r="G59" s="59" t="s">
        <v>318</v>
      </c>
      <c r="H59" s="59" t="s">
        <v>320</v>
      </c>
      <c r="I59" s="59"/>
      <c r="J59" s="71" t="str">
        <f t="array" ref="J59">IFERROR(INDEX(All_User!D:D,MATCH(D59,All_User!H:H,0)),"없음")</f>
        <v>danny.kim@stryker.com</v>
      </c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71"/>
      <c r="AQ59" s="71"/>
      <c r="AR59" s="71"/>
      <c r="AS59" s="71"/>
      <c r="AT59" s="71"/>
      <c r="AU59" s="71"/>
      <c r="AV59" s="71"/>
      <c r="AW59" s="71"/>
      <c r="AX59" s="71"/>
      <c r="AY59" s="71"/>
      <c r="AZ59" s="71"/>
      <c r="BA59" s="71"/>
      <c r="BB59" s="71"/>
      <c r="BC59" s="71"/>
      <c r="BD59" s="71"/>
      <c r="BE59" s="71"/>
      <c r="BF59" s="71"/>
    </row>
    <row r="60" spans="1:58" ht="17">
      <c r="A60" s="65" t="s">
        <v>881</v>
      </c>
      <c r="B60" s="65" t="s">
        <v>882</v>
      </c>
      <c r="C60" s="72"/>
      <c r="D60" s="65" t="s">
        <v>986</v>
      </c>
      <c r="E60" s="85" t="s">
        <v>970</v>
      </c>
      <c r="F60" s="65" t="s">
        <v>790</v>
      </c>
      <c r="G60" s="59" t="s">
        <v>76</v>
      </c>
      <c r="H60" s="59" t="s">
        <v>78</v>
      </c>
      <c r="I60" s="59"/>
      <c r="J60" s="71" t="str">
        <f t="array" ref="J60">IFERROR(INDEX(All_User!D:D,MATCH(D60,All_User!H:H,0)),"없음")</f>
        <v>jisoo.byeon@stryker.com</v>
      </c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  <c r="AU60" s="71"/>
      <c r="AV60" s="71"/>
      <c r="AW60" s="71"/>
      <c r="AX60" s="71"/>
      <c r="AY60" s="71"/>
      <c r="AZ60" s="71"/>
      <c r="BA60" s="71"/>
      <c r="BB60" s="71"/>
      <c r="BC60" s="71"/>
      <c r="BD60" s="71"/>
      <c r="BE60" s="71"/>
      <c r="BF60" s="71"/>
    </row>
    <row r="61" spans="1:58" ht="17">
      <c r="A61" s="65" t="s">
        <v>881</v>
      </c>
      <c r="B61" s="65" t="s">
        <v>882</v>
      </c>
      <c r="C61" s="72"/>
      <c r="D61" s="65" t="s">
        <v>987</v>
      </c>
      <c r="E61" s="85" t="s">
        <v>970</v>
      </c>
      <c r="F61" s="65" t="s">
        <v>988</v>
      </c>
      <c r="G61" s="59" t="s">
        <v>647</v>
      </c>
      <c r="H61" s="59" t="s">
        <v>649</v>
      </c>
      <c r="I61" s="59"/>
      <c r="J61" s="71" t="str">
        <f t="array" ref="J61">IFERROR(INDEX(All_User!D:D,MATCH(D61,All_User!H:H,0)),"없음")</f>
        <v>kevin.shim@stryker.com</v>
      </c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1"/>
      <c r="AK61" s="71"/>
      <c r="AL61" s="71"/>
      <c r="AM61" s="71"/>
      <c r="AN61" s="71"/>
      <c r="AO61" s="71"/>
      <c r="AP61" s="71"/>
      <c r="AQ61" s="71"/>
      <c r="AR61" s="71"/>
      <c r="AS61" s="71"/>
      <c r="AT61" s="71"/>
      <c r="AU61" s="71"/>
      <c r="AV61" s="71"/>
      <c r="AW61" s="71"/>
      <c r="AX61" s="71"/>
      <c r="AY61" s="71"/>
      <c r="AZ61" s="71"/>
      <c r="BA61" s="71"/>
      <c r="BB61" s="71"/>
      <c r="BC61" s="71"/>
      <c r="BD61" s="71"/>
      <c r="BE61" s="71"/>
      <c r="BF61" s="71"/>
    </row>
    <row r="62" spans="1:58" ht="17">
      <c r="A62" s="65" t="s">
        <v>881</v>
      </c>
      <c r="B62" s="65" t="s">
        <v>882</v>
      </c>
      <c r="C62" s="72"/>
      <c r="D62" s="65" t="s">
        <v>989</v>
      </c>
      <c r="E62" s="85" t="s">
        <v>970</v>
      </c>
      <c r="F62" s="65" t="s">
        <v>899</v>
      </c>
      <c r="G62" s="59" t="s">
        <v>283</v>
      </c>
      <c r="H62" s="59" t="s">
        <v>285</v>
      </c>
      <c r="I62" s="59"/>
      <c r="J62" s="71" t="str">
        <f t="array" ref="J62">IFERROR(INDEX(All_User!D:D,MATCH(D62,All_User!H:H,0)),"없음")</f>
        <v>celine.jung@stryker.com</v>
      </c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1"/>
      <c r="AK62" s="71"/>
      <c r="AL62" s="71"/>
      <c r="AM62" s="71"/>
      <c r="AN62" s="71"/>
      <c r="AO62" s="71"/>
      <c r="AP62" s="71"/>
      <c r="AQ62" s="71"/>
      <c r="AR62" s="71"/>
      <c r="AS62" s="71"/>
      <c r="AT62" s="71"/>
      <c r="AU62" s="71"/>
      <c r="AV62" s="71"/>
      <c r="AW62" s="71"/>
      <c r="AX62" s="71"/>
      <c r="AY62" s="71"/>
      <c r="AZ62" s="71"/>
      <c r="BA62" s="71"/>
      <c r="BB62" s="71"/>
      <c r="BC62" s="71"/>
      <c r="BD62" s="71"/>
      <c r="BE62" s="71"/>
      <c r="BF62" s="71"/>
    </row>
    <row r="63" spans="1:58" ht="17">
      <c r="A63" s="65" t="s">
        <v>881</v>
      </c>
      <c r="B63" s="65" t="s">
        <v>882</v>
      </c>
      <c r="C63" s="72"/>
      <c r="D63" s="65" t="s">
        <v>990</v>
      </c>
      <c r="E63" s="85" t="s">
        <v>970</v>
      </c>
      <c r="F63" s="65" t="s">
        <v>540</v>
      </c>
      <c r="G63" s="59" t="s">
        <v>536</v>
      </c>
      <c r="H63" s="59" t="s">
        <v>538</v>
      </c>
      <c r="I63" s="59"/>
      <c r="J63" s="71" t="str">
        <f t="array" ref="J63">IFERROR(INDEX(All_User!D:D,MATCH(D63,All_User!H:H,0)),"없음")</f>
        <v>peter.oh@stryker.com</v>
      </c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71"/>
      <c r="AJ63" s="71"/>
      <c r="AK63" s="71"/>
      <c r="AL63" s="71"/>
      <c r="AM63" s="71"/>
      <c r="AN63" s="71"/>
      <c r="AO63" s="71"/>
      <c r="AP63" s="71"/>
      <c r="AQ63" s="71"/>
      <c r="AR63" s="71"/>
      <c r="AS63" s="71"/>
      <c r="AT63" s="71"/>
      <c r="AU63" s="71"/>
      <c r="AV63" s="71"/>
      <c r="AW63" s="71"/>
      <c r="AX63" s="71"/>
      <c r="AY63" s="71"/>
      <c r="AZ63" s="71"/>
      <c r="BA63" s="71"/>
      <c r="BB63" s="71"/>
      <c r="BC63" s="71"/>
      <c r="BD63" s="71"/>
      <c r="BE63" s="71"/>
      <c r="BF63" s="71"/>
    </row>
    <row r="64" spans="1:58" ht="17">
      <c r="A64" s="65" t="s">
        <v>881</v>
      </c>
      <c r="B64" s="65" t="s">
        <v>882</v>
      </c>
      <c r="C64" s="72"/>
      <c r="D64" s="65" t="s">
        <v>991</v>
      </c>
      <c r="E64" s="85" t="s">
        <v>970</v>
      </c>
      <c r="F64" s="65" t="s">
        <v>790</v>
      </c>
      <c r="G64" s="59" t="s">
        <v>992</v>
      </c>
      <c r="H64" s="59" t="s">
        <v>440</v>
      </c>
      <c r="I64" s="59"/>
      <c r="J64" s="71" t="str">
        <f t="array" ref="J64">IFERROR(INDEX(All_User!D:D,MATCH(D64,All_User!H:H,0)),"없음")</f>
        <v>ara.ko@stryker.com</v>
      </c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71"/>
      <c r="AJ64" s="71"/>
      <c r="AK64" s="71"/>
      <c r="AL64" s="71"/>
      <c r="AM64" s="71"/>
      <c r="AN64" s="71"/>
      <c r="AO64" s="71"/>
      <c r="AP64" s="71"/>
      <c r="AQ64" s="71"/>
      <c r="AR64" s="71"/>
      <c r="AS64" s="71"/>
      <c r="AT64" s="71"/>
      <c r="AU64" s="71"/>
      <c r="AV64" s="71"/>
      <c r="AW64" s="71"/>
      <c r="AX64" s="71"/>
      <c r="AY64" s="71"/>
      <c r="AZ64" s="71"/>
      <c r="BA64" s="71"/>
      <c r="BB64" s="71"/>
      <c r="BC64" s="71"/>
      <c r="BD64" s="71"/>
      <c r="BE64" s="71"/>
      <c r="BF64" s="71"/>
    </row>
    <row r="65" spans="1:58" ht="17">
      <c r="A65" s="65" t="s">
        <v>881</v>
      </c>
      <c r="B65" s="65" t="s">
        <v>882</v>
      </c>
      <c r="C65" s="72"/>
      <c r="D65" s="65" t="s">
        <v>993</v>
      </c>
      <c r="E65" s="85" t="s">
        <v>970</v>
      </c>
      <c r="F65" s="65" t="s">
        <v>994</v>
      </c>
      <c r="G65" s="59" t="s">
        <v>995</v>
      </c>
      <c r="H65" s="59" t="s">
        <v>554</v>
      </c>
      <c r="I65" s="59"/>
      <c r="J65" s="71" t="str">
        <f t="array" ref="J65">IFERROR(INDEX(All_User!D:D,MATCH(D65,All_User!H:H,0)),"없음")</f>
        <v>jennifer.paek@stryker.com</v>
      </c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1"/>
      <c r="AL65" s="71"/>
      <c r="AM65" s="71"/>
      <c r="AN65" s="71"/>
      <c r="AO65" s="71"/>
      <c r="AP65" s="71"/>
      <c r="AQ65" s="71"/>
      <c r="AR65" s="71"/>
      <c r="AS65" s="71"/>
      <c r="AT65" s="71"/>
      <c r="AU65" s="71"/>
      <c r="AV65" s="71"/>
      <c r="AW65" s="71"/>
      <c r="AX65" s="71"/>
      <c r="AY65" s="71"/>
      <c r="AZ65" s="71"/>
      <c r="BA65" s="71"/>
      <c r="BB65" s="71"/>
      <c r="BC65" s="71"/>
      <c r="BD65" s="71"/>
      <c r="BE65" s="71"/>
      <c r="BF65" s="71"/>
    </row>
    <row r="66" spans="1:58" ht="17">
      <c r="A66" s="65" t="s">
        <v>881</v>
      </c>
      <c r="B66" s="65" t="s">
        <v>882</v>
      </c>
      <c r="C66" s="72"/>
      <c r="D66" s="65" t="s">
        <v>996</v>
      </c>
      <c r="E66" s="85" t="s">
        <v>970</v>
      </c>
      <c r="F66" s="65" t="s">
        <v>884</v>
      </c>
      <c r="G66" s="59" t="s">
        <v>775</v>
      </c>
      <c r="H66" s="59" t="s">
        <v>776</v>
      </c>
      <c r="I66" s="59"/>
      <c r="J66" s="71" t="str">
        <f t="array" ref="J66">IFERROR(INDEX(All_User!D:D,MATCH(D66,All_User!H:H,0)),"없음")</f>
        <v>eric.kim@stryker.com</v>
      </c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1"/>
      <c r="AL66" s="71"/>
      <c r="AM66" s="71"/>
      <c r="AN66" s="71"/>
      <c r="AO66" s="71"/>
      <c r="AP66" s="71"/>
      <c r="AQ66" s="71"/>
      <c r="AR66" s="71"/>
      <c r="AS66" s="71"/>
      <c r="AT66" s="71"/>
      <c r="AU66" s="71"/>
      <c r="AV66" s="71"/>
      <c r="AW66" s="71"/>
      <c r="AX66" s="71"/>
      <c r="AY66" s="71"/>
      <c r="AZ66" s="71"/>
      <c r="BA66" s="71"/>
      <c r="BB66" s="71"/>
      <c r="BC66" s="71"/>
      <c r="BD66" s="71"/>
      <c r="BE66" s="71"/>
      <c r="BF66" s="71"/>
    </row>
    <row r="67" spans="1:58" ht="17">
      <c r="A67" s="65" t="s">
        <v>881</v>
      </c>
      <c r="B67" s="65" t="s">
        <v>882</v>
      </c>
      <c r="C67" s="72"/>
      <c r="D67" s="65" t="s">
        <v>997</v>
      </c>
      <c r="E67" s="85" t="s">
        <v>970</v>
      </c>
      <c r="F67" s="65" t="s">
        <v>899</v>
      </c>
      <c r="G67" s="59" t="s">
        <v>305</v>
      </c>
      <c r="H67" s="59" t="s">
        <v>307</v>
      </c>
      <c r="I67" s="59"/>
      <c r="J67" s="71" t="str">
        <f t="array" ref="J67">IFERROR(INDEX(All_User!D:D,MATCH(D67,All_User!H:H,0)),"없음")</f>
        <v>Leslie.kim@stryker.com</v>
      </c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K67" s="71"/>
      <c r="AL67" s="71"/>
      <c r="AM67" s="71"/>
      <c r="AN67" s="71"/>
      <c r="AO67" s="71"/>
      <c r="AP67" s="71"/>
      <c r="AQ67" s="71"/>
      <c r="AR67" s="71"/>
      <c r="AS67" s="71"/>
      <c r="AT67" s="71"/>
      <c r="AU67" s="71"/>
      <c r="AV67" s="71"/>
      <c r="AW67" s="71"/>
      <c r="AX67" s="71"/>
      <c r="AY67" s="71"/>
      <c r="AZ67" s="71"/>
      <c r="BA67" s="71"/>
      <c r="BB67" s="71"/>
      <c r="BC67" s="71"/>
      <c r="BD67" s="71"/>
      <c r="BE67" s="71"/>
      <c r="BF67" s="71"/>
    </row>
    <row r="68" spans="1:58" ht="17">
      <c r="A68" s="65" t="s">
        <v>881</v>
      </c>
      <c r="B68" s="65" t="s">
        <v>882</v>
      </c>
      <c r="C68" s="72"/>
      <c r="D68" s="65" t="s">
        <v>998</v>
      </c>
      <c r="E68" s="85" t="s">
        <v>970</v>
      </c>
      <c r="F68" s="65" t="s">
        <v>884</v>
      </c>
      <c r="G68" s="59" t="s">
        <v>885</v>
      </c>
      <c r="H68" s="58"/>
      <c r="I68" s="92" t="s">
        <v>999</v>
      </c>
      <c r="J68" s="71" t="str">
        <f t="array" ref="J68">IFERROR(INDEX(All_User!D:D,MATCH(D68,All_User!H:H,0)),"없음")</f>
        <v>없음</v>
      </c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71"/>
      <c r="AJ68" s="71"/>
      <c r="AK68" s="71"/>
      <c r="AL68" s="71"/>
      <c r="AM68" s="71"/>
      <c r="AN68" s="71"/>
      <c r="AO68" s="71"/>
      <c r="AP68" s="71"/>
      <c r="AQ68" s="71"/>
      <c r="AR68" s="71"/>
      <c r="AS68" s="71"/>
      <c r="AT68" s="71"/>
      <c r="AU68" s="71"/>
      <c r="AV68" s="71"/>
      <c r="AW68" s="71"/>
      <c r="AX68" s="71"/>
      <c r="AY68" s="71"/>
      <c r="AZ68" s="71"/>
      <c r="BA68" s="71"/>
      <c r="BB68" s="71"/>
      <c r="BC68" s="71"/>
      <c r="BD68" s="71"/>
      <c r="BE68" s="71"/>
      <c r="BF68" s="71"/>
    </row>
    <row r="69" spans="1:58" ht="17">
      <c r="A69" s="65" t="s">
        <v>881</v>
      </c>
      <c r="B69" s="65" t="s">
        <v>882</v>
      </c>
      <c r="C69" s="72"/>
      <c r="D69" s="65" t="s">
        <v>1000</v>
      </c>
      <c r="E69" s="85" t="s">
        <v>970</v>
      </c>
      <c r="F69" s="65" t="s">
        <v>884</v>
      </c>
      <c r="G69" s="59" t="s">
        <v>885</v>
      </c>
      <c r="H69" s="59"/>
      <c r="I69" s="59" t="s">
        <v>975</v>
      </c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71"/>
      <c r="AJ69" s="71"/>
      <c r="AK69" s="71"/>
      <c r="AL69" s="71"/>
      <c r="AM69" s="71"/>
      <c r="AN69" s="71"/>
      <c r="AO69" s="71"/>
      <c r="AP69" s="71"/>
      <c r="AQ69" s="71"/>
      <c r="AR69" s="71"/>
      <c r="AS69" s="71"/>
      <c r="AT69" s="71"/>
      <c r="AU69" s="71"/>
      <c r="AV69" s="71"/>
      <c r="AW69" s="71"/>
      <c r="AX69" s="71"/>
      <c r="AY69" s="71"/>
      <c r="AZ69" s="71"/>
      <c r="BA69" s="71"/>
      <c r="BB69" s="71"/>
      <c r="BC69" s="71"/>
      <c r="BD69" s="71"/>
      <c r="BE69" s="71"/>
      <c r="BF69" s="71"/>
    </row>
    <row r="70" spans="1:58" ht="17">
      <c r="A70" s="65" t="s">
        <v>881</v>
      </c>
      <c r="B70" s="65" t="s">
        <v>882</v>
      </c>
      <c r="C70" s="72"/>
      <c r="D70" s="65" t="s">
        <v>1001</v>
      </c>
      <c r="E70" s="85" t="s">
        <v>970</v>
      </c>
      <c r="F70" s="59" t="s">
        <v>790</v>
      </c>
      <c r="G70" s="59" t="s">
        <v>1002</v>
      </c>
      <c r="H70" s="59" t="s">
        <v>25</v>
      </c>
      <c r="I70" s="59"/>
      <c r="J70" s="71" t="str">
        <f t="array" ref="J70">IFERROR(INDEX(All_User!D:D,MATCH(D70,All_User!H:H,0)),"없음")</f>
        <v>gd.ahn@stryker.com</v>
      </c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71"/>
      <c r="AJ70" s="71"/>
      <c r="AK70" s="71"/>
      <c r="AL70" s="71"/>
      <c r="AM70" s="71"/>
      <c r="AN70" s="71"/>
      <c r="AO70" s="71"/>
      <c r="AP70" s="71"/>
      <c r="AQ70" s="71"/>
      <c r="AR70" s="71"/>
      <c r="AS70" s="71"/>
      <c r="AT70" s="71"/>
      <c r="AU70" s="71"/>
      <c r="AV70" s="71"/>
      <c r="AW70" s="71"/>
      <c r="AX70" s="71"/>
      <c r="AY70" s="71"/>
      <c r="AZ70" s="71"/>
      <c r="BA70" s="71"/>
      <c r="BB70" s="71"/>
      <c r="BC70" s="71"/>
      <c r="BD70" s="71"/>
      <c r="BE70" s="71"/>
      <c r="BF70" s="71"/>
    </row>
    <row r="71" spans="1:58" ht="17">
      <c r="A71" s="65" t="s">
        <v>881</v>
      </c>
      <c r="B71" s="65" t="s">
        <v>882</v>
      </c>
      <c r="C71" s="72"/>
      <c r="D71" s="65" t="s">
        <v>1003</v>
      </c>
      <c r="E71" s="85" t="s">
        <v>970</v>
      </c>
      <c r="F71" s="65" t="s">
        <v>790</v>
      </c>
      <c r="G71" s="59" t="s">
        <v>1004</v>
      </c>
      <c r="H71" s="59" t="s">
        <v>447</v>
      </c>
      <c r="I71" s="59"/>
      <c r="J71" s="71" t="str">
        <f t="array" ref="J71">IFERROR(INDEX(All_User!D:D,MATCH(D71,All_User!H:H,0)),"없음")</f>
        <v>arin.ko@stryker.com</v>
      </c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71"/>
      <c r="AJ71" s="71"/>
      <c r="AK71" s="71"/>
      <c r="AL71" s="71"/>
      <c r="AM71" s="71"/>
      <c r="AN71" s="71"/>
      <c r="AO71" s="71"/>
      <c r="AP71" s="71"/>
      <c r="AQ71" s="71"/>
      <c r="AR71" s="71"/>
      <c r="AS71" s="71"/>
      <c r="AT71" s="71"/>
      <c r="AU71" s="71"/>
      <c r="AV71" s="71"/>
      <c r="AW71" s="71"/>
      <c r="AX71" s="71"/>
      <c r="AY71" s="71"/>
      <c r="AZ71" s="71"/>
      <c r="BA71" s="71"/>
      <c r="BB71" s="71"/>
      <c r="BC71" s="71"/>
      <c r="BD71" s="71"/>
      <c r="BE71" s="71"/>
      <c r="BF71" s="71"/>
    </row>
    <row r="72" spans="1:58" ht="17">
      <c r="A72" s="65" t="s">
        <v>881</v>
      </c>
      <c r="B72" s="65" t="s">
        <v>882</v>
      </c>
      <c r="C72" s="72">
        <v>438728</v>
      </c>
      <c r="D72" s="65" t="s">
        <v>1005</v>
      </c>
      <c r="E72" s="85" t="s">
        <v>970</v>
      </c>
      <c r="F72" s="65" t="s">
        <v>917</v>
      </c>
      <c r="G72" s="59" t="s">
        <v>779</v>
      </c>
      <c r="H72" s="59" t="s">
        <v>1006</v>
      </c>
      <c r="I72" s="59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71"/>
      <c r="AJ72" s="71"/>
      <c r="AK72" s="71"/>
      <c r="AL72" s="71"/>
      <c r="AM72" s="71"/>
      <c r="AN72" s="71"/>
      <c r="AO72" s="71"/>
      <c r="AP72" s="71"/>
      <c r="AQ72" s="71"/>
      <c r="AR72" s="71"/>
      <c r="AS72" s="71"/>
      <c r="AT72" s="71"/>
      <c r="AU72" s="71"/>
      <c r="AV72" s="71"/>
      <c r="AW72" s="71"/>
      <c r="AX72" s="71"/>
      <c r="AY72" s="71"/>
      <c r="AZ72" s="71"/>
      <c r="BA72" s="71"/>
      <c r="BB72" s="71"/>
      <c r="BC72" s="71"/>
      <c r="BD72" s="71"/>
      <c r="BE72" s="71"/>
      <c r="BF72" s="71"/>
    </row>
    <row r="73" spans="1:58" ht="17">
      <c r="A73" s="65" t="s">
        <v>881</v>
      </c>
      <c r="B73" s="65" t="s">
        <v>882</v>
      </c>
      <c r="C73" s="72"/>
      <c r="D73" s="65" t="s">
        <v>1007</v>
      </c>
      <c r="E73" s="85" t="s">
        <v>970</v>
      </c>
      <c r="F73" s="59" t="s">
        <v>790</v>
      </c>
      <c r="G73" s="59" t="s">
        <v>1008</v>
      </c>
      <c r="H73" s="59" t="s">
        <v>188</v>
      </c>
      <c r="J73" s="71" t="str">
        <f t="array" ref="J73">IFERROR(INDEX(All_User!D:D,MATCH(D73,All_User!H:H,0)),"없음")</f>
        <v>ashley.hong@stryker.com</v>
      </c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71"/>
      <c r="AJ73" s="71"/>
      <c r="AK73" s="71"/>
      <c r="AL73" s="71"/>
      <c r="AM73" s="71"/>
      <c r="AN73" s="71"/>
      <c r="AO73" s="71"/>
      <c r="AP73" s="71"/>
      <c r="AQ73" s="71"/>
      <c r="AR73" s="71"/>
      <c r="AS73" s="71"/>
      <c r="AT73" s="71"/>
      <c r="AU73" s="71"/>
      <c r="AV73" s="71"/>
      <c r="AW73" s="71"/>
      <c r="AX73" s="71"/>
      <c r="AY73" s="71"/>
      <c r="AZ73" s="71"/>
      <c r="BA73" s="71"/>
      <c r="BB73" s="71"/>
      <c r="BC73" s="71"/>
      <c r="BD73" s="71"/>
      <c r="BE73" s="71"/>
      <c r="BF73" s="71"/>
    </row>
    <row r="74" spans="1:58" ht="17">
      <c r="A74" s="65" t="s">
        <v>881</v>
      </c>
      <c r="B74" s="65" t="s">
        <v>882</v>
      </c>
      <c r="C74" s="72"/>
      <c r="D74" s="65" t="s">
        <v>1009</v>
      </c>
      <c r="E74" s="85" t="s">
        <v>970</v>
      </c>
      <c r="F74" s="65" t="s">
        <v>790</v>
      </c>
      <c r="G74" s="59" t="s">
        <v>700</v>
      </c>
      <c r="H74" s="59" t="s">
        <v>702</v>
      </c>
      <c r="I74" s="59"/>
      <c r="J74" s="71" t="str">
        <f t="array" ref="J74">IFERROR(INDEX(All_User!D:D,MATCH(D74,All_User!H:H,0)),"없음")</f>
        <v>rosey.song@stryker.com</v>
      </c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71"/>
      <c r="AJ74" s="71"/>
      <c r="AK74" s="71"/>
      <c r="AL74" s="71"/>
      <c r="AM74" s="71"/>
      <c r="AN74" s="71"/>
      <c r="AO74" s="71"/>
      <c r="AP74" s="71"/>
      <c r="AQ74" s="71"/>
      <c r="AR74" s="71"/>
      <c r="AS74" s="71"/>
      <c r="AT74" s="71"/>
      <c r="AU74" s="71"/>
      <c r="AV74" s="71"/>
      <c r="AW74" s="71"/>
      <c r="AX74" s="71"/>
      <c r="AY74" s="71"/>
      <c r="AZ74" s="71"/>
      <c r="BA74" s="71"/>
      <c r="BB74" s="71"/>
      <c r="BC74" s="71"/>
      <c r="BD74" s="71"/>
      <c r="BE74" s="71"/>
      <c r="BF74" s="71"/>
    </row>
    <row r="75" spans="1:58" ht="17">
      <c r="A75" s="65" t="s">
        <v>881</v>
      </c>
      <c r="B75" s="65" t="s">
        <v>882</v>
      </c>
      <c r="C75" s="72"/>
      <c r="D75" s="65" t="s">
        <v>1010</v>
      </c>
      <c r="E75" s="85" t="s">
        <v>970</v>
      </c>
      <c r="F75" s="65" t="s">
        <v>932</v>
      </c>
      <c r="G75" s="59" t="s">
        <v>263</v>
      </c>
      <c r="H75" s="59" t="s">
        <v>265</v>
      </c>
      <c r="I75" s="59"/>
      <c r="J75" s="71" t="str">
        <f t="array" ref="J75">IFERROR(INDEX(All_User!D:D,MATCH(D75,All_User!H:H,0)),"없음")</f>
        <v>scott.jo@stryker.com</v>
      </c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71"/>
      <c r="AJ75" s="71"/>
      <c r="AK75" s="71"/>
      <c r="AL75" s="71"/>
      <c r="AM75" s="71"/>
      <c r="AN75" s="71"/>
      <c r="AO75" s="71"/>
      <c r="AP75" s="71"/>
      <c r="AQ75" s="71"/>
      <c r="AR75" s="71"/>
      <c r="AS75" s="71"/>
      <c r="AT75" s="71"/>
      <c r="AU75" s="71"/>
      <c r="AV75" s="71"/>
      <c r="AW75" s="71"/>
      <c r="AX75" s="71"/>
      <c r="AY75" s="71"/>
      <c r="AZ75" s="71"/>
      <c r="BA75" s="71"/>
      <c r="BB75" s="71"/>
      <c r="BC75" s="71"/>
      <c r="BD75" s="71"/>
      <c r="BE75" s="71"/>
      <c r="BF75" s="71"/>
    </row>
    <row r="76" spans="1:58" ht="17">
      <c r="A76" s="65" t="s">
        <v>881</v>
      </c>
      <c r="B76" s="65" t="s">
        <v>882</v>
      </c>
      <c r="C76" s="72"/>
      <c r="D76" s="65" t="s">
        <v>1011</v>
      </c>
      <c r="E76" s="85" t="s">
        <v>970</v>
      </c>
      <c r="F76" s="65" t="s">
        <v>955</v>
      </c>
      <c r="G76" s="59" t="s">
        <v>1012</v>
      </c>
      <c r="H76" s="59" t="s">
        <v>512</v>
      </c>
      <c r="I76" s="59"/>
      <c r="J76" s="71" t="str">
        <f t="array" ref="J76">IFERROR(INDEX(All_User!D:D,MATCH(D76,All_User!H:H,0)),"없음")</f>
        <v>kylie.leem@stryker.com</v>
      </c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71"/>
      <c r="AJ76" s="71"/>
      <c r="AK76" s="71"/>
      <c r="AL76" s="71"/>
      <c r="AM76" s="71"/>
      <c r="AN76" s="71"/>
      <c r="AO76" s="71"/>
      <c r="AP76" s="71"/>
      <c r="AQ76" s="71"/>
      <c r="AR76" s="71"/>
      <c r="AS76" s="71"/>
      <c r="AT76" s="71"/>
      <c r="AU76" s="71"/>
      <c r="AV76" s="71"/>
      <c r="AW76" s="71"/>
      <c r="AX76" s="71"/>
      <c r="AY76" s="71"/>
      <c r="AZ76" s="71"/>
      <c r="BA76" s="71"/>
      <c r="BB76" s="71"/>
      <c r="BC76" s="71"/>
      <c r="BD76" s="71"/>
      <c r="BE76" s="71"/>
      <c r="BF76" s="71"/>
    </row>
    <row r="77" spans="1:58" ht="17">
      <c r="A77" s="65" t="s">
        <v>881</v>
      </c>
      <c r="B77" s="65" t="s">
        <v>882</v>
      </c>
      <c r="C77" s="72"/>
      <c r="D77" s="65" t="s">
        <v>1013</v>
      </c>
      <c r="E77" s="85" t="s">
        <v>970</v>
      </c>
      <c r="F77" s="65" t="s">
        <v>884</v>
      </c>
      <c r="G77" s="59" t="s">
        <v>885</v>
      </c>
      <c r="H77" s="59"/>
      <c r="I77" s="59" t="s">
        <v>1014</v>
      </c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71"/>
      <c r="AJ77" s="71"/>
      <c r="AK77" s="71"/>
      <c r="AL77" s="71"/>
      <c r="AM77" s="71"/>
      <c r="AN77" s="71"/>
      <c r="AO77" s="71"/>
      <c r="AP77" s="71"/>
      <c r="AQ77" s="71"/>
      <c r="AR77" s="71"/>
      <c r="AS77" s="71"/>
      <c r="AT77" s="71"/>
      <c r="AU77" s="71"/>
      <c r="AV77" s="71"/>
      <c r="AW77" s="71"/>
      <c r="AX77" s="71"/>
      <c r="AY77" s="71"/>
      <c r="AZ77" s="71"/>
      <c r="BA77" s="71"/>
      <c r="BB77" s="71"/>
      <c r="BC77" s="71"/>
      <c r="BD77" s="71"/>
      <c r="BE77" s="71"/>
      <c r="BF77" s="71"/>
    </row>
    <row r="78" spans="1:58" ht="17">
      <c r="A78" s="65" t="s">
        <v>881</v>
      </c>
      <c r="B78" s="51" t="s">
        <v>882</v>
      </c>
      <c r="C78" s="77">
        <v>445036</v>
      </c>
      <c r="D78" s="65" t="s">
        <v>1015</v>
      </c>
      <c r="E78" s="90" t="s">
        <v>1016</v>
      </c>
      <c r="F78" s="65" t="s">
        <v>884</v>
      </c>
      <c r="G78" s="59" t="s">
        <v>885</v>
      </c>
      <c r="H78" s="59"/>
      <c r="I78" s="92" t="s">
        <v>999</v>
      </c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71"/>
      <c r="AJ78" s="71"/>
      <c r="AK78" s="71"/>
      <c r="AL78" s="71"/>
      <c r="AM78" s="71"/>
      <c r="AN78" s="71"/>
      <c r="AO78" s="71"/>
      <c r="AP78" s="71"/>
      <c r="AQ78" s="71"/>
      <c r="AR78" s="71"/>
      <c r="AS78" s="71"/>
      <c r="AT78" s="71"/>
      <c r="AU78" s="71"/>
      <c r="AV78" s="71"/>
      <c r="AW78" s="71"/>
      <c r="AX78" s="71"/>
      <c r="AY78" s="71"/>
      <c r="AZ78" s="71"/>
      <c r="BA78" s="71"/>
      <c r="BB78" s="71"/>
      <c r="BC78" s="71"/>
      <c r="BD78" s="71"/>
      <c r="BE78" s="71"/>
      <c r="BF78" s="71"/>
    </row>
    <row r="79" spans="1:58" ht="17">
      <c r="A79" s="65" t="s">
        <v>881</v>
      </c>
      <c r="B79" s="65" t="s">
        <v>882</v>
      </c>
      <c r="C79" s="72"/>
      <c r="D79" s="65" t="s">
        <v>1017</v>
      </c>
      <c r="E79" s="85" t="s">
        <v>1016</v>
      </c>
      <c r="F79" s="65" t="s">
        <v>790</v>
      </c>
      <c r="G79" s="59" t="s">
        <v>374</v>
      </c>
      <c r="H79" s="59" t="s">
        <v>376</v>
      </c>
      <c r="I79" s="59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71"/>
      <c r="AJ79" s="71"/>
      <c r="AK79" s="71"/>
      <c r="AL79" s="71"/>
      <c r="AM79" s="71"/>
      <c r="AN79" s="71"/>
      <c r="AO79" s="71"/>
      <c r="AP79" s="71"/>
      <c r="AQ79" s="71"/>
      <c r="AR79" s="71"/>
      <c r="AS79" s="71"/>
      <c r="AT79" s="71"/>
      <c r="AU79" s="71"/>
      <c r="AV79" s="71"/>
      <c r="AW79" s="71"/>
      <c r="AX79" s="71"/>
      <c r="AY79" s="71"/>
      <c r="AZ79" s="71"/>
      <c r="BA79" s="71"/>
      <c r="BB79" s="71"/>
      <c r="BC79" s="71"/>
      <c r="BD79" s="71"/>
      <c r="BE79" s="71"/>
      <c r="BF79" s="71"/>
    </row>
    <row r="80" spans="1:58" ht="17">
      <c r="A80" s="65" t="s">
        <v>881</v>
      </c>
      <c r="B80" s="65" t="s">
        <v>882</v>
      </c>
      <c r="C80" s="72"/>
      <c r="D80" s="65" t="s">
        <v>1018</v>
      </c>
      <c r="E80" s="85" t="s">
        <v>1016</v>
      </c>
      <c r="F80" s="65" t="s">
        <v>932</v>
      </c>
      <c r="G80" s="59" t="s">
        <v>748</v>
      </c>
      <c r="H80" s="59" t="s">
        <v>750</v>
      </c>
      <c r="I80" s="89" t="s">
        <v>1019</v>
      </c>
      <c r="J80" s="71" t="str">
        <f t="array" ref="J80">IFERROR(INDEX(All_User!D:D,MATCH(D80,All_User!H:H,0)),"없음")</f>
        <v>ayaan.yoon@stryker.com</v>
      </c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71"/>
      <c r="AJ80" s="71"/>
      <c r="AK80" s="71"/>
      <c r="AL80" s="71"/>
      <c r="AM80" s="71"/>
      <c r="AN80" s="71"/>
      <c r="AO80" s="71"/>
      <c r="AP80" s="71"/>
      <c r="AQ80" s="71"/>
      <c r="AR80" s="71"/>
      <c r="AS80" s="71"/>
      <c r="AT80" s="71"/>
      <c r="AU80" s="71"/>
      <c r="AV80" s="71"/>
      <c r="AW80" s="71"/>
      <c r="AX80" s="71"/>
      <c r="AY80" s="71"/>
      <c r="AZ80" s="71"/>
      <c r="BA80" s="71"/>
      <c r="BB80" s="71"/>
      <c r="BC80" s="71"/>
      <c r="BD80" s="71"/>
      <c r="BE80" s="71"/>
      <c r="BF80" s="71"/>
    </row>
    <row r="81" spans="1:58" ht="17">
      <c r="A81" s="65" t="s">
        <v>881</v>
      </c>
      <c r="B81" s="65" t="s">
        <v>882</v>
      </c>
      <c r="C81" s="72"/>
      <c r="D81" s="65" t="s">
        <v>1020</v>
      </c>
      <c r="E81" s="85" t="s">
        <v>1016</v>
      </c>
      <c r="F81" s="65" t="s">
        <v>1021</v>
      </c>
      <c r="G81" s="59" t="s">
        <v>1022</v>
      </c>
      <c r="H81" s="79" t="s">
        <v>747</v>
      </c>
      <c r="I81" s="89"/>
      <c r="J81" s="71" t="str">
        <f t="array" ref="J81">IFERROR(INDEX(All_User!D:D,MATCH(D81,All_User!H:H,0)),"없음")</f>
        <v>bella.yoon@stryker.com</v>
      </c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71"/>
      <c r="AJ81" s="71"/>
      <c r="AK81" s="71"/>
      <c r="AL81" s="71"/>
      <c r="AM81" s="71"/>
      <c r="AN81" s="71"/>
      <c r="AO81" s="71"/>
      <c r="AP81" s="71"/>
      <c r="AQ81" s="71"/>
      <c r="AR81" s="71"/>
      <c r="AS81" s="71"/>
      <c r="AT81" s="71"/>
      <c r="AU81" s="71"/>
      <c r="AV81" s="71"/>
      <c r="AW81" s="71"/>
      <c r="AX81" s="71"/>
      <c r="AY81" s="71"/>
      <c r="AZ81" s="71"/>
      <c r="BA81" s="71"/>
      <c r="BB81" s="71"/>
      <c r="BC81" s="71"/>
      <c r="BD81" s="71"/>
      <c r="BE81" s="71"/>
      <c r="BF81" s="71"/>
    </row>
    <row r="82" spans="1:58" ht="17">
      <c r="A82" s="65" t="s">
        <v>881</v>
      </c>
      <c r="B82" s="65" t="s">
        <v>882</v>
      </c>
      <c r="C82" s="72">
        <v>445026</v>
      </c>
      <c r="D82" s="65" t="s">
        <v>1023</v>
      </c>
      <c r="E82" s="85" t="s">
        <v>1016</v>
      </c>
      <c r="F82" s="65" t="s">
        <v>309</v>
      </c>
      <c r="G82" s="59" t="s">
        <v>855</v>
      </c>
      <c r="H82" s="79" t="s">
        <v>1024</v>
      </c>
      <c r="I82" s="59" t="s">
        <v>1025</v>
      </c>
      <c r="J82" s="71" t="str">
        <f t="array" ref="J82">IFERROR(INDEX(All_User!D:D,MATCH(D82,All_User!H:H,0)),"없음")</f>
        <v>sazy.park@stryker.com</v>
      </c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71"/>
      <c r="AJ82" s="71"/>
      <c r="AK82" s="71"/>
      <c r="AL82" s="71"/>
      <c r="AM82" s="71"/>
      <c r="AN82" s="71"/>
      <c r="AO82" s="71"/>
      <c r="AP82" s="71"/>
      <c r="AQ82" s="71"/>
      <c r="AR82" s="71"/>
      <c r="AS82" s="71"/>
      <c r="AT82" s="71"/>
      <c r="AU82" s="71"/>
      <c r="AV82" s="71"/>
      <c r="AW82" s="71"/>
      <c r="AX82" s="71"/>
      <c r="AY82" s="71"/>
      <c r="AZ82" s="71"/>
      <c r="BA82" s="71"/>
      <c r="BB82" s="71"/>
      <c r="BC82" s="71"/>
      <c r="BD82" s="71"/>
      <c r="BE82" s="71"/>
      <c r="BF82" s="71"/>
    </row>
    <row r="83" spans="1:58" ht="17">
      <c r="A83" s="65" t="s">
        <v>881</v>
      </c>
      <c r="B83" s="65" t="s">
        <v>882</v>
      </c>
      <c r="C83" s="72"/>
      <c r="D83" s="65" t="s">
        <v>1026</v>
      </c>
      <c r="E83" s="85" t="s">
        <v>1016</v>
      </c>
      <c r="F83" s="65" t="s">
        <v>1027</v>
      </c>
      <c r="G83" s="59" t="s">
        <v>594</v>
      </c>
      <c r="H83" s="59" t="s">
        <v>596</v>
      </c>
      <c r="I83" s="89" t="s">
        <v>1028</v>
      </c>
      <c r="J83" s="71" t="str">
        <f t="array" ref="J83">IFERROR(INDEX(All_User!D:D,MATCH(D83,All_User!H:H,0)),"없음")</f>
        <v>michelle.park@stryker.com</v>
      </c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71"/>
      <c r="AK83" s="71"/>
      <c r="AL83" s="71"/>
      <c r="AM83" s="71"/>
      <c r="AN83" s="71"/>
      <c r="AO83" s="71"/>
      <c r="AP83" s="71"/>
      <c r="AQ83" s="71"/>
      <c r="AR83" s="71"/>
      <c r="AS83" s="71"/>
      <c r="AT83" s="71"/>
      <c r="AU83" s="71"/>
      <c r="AV83" s="71"/>
      <c r="AW83" s="71"/>
      <c r="AX83" s="71"/>
      <c r="AY83" s="71"/>
      <c r="AZ83" s="71"/>
      <c r="BA83" s="71"/>
      <c r="BB83" s="71"/>
      <c r="BC83" s="71"/>
      <c r="BD83" s="71"/>
      <c r="BE83" s="71"/>
      <c r="BF83" s="71"/>
    </row>
    <row r="84" spans="1:58" ht="17">
      <c r="A84" s="65" t="s">
        <v>881</v>
      </c>
      <c r="B84" s="65" t="s">
        <v>882</v>
      </c>
      <c r="C84" s="72"/>
      <c r="D84" s="65" t="s">
        <v>1029</v>
      </c>
      <c r="E84" s="85" t="s">
        <v>1016</v>
      </c>
      <c r="F84" s="65" t="s">
        <v>102</v>
      </c>
      <c r="G84" s="59" t="s">
        <v>360</v>
      </c>
      <c r="H84" s="59" t="s">
        <v>362</v>
      </c>
      <c r="I84" s="89" t="s">
        <v>1028</v>
      </c>
      <c r="J84" s="71" t="str">
        <f t="array" ref="J84">IFERROR(INDEX(All_User!D:D,MATCH(D84,All_User!H:H,0)),"없음")</f>
        <v>william.kim1@stryker.com</v>
      </c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71"/>
      <c r="AJ84" s="71"/>
      <c r="AK84" s="71"/>
      <c r="AL84" s="71"/>
      <c r="AM84" s="71"/>
      <c r="AN84" s="71"/>
      <c r="AO84" s="71"/>
      <c r="AP84" s="71"/>
      <c r="AQ84" s="71"/>
      <c r="AR84" s="71"/>
      <c r="AS84" s="71"/>
      <c r="AT84" s="71"/>
      <c r="AU84" s="71"/>
      <c r="AV84" s="71"/>
      <c r="AW84" s="71"/>
      <c r="AX84" s="71"/>
      <c r="AY84" s="71"/>
      <c r="AZ84" s="71"/>
      <c r="BA84" s="71"/>
      <c r="BB84" s="71"/>
      <c r="BC84" s="71"/>
      <c r="BD84" s="71"/>
      <c r="BE84" s="71"/>
      <c r="BF84" s="71"/>
    </row>
    <row r="85" spans="1:58" ht="17">
      <c r="A85" s="65" t="s">
        <v>881</v>
      </c>
      <c r="B85" s="65" t="s">
        <v>882</v>
      </c>
      <c r="C85" s="72"/>
      <c r="D85" s="65" t="s">
        <v>1030</v>
      </c>
      <c r="E85" s="85" t="s">
        <v>1016</v>
      </c>
      <c r="F85" s="65" t="s">
        <v>1031</v>
      </c>
      <c r="G85" s="59" t="s">
        <v>1032</v>
      </c>
      <c r="H85" s="79" t="s">
        <v>1033</v>
      </c>
      <c r="I85" s="89" t="s">
        <v>1034</v>
      </c>
      <c r="J85" s="71" t="str">
        <f t="array" ref="J85">IFERROR(INDEX(All_User!D:D,MATCH(D85,All_User!H:H,0)),"없음")</f>
        <v>seohyun.jung@stryker.com</v>
      </c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71"/>
      <c r="AJ85" s="71"/>
      <c r="AK85" s="71"/>
      <c r="AL85" s="71"/>
      <c r="AM85" s="71"/>
      <c r="AN85" s="71"/>
      <c r="AO85" s="71"/>
      <c r="AP85" s="71"/>
      <c r="AQ85" s="71"/>
      <c r="AR85" s="71"/>
      <c r="AS85" s="71"/>
      <c r="AT85" s="71"/>
      <c r="AU85" s="71"/>
      <c r="AV85" s="71"/>
      <c r="AW85" s="71"/>
      <c r="AX85" s="71"/>
      <c r="AY85" s="71"/>
      <c r="AZ85" s="71"/>
      <c r="BA85" s="71"/>
      <c r="BB85" s="71"/>
      <c r="BC85" s="71"/>
      <c r="BD85" s="71"/>
      <c r="BE85" s="71"/>
      <c r="BF85" s="71"/>
    </row>
    <row r="86" spans="1:58" ht="17">
      <c r="A86" s="65" t="s">
        <v>881</v>
      </c>
      <c r="B86" s="65" t="s">
        <v>882</v>
      </c>
      <c r="C86" s="72"/>
      <c r="D86" s="65" t="s">
        <v>1035</v>
      </c>
      <c r="E86" s="85" t="s">
        <v>1016</v>
      </c>
      <c r="F86" s="65" t="s">
        <v>932</v>
      </c>
      <c r="G86" s="59" t="s">
        <v>1036</v>
      </c>
      <c r="H86" s="59" t="s">
        <v>73</v>
      </c>
      <c r="I86" s="59"/>
      <c r="J86" s="71" t="str">
        <f t="array" ref="J86">IFERROR(INDEX(All_User!D:D,MATCH(D86,All_User!H:H,0)),"없음")</f>
        <v>sunghoon.bang@stryker.com</v>
      </c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71"/>
      <c r="AJ86" s="71"/>
      <c r="AK86" s="71"/>
      <c r="AL86" s="71"/>
      <c r="AM86" s="71"/>
      <c r="AN86" s="71"/>
      <c r="AO86" s="71"/>
      <c r="AP86" s="71"/>
      <c r="AQ86" s="71"/>
      <c r="AR86" s="71"/>
      <c r="AS86" s="71"/>
      <c r="AT86" s="71"/>
      <c r="AU86" s="71"/>
      <c r="AV86" s="71"/>
      <c r="AW86" s="71"/>
      <c r="AX86" s="71"/>
      <c r="AY86" s="71"/>
      <c r="AZ86" s="71"/>
      <c r="BA86" s="71"/>
      <c r="BB86" s="71"/>
      <c r="BC86" s="71"/>
      <c r="BD86" s="71"/>
      <c r="BE86" s="71"/>
      <c r="BF86" s="71"/>
    </row>
    <row r="87" spans="1:58" ht="17">
      <c r="A87" s="65" t="s">
        <v>881</v>
      </c>
      <c r="B87" s="65" t="s">
        <v>882</v>
      </c>
      <c r="C87" s="72">
        <v>445046</v>
      </c>
      <c r="D87" s="65" t="s">
        <v>1037</v>
      </c>
      <c r="E87" s="85" t="s">
        <v>1016</v>
      </c>
      <c r="F87" s="65" t="s">
        <v>917</v>
      </c>
      <c r="G87" s="59" t="s">
        <v>779</v>
      </c>
      <c r="H87" s="58" t="s">
        <v>780</v>
      </c>
      <c r="I87" s="59"/>
      <c r="J87" s="71" t="str">
        <f t="array" ref="J87">IFERROR(INDEX(All_User!D:D,MATCH(D87,All_User!H:H,0)),"없음")</f>
        <v>yongma02(깡통)</v>
      </c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71"/>
      <c r="AJ87" s="71"/>
      <c r="AK87" s="71"/>
      <c r="AL87" s="71"/>
      <c r="AM87" s="71"/>
      <c r="AN87" s="71"/>
      <c r="AO87" s="71"/>
      <c r="AP87" s="71"/>
      <c r="AQ87" s="71"/>
      <c r="AR87" s="71"/>
      <c r="AS87" s="71"/>
      <c r="AT87" s="71"/>
      <c r="AU87" s="71"/>
      <c r="AV87" s="71"/>
      <c r="AW87" s="71"/>
      <c r="AX87" s="71"/>
      <c r="AY87" s="71"/>
      <c r="AZ87" s="71"/>
      <c r="BA87" s="71"/>
      <c r="BB87" s="71"/>
      <c r="BC87" s="71"/>
      <c r="BD87" s="71"/>
      <c r="BE87" s="71"/>
      <c r="BF87" s="71"/>
    </row>
    <row r="88" spans="1:58" ht="17">
      <c r="A88" s="65" t="s">
        <v>881</v>
      </c>
      <c r="B88" s="51" t="s">
        <v>882</v>
      </c>
      <c r="C88" s="77"/>
      <c r="D88" s="65" t="s">
        <v>1038</v>
      </c>
      <c r="E88" s="90" t="s">
        <v>1016</v>
      </c>
      <c r="F88" s="51" t="s">
        <v>899</v>
      </c>
      <c r="G88" s="58" t="s">
        <v>733</v>
      </c>
      <c r="H88" s="58" t="s">
        <v>735</v>
      </c>
      <c r="I88" s="59"/>
      <c r="J88" s="71" t="str">
        <f t="array" ref="J88">IFERROR(INDEX(All_User!D:D,MATCH(D88,All_User!H:H,0)),"없음")</f>
        <v>jiwon.yoo@stryker.com</v>
      </c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71"/>
      <c r="AJ88" s="71"/>
      <c r="AK88" s="71"/>
      <c r="AL88" s="71"/>
      <c r="AM88" s="71"/>
      <c r="AN88" s="71"/>
      <c r="AO88" s="71"/>
      <c r="AP88" s="71"/>
      <c r="AQ88" s="71"/>
      <c r="AR88" s="71"/>
      <c r="AS88" s="71"/>
      <c r="AT88" s="71"/>
      <c r="AU88" s="71"/>
      <c r="AV88" s="71"/>
      <c r="AW88" s="71"/>
      <c r="AX88" s="71"/>
      <c r="AY88" s="71"/>
      <c r="AZ88" s="71"/>
      <c r="BA88" s="71"/>
      <c r="BB88" s="71"/>
      <c r="BC88" s="71"/>
      <c r="BD88" s="71"/>
      <c r="BE88" s="71"/>
      <c r="BF88" s="71"/>
    </row>
    <row r="89" spans="1:58" ht="17">
      <c r="A89" s="65" t="s">
        <v>881</v>
      </c>
      <c r="B89" s="65" t="s">
        <v>882</v>
      </c>
      <c r="C89" s="72"/>
      <c r="D89" s="65" t="s">
        <v>1039</v>
      </c>
      <c r="E89" s="85" t="s">
        <v>1016</v>
      </c>
      <c r="F89" s="65" t="s">
        <v>909</v>
      </c>
      <c r="G89" s="59" t="s">
        <v>1040</v>
      </c>
      <c r="H89" s="59" t="s">
        <v>504</v>
      </c>
      <c r="I89" s="59"/>
      <c r="J89" s="71" t="str">
        <f t="array" ref="J89">IFERROR(INDEX(All_User!D:D,MATCH(D89,All_User!H:H,0)),"없음")</f>
        <v>suhan.lee@stryker.com</v>
      </c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71"/>
      <c r="AJ89" s="71"/>
      <c r="AK89" s="71"/>
      <c r="AL89" s="71"/>
      <c r="AM89" s="71"/>
      <c r="AN89" s="71"/>
      <c r="AO89" s="71"/>
      <c r="AP89" s="71"/>
      <c r="AQ89" s="71"/>
      <c r="AR89" s="71"/>
      <c r="AS89" s="71"/>
      <c r="AT89" s="71"/>
      <c r="AU89" s="71"/>
      <c r="AV89" s="71"/>
      <c r="AW89" s="71"/>
      <c r="AX89" s="71"/>
      <c r="AY89" s="71"/>
      <c r="AZ89" s="71"/>
      <c r="BA89" s="71"/>
      <c r="BB89" s="71"/>
      <c r="BC89" s="71"/>
      <c r="BD89" s="71"/>
      <c r="BE89" s="71"/>
      <c r="BF89" s="71"/>
    </row>
    <row r="90" spans="1:58" ht="17">
      <c r="A90" s="65" t="s">
        <v>881</v>
      </c>
      <c r="B90" s="65" t="s">
        <v>882</v>
      </c>
      <c r="C90" s="72"/>
      <c r="D90" s="65" t="s">
        <v>1041</v>
      </c>
      <c r="E90" s="85" t="s">
        <v>1016</v>
      </c>
      <c r="F90" s="65" t="s">
        <v>829</v>
      </c>
      <c r="G90" s="59" t="s">
        <v>494</v>
      </c>
      <c r="H90" s="59" t="s">
        <v>496</v>
      </c>
      <c r="I90" s="89"/>
      <c r="J90" s="71" t="str">
        <f t="array" ref="J90">IFERROR(INDEX(All_User!D:D,MATCH(D90,All_User!H:H,0)),"없음")</f>
        <v>eunji.lee@stryker.com</v>
      </c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71"/>
      <c r="AJ90" s="71"/>
      <c r="AK90" s="71"/>
      <c r="AL90" s="71"/>
      <c r="AM90" s="71"/>
      <c r="AN90" s="71"/>
      <c r="AO90" s="71"/>
      <c r="AP90" s="71"/>
      <c r="AQ90" s="71"/>
      <c r="AR90" s="71"/>
      <c r="AS90" s="71"/>
      <c r="AT90" s="71"/>
      <c r="AU90" s="71"/>
      <c r="AV90" s="71"/>
      <c r="AW90" s="71"/>
      <c r="AX90" s="71"/>
      <c r="AY90" s="71"/>
      <c r="AZ90" s="71"/>
      <c r="BA90" s="71"/>
      <c r="BB90" s="71"/>
      <c r="BC90" s="71"/>
      <c r="BD90" s="71"/>
      <c r="BE90" s="71"/>
      <c r="BF90" s="71"/>
    </row>
    <row r="91" spans="1:58" ht="17">
      <c r="A91" s="65" t="s">
        <v>881</v>
      </c>
      <c r="B91" s="51" t="s">
        <v>882</v>
      </c>
      <c r="C91" s="77"/>
      <c r="D91" s="65" t="s">
        <v>1042</v>
      </c>
      <c r="E91" s="90" t="s">
        <v>1016</v>
      </c>
      <c r="F91" s="51" t="s">
        <v>541</v>
      </c>
      <c r="G91" s="58" t="s">
        <v>1043</v>
      </c>
      <c r="H91" s="58" t="s">
        <v>677</v>
      </c>
      <c r="I91" s="80"/>
      <c r="J91" s="71" t="str">
        <f t="array" ref="J91">IFERROR(INDEX(All_User!D:D,MATCH(D91,All_User!H:H,0)),"없음")</f>
        <v>amy.son@stryker.com</v>
      </c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71"/>
      <c r="AJ91" s="71"/>
      <c r="AK91" s="71"/>
      <c r="AL91" s="71"/>
      <c r="AM91" s="71"/>
      <c r="AN91" s="71"/>
      <c r="AO91" s="71"/>
      <c r="AP91" s="71"/>
      <c r="AQ91" s="71"/>
      <c r="AR91" s="71"/>
      <c r="AS91" s="71"/>
      <c r="AT91" s="71"/>
      <c r="AU91" s="71"/>
      <c r="AV91" s="71"/>
      <c r="AW91" s="71"/>
      <c r="AX91" s="71"/>
      <c r="AY91" s="71"/>
      <c r="AZ91" s="71"/>
      <c r="BA91" s="71"/>
      <c r="BB91" s="71"/>
      <c r="BC91" s="71"/>
      <c r="BD91" s="71"/>
      <c r="BE91" s="71"/>
      <c r="BF91" s="71"/>
    </row>
    <row r="92" spans="1:58" ht="17">
      <c r="A92" s="65" t="s">
        <v>881</v>
      </c>
      <c r="B92" s="65" t="s">
        <v>882</v>
      </c>
      <c r="C92" s="93">
        <v>445043</v>
      </c>
      <c r="D92" s="65" t="s">
        <v>1044</v>
      </c>
      <c r="E92" s="85" t="s">
        <v>1016</v>
      </c>
      <c r="F92" s="65" t="s">
        <v>884</v>
      </c>
      <c r="G92" s="59" t="s">
        <v>782</v>
      </c>
      <c r="H92" s="59" t="s">
        <v>783</v>
      </c>
      <c r="I92" s="65"/>
      <c r="J92" s="71" t="str">
        <f t="array" ref="J92">IFERROR(INDEX(All_User!D:D,MATCH(D92,All_User!H:H,0)),"없음")</f>
        <v>daniel.han@stryker.com</v>
      </c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71"/>
      <c r="AJ92" s="71"/>
      <c r="AK92" s="71"/>
      <c r="AL92" s="71"/>
      <c r="AM92" s="71"/>
      <c r="AN92" s="71"/>
      <c r="AO92" s="71"/>
      <c r="AP92" s="71"/>
      <c r="AQ92" s="71"/>
      <c r="AR92" s="71"/>
      <c r="AS92" s="71"/>
      <c r="AT92" s="71"/>
      <c r="AU92" s="71"/>
      <c r="AV92" s="71"/>
      <c r="AW92" s="71"/>
      <c r="AX92" s="71"/>
      <c r="AY92" s="71"/>
      <c r="AZ92" s="71"/>
      <c r="BA92" s="71"/>
      <c r="BB92" s="71"/>
      <c r="BC92" s="71"/>
      <c r="BD92" s="71"/>
      <c r="BE92" s="71"/>
      <c r="BF92" s="71"/>
    </row>
    <row r="93" spans="1:58" ht="17">
      <c r="A93" s="65" t="s">
        <v>881</v>
      </c>
      <c r="B93" s="51" t="s">
        <v>882</v>
      </c>
      <c r="C93" s="77"/>
      <c r="D93" s="65" t="s">
        <v>1045</v>
      </c>
      <c r="E93" s="90" t="s">
        <v>1016</v>
      </c>
      <c r="F93" s="51" t="s">
        <v>921</v>
      </c>
      <c r="G93" s="58" t="s">
        <v>1046</v>
      </c>
      <c r="H93" s="58" t="s">
        <v>524</v>
      </c>
      <c r="I93" s="80"/>
      <c r="J93" s="71" t="str">
        <f t="array" ref="J93">IFERROR(INDEX(All_User!D:D,MATCH(D93,All_User!H:H,0)),"없음")</f>
        <v>serene.ma@stryker.com</v>
      </c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71"/>
      <c r="AJ93" s="71"/>
      <c r="AK93" s="71"/>
      <c r="AL93" s="71"/>
      <c r="AM93" s="71"/>
      <c r="AN93" s="71"/>
      <c r="AO93" s="71"/>
      <c r="AP93" s="71"/>
      <c r="AQ93" s="71"/>
      <c r="AR93" s="71"/>
      <c r="AS93" s="71"/>
      <c r="AT93" s="71"/>
      <c r="AU93" s="71"/>
      <c r="AV93" s="71"/>
      <c r="AW93" s="71"/>
      <c r="AX93" s="71"/>
      <c r="AY93" s="71"/>
      <c r="AZ93" s="71"/>
      <c r="BA93" s="71"/>
      <c r="BB93" s="71"/>
      <c r="BC93" s="71"/>
      <c r="BD93" s="71"/>
      <c r="BE93" s="71"/>
      <c r="BF93" s="71"/>
    </row>
    <row r="94" spans="1:58" ht="17">
      <c r="A94" s="65" t="s">
        <v>881</v>
      </c>
      <c r="B94" s="65" t="s">
        <v>882</v>
      </c>
      <c r="C94" s="72"/>
      <c r="D94" s="65" t="s">
        <v>1047</v>
      </c>
      <c r="E94" s="85" t="s">
        <v>1016</v>
      </c>
      <c r="F94" s="65" t="s">
        <v>790</v>
      </c>
      <c r="G94" s="59" t="s">
        <v>1048</v>
      </c>
      <c r="H94" s="59" t="s">
        <v>379</v>
      </c>
      <c r="I94" s="89"/>
      <c r="J94" s="71" t="str">
        <f t="array" ref="J94">IFERROR(INDEX(All_User!D:D,MATCH(D94,All_User!H:H,0)),"없음")</f>
        <v>dongkyu.kim@stryker.com</v>
      </c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71"/>
      <c r="AJ94" s="71"/>
      <c r="AK94" s="71"/>
      <c r="AL94" s="71"/>
      <c r="AM94" s="71"/>
      <c r="AN94" s="71"/>
      <c r="AO94" s="71"/>
      <c r="AP94" s="71"/>
      <c r="AQ94" s="71"/>
      <c r="AR94" s="71"/>
      <c r="AS94" s="71"/>
      <c r="AT94" s="71"/>
      <c r="AU94" s="71"/>
      <c r="AV94" s="71"/>
      <c r="AW94" s="71"/>
      <c r="AX94" s="71"/>
      <c r="AY94" s="71"/>
      <c r="AZ94" s="71"/>
      <c r="BA94" s="71"/>
      <c r="BB94" s="71"/>
      <c r="BC94" s="71"/>
      <c r="BD94" s="71"/>
      <c r="BE94" s="71"/>
      <c r="BF94" s="71"/>
    </row>
    <row r="95" spans="1:58" ht="17">
      <c r="A95" s="65" t="s">
        <v>881</v>
      </c>
      <c r="B95" s="65" t="s">
        <v>882</v>
      </c>
      <c r="C95" s="72"/>
      <c r="D95" s="65" t="s">
        <v>1049</v>
      </c>
      <c r="E95" s="85" t="s">
        <v>1016</v>
      </c>
      <c r="F95" s="40" t="s">
        <v>909</v>
      </c>
      <c r="G95" s="59" t="s">
        <v>784</v>
      </c>
      <c r="H95" s="59" t="s">
        <v>785</v>
      </c>
      <c r="I95" s="94" t="s">
        <v>1050</v>
      </c>
      <c r="J95" s="71" t="str">
        <f t="array" ref="J95">IFERROR(INDEX(All_User!D:D,MATCH(D95,All_User!H:H,0)),"없음")</f>
        <v>ts.korea@stryker.com</v>
      </c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71"/>
      <c r="AJ95" s="71"/>
      <c r="AK95" s="71"/>
      <c r="AL95" s="71"/>
      <c r="AM95" s="71"/>
      <c r="AN95" s="71"/>
      <c r="AO95" s="71"/>
      <c r="AP95" s="71"/>
      <c r="AQ95" s="71"/>
      <c r="AR95" s="71"/>
      <c r="AS95" s="71"/>
      <c r="AT95" s="71"/>
      <c r="AU95" s="71"/>
      <c r="AV95" s="71"/>
      <c r="AW95" s="71"/>
      <c r="AX95" s="71"/>
      <c r="AY95" s="71"/>
      <c r="AZ95" s="71"/>
      <c r="BA95" s="71"/>
      <c r="BB95" s="71"/>
      <c r="BC95" s="71"/>
      <c r="BD95" s="71"/>
      <c r="BE95" s="71"/>
      <c r="BF95" s="71"/>
    </row>
    <row r="96" spans="1:58" ht="17">
      <c r="A96" s="65" t="s">
        <v>881</v>
      </c>
      <c r="B96" s="65" t="s">
        <v>882</v>
      </c>
      <c r="C96" s="72"/>
      <c r="D96" s="65" t="s">
        <v>1051</v>
      </c>
      <c r="E96" s="85" t="s">
        <v>1016</v>
      </c>
      <c r="F96" s="65" t="s">
        <v>833</v>
      </c>
      <c r="G96" s="59" t="s">
        <v>143</v>
      </c>
      <c r="H96" s="59" t="s">
        <v>145</v>
      </c>
      <c r="I96" s="59"/>
      <c r="J96" s="71" t="str">
        <f t="array" ref="J96">IFERROR(INDEX(All_User!D:D,MATCH(D96,All_User!H:H,0)),"없음")</f>
        <v>Nathan.Eom@stryker.com</v>
      </c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71"/>
      <c r="AJ96" s="71"/>
      <c r="AK96" s="71"/>
      <c r="AL96" s="71"/>
      <c r="AM96" s="71"/>
      <c r="AN96" s="71"/>
      <c r="AO96" s="71"/>
      <c r="AP96" s="71"/>
      <c r="AQ96" s="71"/>
      <c r="AR96" s="71"/>
      <c r="AS96" s="71"/>
      <c r="AT96" s="71"/>
      <c r="AU96" s="71"/>
      <c r="AV96" s="71"/>
      <c r="AW96" s="71"/>
      <c r="AX96" s="71"/>
      <c r="AY96" s="71"/>
      <c r="AZ96" s="71"/>
      <c r="BA96" s="71"/>
      <c r="BB96" s="71"/>
      <c r="BC96" s="71"/>
      <c r="BD96" s="71"/>
      <c r="BE96" s="71"/>
      <c r="BF96" s="71"/>
    </row>
    <row r="97" spans="1:58" ht="17">
      <c r="A97" s="65" t="s">
        <v>881</v>
      </c>
      <c r="B97" s="65" t="s">
        <v>882</v>
      </c>
      <c r="C97" s="72">
        <v>445016</v>
      </c>
      <c r="D97" s="65" t="s">
        <v>1052</v>
      </c>
      <c r="E97" s="85" t="s">
        <v>1016</v>
      </c>
      <c r="F97" s="65" t="s">
        <v>884</v>
      </c>
      <c r="G97" s="59" t="s">
        <v>885</v>
      </c>
      <c r="H97" s="58" t="s">
        <v>1053</v>
      </c>
      <c r="I97" s="59" t="s">
        <v>1054</v>
      </c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71"/>
      <c r="AJ97" s="71"/>
      <c r="AK97" s="71"/>
      <c r="AL97" s="71"/>
      <c r="AM97" s="71"/>
      <c r="AN97" s="71"/>
      <c r="AO97" s="71"/>
      <c r="AP97" s="71"/>
      <c r="AQ97" s="71"/>
      <c r="AR97" s="71"/>
      <c r="AS97" s="71"/>
      <c r="AT97" s="71"/>
      <c r="AU97" s="71"/>
      <c r="AV97" s="71"/>
      <c r="AW97" s="71"/>
      <c r="AX97" s="71"/>
      <c r="AY97" s="71"/>
      <c r="AZ97" s="71"/>
      <c r="BA97" s="71"/>
      <c r="BB97" s="71"/>
      <c r="BC97" s="71"/>
      <c r="BD97" s="71"/>
      <c r="BE97" s="71"/>
      <c r="BF97" s="71"/>
    </row>
    <row r="98" spans="1:58" ht="17">
      <c r="A98" s="65" t="s">
        <v>881</v>
      </c>
      <c r="B98" s="65" t="s">
        <v>882</v>
      </c>
      <c r="C98" s="72"/>
      <c r="D98" s="65" t="s">
        <v>1055</v>
      </c>
      <c r="E98" s="85" t="s">
        <v>1016</v>
      </c>
      <c r="F98" s="65" t="s">
        <v>917</v>
      </c>
      <c r="G98" s="59" t="s">
        <v>1056</v>
      </c>
      <c r="H98" s="95" t="s">
        <v>792</v>
      </c>
      <c r="I98" s="59"/>
      <c r="J98" s="71" t="str">
        <f t="array" ref="J98">IFERROR(INDEX(All_User!D:D,MATCH(D98,All_User!H:H,0)),"없음")</f>
        <v>orderadmin1.ym@stryker.com</v>
      </c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71"/>
      <c r="AJ98" s="71"/>
      <c r="AK98" s="71"/>
      <c r="AL98" s="71"/>
      <c r="AM98" s="71"/>
      <c r="AN98" s="71"/>
      <c r="AO98" s="71"/>
      <c r="AP98" s="71"/>
      <c r="AQ98" s="71"/>
      <c r="AR98" s="71"/>
      <c r="AS98" s="71"/>
      <c r="AT98" s="71"/>
      <c r="AU98" s="71"/>
      <c r="AV98" s="71"/>
      <c r="AW98" s="71"/>
      <c r="AX98" s="71"/>
      <c r="AY98" s="71"/>
      <c r="AZ98" s="71"/>
      <c r="BA98" s="71"/>
      <c r="BB98" s="71"/>
      <c r="BC98" s="71"/>
      <c r="BD98" s="71"/>
      <c r="BE98" s="71"/>
      <c r="BF98" s="71"/>
    </row>
    <row r="99" spans="1:58" ht="17">
      <c r="A99" s="65" t="s">
        <v>881</v>
      </c>
      <c r="B99" s="65" t="s">
        <v>882</v>
      </c>
      <c r="C99" s="72"/>
      <c r="D99" s="65" t="s">
        <v>1057</v>
      </c>
      <c r="E99" s="85" t="s">
        <v>1016</v>
      </c>
      <c r="F99" s="65" t="s">
        <v>932</v>
      </c>
      <c r="G99" s="59" t="s">
        <v>277</v>
      </c>
      <c r="H99" s="59" t="s">
        <v>279</v>
      </c>
      <c r="I99" s="59"/>
      <c r="J99" s="71" t="str">
        <f t="array" ref="J99">IFERROR(INDEX(All_User!D:D,MATCH(D99,All_User!H:H,0)),"없음")</f>
        <v>suhwan.jung@stryker.com</v>
      </c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71"/>
      <c r="AJ99" s="71"/>
      <c r="AK99" s="71"/>
      <c r="AL99" s="71"/>
      <c r="AM99" s="71"/>
      <c r="AN99" s="71"/>
      <c r="AO99" s="71"/>
      <c r="AP99" s="71"/>
      <c r="AQ99" s="71"/>
      <c r="AR99" s="71"/>
      <c r="AS99" s="71"/>
      <c r="AT99" s="71"/>
      <c r="AU99" s="71"/>
      <c r="AV99" s="71"/>
      <c r="AW99" s="71"/>
      <c r="AX99" s="71"/>
      <c r="AY99" s="71"/>
      <c r="AZ99" s="71"/>
      <c r="BA99" s="71"/>
      <c r="BB99" s="71"/>
      <c r="BC99" s="71"/>
      <c r="BD99" s="71"/>
      <c r="BE99" s="71"/>
      <c r="BF99" s="71"/>
    </row>
    <row r="100" spans="1:58" ht="17">
      <c r="A100" s="65" t="s">
        <v>881</v>
      </c>
      <c r="B100" s="65" t="s">
        <v>882</v>
      </c>
      <c r="C100" s="72"/>
      <c r="D100" s="65" t="s">
        <v>1058</v>
      </c>
      <c r="E100" s="85" t="s">
        <v>1016</v>
      </c>
      <c r="F100" s="65" t="s">
        <v>790</v>
      </c>
      <c r="G100" s="59" t="s">
        <v>566</v>
      </c>
      <c r="H100" s="59" t="s">
        <v>568</v>
      </c>
      <c r="I100" s="89"/>
      <c r="J100" s="71" t="str">
        <f t="array" ref="J100">IFERROR(INDEX(All_User!D:D,MATCH(D100,All_User!H:H,0)),"없음")</f>
        <v>julie.park@stryker.com</v>
      </c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71"/>
      <c r="AJ100" s="71"/>
      <c r="AK100" s="71"/>
      <c r="AL100" s="71"/>
      <c r="AM100" s="71"/>
      <c r="AN100" s="71"/>
      <c r="AO100" s="71"/>
      <c r="AP100" s="71"/>
      <c r="AQ100" s="71"/>
      <c r="AR100" s="71"/>
      <c r="AS100" s="71"/>
      <c r="AT100" s="71"/>
      <c r="AU100" s="71"/>
      <c r="AV100" s="71"/>
      <c r="AW100" s="71"/>
      <c r="AX100" s="71"/>
      <c r="AY100" s="71"/>
      <c r="AZ100" s="71"/>
      <c r="BA100" s="71"/>
      <c r="BB100" s="71"/>
      <c r="BC100" s="71"/>
      <c r="BD100" s="71"/>
      <c r="BE100" s="71"/>
      <c r="BF100" s="71"/>
    </row>
    <row r="101" spans="1:58" ht="17">
      <c r="A101" s="65" t="s">
        <v>881</v>
      </c>
      <c r="B101" s="65" t="s">
        <v>882</v>
      </c>
      <c r="C101" s="72"/>
      <c r="D101" s="65" t="s">
        <v>1059</v>
      </c>
      <c r="E101" s="85" t="s">
        <v>1016</v>
      </c>
      <c r="F101" s="65" t="s">
        <v>102</v>
      </c>
      <c r="G101" s="59" t="s">
        <v>1060</v>
      </c>
      <c r="H101" s="59" t="s">
        <v>462</v>
      </c>
      <c r="I101" s="59"/>
      <c r="J101" s="71" t="str">
        <f t="array" ref="J101">IFERROR(INDEX(All_User!D:D,MATCH(D101,All_User!H:H,0)),"없음")</f>
        <v>demian.lee@stryker.com</v>
      </c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71"/>
      <c r="AJ101" s="71"/>
      <c r="AK101" s="71"/>
      <c r="AL101" s="71"/>
      <c r="AM101" s="71"/>
      <c r="AN101" s="71"/>
      <c r="AO101" s="71"/>
      <c r="AP101" s="71"/>
      <c r="AQ101" s="71"/>
      <c r="AR101" s="71"/>
      <c r="AS101" s="71"/>
      <c r="AT101" s="71"/>
      <c r="AU101" s="71"/>
      <c r="AV101" s="71"/>
      <c r="AW101" s="71"/>
      <c r="AX101" s="71"/>
      <c r="AY101" s="71"/>
      <c r="AZ101" s="71"/>
      <c r="BA101" s="71"/>
      <c r="BB101" s="71"/>
      <c r="BC101" s="71"/>
      <c r="BD101" s="71"/>
      <c r="BE101" s="71"/>
      <c r="BF101" s="71"/>
    </row>
    <row r="102" spans="1:58" ht="17">
      <c r="A102" s="65" t="s">
        <v>881</v>
      </c>
      <c r="B102" s="65" t="s">
        <v>882</v>
      </c>
      <c r="C102" s="72"/>
      <c r="D102" s="65" t="s">
        <v>1061</v>
      </c>
      <c r="E102" s="85" t="s">
        <v>1016</v>
      </c>
      <c r="F102" s="65" t="s">
        <v>1062</v>
      </c>
      <c r="G102" s="59" t="s">
        <v>253</v>
      </c>
      <c r="H102" s="59" t="s">
        <v>255</v>
      </c>
      <c r="I102" s="59"/>
      <c r="J102" s="71" t="str">
        <f t="array" ref="J102">IFERROR(INDEX(All_User!D:D,MATCH(D102,All_User!H:H,0)),"없음")</f>
        <v>jh.ji@stryker.com</v>
      </c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71"/>
      <c r="AJ102" s="71"/>
      <c r="AK102" s="71"/>
      <c r="AL102" s="71"/>
      <c r="AM102" s="71"/>
      <c r="AN102" s="71"/>
      <c r="AO102" s="71"/>
      <c r="AP102" s="71"/>
      <c r="AQ102" s="71"/>
      <c r="AR102" s="71"/>
      <c r="AS102" s="71"/>
      <c r="AT102" s="71"/>
      <c r="AU102" s="71"/>
      <c r="AV102" s="71"/>
      <c r="AW102" s="71"/>
      <c r="AX102" s="71"/>
      <c r="AY102" s="71"/>
      <c r="AZ102" s="71"/>
      <c r="BA102" s="71"/>
      <c r="BB102" s="71"/>
      <c r="BC102" s="71"/>
      <c r="BD102" s="71"/>
      <c r="BE102" s="71"/>
      <c r="BF102" s="71"/>
    </row>
    <row r="103" spans="1:58" ht="17">
      <c r="A103" s="65" t="s">
        <v>881</v>
      </c>
      <c r="B103" s="65" t="s">
        <v>882</v>
      </c>
      <c r="C103" s="72"/>
      <c r="D103" s="65" t="s">
        <v>1063</v>
      </c>
      <c r="E103" s="85" t="s">
        <v>1016</v>
      </c>
      <c r="F103" s="65" t="s">
        <v>309</v>
      </c>
      <c r="G103" s="59" t="s">
        <v>720</v>
      </c>
      <c r="H103" s="59" t="s">
        <v>722</v>
      </c>
      <c r="I103" s="59"/>
      <c r="J103" s="71" t="str">
        <f t="array" ref="J103">IFERROR(INDEX(All_User!D:D,MATCH(D103,All_User!H:H,0)),"없음")</f>
        <v>clare.yang@stryker.com</v>
      </c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71"/>
      <c r="AJ103" s="71"/>
      <c r="AK103" s="71"/>
      <c r="AL103" s="71"/>
      <c r="AM103" s="71"/>
      <c r="AN103" s="71"/>
      <c r="AO103" s="71"/>
      <c r="AP103" s="71"/>
      <c r="AQ103" s="71"/>
      <c r="AR103" s="71"/>
      <c r="AS103" s="71"/>
      <c r="AT103" s="71"/>
      <c r="AU103" s="71"/>
      <c r="AV103" s="71"/>
      <c r="AW103" s="71"/>
      <c r="AX103" s="71"/>
      <c r="AY103" s="71"/>
      <c r="AZ103" s="71"/>
      <c r="BA103" s="71"/>
      <c r="BB103" s="71"/>
      <c r="BC103" s="71"/>
      <c r="BD103" s="71"/>
      <c r="BE103" s="71"/>
      <c r="BF103" s="71"/>
    </row>
    <row r="104" spans="1:58" ht="17">
      <c r="A104" s="65" t="s">
        <v>881</v>
      </c>
      <c r="B104" s="65" t="s">
        <v>882</v>
      </c>
      <c r="C104" s="72">
        <v>430532</v>
      </c>
      <c r="D104" s="65" t="s">
        <v>1064</v>
      </c>
      <c r="E104" s="85" t="s">
        <v>1016</v>
      </c>
      <c r="F104" s="65" t="s">
        <v>854</v>
      </c>
      <c r="G104" s="59" t="s">
        <v>851</v>
      </c>
      <c r="H104" s="79" t="s">
        <v>1065</v>
      </c>
      <c r="I104" s="89" t="s">
        <v>1025</v>
      </c>
      <c r="J104" s="71" t="str">
        <f t="array" ref="J104">IFERROR(INDEX(All_User!D:D,MATCH(D104,All_User!H:H,0)),"없음")</f>
        <v>lia.jung@stryker.com</v>
      </c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71"/>
      <c r="AJ104" s="71"/>
      <c r="AK104" s="71"/>
      <c r="AL104" s="71"/>
      <c r="AM104" s="71"/>
      <c r="AN104" s="71"/>
      <c r="AO104" s="71"/>
      <c r="AP104" s="71"/>
      <c r="AQ104" s="71"/>
      <c r="AR104" s="71"/>
      <c r="AS104" s="71"/>
      <c r="AT104" s="71"/>
      <c r="AU104" s="71"/>
      <c r="AV104" s="71"/>
      <c r="AW104" s="71"/>
      <c r="AX104" s="71"/>
      <c r="AY104" s="71"/>
      <c r="AZ104" s="71"/>
      <c r="BA104" s="71"/>
      <c r="BB104" s="71"/>
      <c r="BC104" s="71"/>
      <c r="BD104" s="71"/>
      <c r="BE104" s="71"/>
      <c r="BF104" s="71"/>
    </row>
    <row r="105" spans="1:58" ht="17">
      <c r="A105" s="65" t="s">
        <v>881</v>
      </c>
      <c r="B105" s="65" t="s">
        <v>882</v>
      </c>
      <c r="C105" s="72"/>
      <c r="D105" s="65" t="s">
        <v>1066</v>
      </c>
      <c r="E105" s="85" t="s">
        <v>1016</v>
      </c>
      <c r="F105" s="65" t="s">
        <v>1067</v>
      </c>
      <c r="G105" s="59" t="s">
        <v>1068</v>
      </c>
      <c r="H105" s="59" t="s">
        <v>708</v>
      </c>
      <c r="I105" s="89"/>
      <c r="J105" s="71" t="str">
        <f t="array" ref="J105">IFERROR(INDEX(All_User!D:D,MATCH(D105,All_User!H:H,0)),"없음")</f>
        <v>imsun.won@stryker.com</v>
      </c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71"/>
      <c r="AJ105" s="71"/>
      <c r="AK105" s="71"/>
      <c r="AL105" s="71"/>
      <c r="AM105" s="71"/>
      <c r="AN105" s="71"/>
      <c r="AO105" s="71"/>
      <c r="AP105" s="71"/>
      <c r="AQ105" s="71"/>
      <c r="AR105" s="71"/>
      <c r="AS105" s="71"/>
      <c r="AT105" s="71"/>
      <c r="AU105" s="71"/>
      <c r="AV105" s="71"/>
      <c r="AW105" s="71"/>
      <c r="AX105" s="71"/>
      <c r="AY105" s="71"/>
      <c r="AZ105" s="71"/>
      <c r="BA105" s="71"/>
      <c r="BB105" s="71"/>
      <c r="BC105" s="71"/>
      <c r="BD105" s="71"/>
      <c r="BE105" s="71"/>
      <c r="BF105" s="71"/>
    </row>
    <row r="106" spans="1:58" ht="17">
      <c r="A106" s="65" t="s">
        <v>881</v>
      </c>
      <c r="B106" s="65" t="s">
        <v>882</v>
      </c>
      <c r="C106" s="72"/>
      <c r="D106" s="65" t="s">
        <v>1069</v>
      </c>
      <c r="E106" s="85" t="s">
        <v>1016</v>
      </c>
      <c r="F106" s="65" t="s">
        <v>932</v>
      </c>
      <c r="G106" s="59" t="s">
        <v>234</v>
      </c>
      <c r="H106" s="59" t="s">
        <v>236</v>
      </c>
      <c r="I106" s="59"/>
      <c r="J106" s="71" t="str">
        <f t="array" ref="J106">IFERROR(INDEX(All_User!D:D,MATCH(D106,All_User!H:H,0)),"없음")</f>
        <v>yoonbee.jeong@stryker.com</v>
      </c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71"/>
      <c r="AJ106" s="71"/>
      <c r="AK106" s="71"/>
      <c r="AL106" s="71"/>
      <c r="AM106" s="71"/>
      <c r="AN106" s="71"/>
      <c r="AO106" s="71"/>
      <c r="AP106" s="71"/>
      <c r="AQ106" s="71"/>
      <c r="AR106" s="71"/>
      <c r="AS106" s="71"/>
      <c r="AT106" s="71"/>
      <c r="AU106" s="71"/>
      <c r="AV106" s="71"/>
      <c r="AW106" s="71"/>
      <c r="AX106" s="71"/>
      <c r="AY106" s="71"/>
      <c r="AZ106" s="71"/>
      <c r="BA106" s="71"/>
      <c r="BB106" s="71"/>
      <c r="BC106" s="71"/>
      <c r="BD106" s="71"/>
      <c r="BE106" s="71"/>
      <c r="BF106" s="71"/>
    </row>
    <row r="107" spans="1:58" ht="17">
      <c r="A107" s="65" t="s">
        <v>881</v>
      </c>
      <c r="B107" s="65" t="s">
        <v>882</v>
      </c>
      <c r="C107" s="72"/>
      <c r="D107" s="65" t="s">
        <v>1070</v>
      </c>
      <c r="E107" s="85" t="s">
        <v>1016</v>
      </c>
      <c r="F107" s="65" t="s">
        <v>1071</v>
      </c>
      <c r="G107" s="59" t="s">
        <v>1071</v>
      </c>
      <c r="H107" s="65" t="s">
        <v>1071</v>
      </c>
      <c r="I107" s="59" t="s">
        <v>1072</v>
      </c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71"/>
      <c r="AJ107" s="71"/>
      <c r="AK107" s="71"/>
      <c r="AL107" s="71"/>
      <c r="AM107" s="71"/>
      <c r="AN107" s="71"/>
      <c r="AO107" s="71"/>
      <c r="AP107" s="71"/>
      <c r="AQ107" s="71"/>
      <c r="AR107" s="71"/>
      <c r="AS107" s="71"/>
      <c r="AT107" s="71"/>
      <c r="AU107" s="71"/>
      <c r="AV107" s="71"/>
      <c r="AW107" s="71"/>
      <c r="AX107" s="71"/>
      <c r="AY107" s="71"/>
      <c r="AZ107" s="71"/>
      <c r="BA107" s="71"/>
      <c r="BB107" s="71"/>
      <c r="BC107" s="71"/>
      <c r="BD107" s="71"/>
      <c r="BE107" s="71"/>
      <c r="BF107" s="71"/>
    </row>
    <row r="108" spans="1:58" ht="17">
      <c r="A108" s="65" t="s">
        <v>881</v>
      </c>
      <c r="B108" s="65" t="s">
        <v>882</v>
      </c>
      <c r="C108" s="72"/>
      <c r="D108" s="65" t="s">
        <v>1073</v>
      </c>
      <c r="E108" s="85" t="s">
        <v>1016</v>
      </c>
      <c r="F108" s="65" t="s">
        <v>932</v>
      </c>
      <c r="G108" s="59" t="s">
        <v>411</v>
      </c>
      <c r="H108" s="59" t="s">
        <v>413</v>
      </c>
      <c r="I108" s="89"/>
      <c r="J108" s="71" t="str">
        <f t="array" ref="J108">IFERROR(INDEX(All_User!D:D,MATCH(D108,All_User!H:H,0)),"없음")</f>
        <v>lina.kim@stryker.com</v>
      </c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71"/>
      <c r="AJ108" s="71"/>
      <c r="AK108" s="71"/>
      <c r="AL108" s="71"/>
      <c r="AM108" s="71"/>
      <c r="AN108" s="71"/>
      <c r="AO108" s="71"/>
      <c r="AP108" s="71"/>
      <c r="AQ108" s="71"/>
      <c r="AR108" s="71"/>
      <c r="AS108" s="71"/>
      <c r="AT108" s="71"/>
      <c r="AU108" s="71"/>
      <c r="AV108" s="71"/>
      <c r="AW108" s="71"/>
      <c r="AX108" s="71"/>
      <c r="AY108" s="71"/>
      <c r="AZ108" s="71"/>
      <c r="BA108" s="71"/>
      <c r="BB108" s="71"/>
      <c r="BC108" s="71"/>
      <c r="BD108" s="71"/>
      <c r="BE108" s="71"/>
      <c r="BF108" s="71"/>
    </row>
    <row r="109" spans="1:58" ht="17">
      <c r="A109" s="65" t="s">
        <v>881</v>
      </c>
      <c r="B109" s="65" t="s">
        <v>882</v>
      </c>
      <c r="C109" s="72"/>
      <c r="D109" s="65" t="s">
        <v>1074</v>
      </c>
      <c r="E109" s="85" t="s">
        <v>1016</v>
      </c>
      <c r="F109" s="65" t="s">
        <v>1075</v>
      </c>
      <c r="G109" s="59" t="s">
        <v>1076</v>
      </c>
      <c r="H109" s="59" t="s">
        <v>179</v>
      </c>
      <c r="I109" s="59"/>
      <c r="J109" s="71" t="str">
        <f t="array" ref="J109">IFERROR(INDEX(All_User!D:D,MATCH(D109,All_User!H:H,0)),"없음")</f>
        <v>arum.han@stryker.com</v>
      </c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71"/>
      <c r="AJ109" s="71"/>
      <c r="AK109" s="71"/>
      <c r="AL109" s="71"/>
      <c r="AM109" s="71"/>
      <c r="AN109" s="71"/>
      <c r="AO109" s="71"/>
      <c r="AP109" s="71"/>
      <c r="AQ109" s="71"/>
      <c r="AR109" s="71"/>
      <c r="AS109" s="71"/>
      <c r="AT109" s="71"/>
      <c r="AU109" s="71"/>
      <c r="AV109" s="71"/>
      <c r="AW109" s="71"/>
      <c r="AX109" s="71"/>
      <c r="AY109" s="71"/>
      <c r="AZ109" s="71"/>
      <c r="BA109" s="71"/>
      <c r="BB109" s="71"/>
      <c r="BC109" s="71"/>
      <c r="BD109" s="71"/>
      <c r="BE109" s="71"/>
      <c r="BF109" s="71"/>
    </row>
    <row r="110" spans="1:58" ht="17">
      <c r="A110" s="65" t="s">
        <v>881</v>
      </c>
      <c r="B110" s="65" t="s">
        <v>882</v>
      </c>
      <c r="C110" s="72">
        <v>445038</v>
      </c>
      <c r="D110" s="65" t="s">
        <v>1077</v>
      </c>
      <c r="E110" s="85" t="s">
        <v>1016</v>
      </c>
      <c r="F110" s="65" t="s">
        <v>1067</v>
      </c>
      <c r="G110" s="59" t="s">
        <v>1078</v>
      </c>
      <c r="H110" s="59" t="s">
        <v>191</v>
      </c>
      <c r="I110" s="89"/>
      <c r="J110" s="71" t="str">
        <f t="array" ref="J110">IFERROR(INDEX(All_User!D:D,MATCH(D110,All_User!H:H,0)),"없음")</f>
        <v>seoyeong.hong@stryker.com</v>
      </c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71"/>
      <c r="AJ110" s="71"/>
      <c r="AK110" s="71"/>
      <c r="AL110" s="71"/>
      <c r="AM110" s="71"/>
      <c r="AN110" s="71"/>
      <c r="AO110" s="71"/>
      <c r="AP110" s="71"/>
      <c r="AQ110" s="71"/>
      <c r="AR110" s="71"/>
      <c r="AS110" s="71"/>
      <c r="AT110" s="71"/>
      <c r="AU110" s="71"/>
      <c r="AV110" s="71"/>
      <c r="AW110" s="71"/>
      <c r="AX110" s="71"/>
      <c r="AY110" s="71"/>
      <c r="AZ110" s="71"/>
      <c r="BA110" s="71"/>
      <c r="BB110" s="71"/>
      <c r="BC110" s="71"/>
      <c r="BD110" s="71"/>
      <c r="BE110" s="71"/>
      <c r="BF110" s="71"/>
    </row>
    <row r="111" spans="1:58" ht="17">
      <c r="A111" s="65" t="s">
        <v>881</v>
      </c>
      <c r="B111" s="65" t="s">
        <v>882</v>
      </c>
      <c r="C111" s="72"/>
      <c r="D111" s="65" t="s">
        <v>1079</v>
      </c>
      <c r="E111" s="85" t="s">
        <v>1016</v>
      </c>
      <c r="F111" s="65" t="s">
        <v>921</v>
      </c>
      <c r="G111" s="59" t="s">
        <v>1080</v>
      </c>
      <c r="H111" s="58" t="s">
        <v>867</v>
      </c>
      <c r="I111" s="89" t="s">
        <v>1081</v>
      </c>
      <c r="J111" s="71" t="str">
        <f t="array" ref="J111">IFERROR(INDEX(All_User!D:D,MATCH(D111,All_User!H:H,0)),"없음")</f>
        <v>ab-chloe.kang@stryker.com</v>
      </c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71"/>
      <c r="AJ111" s="71"/>
      <c r="AK111" s="71"/>
      <c r="AL111" s="71"/>
      <c r="AM111" s="71"/>
      <c r="AN111" s="71"/>
      <c r="AO111" s="71"/>
      <c r="AP111" s="71"/>
      <c r="AQ111" s="71"/>
      <c r="AR111" s="71"/>
      <c r="AS111" s="71"/>
      <c r="AT111" s="71"/>
      <c r="AU111" s="71"/>
      <c r="AV111" s="71"/>
      <c r="AW111" s="71"/>
      <c r="AX111" s="71"/>
      <c r="AY111" s="71"/>
      <c r="AZ111" s="71"/>
      <c r="BA111" s="71"/>
      <c r="BB111" s="71"/>
      <c r="BC111" s="71"/>
      <c r="BD111" s="71"/>
      <c r="BE111" s="71"/>
      <c r="BF111" s="71"/>
    </row>
    <row r="112" spans="1:58" ht="17">
      <c r="A112" s="65" t="s">
        <v>881</v>
      </c>
      <c r="B112" s="65" t="s">
        <v>882</v>
      </c>
      <c r="C112" s="72"/>
      <c r="D112" s="65" t="s">
        <v>1082</v>
      </c>
      <c r="E112" s="85" t="s">
        <v>1016</v>
      </c>
      <c r="F112" s="65" t="s">
        <v>917</v>
      </c>
      <c r="G112" s="59" t="s">
        <v>786</v>
      </c>
      <c r="H112" s="58" t="s">
        <v>787</v>
      </c>
      <c r="I112" s="89"/>
      <c r="J112" s="71" t="str">
        <f t="array" ref="J112">IFERROR(INDEX(All_User!D:D,MATCH(D112,All_User!H:H,0)),"없음")</f>
        <v>yongma04(깡통)</v>
      </c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71"/>
      <c r="AJ112" s="71"/>
      <c r="AK112" s="71"/>
      <c r="AL112" s="71"/>
      <c r="AM112" s="71"/>
      <c r="AN112" s="71"/>
      <c r="AO112" s="71"/>
      <c r="AP112" s="71"/>
      <c r="AQ112" s="71"/>
      <c r="AR112" s="71"/>
      <c r="AS112" s="71"/>
      <c r="AT112" s="71"/>
      <c r="AU112" s="71"/>
      <c r="AV112" s="71"/>
      <c r="AW112" s="71"/>
      <c r="AX112" s="71"/>
      <c r="AY112" s="71"/>
      <c r="AZ112" s="71"/>
      <c r="BA112" s="71"/>
      <c r="BB112" s="71"/>
      <c r="BC112" s="71"/>
      <c r="BD112" s="71"/>
      <c r="BE112" s="71"/>
      <c r="BF112" s="71"/>
    </row>
    <row r="113" spans="1:58" ht="17">
      <c r="A113" s="65" t="s">
        <v>881</v>
      </c>
      <c r="B113" s="65" t="s">
        <v>882</v>
      </c>
      <c r="C113" s="72"/>
      <c r="D113" s="65" t="s">
        <v>1083</v>
      </c>
      <c r="E113" s="85" t="s">
        <v>1016</v>
      </c>
      <c r="F113" s="65" t="s">
        <v>884</v>
      </c>
      <c r="G113" s="59" t="s">
        <v>1084</v>
      </c>
      <c r="H113" s="59"/>
      <c r="I113" s="59" t="s">
        <v>1085</v>
      </c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71"/>
      <c r="AJ113" s="71"/>
      <c r="AK113" s="71"/>
      <c r="AL113" s="71"/>
      <c r="AM113" s="71"/>
      <c r="AN113" s="71"/>
      <c r="AO113" s="71"/>
      <c r="AP113" s="71"/>
      <c r="AQ113" s="71"/>
      <c r="AR113" s="71"/>
      <c r="AS113" s="71"/>
      <c r="AT113" s="71"/>
      <c r="AU113" s="71"/>
      <c r="AV113" s="71"/>
      <c r="AW113" s="71"/>
      <c r="AX113" s="71"/>
      <c r="AY113" s="71"/>
      <c r="AZ113" s="71"/>
      <c r="BA113" s="71"/>
      <c r="BB113" s="71"/>
      <c r="BC113" s="71"/>
      <c r="BD113" s="71"/>
      <c r="BE113" s="71"/>
      <c r="BF113" s="71"/>
    </row>
    <row r="114" spans="1:58" ht="17">
      <c r="A114" s="65" t="s">
        <v>881</v>
      </c>
      <c r="B114" s="65" t="s">
        <v>882</v>
      </c>
      <c r="C114" s="72"/>
      <c r="D114" s="65" t="s">
        <v>1086</v>
      </c>
      <c r="E114" s="85" t="s">
        <v>1016</v>
      </c>
      <c r="F114" s="65" t="s">
        <v>932</v>
      </c>
      <c r="G114" s="59" t="s">
        <v>163</v>
      </c>
      <c r="H114" s="59" t="s">
        <v>165</v>
      </c>
      <c r="I114" s="89"/>
      <c r="J114" s="71" t="str">
        <f t="array" ref="J114">IFERROR(INDEX(All_User!D:D,MATCH(D114,All_User!H:H,0)),"없음")</f>
        <v>leo.han@stryker.com</v>
      </c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71"/>
      <c r="AJ114" s="71"/>
      <c r="AK114" s="71"/>
      <c r="AL114" s="71"/>
      <c r="AM114" s="71"/>
      <c r="AN114" s="71"/>
      <c r="AO114" s="71"/>
      <c r="AP114" s="71"/>
      <c r="AQ114" s="71"/>
      <c r="AR114" s="71"/>
      <c r="AS114" s="71"/>
      <c r="AT114" s="71"/>
      <c r="AU114" s="71"/>
      <c r="AV114" s="71"/>
      <c r="AW114" s="71"/>
      <c r="AX114" s="71"/>
      <c r="AY114" s="71"/>
      <c r="AZ114" s="71"/>
      <c r="BA114" s="71"/>
      <c r="BB114" s="71"/>
      <c r="BC114" s="71"/>
      <c r="BD114" s="71"/>
      <c r="BE114" s="71"/>
      <c r="BF114" s="71"/>
    </row>
    <row r="115" spans="1:58" ht="17">
      <c r="A115" s="65" t="s">
        <v>881</v>
      </c>
      <c r="B115" s="65" t="s">
        <v>882</v>
      </c>
      <c r="C115" s="72"/>
      <c r="D115" s="65" t="s">
        <v>1087</v>
      </c>
      <c r="E115" s="85" t="s">
        <v>1016</v>
      </c>
      <c r="F115" s="65" t="s">
        <v>1067</v>
      </c>
      <c r="G115" s="59" t="s">
        <v>1088</v>
      </c>
      <c r="H115" s="59" t="s">
        <v>731</v>
      </c>
      <c r="I115" s="59"/>
      <c r="J115" s="71" t="str">
        <f t="array" ref="J115">IFERROR(INDEX(All_User!D:D,MATCH(D115,All_User!H:H,0)),"없음")</f>
        <v>minsu.yi@stryker.com</v>
      </c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71"/>
      <c r="AJ115" s="71"/>
      <c r="AK115" s="71"/>
      <c r="AL115" s="71"/>
      <c r="AM115" s="71"/>
      <c r="AN115" s="71"/>
      <c r="AO115" s="71"/>
      <c r="AP115" s="71"/>
      <c r="AQ115" s="71"/>
      <c r="AR115" s="71"/>
      <c r="AS115" s="71"/>
      <c r="AT115" s="71"/>
      <c r="AU115" s="71"/>
      <c r="AV115" s="71"/>
      <c r="AW115" s="71"/>
      <c r="AX115" s="71"/>
      <c r="AY115" s="71"/>
      <c r="AZ115" s="71"/>
      <c r="BA115" s="71"/>
      <c r="BB115" s="71"/>
      <c r="BC115" s="71"/>
      <c r="BD115" s="71"/>
      <c r="BE115" s="71"/>
      <c r="BF115" s="71"/>
    </row>
    <row r="116" spans="1:58" ht="17">
      <c r="A116" s="65" t="s">
        <v>881</v>
      </c>
      <c r="B116" s="65" t="s">
        <v>882</v>
      </c>
      <c r="C116" s="72"/>
      <c r="D116" s="65" t="s">
        <v>1089</v>
      </c>
      <c r="E116" s="85" t="s">
        <v>1016</v>
      </c>
      <c r="F116" s="65" t="s">
        <v>790</v>
      </c>
      <c r="G116" s="59" t="s">
        <v>238</v>
      </c>
      <c r="H116" s="59" t="s">
        <v>240</v>
      </c>
      <c r="I116" s="59"/>
      <c r="J116" s="71" t="str">
        <f t="array" ref="J116">IFERROR(INDEX(All_User!D:D,MATCH(D116,All_User!H:H,0)),"없음")</f>
        <v>somi.jeong@stryker.com</v>
      </c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71"/>
      <c r="AJ116" s="71"/>
      <c r="AK116" s="71"/>
      <c r="AL116" s="71"/>
      <c r="AM116" s="71"/>
      <c r="AN116" s="71"/>
      <c r="AO116" s="71"/>
      <c r="AP116" s="71"/>
      <c r="AQ116" s="71"/>
      <c r="AR116" s="71"/>
      <c r="AS116" s="71"/>
      <c r="AT116" s="71"/>
      <c r="AU116" s="71"/>
      <c r="AV116" s="71"/>
      <c r="AW116" s="71"/>
      <c r="AX116" s="71"/>
      <c r="AY116" s="71"/>
      <c r="AZ116" s="71"/>
      <c r="BA116" s="71"/>
      <c r="BB116" s="71"/>
      <c r="BC116" s="71"/>
      <c r="BD116" s="71"/>
      <c r="BE116" s="71"/>
      <c r="BF116" s="71"/>
    </row>
    <row r="117" spans="1:58" ht="17">
      <c r="A117" s="65" t="s">
        <v>1090</v>
      </c>
      <c r="B117" s="51" t="s">
        <v>882</v>
      </c>
      <c r="C117" s="77"/>
      <c r="D117" s="65" t="s">
        <v>1091</v>
      </c>
      <c r="E117" s="78">
        <v>40567</v>
      </c>
      <c r="F117" s="51" t="s">
        <v>909</v>
      </c>
      <c r="G117" s="58" t="s">
        <v>204</v>
      </c>
      <c r="H117" s="58" t="s">
        <v>206</v>
      </c>
      <c r="I117" s="80"/>
      <c r="J117" s="71" t="str">
        <f t="array" ref="J117">IFERROR(INDEX(All_User!D:D,MATCH(D117,All_User!H:H,0)),"없음")</f>
        <v>oscar.hwang@stryker.com</v>
      </c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71"/>
      <c r="AJ117" s="71"/>
      <c r="AK117" s="71"/>
      <c r="AL117" s="71"/>
      <c r="AM117" s="71"/>
      <c r="AN117" s="71"/>
      <c r="AO117" s="71"/>
      <c r="AP117" s="71"/>
      <c r="AQ117" s="71"/>
      <c r="AR117" s="71"/>
      <c r="AS117" s="71"/>
      <c r="AT117" s="71"/>
      <c r="AU117" s="71"/>
      <c r="AV117" s="71"/>
      <c r="AW117" s="71"/>
      <c r="AX117" s="71"/>
      <c r="AY117" s="71"/>
      <c r="AZ117" s="71"/>
      <c r="BA117" s="71"/>
      <c r="BB117" s="71"/>
      <c r="BC117" s="71"/>
      <c r="BD117" s="71"/>
      <c r="BE117" s="71"/>
      <c r="BF117" s="71"/>
    </row>
    <row r="118" spans="1:58" ht="17">
      <c r="A118" s="65" t="s">
        <v>1090</v>
      </c>
      <c r="B118" s="96" t="s">
        <v>882</v>
      </c>
      <c r="C118" s="97"/>
      <c r="D118" s="65" t="s">
        <v>1092</v>
      </c>
      <c r="E118" s="98">
        <v>40567</v>
      </c>
      <c r="F118" s="96" t="s">
        <v>1093</v>
      </c>
      <c r="G118" s="99" t="s">
        <v>1094</v>
      </c>
      <c r="H118" s="100" t="s">
        <v>1095</v>
      </c>
      <c r="I118" s="101" t="s">
        <v>1096</v>
      </c>
      <c r="J118" s="71" t="str">
        <f t="array" ref="J118">IFERROR(INDEX(All_User!D:D,MATCH(D118,All_User!H:H,0)),"없음")</f>
        <v>minki.kim@stryker.com</v>
      </c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71"/>
      <c r="AJ118" s="71"/>
      <c r="AK118" s="71"/>
      <c r="AL118" s="71"/>
      <c r="AM118" s="71"/>
      <c r="AN118" s="71"/>
      <c r="AO118" s="71"/>
      <c r="AP118" s="71"/>
      <c r="AQ118" s="71"/>
      <c r="AR118" s="71"/>
      <c r="AS118" s="71"/>
      <c r="AT118" s="71"/>
      <c r="AU118" s="71"/>
      <c r="AV118" s="71"/>
      <c r="AW118" s="71"/>
      <c r="AX118" s="71"/>
      <c r="AY118" s="71"/>
      <c r="AZ118" s="71"/>
      <c r="BA118" s="71"/>
      <c r="BB118" s="71"/>
      <c r="BC118" s="71"/>
      <c r="BD118" s="71"/>
      <c r="BE118" s="71"/>
      <c r="BF118" s="71"/>
    </row>
    <row r="119" spans="1:58" ht="17">
      <c r="A119" s="65" t="s">
        <v>1090</v>
      </c>
      <c r="B119" s="65" t="s">
        <v>882</v>
      </c>
      <c r="C119" s="72"/>
      <c r="D119" s="65" t="s">
        <v>1097</v>
      </c>
      <c r="E119" s="73">
        <v>40567</v>
      </c>
      <c r="F119" s="65" t="s">
        <v>790</v>
      </c>
      <c r="G119" s="59" t="s">
        <v>1098</v>
      </c>
      <c r="H119" s="59" t="s">
        <v>83</v>
      </c>
      <c r="I119" s="89"/>
      <c r="J119" s="71" t="str">
        <f t="array" ref="J119">IFERROR(INDEX(All_User!D:D,MATCH(D119,All_User!H:H,0)),"없음")</f>
        <v>junseong.byun@stryker.com</v>
      </c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71"/>
      <c r="AJ119" s="71"/>
      <c r="AK119" s="71"/>
      <c r="AL119" s="71"/>
      <c r="AM119" s="71"/>
      <c r="AN119" s="71"/>
      <c r="AO119" s="71"/>
      <c r="AP119" s="71"/>
      <c r="AQ119" s="71"/>
      <c r="AR119" s="71"/>
      <c r="AS119" s="71"/>
      <c r="AT119" s="71"/>
      <c r="AU119" s="71"/>
      <c r="AV119" s="71"/>
      <c r="AW119" s="71"/>
      <c r="AX119" s="71"/>
      <c r="AY119" s="71"/>
      <c r="AZ119" s="71"/>
      <c r="BA119" s="71"/>
      <c r="BB119" s="71"/>
      <c r="BC119" s="71"/>
      <c r="BD119" s="71"/>
      <c r="BE119" s="71"/>
      <c r="BF119" s="71"/>
    </row>
    <row r="120" spans="1:58" ht="17">
      <c r="A120" s="65" t="s">
        <v>1090</v>
      </c>
      <c r="B120" s="65" t="s">
        <v>882</v>
      </c>
      <c r="C120" s="72"/>
      <c r="D120" s="65" t="s">
        <v>1099</v>
      </c>
      <c r="E120" s="73">
        <v>40567</v>
      </c>
      <c r="F120" s="59" t="s">
        <v>955</v>
      </c>
      <c r="G120" s="59" t="s">
        <v>1100</v>
      </c>
      <c r="H120" s="59" t="s">
        <v>110</v>
      </c>
      <c r="I120" s="89"/>
      <c r="J120" s="71" t="str">
        <f t="array" ref="J120">IFERROR(INDEX(All_User!D:D,MATCH(D120,All_User!H:H,0)),"없음")</f>
        <v>jungshin.cho@stryker.com</v>
      </c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71"/>
      <c r="AJ120" s="71"/>
      <c r="AK120" s="71"/>
      <c r="AL120" s="71"/>
      <c r="AM120" s="71"/>
      <c r="AN120" s="71"/>
      <c r="AO120" s="71"/>
      <c r="AP120" s="71"/>
      <c r="AQ120" s="71"/>
      <c r="AR120" s="71"/>
      <c r="AS120" s="71"/>
      <c r="AT120" s="71"/>
      <c r="AU120" s="71"/>
      <c r="AV120" s="71"/>
      <c r="AW120" s="71"/>
      <c r="AX120" s="71"/>
      <c r="AY120" s="71"/>
      <c r="AZ120" s="71"/>
      <c r="BA120" s="71"/>
      <c r="BB120" s="71"/>
      <c r="BC120" s="71"/>
      <c r="BD120" s="71"/>
      <c r="BE120" s="71"/>
      <c r="BF120" s="71"/>
    </row>
    <row r="121" spans="1:58" ht="17">
      <c r="A121" s="65" t="s">
        <v>1090</v>
      </c>
      <c r="B121" s="51" t="s">
        <v>882</v>
      </c>
      <c r="C121" s="77"/>
      <c r="D121" s="65" t="s">
        <v>1101</v>
      </c>
      <c r="E121" s="78">
        <v>40567</v>
      </c>
      <c r="F121" s="65" t="s">
        <v>846</v>
      </c>
      <c r="G121" s="59" t="s">
        <v>199</v>
      </c>
      <c r="H121" s="59" t="s">
        <v>201</v>
      </c>
      <c r="I121" s="59"/>
      <c r="J121" s="71" t="str">
        <f t="array" ref="J121">IFERROR(INDEX(All_User!D:D,MATCH(D121,All_User!H:H,0)),"없음")</f>
        <v>sungyoun.hur@stryker.com</v>
      </c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71"/>
      <c r="AJ121" s="71"/>
      <c r="AK121" s="71"/>
      <c r="AL121" s="71"/>
      <c r="AM121" s="71"/>
      <c r="AN121" s="71"/>
      <c r="AO121" s="71"/>
      <c r="AP121" s="71"/>
      <c r="AQ121" s="71"/>
      <c r="AR121" s="71"/>
      <c r="AS121" s="71"/>
      <c r="AT121" s="71"/>
      <c r="AU121" s="71"/>
      <c r="AV121" s="71"/>
      <c r="AW121" s="71"/>
      <c r="AX121" s="71"/>
      <c r="AY121" s="71"/>
      <c r="AZ121" s="71"/>
      <c r="BA121" s="71"/>
      <c r="BB121" s="71"/>
      <c r="BC121" s="71"/>
      <c r="BD121" s="71"/>
      <c r="BE121" s="71"/>
      <c r="BF121" s="71"/>
    </row>
    <row r="122" spans="1:58" ht="17">
      <c r="A122" s="65" t="s">
        <v>1090</v>
      </c>
      <c r="B122" s="65" t="s">
        <v>882</v>
      </c>
      <c r="C122" s="72"/>
      <c r="D122" s="65" t="s">
        <v>1102</v>
      </c>
      <c r="E122" s="73">
        <v>40567</v>
      </c>
      <c r="F122" s="65" t="s">
        <v>790</v>
      </c>
      <c r="G122" s="59" t="s">
        <v>408</v>
      </c>
      <c r="H122" s="59" t="s">
        <v>410</v>
      </c>
      <c r="I122" s="89"/>
      <c r="J122" s="71" t="str">
        <f t="array" ref="J122">IFERROR(INDEX(All_User!D:D,MATCH(D122,All_User!H:H,0)),"없음")</f>
        <v>minjeong.kim@stryker.com</v>
      </c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71"/>
      <c r="AJ122" s="71"/>
      <c r="AK122" s="71"/>
      <c r="AL122" s="71"/>
      <c r="AM122" s="71"/>
      <c r="AN122" s="71"/>
      <c r="AO122" s="71"/>
      <c r="AP122" s="71"/>
      <c r="AQ122" s="71"/>
      <c r="AR122" s="71"/>
      <c r="AS122" s="71"/>
      <c r="AT122" s="71"/>
      <c r="AU122" s="71"/>
      <c r="AV122" s="71"/>
      <c r="AW122" s="71"/>
      <c r="AX122" s="71"/>
      <c r="AY122" s="71"/>
      <c r="AZ122" s="71"/>
      <c r="BA122" s="71"/>
      <c r="BB122" s="71"/>
      <c r="BC122" s="71"/>
      <c r="BD122" s="71"/>
      <c r="BE122" s="71"/>
      <c r="BF122" s="71"/>
    </row>
    <row r="123" spans="1:58" ht="17">
      <c r="A123" s="65" t="s">
        <v>1090</v>
      </c>
      <c r="B123" s="65" t="s">
        <v>882</v>
      </c>
      <c r="C123" s="72"/>
      <c r="D123" s="65" t="s">
        <v>1103</v>
      </c>
      <c r="E123" s="73">
        <v>40567</v>
      </c>
      <c r="F123" s="65" t="s">
        <v>833</v>
      </c>
      <c r="G123" s="59" t="s">
        <v>1104</v>
      </c>
      <c r="H123" s="59" t="s">
        <v>459</v>
      </c>
      <c r="I123" s="89"/>
      <c r="J123" s="71" t="str">
        <f t="array" ref="J123">IFERROR(INDEX(All_User!D:D,MATCH(D123,All_User!H:H,0)),"없음")</f>
        <v>joy.lee@stryker.com</v>
      </c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71"/>
      <c r="AJ123" s="71"/>
      <c r="AK123" s="71"/>
      <c r="AL123" s="71"/>
      <c r="AM123" s="71"/>
      <c r="AN123" s="71"/>
      <c r="AO123" s="71"/>
      <c r="AP123" s="71"/>
      <c r="AQ123" s="71"/>
      <c r="AR123" s="71"/>
      <c r="AS123" s="71"/>
      <c r="AT123" s="71"/>
      <c r="AU123" s="71"/>
      <c r="AV123" s="71"/>
      <c r="AW123" s="71"/>
      <c r="AX123" s="71"/>
      <c r="AY123" s="71"/>
      <c r="AZ123" s="71"/>
      <c r="BA123" s="71"/>
      <c r="BB123" s="71"/>
      <c r="BC123" s="71"/>
      <c r="BD123" s="71"/>
      <c r="BE123" s="71"/>
      <c r="BF123" s="71"/>
    </row>
    <row r="124" spans="1:58" ht="17">
      <c r="A124" s="65" t="s">
        <v>1090</v>
      </c>
      <c r="B124" s="65" t="s">
        <v>882</v>
      </c>
      <c r="C124" s="72"/>
      <c r="D124" s="65" t="s">
        <v>1105</v>
      </c>
      <c r="E124" s="73">
        <v>40567</v>
      </c>
      <c r="F124" s="59" t="s">
        <v>1106</v>
      </c>
      <c r="G124" s="59" t="s">
        <v>36</v>
      </c>
      <c r="H124" s="59" t="s">
        <v>38</v>
      </c>
      <c r="I124" s="89"/>
      <c r="J124" s="71" t="str">
        <f t="array" ref="J124">IFERROR(INDEX(All_User!D:D,MATCH(D124,All_User!H:H,0)),"없음")</f>
        <v>ryan.ahn@stryker.com</v>
      </c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71"/>
      <c r="AJ124" s="71"/>
      <c r="AK124" s="71"/>
      <c r="AL124" s="71"/>
      <c r="AM124" s="71"/>
      <c r="AN124" s="71"/>
      <c r="AO124" s="71"/>
      <c r="AP124" s="71"/>
      <c r="AQ124" s="71"/>
      <c r="AR124" s="71"/>
      <c r="AS124" s="71"/>
      <c r="AT124" s="71"/>
      <c r="AU124" s="71"/>
      <c r="AV124" s="71"/>
      <c r="AW124" s="71"/>
      <c r="AX124" s="71"/>
      <c r="AY124" s="71"/>
      <c r="AZ124" s="71"/>
      <c r="BA124" s="71"/>
      <c r="BB124" s="71"/>
      <c r="BC124" s="71"/>
      <c r="BD124" s="71"/>
      <c r="BE124" s="71"/>
      <c r="BF124" s="71"/>
    </row>
    <row r="125" spans="1:58" ht="17">
      <c r="A125" s="65" t="s">
        <v>1090</v>
      </c>
      <c r="B125" s="65" t="s">
        <v>882</v>
      </c>
      <c r="C125" s="72"/>
      <c r="D125" s="65" t="s">
        <v>1107</v>
      </c>
      <c r="E125" s="73">
        <v>40567</v>
      </c>
      <c r="F125" s="65" t="s">
        <v>790</v>
      </c>
      <c r="G125" s="59" t="s">
        <v>270</v>
      </c>
      <c r="H125" s="59" t="s">
        <v>272</v>
      </c>
      <c r="I125" s="89"/>
      <c r="J125" s="71" t="str">
        <f t="array" ref="J125">IFERROR(INDEX(All_User!D:D,MATCH(D125,All_User!H:H,0)),"없음")</f>
        <v>jade.jung@stryker.com</v>
      </c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71"/>
      <c r="AJ125" s="71"/>
      <c r="AK125" s="71"/>
      <c r="AL125" s="71"/>
      <c r="AM125" s="71"/>
      <c r="AN125" s="71"/>
      <c r="AO125" s="71"/>
      <c r="AP125" s="71"/>
      <c r="AQ125" s="71"/>
      <c r="AR125" s="71"/>
      <c r="AS125" s="71"/>
      <c r="AT125" s="71"/>
      <c r="AU125" s="71"/>
      <c r="AV125" s="71"/>
      <c r="AW125" s="71"/>
      <c r="AX125" s="71"/>
      <c r="AY125" s="71"/>
      <c r="AZ125" s="71"/>
      <c r="BA125" s="71"/>
      <c r="BB125" s="71"/>
      <c r="BC125" s="71"/>
      <c r="BD125" s="71"/>
      <c r="BE125" s="71"/>
      <c r="BF125" s="71"/>
    </row>
    <row r="126" spans="1:58" ht="17">
      <c r="A126" s="65" t="s">
        <v>1090</v>
      </c>
      <c r="B126" s="65" t="s">
        <v>882</v>
      </c>
      <c r="C126" s="72"/>
      <c r="D126" s="65" t="s">
        <v>1108</v>
      </c>
      <c r="E126" s="73">
        <v>40567</v>
      </c>
      <c r="F126" s="65" t="s">
        <v>102</v>
      </c>
      <c r="G126" s="59" t="s">
        <v>1109</v>
      </c>
      <c r="H126" s="59" t="s">
        <v>392</v>
      </c>
      <c r="I126" s="89"/>
      <c r="J126" s="71" t="str">
        <f t="array" ref="J126">IFERROR(INDEX(All_User!D:D,MATCH(D126,All_User!H:H,0)),"없음")</f>
        <v>hailey.kim@stryker.com</v>
      </c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71"/>
      <c r="AJ126" s="71"/>
      <c r="AK126" s="71"/>
      <c r="AL126" s="71"/>
      <c r="AM126" s="71"/>
      <c r="AN126" s="71"/>
      <c r="AO126" s="71"/>
      <c r="AP126" s="71"/>
      <c r="AQ126" s="71"/>
      <c r="AR126" s="71"/>
      <c r="AS126" s="71"/>
      <c r="AT126" s="71"/>
      <c r="AU126" s="71"/>
      <c r="AV126" s="71"/>
      <c r="AW126" s="71"/>
      <c r="AX126" s="71"/>
      <c r="AY126" s="71"/>
      <c r="AZ126" s="71"/>
      <c r="BA126" s="71"/>
      <c r="BB126" s="71"/>
      <c r="BC126" s="71"/>
      <c r="BD126" s="71"/>
      <c r="BE126" s="71"/>
      <c r="BF126" s="71"/>
    </row>
    <row r="127" spans="1:58" ht="17">
      <c r="A127" s="65" t="s">
        <v>1090</v>
      </c>
      <c r="B127" s="65" t="s">
        <v>882</v>
      </c>
      <c r="C127" s="72"/>
      <c r="D127" s="65" t="s">
        <v>1110</v>
      </c>
      <c r="E127" s="73">
        <v>40567</v>
      </c>
      <c r="F127" s="65" t="s">
        <v>102</v>
      </c>
      <c r="G127" s="59" t="s">
        <v>97</v>
      </c>
      <c r="H127" s="59" t="s">
        <v>99</v>
      </c>
      <c r="I127" s="89"/>
      <c r="J127" s="71" t="str">
        <f t="array" ref="J127">IFERROR(INDEX(All_User!D:D,MATCH(D127,All_User!H:H,0)),"없음")</f>
        <v>heesun.cho@stryker.com</v>
      </c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71"/>
      <c r="AJ127" s="71"/>
      <c r="AK127" s="71"/>
      <c r="AL127" s="71"/>
      <c r="AM127" s="71"/>
      <c r="AN127" s="71"/>
      <c r="AO127" s="71"/>
      <c r="AP127" s="71"/>
      <c r="AQ127" s="71"/>
      <c r="AR127" s="71"/>
      <c r="AS127" s="71"/>
      <c r="AT127" s="71"/>
      <c r="AU127" s="71"/>
      <c r="AV127" s="71"/>
      <c r="AW127" s="71"/>
      <c r="AX127" s="71"/>
      <c r="AY127" s="71"/>
      <c r="AZ127" s="71"/>
      <c r="BA127" s="71"/>
      <c r="BB127" s="71"/>
      <c r="BC127" s="71"/>
      <c r="BD127" s="71"/>
      <c r="BE127" s="71"/>
      <c r="BF127" s="71"/>
    </row>
    <row r="128" spans="1:58" ht="17">
      <c r="A128" s="65" t="s">
        <v>1090</v>
      </c>
      <c r="B128" s="65" t="s">
        <v>882</v>
      </c>
      <c r="C128" s="72"/>
      <c r="D128" s="65" t="s">
        <v>1111</v>
      </c>
      <c r="E128" s="73">
        <v>40567</v>
      </c>
      <c r="F128" s="65" t="s">
        <v>790</v>
      </c>
      <c r="G128" s="59" t="s">
        <v>1112</v>
      </c>
      <c r="H128" s="59" t="s">
        <v>219</v>
      </c>
      <c r="I128" s="59"/>
      <c r="J128" s="71" t="str">
        <f t="array" ref="J128">IFERROR(INDEX(All_User!D:D,MATCH(D128,All_User!H:H,0)),"없음")</f>
        <v>daniel.jang@stryker.com</v>
      </c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71"/>
      <c r="AJ128" s="71"/>
      <c r="AK128" s="71"/>
      <c r="AL128" s="71"/>
      <c r="AM128" s="71"/>
      <c r="AN128" s="71"/>
      <c r="AO128" s="71"/>
      <c r="AP128" s="71"/>
      <c r="AQ128" s="71"/>
      <c r="AR128" s="71"/>
      <c r="AS128" s="71"/>
      <c r="AT128" s="71"/>
      <c r="AU128" s="71"/>
      <c r="AV128" s="71"/>
      <c r="AW128" s="71"/>
      <c r="AX128" s="71"/>
      <c r="AY128" s="71"/>
      <c r="AZ128" s="71"/>
      <c r="BA128" s="71"/>
      <c r="BB128" s="71"/>
      <c r="BC128" s="71"/>
      <c r="BD128" s="71"/>
      <c r="BE128" s="71"/>
      <c r="BF128" s="71"/>
    </row>
    <row r="129" spans="1:58" ht="17">
      <c r="A129" s="65" t="s">
        <v>1090</v>
      </c>
      <c r="B129" s="65" t="s">
        <v>882</v>
      </c>
      <c r="C129" s="72"/>
      <c r="D129" s="65" t="s">
        <v>1113</v>
      </c>
      <c r="E129" s="73">
        <v>40567</v>
      </c>
      <c r="F129" s="65" t="s">
        <v>833</v>
      </c>
      <c r="G129" s="59" t="s">
        <v>1114</v>
      </c>
      <c r="H129" s="59" t="s">
        <v>132</v>
      </c>
      <c r="I129" s="59"/>
      <c r="J129" s="71" t="str">
        <f t="array" ref="J129">IFERROR(INDEX(All_User!D:D,MATCH(D129,All_User!H:H,0)),"없음")</f>
        <v>jae.chung@stryker.com</v>
      </c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71"/>
      <c r="AJ129" s="71"/>
      <c r="AK129" s="71"/>
      <c r="AL129" s="71"/>
      <c r="AM129" s="71"/>
      <c r="AN129" s="71"/>
      <c r="AO129" s="71"/>
      <c r="AP129" s="71"/>
      <c r="AQ129" s="71"/>
      <c r="AR129" s="71"/>
      <c r="AS129" s="71"/>
      <c r="AT129" s="71"/>
      <c r="AU129" s="71"/>
      <c r="AV129" s="71"/>
      <c r="AW129" s="71"/>
      <c r="AX129" s="71"/>
      <c r="AY129" s="71"/>
      <c r="AZ129" s="71"/>
      <c r="BA129" s="71"/>
      <c r="BB129" s="71"/>
      <c r="BC129" s="71"/>
      <c r="BD129" s="71"/>
      <c r="BE129" s="71"/>
      <c r="BF129" s="71"/>
    </row>
    <row r="130" spans="1:58" ht="17">
      <c r="A130" s="65" t="s">
        <v>1090</v>
      </c>
      <c r="B130" s="65" t="s">
        <v>882</v>
      </c>
      <c r="C130" s="72"/>
      <c r="D130" s="65" t="s">
        <v>1115</v>
      </c>
      <c r="E130" s="73">
        <v>40567</v>
      </c>
      <c r="F130" s="65" t="s">
        <v>790</v>
      </c>
      <c r="G130" s="59" t="s">
        <v>1116</v>
      </c>
      <c r="H130" s="59" t="s">
        <v>455</v>
      </c>
      <c r="I130" s="89"/>
      <c r="J130" s="71" t="str">
        <f t="array" ref="J130">IFERROR(INDEX(All_User!D:D,MATCH(D130,All_User!H:H,0)),"없음")</f>
        <v>Jeff.Lee@stryker.com</v>
      </c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71"/>
      <c r="AJ130" s="71"/>
      <c r="AK130" s="71"/>
      <c r="AL130" s="71"/>
      <c r="AM130" s="71"/>
      <c r="AN130" s="71"/>
      <c r="AO130" s="71"/>
      <c r="AP130" s="71"/>
      <c r="AQ130" s="71"/>
      <c r="AR130" s="71"/>
      <c r="AS130" s="71"/>
      <c r="AT130" s="71"/>
      <c r="AU130" s="71"/>
      <c r="AV130" s="71"/>
      <c r="AW130" s="71"/>
      <c r="AX130" s="71"/>
      <c r="AY130" s="71"/>
      <c r="AZ130" s="71"/>
      <c r="BA130" s="71"/>
      <c r="BB130" s="71"/>
      <c r="BC130" s="71"/>
      <c r="BD130" s="71"/>
      <c r="BE130" s="71"/>
      <c r="BF130" s="71"/>
    </row>
    <row r="131" spans="1:58" ht="17">
      <c r="A131" s="65" t="s">
        <v>1090</v>
      </c>
      <c r="B131" s="65" t="s">
        <v>882</v>
      </c>
      <c r="C131" s="72"/>
      <c r="D131" s="65" t="s">
        <v>1117</v>
      </c>
      <c r="E131" s="73">
        <v>40567</v>
      </c>
      <c r="F131" s="65" t="s">
        <v>829</v>
      </c>
      <c r="G131" s="59" t="s">
        <v>154</v>
      </c>
      <c r="H131" s="59" t="s">
        <v>156</v>
      </c>
      <c r="I131" s="59"/>
      <c r="J131" s="71" t="str">
        <f t="array" ref="J131">IFERROR(INDEX(All_User!D:D,MATCH(D131,All_User!H:H,0)),"없음")</f>
        <v>gyolim.gu@stryker.com</v>
      </c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71"/>
      <c r="AJ131" s="71"/>
      <c r="AK131" s="71"/>
      <c r="AL131" s="71"/>
      <c r="AM131" s="71"/>
      <c r="AN131" s="71"/>
      <c r="AO131" s="71"/>
      <c r="AP131" s="71"/>
      <c r="AQ131" s="71"/>
      <c r="AR131" s="71"/>
      <c r="AS131" s="71"/>
      <c r="AT131" s="71"/>
      <c r="AU131" s="71"/>
      <c r="AV131" s="71"/>
      <c r="AW131" s="71"/>
      <c r="AX131" s="71"/>
      <c r="AY131" s="71"/>
      <c r="AZ131" s="71"/>
      <c r="BA131" s="71"/>
      <c r="BB131" s="71"/>
      <c r="BC131" s="71"/>
      <c r="BD131" s="71"/>
      <c r="BE131" s="71"/>
      <c r="BF131" s="71"/>
    </row>
    <row r="132" spans="1:58" ht="17">
      <c r="A132" s="65" t="s">
        <v>1090</v>
      </c>
      <c r="B132" s="65" t="s">
        <v>882</v>
      </c>
      <c r="C132" s="72"/>
      <c r="D132" s="65" t="s">
        <v>1118</v>
      </c>
      <c r="E132" s="73">
        <v>40567</v>
      </c>
      <c r="F132" s="65" t="s">
        <v>829</v>
      </c>
      <c r="G132" s="59" t="s">
        <v>506</v>
      </c>
      <c r="H132" s="79" t="s">
        <v>1119</v>
      </c>
      <c r="I132" s="89"/>
      <c r="J132" s="71" t="str">
        <f t="array" ref="J132">IFERROR(INDEX(All_User!D:D,MATCH(D132,All_User!H:H,0)),"없음")</f>
        <v>bruce.lee@stryker.com</v>
      </c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71"/>
      <c r="AJ132" s="71"/>
      <c r="AK132" s="71"/>
      <c r="AL132" s="71"/>
      <c r="AM132" s="71"/>
      <c r="AN132" s="71"/>
      <c r="AO132" s="71"/>
      <c r="AP132" s="71"/>
      <c r="AQ132" s="71"/>
      <c r="AR132" s="71"/>
      <c r="AS132" s="71"/>
      <c r="AT132" s="71"/>
      <c r="AU132" s="71"/>
      <c r="AV132" s="71"/>
      <c r="AW132" s="71"/>
      <c r="AX132" s="71"/>
      <c r="AY132" s="71"/>
      <c r="AZ132" s="71"/>
      <c r="BA132" s="71"/>
      <c r="BB132" s="71"/>
      <c r="BC132" s="71"/>
      <c r="BD132" s="71"/>
      <c r="BE132" s="71"/>
      <c r="BF132" s="71"/>
    </row>
    <row r="133" spans="1:58" ht="17">
      <c r="A133" s="65" t="s">
        <v>1090</v>
      </c>
      <c r="B133" s="65" t="s">
        <v>882</v>
      </c>
      <c r="C133" s="72"/>
      <c r="D133" s="65" t="s">
        <v>1120</v>
      </c>
      <c r="E133" s="73">
        <v>40567</v>
      </c>
      <c r="F133" s="65" t="s">
        <v>833</v>
      </c>
      <c r="G133" s="59" t="s">
        <v>1121</v>
      </c>
      <c r="H133" s="59" t="s">
        <v>615</v>
      </c>
      <c r="I133" s="89"/>
      <c r="J133" s="71" t="str">
        <f t="array" ref="J133">IFERROR(INDEX(All_User!D:D,MATCH(D133,All_User!H:H,0)),"없음")</f>
        <v>hyoseon.park@stryker.com</v>
      </c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71"/>
      <c r="AJ133" s="71"/>
      <c r="AK133" s="71"/>
      <c r="AL133" s="71"/>
      <c r="AM133" s="71"/>
      <c r="AN133" s="71"/>
      <c r="AO133" s="71"/>
      <c r="AP133" s="71"/>
      <c r="AQ133" s="71"/>
      <c r="AR133" s="71"/>
      <c r="AS133" s="71"/>
      <c r="AT133" s="71"/>
      <c r="AU133" s="71"/>
      <c r="AV133" s="71"/>
      <c r="AW133" s="71"/>
      <c r="AX133" s="71"/>
      <c r="AY133" s="71"/>
      <c r="AZ133" s="71"/>
      <c r="BA133" s="71"/>
      <c r="BB133" s="71"/>
      <c r="BC133" s="71"/>
      <c r="BD133" s="71"/>
      <c r="BE133" s="71"/>
      <c r="BF133" s="71"/>
    </row>
    <row r="134" spans="1:58" ht="17">
      <c r="A134" s="65" t="s">
        <v>1090</v>
      </c>
      <c r="B134" s="65" t="s">
        <v>882</v>
      </c>
      <c r="C134" s="72"/>
      <c r="D134" s="65" t="s">
        <v>1122</v>
      </c>
      <c r="E134" s="73">
        <v>40567</v>
      </c>
      <c r="F134" s="59" t="s">
        <v>1106</v>
      </c>
      <c r="G134" s="59" t="s">
        <v>715</v>
      </c>
      <c r="H134" s="59" t="s">
        <v>717</v>
      </c>
      <c r="I134" s="89"/>
      <c r="J134" s="71" t="str">
        <f t="array" ref="J134">IFERROR(INDEX(All_User!D:D,MATCH(D134,All_User!H:H,0)),"없음")</f>
        <v>owen.yang@stryker.com</v>
      </c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71"/>
      <c r="AJ134" s="71"/>
      <c r="AK134" s="71"/>
      <c r="AL134" s="71"/>
      <c r="AM134" s="71"/>
      <c r="AN134" s="71"/>
      <c r="AO134" s="71"/>
      <c r="AP134" s="71"/>
      <c r="AQ134" s="71"/>
      <c r="AR134" s="71"/>
      <c r="AS134" s="71"/>
      <c r="AT134" s="71"/>
      <c r="AU134" s="71"/>
      <c r="AV134" s="71"/>
      <c r="AW134" s="71"/>
      <c r="AX134" s="71"/>
      <c r="AY134" s="71"/>
      <c r="AZ134" s="71"/>
      <c r="BA134" s="71"/>
      <c r="BB134" s="71"/>
      <c r="BC134" s="71"/>
      <c r="BD134" s="71"/>
      <c r="BE134" s="71"/>
      <c r="BF134" s="71"/>
    </row>
    <row r="135" spans="1:58" ht="17">
      <c r="A135" s="65" t="s">
        <v>1090</v>
      </c>
      <c r="B135" s="65" t="s">
        <v>882</v>
      </c>
      <c r="C135" s="72">
        <v>456123</v>
      </c>
      <c r="D135" s="65" t="s">
        <v>1123</v>
      </c>
      <c r="E135" s="85" t="s">
        <v>1124</v>
      </c>
      <c r="F135" s="65" t="s">
        <v>917</v>
      </c>
      <c r="G135" s="59" t="s">
        <v>800</v>
      </c>
      <c r="H135" s="79" t="s">
        <v>1125</v>
      </c>
      <c r="I135" s="59"/>
      <c r="J135" s="71" t="str">
        <f t="array" ref="J135">IFERROR(INDEX(All_User!D:D,MATCH(D135,All_User!H:H,0)),"없음")</f>
        <v>label.ym@stryker.com</v>
      </c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71"/>
      <c r="AJ135" s="71"/>
      <c r="AK135" s="71"/>
      <c r="AL135" s="71"/>
      <c r="AM135" s="71"/>
      <c r="AN135" s="71"/>
      <c r="AO135" s="71"/>
      <c r="AP135" s="71"/>
      <c r="AQ135" s="71"/>
      <c r="AR135" s="71"/>
      <c r="AS135" s="71"/>
      <c r="AT135" s="71"/>
      <c r="AU135" s="71"/>
      <c r="AV135" s="71"/>
      <c r="AW135" s="71"/>
      <c r="AX135" s="71"/>
      <c r="AY135" s="71"/>
      <c r="AZ135" s="71"/>
      <c r="BA135" s="71"/>
      <c r="BB135" s="71"/>
      <c r="BC135" s="71"/>
      <c r="BD135" s="71"/>
      <c r="BE135" s="71"/>
      <c r="BF135" s="71"/>
    </row>
    <row r="136" spans="1:58" ht="17">
      <c r="A136" s="65" t="s">
        <v>1090</v>
      </c>
      <c r="B136" s="51" t="s">
        <v>882</v>
      </c>
      <c r="C136" s="77"/>
      <c r="D136" s="65" t="s">
        <v>1126</v>
      </c>
      <c r="E136" s="90" t="s">
        <v>1124</v>
      </c>
      <c r="F136" s="51" t="s">
        <v>909</v>
      </c>
      <c r="G136" s="58" t="s">
        <v>1127</v>
      </c>
      <c r="H136" s="58" t="s">
        <v>481</v>
      </c>
      <c r="I136" s="80"/>
      <c r="J136" s="71" t="str">
        <f t="array" ref="J136">IFERROR(INDEX(All_User!D:D,MATCH(D136,All_User!H:H,0)),"없음")</f>
        <v>daniel.lee1@stryker.com</v>
      </c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71"/>
      <c r="AJ136" s="71"/>
      <c r="AK136" s="71"/>
      <c r="AL136" s="71"/>
      <c r="AM136" s="71"/>
      <c r="AN136" s="71"/>
      <c r="AO136" s="71"/>
      <c r="AP136" s="71"/>
      <c r="AQ136" s="71"/>
      <c r="AR136" s="71"/>
      <c r="AS136" s="71"/>
      <c r="AT136" s="71"/>
      <c r="AU136" s="71"/>
      <c r="AV136" s="71"/>
      <c r="AW136" s="71"/>
      <c r="AX136" s="71"/>
      <c r="AY136" s="71"/>
      <c r="AZ136" s="71"/>
      <c r="BA136" s="71"/>
      <c r="BB136" s="71"/>
      <c r="BC136" s="71"/>
      <c r="BD136" s="71"/>
      <c r="BE136" s="71"/>
      <c r="BF136" s="71"/>
    </row>
    <row r="137" spans="1:58" ht="17">
      <c r="A137" s="65" t="s">
        <v>1090</v>
      </c>
      <c r="B137" s="65" t="s">
        <v>882</v>
      </c>
      <c r="C137" s="72"/>
      <c r="D137" s="65" t="s">
        <v>1128</v>
      </c>
      <c r="E137" s="85" t="s">
        <v>1124</v>
      </c>
      <c r="F137" s="65" t="s">
        <v>790</v>
      </c>
      <c r="G137" s="59" t="s">
        <v>67</v>
      </c>
      <c r="H137" s="59" t="s">
        <v>69</v>
      </c>
      <c r="I137" s="89"/>
      <c r="J137" s="71" t="str">
        <f t="array" ref="J137">IFERROR(INDEX(All_User!D:D,MATCH(D137,All_User!H:H,0)),"없음")</f>
        <v>bella.bang@stryker.com</v>
      </c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71"/>
      <c r="AJ137" s="71"/>
      <c r="AK137" s="71"/>
      <c r="AL137" s="71"/>
      <c r="AM137" s="71"/>
      <c r="AN137" s="71"/>
      <c r="AO137" s="71"/>
      <c r="AP137" s="71"/>
      <c r="AQ137" s="71"/>
      <c r="AR137" s="71"/>
      <c r="AS137" s="71"/>
      <c r="AT137" s="71"/>
      <c r="AU137" s="71"/>
      <c r="AV137" s="71"/>
      <c r="AW137" s="71"/>
      <c r="AX137" s="71"/>
      <c r="AY137" s="71"/>
      <c r="AZ137" s="71"/>
      <c r="BA137" s="71"/>
      <c r="BB137" s="71"/>
      <c r="BC137" s="71"/>
      <c r="BD137" s="71"/>
      <c r="BE137" s="71"/>
      <c r="BF137" s="71"/>
    </row>
    <row r="138" spans="1:58" ht="17">
      <c r="A138" s="65" t="s">
        <v>1090</v>
      </c>
      <c r="B138" s="65" t="s">
        <v>882</v>
      </c>
      <c r="C138" s="72"/>
      <c r="D138" s="65" t="s">
        <v>1129</v>
      </c>
      <c r="E138" s="85" t="s">
        <v>1124</v>
      </c>
      <c r="F138" s="65" t="s">
        <v>1130</v>
      </c>
      <c r="G138" s="59" t="s">
        <v>570</v>
      </c>
      <c r="H138" s="79" t="s">
        <v>1131</v>
      </c>
      <c r="I138" s="59"/>
      <c r="J138" s="71" t="str">
        <f t="array" ref="J138">IFERROR(INDEX(All_User!D:D,MATCH(D138,All_User!H:H,0)),"없음")</f>
        <v>jinny.park@stryker.com</v>
      </c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71"/>
      <c r="AJ138" s="71"/>
      <c r="AK138" s="71"/>
      <c r="AL138" s="71"/>
      <c r="AM138" s="71"/>
      <c r="AN138" s="71"/>
      <c r="AO138" s="71"/>
      <c r="AP138" s="71"/>
      <c r="AQ138" s="71"/>
      <c r="AR138" s="71"/>
      <c r="AS138" s="71"/>
      <c r="AT138" s="71"/>
      <c r="AU138" s="71"/>
      <c r="AV138" s="71"/>
      <c r="AW138" s="71"/>
      <c r="AX138" s="71"/>
      <c r="AY138" s="71"/>
      <c r="AZ138" s="71"/>
      <c r="BA138" s="71"/>
      <c r="BB138" s="71"/>
      <c r="BC138" s="71"/>
      <c r="BD138" s="71"/>
      <c r="BE138" s="71"/>
      <c r="BF138" s="71"/>
    </row>
    <row r="139" spans="1:58" ht="17">
      <c r="A139" s="65" t="s">
        <v>1090</v>
      </c>
      <c r="B139" s="65" t="s">
        <v>882</v>
      </c>
      <c r="C139" s="72"/>
      <c r="D139" s="65" t="s">
        <v>1132</v>
      </c>
      <c r="E139" s="85" t="s">
        <v>1124</v>
      </c>
      <c r="F139" s="65" t="s">
        <v>790</v>
      </c>
      <c r="G139" s="59" t="s">
        <v>1133</v>
      </c>
      <c r="H139" s="59" t="s">
        <v>129</v>
      </c>
      <c r="I139" s="59"/>
      <c r="J139" s="71" t="str">
        <f t="array" ref="J139">IFERROR(INDEX(All_User!D:D,MATCH(D139,All_User!H:H,0)),"없음")</f>
        <v>mason.choi@stryker.com</v>
      </c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71"/>
      <c r="AJ139" s="71"/>
      <c r="AK139" s="71"/>
      <c r="AL139" s="71"/>
      <c r="AM139" s="71"/>
      <c r="AN139" s="71"/>
      <c r="AO139" s="71"/>
      <c r="AP139" s="71"/>
      <c r="AQ139" s="71"/>
      <c r="AR139" s="71"/>
      <c r="AS139" s="71"/>
      <c r="AT139" s="71"/>
      <c r="AU139" s="71"/>
      <c r="AV139" s="71"/>
      <c r="AW139" s="71"/>
      <c r="AX139" s="71"/>
      <c r="AY139" s="71"/>
      <c r="AZ139" s="71"/>
      <c r="BA139" s="71"/>
      <c r="BB139" s="71"/>
      <c r="BC139" s="71"/>
      <c r="BD139" s="71"/>
      <c r="BE139" s="71"/>
      <c r="BF139" s="71"/>
    </row>
    <row r="140" spans="1:58" ht="17">
      <c r="A140" s="65" t="s">
        <v>1090</v>
      </c>
      <c r="B140" s="65" t="s">
        <v>882</v>
      </c>
      <c r="C140" s="72"/>
      <c r="D140" s="65" t="s">
        <v>1134</v>
      </c>
      <c r="E140" s="85" t="s">
        <v>1124</v>
      </c>
      <c r="F140" s="65" t="s">
        <v>884</v>
      </c>
      <c r="G140" s="59" t="s">
        <v>885</v>
      </c>
      <c r="H140" s="102"/>
      <c r="I140" s="103" t="s">
        <v>1135</v>
      </c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71"/>
      <c r="AJ140" s="71"/>
      <c r="AK140" s="71"/>
      <c r="AL140" s="71"/>
      <c r="AM140" s="71"/>
      <c r="AN140" s="71"/>
      <c r="AO140" s="71"/>
      <c r="AP140" s="71"/>
      <c r="AQ140" s="71"/>
      <c r="AR140" s="71"/>
      <c r="AS140" s="71"/>
      <c r="AT140" s="71"/>
      <c r="AU140" s="71"/>
      <c r="AV140" s="71"/>
      <c r="AW140" s="71"/>
      <c r="AX140" s="71"/>
      <c r="AY140" s="71"/>
      <c r="AZ140" s="71"/>
      <c r="BA140" s="71"/>
      <c r="BB140" s="71"/>
      <c r="BC140" s="71"/>
      <c r="BD140" s="71"/>
      <c r="BE140" s="71"/>
      <c r="BF140" s="71"/>
    </row>
    <row r="141" spans="1:58" ht="17">
      <c r="A141" s="65" t="s">
        <v>1090</v>
      </c>
      <c r="B141" s="65" t="s">
        <v>882</v>
      </c>
      <c r="C141" s="72"/>
      <c r="D141" s="65" t="s">
        <v>1136</v>
      </c>
      <c r="E141" s="85" t="s">
        <v>1124</v>
      </c>
      <c r="F141" s="65" t="s">
        <v>540</v>
      </c>
      <c r="G141" s="59" t="s">
        <v>1137</v>
      </c>
      <c r="H141" s="59" t="s">
        <v>351</v>
      </c>
      <c r="I141" s="59"/>
      <c r="J141" s="71" t="str">
        <f t="array" ref="J141">IFERROR(INDEX(All_User!D:D,MATCH(D141,All_User!H:H,0)),"없음")</f>
        <v>jason.kim1@stryker.com</v>
      </c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71"/>
      <c r="AJ141" s="71"/>
      <c r="AK141" s="71"/>
      <c r="AL141" s="71"/>
      <c r="AM141" s="71"/>
      <c r="AN141" s="71"/>
      <c r="AO141" s="71"/>
      <c r="AP141" s="71"/>
      <c r="AQ141" s="71"/>
      <c r="AR141" s="71"/>
      <c r="AS141" s="71"/>
      <c r="AT141" s="71"/>
      <c r="AU141" s="71"/>
      <c r="AV141" s="71"/>
      <c r="AW141" s="71"/>
      <c r="AX141" s="71"/>
      <c r="AY141" s="71"/>
      <c r="AZ141" s="71"/>
      <c r="BA141" s="71"/>
      <c r="BB141" s="71"/>
      <c r="BC141" s="71"/>
      <c r="BD141" s="71"/>
      <c r="BE141" s="71"/>
      <c r="BF141" s="71"/>
    </row>
    <row r="142" spans="1:58" ht="17">
      <c r="A142" s="65" t="s">
        <v>1090</v>
      </c>
      <c r="B142" s="65" t="s">
        <v>882</v>
      </c>
      <c r="C142" s="72"/>
      <c r="D142" s="65" t="s">
        <v>1138</v>
      </c>
      <c r="E142" s="85" t="s">
        <v>1124</v>
      </c>
      <c r="F142" s="65" t="s">
        <v>790</v>
      </c>
      <c r="G142" s="59" t="s">
        <v>1139</v>
      </c>
      <c r="H142" s="59" t="s">
        <v>289</v>
      </c>
      <c r="I142" s="89"/>
      <c r="J142" s="71" t="str">
        <f t="array" ref="J142">IFERROR(INDEX(All_User!D:D,MATCH(D142,All_User!H:H,0)),"없음")</f>
        <v>sol.jung@stryker.com</v>
      </c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71"/>
      <c r="AJ142" s="71"/>
      <c r="AK142" s="71"/>
      <c r="AL142" s="71"/>
      <c r="AM142" s="71"/>
      <c r="AN142" s="71"/>
      <c r="AO142" s="71"/>
      <c r="AP142" s="71"/>
      <c r="AQ142" s="71"/>
      <c r="AR142" s="71"/>
      <c r="AS142" s="71"/>
      <c r="AT142" s="71"/>
      <c r="AU142" s="71"/>
      <c r="AV142" s="71"/>
      <c r="AW142" s="71"/>
      <c r="AX142" s="71"/>
      <c r="AY142" s="71"/>
      <c r="AZ142" s="71"/>
      <c r="BA142" s="71"/>
      <c r="BB142" s="71"/>
      <c r="BC142" s="71"/>
      <c r="BD142" s="71"/>
      <c r="BE142" s="71"/>
      <c r="BF142" s="71"/>
    </row>
    <row r="143" spans="1:58" ht="17">
      <c r="A143" s="65" t="s">
        <v>1090</v>
      </c>
      <c r="B143" s="65" t="s">
        <v>882</v>
      </c>
      <c r="C143" s="72"/>
      <c r="D143" s="65" t="s">
        <v>1140</v>
      </c>
      <c r="E143" s="85" t="s">
        <v>1124</v>
      </c>
      <c r="F143" s="65" t="s">
        <v>899</v>
      </c>
      <c r="G143" s="59" t="s">
        <v>1141</v>
      </c>
      <c r="H143" s="59" t="s">
        <v>141</v>
      </c>
      <c r="I143" s="59"/>
      <c r="J143" s="71" t="str">
        <f t="array" ref="J143">IFERROR(INDEX(All_User!D:D,MATCH(D143,All_User!H:H,0)),"없음")</f>
        <v>chaeyeon.chung@stryker.com</v>
      </c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71"/>
      <c r="AJ143" s="71"/>
      <c r="AK143" s="71"/>
      <c r="AL143" s="71"/>
      <c r="AM143" s="71"/>
      <c r="AN143" s="71"/>
      <c r="AO143" s="71"/>
      <c r="AP143" s="71"/>
      <c r="AQ143" s="71"/>
      <c r="AR143" s="71"/>
      <c r="AS143" s="71"/>
      <c r="AT143" s="71"/>
      <c r="AU143" s="71"/>
      <c r="AV143" s="71"/>
      <c r="AW143" s="71"/>
      <c r="AX143" s="71"/>
      <c r="AY143" s="71"/>
      <c r="AZ143" s="71"/>
      <c r="BA143" s="71"/>
      <c r="BB143" s="71"/>
      <c r="BC143" s="71"/>
      <c r="BD143" s="71"/>
      <c r="BE143" s="71"/>
      <c r="BF143" s="71"/>
    </row>
    <row r="144" spans="1:58" ht="17">
      <c r="A144" s="65" t="s">
        <v>1090</v>
      </c>
      <c r="B144" s="65" t="s">
        <v>882</v>
      </c>
      <c r="C144" s="72">
        <v>456126</v>
      </c>
      <c r="D144" s="65" t="s">
        <v>1142</v>
      </c>
      <c r="E144" s="85" t="s">
        <v>1124</v>
      </c>
      <c r="F144" s="65" t="s">
        <v>884</v>
      </c>
      <c r="G144" s="59" t="s">
        <v>885</v>
      </c>
      <c r="H144" s="102"/>
      <c r="I144" s="103" t="s">
        <v>1143</v>
      </c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71"/>
      <c r="AJ144" s="71"/>
      <c r="AK144" s="71"/>
      <c r="AL144" s="71"/>
      <c r="AM144" s="71"/>
      <c r="AN144" s="71"/>
      <c r="AO144" s="71"/>
      <c r="AP144" s="71"/>
      <c r="AQ144" s="71"/>
      <c r="AR144" s="71"/>
      <c r="AS144" s="71"/>
      <c r="AT144" s="71"/>
      <c r="AU144" s="71"/>
      <c r="AV144" s="71"/>
      <c r="AW144" s="71"/>
      <c r="AX144" s="71"/>
      <c r="AY144" s="71"/>
      <c r="AZ144" s="71"/>
      <c r="BA144" s="71"/>
      <c r="BB144" s="71"/>
      <c r="BC144" s="71"/>
      <c r="BD144" s="71"/>
      <c r="BE144" s="71"/>
      <c r="BF144" s="71"/>
    </row>
    <row r="145" spans="1:58" ht="17">
      <c r="A145" s="65" t="s">
        <v>1090</v>
      </c>
      <c r="B145" s="65" t="s">
        <v>882</v>
      </c>
      <c r="C145" s="72"/>
      <c r="D145" s="65" t="s">
        <v>1144</v>
      </c>
      <c r="E145" s="85" t="s">
        <v>1124</v>
      </c>
      <c r="F145" s="65" t="s">
        <v>790</v>
      </c>
      <c r="G145" s="59" t="s">
        <v>1145</v>
      </c>
      <c r="H145" s="79" t="s">
        <v>1146</v>
      </c>
      <c r="I145" s="59"/>
      <c r="J145" s="71" t="str">
        <f t="array" ref="J145">IFERROR(INDEX(All_User!D:D,MATCH(D145,All_User!H:H,0)),"없음")</f>
        <v>lucia.park@stryker.com</v>
      </c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71"/>
      <c r="AJ145" s="71"/>
      <c r="AK145" s="71"/>
      <c r="AL145" s="71"/>
      <c r="AM145" s="71"/>
      <c r="AN145" s="71"/>
      <c r="AO145" s="71"/>
      <c r="AP145" s="71"/>
      <c r="AQ145" s="71"/>
      <c r="AR145" s="71"/>
      <c r="AS145" s="71"/>
      <c r="AT145" s="71"/>
      <c r="AU145" s="71"/>
      <c r="AV145" s="71"/>
      <c r="AW145" s="71"/>
      <c r="AX145" s="71"/>
      <c r="AY145" s="71"/>
      <c r="AZ145" s="71"/>
      <c r="BA145" s="71"/>
      <c r="BB145" s="71"/>
      <c r="BC145" s="71"/>
      <c r="BD145" s="71"/>
      <c r="BE145" s="71"/>
      <c r="BF145" s="71"/>
    </row>
    <row r="146" spans="1:58" ht="17">
      <c r="A146" s="65" t="s">
        <v>1090</v>
      </c>
      <c r="B146" s="65" t="s">
        <v>882</v>
      </c>
      <c r="C146" s="72">
        <v>456121</v>
      </c>
      <c r="D146" s="65" t="s">
        <v>1147</v>
      </c>
      <c r="E146" s="85" t="s">
        <v>1124</v>
      </c>
      <c r="F146" s="65" t="s">
        <v>921</v>
      </c>
      <c r="G146" s="59" t="s">
        <v>1148</v>
      </c>
      <c r="H146" s="59" t="s">
        <v>726</v>
      </c>
      <c r="I146" s="59"/>
      <c r="J146" s="71" t="str">
        <f t="array" ref="J146">IFERROR(INDEX(All_User!D:D,MATCH(D146,All_User!H:H,0)),"없음")</f>
        <v>jisoo.yang@stryker.com</v>
      </c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71"/>
      <c r="AJ146" s="71"/>
      <c r="AK146" s="71"/>
      <c r="AL146" s="71"/>
      <c r="AM146" s="71"/>
      <c r="AN146" s="71"/>
      <c r="AO146" s="71"/>
      <c r="AP146" s="71"/>
      <c r="AQ146" s="71"/>
      <c r="AR146" s="71"/>
      <c r="AS146" s="71"/>
      <c r="AT146" s="71"/>
      <c r="AU146" s="71"/>
      <c r="AV146" s="71"/>
      <c r="AW146" s="71"/>
      <c r="AX146" s="71"/>
      <c r="AY146" s="71"/>
      <c r="AZ146" s="71"/>
      <c r="BA146" s="71"/>
      <c r="BB146" s="71"/>
      <c r="BC146" s="71"/>
      <c r="BD146" s="71"/>
      <c r="BE146" s="71"/>
      <c r="BF146" s="71"/>
    </row>
    <row r="147" spans="1:58" ht="17">
      <c r="A147" s="65" t="s">
        <v>1090</v>
      </c>
      <c r="B147" s="65" t="s">
        <v>882</v>
      </c>
      <c r="C147" s="72">
        <v>456115</v>
      </c>
      <c r="D147" s="65" t="s">
        <v>1149</v>
      </c>
      <c r="E147" s="85" t="s">
        <v>1124</v>
      </c>
      <c r="F147" s="65" t="s">
        <v>884</v>
      </c>
      <c r="G147" s="59" t="s">
        <v>793</v>
      </c>
      <c r="H147" s="79" t="s">
        <v>1150</v>
      </c>
      <c r="I147" s="59"/>
      <c r="J147" s="71" t="str">
        <f t="array" ref="J147">IFERROR(INDEX(All_User!D:D,MATCH(D147,All_User!H:H,0)),"없음")</f>
        <v>medsurg.ym@stryker.com</v>
      </c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71"/>
      <c r="AJ147" s="71"/>
      <c r="AK147" s="71"/>
      <c r="AL147" s="71"/>
      <c r="AM147" s="71"/>
      <c r="AN147" s="71"/>
      <c r="AO147" s="71"/>
      <c r="AP147" s="71"/>
      <c r="AQ147" s="71"/>
      <c r="AR147" s="71"/>
      <c r="AS147" s="71"/>
      <c r="AT147" s="71"/>
      <c r="AU147" s="71"/>
      <c r="AV147" s="71"/>
      <c r="AW147" s="71"/>
      <c r="AX147" s="71"/>
      <c r="AY147" s="71"/>
      <c r="AZ147" s="71"/>
      <c r="BA147" s="71"/>
      <c r="BB147" s="71"/>
      <c r="BC147" s="71"/>
      <c r="BD147" s="71"/>
      <c r="BE147" s="71"/>
      <c r="BF147" s="71"/>
    </row>
    <row r="148" spans="1:58" ht="17">
      <c r="A148" s="65" t="s">
        <v>1090</v>
      </c>
      <c r="B148" s="51" t="s">
        <v>882</v>
      </c>
      <c r="C148" s="77"/>
      <c r="D148" s="65" t="s">
        <v>1151</v>
      </c>
      <c r="E148" s="90" t="s">
        <v>1124</v>
      </c>
      <c r="F148" s="65" t="s">
        <v>955</v>
      </c>
      <c r="G148" s="58" t="s">
        <v>1152</v>
      </c>
      <c r="H148" s="79" t="s">
        <v>1153</v>
      </c>
      <c r="I148" s="58"/>
      <c r="J148" s="71" t="str">
        <f t="array" ref="J148">IFERROR(INDEX(All_User!D:D,MATCH(D148,All_User!H:H,0)),"없음")</f>
        <v>daphne.kim@stryker.com</v>
      </c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71"/>
      <c r="AJ148" s="71"/>
      <c r="AK148" s="71"/>
      <c r="AL148" s="71"/>
      <c r="AM148" s="71"/>
      <c r="AN148" s="71"/>
      <c r="AO148" s="71"/>
      <c r="AP148" s="71"/>
      <c r="AQ148" s="71"/>
      <c r="AR148" s="71"/>
      <c r="AS148" s="71"/>
      <c r="AT148" s="71"/>
      <c r="AU148" s="71"/>
      <c r="AV148" s="71"/>
      <c r="AW148" s="71"/>
      <c r="AX148" s="71"/>
      <c r="AY148" s="71"/>
      <c r="AZ148" s="71"/>
      <c r="BA148" s="71"/>
      <c r="BB148" s="71"/>
      <c r="BC148" s="71"/>
      <c r="BD148" s="71"/>
      <c r="BE148" s="71"/>
      <c r="BF148" s="71"/>
    </row>
    <row r="149" spans="1:58" ht="17">
      <c r="A149" s="65" t="s">
        <v>1090</v>
      </c>
      <c r="B149" s="65" t="s">
        <v>882</v>
      </c>
      <c r="C149" s="72"/>
      <c r="D149" s="65" t="s">
        <v>1154</v>
      </c>
      <c r="E149" s="85" t="s">
        <v>1124</v>
      </c>
      <c r="F149" s="65" t="s">
        <v>1155</v>
      </c>
      <c r="G149" s="59" t="s">
        <v>1156</v>
      </c>
      <c r="H149" s="79" t="s">
        <v>1157</v>
      </c>
      <c r="I149" s="59"/>
      <c r="J149" s="71" t="str">
        <f t="array" ref="J149">IFERROR(INDEX(All_User!D:D,MATCH(D149,All_User!H:H,0)),"없음")</f>
        <v>ethan.jang@stryker.com</v>
      </c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71"/>
      <c r="AJ149" s="71"/>
      <c r="AK149" s="71"/>
      <c r="AL149" s="71"/>
      <c r="AM149" s="71"/>
      <c r="AN149" s="71"/>
      <c r="AO149" s="71"/>
      <c r="AP149" s="71"/>
      <c r="AQ149" s="71"/>
      <c r="AR149" s="71"/>
      <c r="AS149" s="71"/>
      <c r="AT149" s="71"/>
      <c r="AU149" s="71"/>
      <c r="AV149" s="71"/>
      <c r="AW149" s="71"/>
      <c r="AX149" s="71"/>
      <c r="AY149" s="71"/>
      <c r="AZ149" s="71"/>
      <c r="BA149" s="71"/>
      <c r="BB149" s="71"/>
      <c r="BC149" s="71"/>
      <c r="BD149" s="71"/>
      <c r="BE149" s="71"/>
      <c r="BF149" s="71"/>
    </row>
    <row r="150" spans="1:58" ht="17">
      <c r="A150" s="65" t="s">
        <v>1090</v>
      </c>
      <c r="B150" s="65" t="s">
        <v>882</v>
      </c>
      <c r="C150" s="72"/>
      <c r="D150" s="65" t="s">
        <v>1158</v>
      </c>
      <c r="E150" s="85" t="s">
        <v>1124</v>
      </c>
      <c r="F150" s="65" t="s">
        <v>833</v>
      </c>
      <c r="G150" s="59" t="s">
        <v>1159</v>
      </c>
      <c r="H150" s="79" t="s">
        <v>1160</v>
      </c>
      <c r="I150" s="59"/>
      <c r="J150" s="71" t="str">
        <f t="array" ref="J150">IFERROR(INDEX(All_User!D:D,MATCH(D150,All_User!H:H,0)),"없음")</f>
        <v>Justin.Kim@stryker.com</v>
      </c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71"/>
      <c r="AJ150" s="71"/>
      <c r="AK150" s="71"/>
      <c r="AL150" s="71"/>
      <c r="AM150" s="71"/>
      <c r="AN150" s="71"/>
      <c r="AO150" s="71"/>
      <c r="AP150" s="71"/>
      <c r="AQ150" s="71"/>
      <c r="AR150" s="71"/>
      <c r="AS150" s="71"/>
      <c r="AT150" s="71"/>
      <c r="AU150" s="71"/>
      <c r="AV150" s="71"/>
      <c r="AW150" s="71"/>
      <c r="AX150" s="71"/>
      <c r="AY150" s="71"/>
      <c r="AZ150" s="71"/>
      <c r="BA150" s="71"/>
      <c r="BB150" s="71"/>
      <c r="BC150" s="71"/>
      <c r="BD150" s="71"/>
      <c r="BE150" s="71"/>
      <c r="BF150" s="71"/>
    </row>
    <row r="151" spans="1:58" ht="17">
      <c r="A151" s="65" t="s">
        <v>1090</v>
      </c>
      <c r="B151" s="65" t="s">
        <v>882</v>
      </c>
      <c r="C151" s="72"/>
      <c r="D151" s="65" t="s">
        <v>1161</v>
      </c>
      <c r="E151" s="85" t="s">
        <v>1124</v>
      </c>
      <c r="F151" s="65" t="s">
        <v>309</v>
      </c>
      <c r="G151" s="59" t="s">
        <v>1162</v>
      </c>
      <c r="H151" s="79" t="s">
        <v>873</v>
      </c>
      <c r="I151" s="59"/>
      <c r="J151" s="71" t="str">
        <f t="array" ref="J151">IFERROR(INDEX(All_User!D:D,MATCH(D151,All_User!H:H,0)),"없음")</f>
        <v>andy.kim@stryker.com</v>
      </c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71"/>
      <c r="AJ151" s="71"/>
      <c r="AK151" s="71"/>
      <c r="AL151" s="71"/>
      <c r="AM151" s="71"/>
      <c r="AN151" s="71"/>
      <c r="AO151" s="71"/>
      <c r="AP151" s="71"/>
      <c r="AQ151" s="71"/>
      <c r="AR151" s="71"/>
      <c r="AS151" s="71"/>
      <c r="AT151" s="71"/>
      <c r="AU151" s="71"/>
      <c r="AV151" s="71"/>
      <c r="AW151" s="71"/>
      <c r="AX151" s="71"/>
      <c r="AY151" s="71"/>
      <c r="AZ151" s="71"/>
      <c r="BA151" s="71"/>
      <c r="BB151" s="71"/>
      <c r="BC151" s="71"/>
      <c r="BD151" s="71"/>
      <c r="BE151" s="71"/>
      <c r="BF151" s="71"/>
    </row>
    <row r="152" spans="1:58" ht="17">
      <c r="A152" s="65" t="s">
        <v>1090</v>
      </c>
      <c r="B152" s="65" t="s">
        <v>882</v>
      </c>
      <c r="C152" s="72">
        <v>456139</v>
      </c>
      <c r="D152" s="65" t="s">
        <v>1163</v>
      </c>
      <c r="E152" s="85" t="s">
        <v>1124</v>
      </c>
      <c r="F152" s="65" t="s">
        <v>917</v>
      </c>
      <c r="G152" s="59" t="s">
        <v>795</v>
      </c>
      <c r="H152" s="79" t="s">
        <v>1164</v>
      </c>
      <c r="I152" s="59"/>
      <c r="J152" s="71" t="str">
        <f t="array" ref="J152">IFERROR(INDEX(All_User!D:D,MATCH(D152,All_User!H:H,0)),"없음")</f>
        <v>recon.ym@stryker.com</v>
      </c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71"/>
      <c r="AJ152" s="71"/>
      <c r="AK152" s="71"/>
      <c r="AL152" s="71"/>
      <c r="AM152" s="71"/>
      <c r="AN152" s="71"/>
      <c r="AO152" s="71"/>
      <c r="AP152" s="71"/>
      <c r="AQ152" s="71"/>
      <c r="AR152" s="71"/>
      <c r="AS152" s="71"/>
      <c r="AT152" s="71"/>
      <c r="AU152" s="71"/>
      <c r="AV152" s="71"/>
      <c r="AW152" s="71"/>
      <c r="AX152" s="71"/>
      <c r="AY152" s="71"/>
      <c r="AZ152" s="71"/>
      <c r="BA152" s="71"/>
      <c r="BB152" s="71"/>
      <c r="BC152" s="71"/>
      <c r="BD152" s="71"/>
      <c r="BE152" s="71"/>
      <c r="BF152" s="71"/>
    </row>
    <row r="153" spans="1:58" ht="17">
      <c r="A153" s="65" t="s">
        <v>1090</v>
      </c>
      <c r="B153" s="65" t="s">
        <v>882</v>
      </c>
      <c r="C153" s="72">
        <v>456113</v>
      </c>
      <c r="D153" s="65" t="s">
        <v>1165</v>
      </c>
      <c r="E153" s="85" t="s">
        <v>1124</v>
      </c>
      <c r="F153" s="65" t="s">
        <v>833</v>
      </c>
      <c r="G153" s="59" t="s">
        <v>797</v>
      </c>
      <c r="H153" s="79" t="s">
        <v>1166</v>
      </c>
      <c r="I153" s="59"/>
      <c r="J153" s="71" t="str">
        <f t="array" ref="J153">IFERROR(INDEX(All_User!D:D,MATCH(D153,All_User!H:H,0)),"없음")</f>
        <v>stella.hwang@stryker.com</v>
      </c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71"/>
      <c r="AJ153" s="71"/>
      <c r="AK153" s="71"/>
      <c r="AL153" s="71"/>
      <c r="AM153" s="71"/>
      <c r="AN153" s="71"/>
      <c r="AO153" s="71"/>
      <c r="AP153" s="71"/>
      <c r="AQ153" s="71"/>
      <c r="AR153" s="71"/>
      <c r="AS153" s="71"/>
      <c r="AT153" s="71"/>
      <c r="AU153" s="71"/>
      <c r="AV153" s="71"/>
      <c r="AW153" s="71"/>
      <c r="AX153" s="71"/>
      <c r="AY153" s="71"/>
      <c r="AZ153" s="71"/>
      <c r="BA153" s="71"/>
      <c r="BB153" s="71"/>
      <c r="BC153" s="71"/>
      <c r="BD153" s="71"/>
      <c r="BE153" s="71"/>
      <c r="BF153" s="71"/>
    </row>
    <row r="154" spans="1:58" ht="17">
      <c r="A154" s="65" t="s">
        <v>1090</v>
      </c>
      <c r="B154" s="65" t="s">
        <v>882</v>
      </c>
      <c r="C154" s="72"/>
      <c r="D154" s="65" t="s">
        <v>1167</v>
      </c>
      <c r="E154" s="85" t="s">
        <v>1124</v>
      </c>
      <c r="F154" s="65" t="s">
        <v>850</v>
      </c>
      <c r="G154" s="59" t="s">
        <v>1168</v>
      </c>
      <c r="H154" s="79" t="s">
        <v>849</v>
      </c>
      <c r="I154" s="89"/>
      <c r="J154" s="71" t="str">
        <f t="array" ref="J154">IFERROR(INDEX(All_User!D:D,MATCH(D154,All_User!H:H,0)),"없음")</f>
        <v>ian.hwang@stryker.com</v>
      </c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71"/>
      <c r="AJ154" s="71"/>
      <c r="AK154" s="71"/>
      <c r="AL154" s="71"/>
      <c r="AM154" s="71"/>
      <c r="AN154" s="71"/>
      <c r="AO154" s="71"/>
      <c r="AP154" s="71"/>
      <c r="AQ154" s="71"/>
      <c r="AR154" s="71"/>
      <c r="AS154" s="71"/>
      <c r="AT154" s="71"/>
      <c r="AU154" s="71"/>
      <c r="AV154" s="71"/>
      <c r="AW154" s="71"/>
      <c r="AX154" s="71"/>
      <c r="AY154" s="71"/>
      <c r="AZ154" s="71"/>
      <c r="BA154" s="71"/>
      <c r="BB154" s="71"/>
      <c r="BC154" s="71"/>
      <c r="BD154" s="71"/>
      <c r="BE154" s="71"/>
      <c r="BF154" s="71"/>
    </row>
    <row r="155" spans="1:58" ht="17">
      <c r="A155" s="65" t="s">
        <v>1090</v>
      </c>
      <c r="B155" s="65" t="s">
        <v>882</v>
      </c>
      <c r="C155" s="72">
        <v>456136</v>
      </c>
      <c r="D155" s="65" t="s">
        <v>1169</v>
      </c>
      <c r="E155" s="85" t="s">
        <v>1124</v>
      </c>
      <c r="F155" s="65" t="s">
        <v>829</v>
      </c>
      <c r="G155" s="59" t="s">
        <v>1170</v>
      </c>
      <c r="H155" s="58" t="s">
        <v>828</v>
      </c>
      <c r="I155" s="59"/>
      <c r="J155" s="71" t="str">
        <f t="array" ref="J155">IFERROR(INDEX(All_User!D:D,MATCH(D155,All_User!H:H,0)),"없음")</f>
        <v>gyowon.jeong@stryker.com</v>
      </c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71"/>
      <c r="AJ155" s="71"/>
      <c r="AK155" s="71"/>
      <c r="AL155" s="71"/>
      <c r="AM155" s="71"/>
      <c r="AN155" s="71"/>
      <c r="AO155" s="71"/>
      <c r="AP155" s="71"/>
      <c r="AQ155" s="71"/>
      <c r="AR155" s="71"/>
      <c r="AS155" s="71"/>
      <c r="AT155" s="71"/>
      <c r="AU155" s="71"/>
      <c r="AV155" s="71"/>
      <c r="AW155" s="71"/>
      <c r="AX155" s="71"/>
      <c r="AY155" s="71"/>
      <c r="AZ155" s="71"/>
      <c r="BA155" s="71"/>
      <c r="BB155" s="71"/>
      <c r="BC155" s="71"/>
      <c r="BD155" s="71"/>
      <c r="BE155" s="71"/>
      <c r="BF155" s="71"/>
    </row>
    <row r="156" spans="1:58" ht="17">
      <c r="A156" s="65" t="s">
        <v>1090</v>
      </c>
      <c r="B156" s="65" t="s">
        <v>882</v>
      </c>
      <c r="C156" s="72">
        <v>456119</v>
      </c>
      <c r="D156" s="65" t="s">
        <v>1171</v>
      </c>
      <c r="E156" s="85" t="s">
        <v>1124</v>
      </c>
      <c r="F156" s="65" t="s">
        <v>917</v>
      </c>
      <c r="G156" s="59" t="s">
        <v>802</v>
      </c>
      <c r="H156" s="79" t="s">
        <v>1172</v>
      </c>
      <c r="I156" s="59"/>
      <c r="J156" s="71" t="str">
        <f t="array" ref="J156">IFERROR(INDEX(All_User!D:D,MATCH(D156,All_User!H:H,0)),"없음")</f>
        <v>orderadmin2.ym@stryker.com</v>
      </c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71"/>
      <c r="AJ156" s="71"/>
      <c r="AK156" s="71"/>
      <c r="AL156" s="71"/>
      <c r="AM156" s="71"/>
      <c r="AN156" s="71"/>
      <c r="AO156" s="71"/>
      <c r="AP156" s="71"/>
      <c r="AQ156" s="71"/>
      <c r="AR156" s="71"/>
      <c r="AS156" s="71"/>
      <c r="AT156" s="71"/>
      <c r="AU156" s="71"/>
      <c r="AV156" s="71"/>
      <c r="AW156" s="71"/>
      <c r="AX156" s="71"/>
      <c r="AY156" s="71"/>
      <c r="AZ156" s="71"/>
      <c r="BA156" s="71"/>
      <c r="BB156" s="71"/>
      <c r="BC156" s="71"/>
      <c r="BD156" s="71"/>
      <c r="BE156" s="71"/>
      <c r="BF156" s="71"/>
    </row>
    <row r="157" spans="1:58" ht="17">
      <c r="A157" s="65" t="s">
        <v>1090</v>
      </c>
      <c r="B157" s="65" t="s">
        <v>882</v>
      </c>
      <c r="C157" s="72">
        <v>456128</v>
      </c>
      <c r="D157" s="65" t="s">
        <v>1173</v>
      </c>
      <c r="E157" s="85" t="s">
        <v>1124</v>
      </c>
      <c r="F157" s="65" t="s">
        <v>917</v>
      </c>
      <c r="G157" s="59" t="s">
        <v>804</v>
      </c>
      <c r="H157" s="79" t="s">
        <v>1174</v>
      </c>
      <c r="I157" s="59"/>
      <c r="J157" s="71" t="str">
        <f t="array" ref="J157">IFERROR(INDEX(All_User!D:D,MATCH(D157,All_User!H:H,0)),"없음")</f>
        <v>NV.SKL@stryker.com-1</v>
      </c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71"/>
      <c r="AJ157" s="71"/>
      <c r="AK157" s="71"/>
      <c r="AL157" s="71"/>
      <c r="AM157" s="71"/>
      <c r="AN157" s="71"/>
      <c r="AO157" s="71"/>
      <c r="AP157" s="71"/>
      <c r="AQ157" s="71"/>
      <c r="AR157" s="71"/>
      <c r="AS157" s="71"/>
      <c r="AT157" s="71"/>
      <c r="AU157" s="71"/>
      <c r="AV157" s="71"/>
      <c r="AW157" s="71"/>
      <c r="AX157" s="71"/>
      <c r="AY157" s="71"/>
      <c r="AZ157" s="71"/>
      <c r="BA157" s="71"/>
      <c r="BB157" s="71"/>
      <c r="BC157" s="71"/>
      <c r="BD157" s="71"/>
      <c r="BE157" s="71"/>
      <c r="BF157" s="71"/>
    </row>
    <row r="158" spans="1:58" ht="17">
      <c r="A158" s="65" t="s">
        <v>1090</v>
      </c>
      <c r="B158" s="65" t="s">
        <v>882</v>
      </c>
      <c r="C158" s="72"/>
      <c r="D158" s="65" t="s">
        <v>1175</v>
      </c>
      <c r="E158" s="85" t="s">
        <v>1124</v>
      </c>
      <c r="F158" s="65" t="s">
        <v>790</v>
      </c>
      <c r="G158" s="59" t="s">
        <v>1176</v>
      </c>
      <c r="H158" s="59" t="s">
        <v>757</v>
      </c>
      <c r="I158" s="59"/>
      <c r="J158" s="71" t="str">
        <f t="array" ref="J158">IFERROR(INDEX(All_User!D:D,MATCH(D158,All_User!H:H,0)),"없음")</f>
        <v>aaron.yoon@stryker.com</v>
      </c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71"/>
      <c r="AJ158" s="71"/>
      <c r="AK158" s="71"/>
      <c r="AL158" s="71"/>
      <c r="AM158" s="71"/>
      <c r="AN158" s="71"/>
      <c r="AO158" s="71"/>
      <c r="AP158" s="71"/>
      <c r="AQ158" s="71"/>
      <c r="AR158" s="71"/>
      <c r="AS158" s="71"/>
      <c r="AT158" s="71"/>
      <c r="AU158" s="71"/>
      <c r="AV158" s="71"/>
      <c r="AW158" s="71"/>
      <c r="AX158" s="71"/>
      <c r="AY158" s="71"/>
      <c r="AZ158" s="71"/>
      <c r="BA158" s="71"/>
      <c r="BB158" s="71"/>
      <c r="BC158" s="71"/>
      <c r="BD158" s="71"/>
      <c r="BE158" s="71"/>
      <c r="BF158" s="71"/>
    </row>
    <row r="159" spans="1:58" ht="17">
      <c r="A159" s="65" t="s">
        <v>1090</v>
      </c>
      <c r="B159" s="65" t="s">
        <v>882</v>
      </c>
      <c r="C159" s="72">
        <v>456138</v>
      </c>
      <c r="D159" s="65" t="s">
        <v>1177</v>
      </c>
      <c r="E159" s="85" t="s">
        <v>1124</v>
      </c>
      <c r="F159" s="65" t="s">
        <v>917</v>
      </c>
      <c r="G159" s="59" t="s">
        <v>806</v>
      </c>
      <c r="H159" s="79" t="s">
        <v>1178</v>
      </c>
      <c r="I159" s="59"/>
      <c r="J159" s="71" t="str">
        <f t="array" ref="J159">IFERROR(INDEX(All_User!D:D,MATCH(D159,All_User!H:H,0)),"없음")</f>
        <v>NV.SKL@stryker.com-2</v>
      </c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71"/>
      <c r="AJ159" s="71"/>
      <c r="AK159" s="71"/>
      <c r="AL159" s="71"/>
      <c r="AM159" s="71"/>
      <c r="AN159" s="71"/>
      <c r="AO159" s="71"/>
      <c r="AP159" s="71"/>
      <c r="AQ159" s="71"/>
      <c r="AR159" s="71"/>
      <c r="AS159" s="71"/>
      <c r="AT159" s="71"/>
      <c r="AU159" s="71"/>
      <c r="AV159" s="71"/>
      <c r="AW159" s="71"/>
      <c r="AX159" s="71"/>
      <c r="AY159" s="71"/>
      <c r="AZ159" s="71"/>
      <c r="BA159" s="71"/>
      <c r="BB159" s="71"/>
      <c r="BC159" s="71"/>
      <c r="BD159" s="71"/>
      <c r="BE159" s="71"/>
      <c r="BF159" s="71"/>
    </row>
    <row r="160" spans="1:58" ht="17">
      <c r="A160" s="65" t="s">
        <v>1090</v>
      </c>
      <c r="B160" s="65" t="s">
        <v>882</v>
      </c>
      <c r="C160" s="72"/>
      <c r="D160" s="65" t="s">
        <v>1179</v>
      </c>
      <c r="E160" s="85" t="s">
        <v>1124</v>
      </c>
      <c r="F160" s="65" t="s">
        <v>790</v>
      </c>
      <c r="G160" s="59" t="s">
        <v>1180</v>
      </c>
      <c r="H160" s="79" t="s">
        <v>1181</v>
      </c>
      <c r="I160" s="59"/>
      <c r="J160" s="71" t="str">
        <f t="array" ref="J160">IFERROR(INDEX(All_User!D:D,MATCH(D160,All_User!H:H,0)),"없음")</f>
        <v>hannah.kim@stryker.com</v>
      </c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71"/>
      <c r="AJ160" s="71"/>
      <c r="AK160" s="71"/>
      <c r="AL160" s="71"/>
      <c r="AM160" s="71"/>
      <c r="AN160" s="71"/>
      <c r="AO160" s="71"/>
      <c r="AP160" s="71"/>
      <c r="AQ160" s="71"/>
      <c r="AR160" s="71"/>
      <c r="AS160" s="71"/>
      <c r="AT160" s="71"/>
      <c r="AU160" s="71"/>
      <c r="AV160" s="71"/>
      <c r="AW160" s="71"/>
      <c r="AX160" s="71"/>
      <c r="AY160" s="71"/>
      <c r="AZ160" s="71"/>
      <c r="BA160" s="71"/>
      <c r="BB160" s="71"/>
      <c r="BC160" s="71"/>
      <c r="BD160" s="71"/>
      <c r="BE160" s="71"/>
      <c r="BF160" s="71"/>
    </row>
    <row r="161" spans="1:58" ht="17">
      <c r="A161" s="65" t="s">
        <v>1090</v>
      </c>
      <c r="B161" s="51" t="s">
        <v>882</v>
      </c>
      <c r="C161" s="77"/>
      <c r="D161" s="65" t="s">
        <v>1182</v>
      </c>
      <c r="E161" s="90" t="s">
        <v>1124</v>
      </c>
      <c r="F161" s="51" t="s">
        <v>790</v>
      </c>
      <c r="G161" s="58" t="s">
        <v>1183</v>
      </c>
      <c r="H161" s="104" t="s">
        <v>261</v>
      </c>
      <c r="I161" s="58"/>
      <c r="J161" s="71" t="str">
        <f t="array" ref="J161">IFERROR(INDEX(All_User!D:D,MATCH(D161,All_User!H:H,0)),"없음")</f>
        <v>jay.ji@stryker.com</v>
      </c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71"/>
      <c r="AJ161" s="71"/>
      <c r="AK161" s="71"/>
      <c r="AL161" s="71"/>
      <c r="AM161" s="71"/>
      <c r="AN161" s="71"/>
      <c r="AO161" s="71"/>
      <c r="AP161" s="71"/>
      <c r="AQ161" s="71"/>
      <c r="AR161" s="71"/>
      <c r="AS161" s="71"/>
      <c r="AT161" s="71"/>
      <c r="AU161" s="71"/>
      <c r="AV161" s="71"/>
      <c r="AW161" s="71"/>
      <c r="AX161" s="71"/>
      <c r="AY161" s="71"/>
      <c r="AZ161" s="71"/>
      <c r="BA161" s="71"/>
      <c r="BB161" s="71"/>
      <c r="BC161" s="71"/>
      <c r="BD161" s="71"/>
      <c r="BE161" s="71"/>
      <c r="BF161" s="71"/>
    </row>
    <row r="162" spans="1:58" ht="17">
      <c r="A162" s="65" t="s">
        <v>1090</v>
      </c>
      <c r="B162" s="65" t="s">
        <v>882</v>
      </c>
      <c r="C162" s="72"/>
      <c r="D162" s="65" t="s">
        <v>1184</v>
      </c>
      <c r="E162" s="85" t="s">
        <v>1124</v>
      </c>
      <c r="F162" s="65" t="s">
        <v>790</v>
      </c>
      <c r="G162" s="59" t="s">
        <v>1185</v>
      </c>
      <c r="H162" s="79" t="s">
        <v>1186</v>
      </c>
      <c r="I162" s="59"/>
      <c r="J162" s="71" t="str">
        <f t="array" ref="J162">IFERROR(INDEX(All_User!D:D,MATCH(D162,All_User!H:H,0)),"없음")</f>
        <v>vincent.bae@stryker.com</v>
      </c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71"/>
      <c r="AJ162" s="71"/>
      <c r="AK162" s="71"/>
      <c r="AL162" s="71"/>
      <c r="AM162" s="71"/>
      <c r="AN162" s="71"/>
      <c r="AO162" s="71"/>
      <c r="AP162" s="71"/>
      <c r="AQ162" s="71"/>
      <c r="AR162" s="71"/>
      <c r="AS162" s="71"/>
      <c r="AT162" s="71"/>
      <c r="AU162" s="71"/>
      <c r="AV162" s="71"/>
      <c r="AW162" s="71"/>
      <c r="AX162" s="71"/>
      <c r="AY162" s="71"/>
      <c r="AZ162" s="71"/>
      <c r="BA162" s="71"/>
      <c r="BB162" s="71"/>
      <c r="BC162" s="71"/>
      <c r="BD162" s="71"/>
      <c r="BE162" s="71"/>
      <c r="BF162" s="71"/>
    </row>
    <row r="163" spans="1:58" ht="17">
      <c r="A163" s="65" t="s">
        <v>1090</v>
      </c>
      <c r="B163" s="65" t="s">
        <v>882</v>
      </c>
      <c r="C163" s="72"/>
      <c r="D163" s="65" t="s">
        <v>1187</v>
      </c>
      <c r="E163" s="85" t="s">
        <v>1124</v>
      </c>
      <c r="F163" s="65" t="s">
        <v>790</v>
      </c>
      <c r="G163" s="59" t="s">
        <v>808</v>
      </c>
      <c r="H163" s="79" t="s">
        <v>1188</v>
      </c>
      <c r="I163" s="59"/>
      <c r="J163" s="71" t="str">
        <f t="array" ref="J163">IFERROR(INDEX(All_User!D:D,MATCH(D163,All_User!H:H,0)),"없음")</f>
        <v>lucas.heo@stryker.com</v>
      </c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71"/>
      <c r="AJ163" s="71"/>
      <c r="AK163" s="71"/>
      <c r="AL163" s="71"/>
      <c r="AM163" s="71"/>
      <c r="AN163" s="71"/>
      <c r="AO163" s="71"/>
      <c r="AP163" s="71"/>
      <c r="AQ163" s="71"/>
      <c r="AR163" s="71"/>
      <c r="AS163" s="71"/>
      <c r="AT163" s="71"/>
      <c r="AU163" s="71"/>
      <c r="AV163" s="71"/>
      <c r="AW163" s="71"/>
      <c r="AX163" s="71"/>
      <c r="AY163" s="71"/>
      <c r="AZ163" s="71"/>
      <c r="BA163" s="71"/>
      <c r="BB163" s="71"/>
      <c r="BC163" s="71"/>
      <c r="BD163" s="71"/>
      <c r="BE163" s="71"/>
      <c r="BF163" s="71"/>
    </row>
    <row r="164" spans="1:58" ht="17">
      <c r="A164" s="65" t="s">
        <v>1090</v>
      </c>
      <c r="B164" s="65" t="s">
        <v>882</v>
      </c>
      <c r="C164" s="59">
        <v>465308</v>
      </c>
      <c r="D164" s="65" t="s">
        <v>1189</v>
      </c>
      <c r="E164" s="85" t="s">
        <v>1190</v>
      </c>
      <c r="F164" s="65" t="s">
        <v>790</v>
      </c>
      <c r="G164" s="59" t="s">
        <v>703</v>
      </c>
      <c r="H164" s="79" t="s">
        <v>1191</v>
      </c>
      <c r="I164" s="59"/>
      <c r="J164" s="71" t="str">
        <f t="array" ref="J164">IFERROR(INDEX(All_User!D:D,MATCH(D164,All_User!H:H,0)),"없음")</f>
        <v>hailey.song@stryker.com</v>
      </c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71"/>
      <c r="AJ164" s="71"/>
      <c r="AK164" s="71"/>
      <c r="AL164" s="71"/>
      <c r="AM164" s="71"/>
      <c r="AN164" s="71"/>
      <c r="AO164" s="71"/>
      <c r="AP164" s="71"/>
      <c r="AQ164" s="71"/>
      <c r="AR164" s="71"/>
      <c r="AS164" s="71"/>
      <c r="AT164" s="71"/>
      <c r="AU164" s="71"/>
      <c r="AV164" s="71"/>
      <c r="AW164" s="71"/>
      <c r="AX164" s="71"/>
      <c r="AY164" s="71"/>
      <c r="AZ164" s="71"/>
      <c r="BA164" s="71"/>
      <c r="BB164" s="71"/>
      <c r="BC164" s="71"/>
      <c r="BD164" s="71"/>
      <c r="BE164" s="71"/>
      <c r="BF164" s="71"/>
    </row>
    <row r="165" spans="1:58" ht="17">
      <c r="A165" s="65" t="s">
        <v>1090</v>
      </c>
      <c r="B165" s="65" t="s">
        <v>882</v>
      </c>
      <c r="C165" s="59">
        <v>465326</v>
      </c>
      <c r="D165" s="65" t="s">
        <v>1192</v>
      </c>
      <c r="E165" s="85" t="s">
        <v>1190</v>
      </c>
      <c r="F165" s="65" t="s">
        <v>790</v>
      </c>
      <c r="G165" s="59" t="s">
        <v>623</v>
      </c>
      <c r="H165" s="79" t="s">
        <v>1193</v>
      </c>
      <c r="I165" s="59"/>
      <c r="J165" s="71" t="str">
        <f t="array" ref="J165">IFERROR(INDEX(All_User!D:D,MATCH(D165,All_User!H:H,0)),"없음")</f>
        <v>soyeon.park@stryker.com</v>
      </c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71"/>
      <c r="AJ165" s="71"/>
      <c r="AK165" s="71"/>
      <c r="AL165" s="71"/>
      <c r="AM165" s="71"/>
      <c r="AN165" s="71"/>
      <c r="AO165" s="71"/>
      <c r="AP165" s="71"/>
      <c r="AQ165" s="71"/>
      <c r="AR165" s="71"/>
      <c r="AS165" s="71"/>
      <c r="AT165" s="71"/>
      <c r="AU165" s="71"/>
      <c r="AV165" s="71"/>
      <c r="AW165" s="71"/>
      <c r="AX165" s="71"/>
      <c r="AY165" s="71"/>
      <c r="AZ165" s="71"/>
      <c r="BA165" s="71"/>
      <c r="BB165" s="71"/>
      <c r="BC165" s="71"/>
      <c r="BD165" s="71"/>
      <c r="BE165" s="71"/>
      <c r="BF165" s="71"/>
    </row>
    <row r="166" spans="1:58" ht="17">
      <c r="A166" s="65" t="s">
        <v>1090</v>
      </c>
      <c r="B166" s="65" t="s">
        <v>882</v>
      </c>
      <c r="C166" s="59">
        <v>465292</v>
      </c>
      <c r="D166" s="65" t="s">
        <v>1194</v>
      </c>
      <c r="E166" s="85" t="s">
        <v>1190</v>
      </c>
      <c r="F166" s="65" t="s">
        <v>790</v>
      </c>
      <c r="G166" s="59" t="s">
        <v>616</v>
      </c>
      <c r="H166" s="105" t="s">
        <v>1195</v>
      </c>
      <c r="I166" s="59"/>
      <c r="J166" s="71" t="str">
        <f t="array" ref="J166">IFERROR(INDEX(All_User!D:D,MATCH(D166,All_User!H:H,0)),"없음")</f>
        <v>sujin.park@stryker.com</v>
      </c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71"/>
      <c r="AJ166" s="71"/>
      <c r="AK166" s="71"/>
      <c r="AL166" s="71"/>
      <c r="AM166" s="71"/>
      <c r="AN166" s="71"/>
      <c r="AO166" s="71"/>
      <c r="AP166" s="71"/>
      <c r="AQ166" s="71"/>
      <c r="AR166" s="71"/>
      <c r="AS166" s="71"/>
      <c r="AT166" s="71"/>
      <c r="AU166" s="71"/>
      <c r="AV166" s="71"/>
      <c r="AW166" s="71"/>
      <c r="AX166" s="71"/>
      <c r="AY166" s="71"/>
      <c r="AZ166" s="71"/>
      <c r="BA166" s="71"/>
      <c r="BB166" s="71"/>
      <c r="BC166" s="71"/>
      <c r="BD166" s="71"/>
      <c r="BE166" s="71"/>
      <c r="BF166" s="71"/>
    </row>
    <row r="167" spans="1:58" ht="17">
      <c r="A167" s="65" t="s">
        <v>1090</v>
      </c>
      <c r="B167" s="65" t="s">
        <v>882</v>
      </c>
      <c r="C167" s="59">
        <v>465300</v>
      </c>
      <c r="D167" s="65" t="s">
        <v>1196</v>
      </c>
      <c r="E167" s="85" t="s">
        <v>1190</v>
      </c>
      <c r="F167" s="65" t="s">
        <v>917</v>
      </c>
      <c r="G167" s="59" t="s">
        <v>810</v>
      </c>
      <c r="H167" s="79" t="s">
        <v>1197</v>
      </c>
      <c r="I167" s="59"/>
      <c r="J167" s="71" t="str">
        <f t="array" ref="J167">IFERROR(INDEX(All_User!D:D,MATCH(D167,All_User!H:H,0)),"없음")</f>
        <v>cis2.ym@stryker.com</v>
      </c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71"/>
      <c r="AJ167" s="71"/>
      <c r="AK167" s="71"/>
      <c r="AL167" s="71"/>
      <c r="AM167" s="71"/>
      <c r="AN167" s="71"/>
      <c r="AO167" s="71"/>
      <c r="AP167" s="71"/>
      <c r="AQ167" s="71"/>
      <c r="AR167" s="71"/>
      <c r="AS167" s="71"/>
      <c r="AT167" s="71"/>
      <c r="AU167" s="71"/>
      <c r="AV167" s="71"/>
      <c r="AW167" s="71"/>
      <c r="AX167" s="71"/>
      <c r="AY167" s="71"/>
      <c r="AZ167" s="71"/>
      <c r="BA167" s="71"/>
      <c r="BB167" s="71"/>
      <c r="BC167" s="71"/>
      <c r="BD167" s="71"/>
      <c r="BE167" s="71"/>
      <c r="BF167" s="71"/>
    </row>
    <row r="168" spans="1:58" ht="17">
      <c r="A168" s="65" t="s">
        <v>1090</v>
      </c>
      <c r="B168" s="65" t="s">
        <v>882</v>
      </c>
      <c r="C168" s="59">
        <v>465331</v>
      </c>
      <c r="D168" s="65" t="s">
        <v>1198</v>
      </c>
      <c r="E168" s="85" t="s">
        <v>1190</v>
      </c>
      <c r="F168" s="65" t="s">
        <v>917</v>
      </c>
      <c r="G168" s="59" t="s">
        <v>812</v>
      </c>
      <c r="H168" s="79" t="s">
        <v>1199</v>
      </c>
      <c r="I168" s="59"/>
      <c r="J168" s="71" t="str">
        <f t="array" ref="J168">IFERROR(INDEX(All_User!D:D,MATCH(D168,All_User!H:H,0)),"없음")</f>
        <v>cis6.ym@stryker.com</v>
      </c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71"/>
      <c r="AJ168" s="71"/>
      <c r="AK168" s="71"/>
      <c r="AL168" s="71"/>
      <c r="AM168" s="71"/>
      <c r="AN168" s="71"/>
      <c r="AO168" s="71"/>
      <c r="AP168" s="71"/>
      <c r="AQ168" s="71"/>
      <c r="AR168" s="71"/>
      <c r="AS168" s="71"/>
      <c r="AT168" s="71"/>
      <c r="AU168" s="71"/>
      <c r="AV168" s="71"/>
      <c r="AW168" s="71"/>
      <c r="AX168" s="71"/>
      <c r="AY168" s="71"/>
      <c r="AZ168" s="71"/>
      <c r="BA168" s="71"/>
      <c r="BB168" s="71"/>
      <c r="BC168" s="71"/>
      <c r="BD168" s="71"/>
      <c r="BE168" s="71"/>
      <c r="BF168" s="71"/>
    </row>
    <row r="169" spans="1:58" ht="17">
      <c r="A169" s="65" t="s">
        <v>1090</v>
      </c>
      <c r="B169" s="65" t="s">
        <v>882</v>
      </c>
      <c r="C169" s="59">
        <v>465321</v>
      </c>
      <c r="D169" s="65" t="s">
        <v>1200</v>
      </c>
      <c r="E169" s="85" t="s">
        <v>1190</v>
      </c>
      <c r="F169" s="65" t="s">
        <v>917</v>
      </c>
      <c r="G169" s="59" t="s">
        <v>814</v>
      </c>
      <c r="H169" s="79" t="s">
        <v>1201</v>
      </c>
      <c r="I169" s="59"/>
      <c r="J169" s="71" t="str">
        <f t="array" ref="J169">IFERROR(INDEX(All_User!D:D,MATCH(D169,All_User!H:H,0)),"없음")</f>
        <v>cis1.ym@stryker.com</v>
      </c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71"/>
      <c r="AJ169" s="71"/>
      <c r="AK169" s="71"/>
      <c r="AL169" s="71"/>
      <c r="AM169" s="71"/>
      <c r="AN169" s="71"/>
      <c r="AO169" s="71"/>
      <c r="AP169" s="71"/>
      <c r="AQ169" s="71"/>
      <c r="AR169" s="71"/>
      <c r="AS169" s="71"/>
      <c r="AT169" s="71"/>
      <c r="AU169" s="71"/>
      <c r="AV169" s="71"/>
      <c r="AW169" s="71"/>
      <c r="AX169" s="71"/>
      <c r="AY169" s="71"/>
      <c r="AZ169" s="71"/>
      <c r="BA169" s="71"/>
      <c r="BB169" s="71"/>
      <c r="BC169" s="71"/>
      <c r="BD169" s="71"/>
      <c r="BE169" s="71"/>
      <c r="BF169" s="71"/>
    </row>
    <row r="170" spans="1:58" ht="17">
      <c r="A170" s="65" t="s">
        <v>1090</v>
      </c>
      <c r="B170" s="65" t="s">
        <v>882</v>
      </c>
      <c r="C170" s="59">
        <v>465320</v>
      </c>
      <c r="D170" s="65" t="s">
        <v>1202</v>
      </c>
      <c r="E170" s="85" t="s">
        <v>1190</v>
      </c>
      <c r="F170" s="65"/>
      <c r="G170" s="59" t="s">
        <v>93</v>
      </c>
      <c r="H170" s="59" t="s">
        <v>95</v>
      </c>
      <c r="I170" s="59"/>
      <c r="J170" s="71" t="str">
        <f t="array" ref="J170">IFERROR(INDEX(All_User!D:D,MATCH(D170,All_User!H:H,0)),"없음")</f>
        <v>Willy.Chang@stryker.com</v>
      </c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71"/>
      <c r="AJ170" s="71"/>
      <c r="AK170" s="71"/>
      <c r="AL170" s="71"/>
      <c r="AM170" s="71"/>
      <c r="AN170" s="71"/>
      <c r="AO170" s="71"/>
      <c r="AP170" s="71"/>
      <c r="AQ170" s="71"/>
      <c r="AR170" s="71"/>
      <c r="AS170" s="71"/>
      <c r="AT170" s="71"/>
      <c r="AU170" s="71"/>
      <c r="AV170" s="71"/>
      <c r="AW170" s="71"/>
      <c r="AX170" s="71"/>
      <c r="AY170" s="71"/>
      <c r="AZ170" s="71"/>
      <c r="BA170" s="71"/>
      <c r="BB170" s="71"/>
      <c r="BC170" s="71"/>
      <c r="BD170" s="71"/>
      <c r="BE170" s="71"/>
      <c r="BF170" s="71"/>
    </row>
    <row r="171" spans="1:58" ht="17">
      <c r="A171" s="65" t="s">
        <v>1090</v>
      </c>
      <c r="B171" s="65" t="s">
        <v>882</v>
      </c>
      <c r="C171" s="59">
        <v>465332</v>
      </c>
      <c r="D171" s="65" t="s">
        <v>1203</v>
      </c>
      <c r="E171" s="85" t="s">
        <v>1190</v>
      </c>
      <c r="F171" s="65"/>
      <c r="G171" s="59" t="s">
        <v>711</v>
      </c>
      <c r="H171" s="59" t="s">
        <v>713</v>
      </c>
      <c r="I171" s="59"/>
      <c r="J171" s="71" t="str">
        <f t="array" ref="J171">IFERROR(INDEX(All_User!D:D,MATCH(D171,All_User!H:H,0)),"없음")</f>
        <v>David.Yang@stryker.com</v>
      </c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71"/>
      <c r="AJ171" s="71"/>
      <c r="AK171" s="71"/>
      <c r="AL171" s="71"/>
      <c r="AM171" s="71"/>
      <c r="AN171" s="71"/>
      <c r="AO171" s="71"/>
      <c r="AP171" s="71"/>
      <c r="AQ171" s="71"/>
      <c r="AR171" s="71"/>
      <c r="AS171" s="71"/>
      <c r="AT171" s="71"/>
      <c r="AU171" s="71"/>
      <c r="AV171" s="71"/>
      <c r="AW171" s="71"/>
      <c r="AX171" s="71"/>
      <c r="AY171" s="71"/>
      <c r="AZ171" s="71"/>
      <c r="BA171" s="71"/>
      <c r="BB171" s="71"/>
      <c r="BC171" s="71"/>
      <c r="BD171" s="71"/>
      <c r="BE171" s="71"/>
      <c r="BF171" s="71"/>
    </row>
    <row r="172" spans="1:58" ht="17">
      <c r="A172" s="65" t="s">
        <v>1090</v>
      </c>
      <c r="B172" s="65" t="s">
        <v>882</v>
      </c>
      <c r="C172" s="59">
        <v>465333</v>
      </c>
      <c r="D172" s="65" t="s">
        <v>1204</v>
      </c>
      <c r="E172" s="85" t="s">
        <v>1190</v>
      </c>
      <c r="F172" s="65" t="s">
        <v>833</v>
      </c>
      <c r="G172" s="59" t="s">
        <v>1205</v>
      </c>
      <c r="H172" s="56" t="s">
        <v>832</v>
      </c>
      <c r="I172" s="59"/>
      <c r="J172" s="71" t="str">
        <f t="array" ref="J172">IFERROR(INDEX(All_User!D:D,MATCH(D172,All_User!H:H,0)),"없음")</f>
        <v>dawn.kim@stryker.com</v>
      </c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71"/>
      <c r="AJ172" s="71"/>
      <c r="AK172" s="71"/>
      <c r="AL172" s="71"/>
      <c r="AM172" s="71"/>
      <c r="AN172" s="71"/>
      <c r="AO172" s="71"/>
      <c r="AP172" s="71"/>
      <c r="AQ172" s="71"/>
      <c r="AR172" s="71"/>
      <c r="AS172" s="71"/>
      <c r="AT172" s="71"/>
      <c r="AU172" s="71"/>
      <c r="AV172" s="71"/>
      <c r="AW172" s="71"/>
      <c r="AX172" s="71"/>
      <c r="AY172" s="71"/>
      <c r="AZ172" s="71"/>
      <c r="BA172" s="71"/>
      <c r="BB172" s="71"/>
      <c r="BC172" s="71"/>
      <c r="BD172" s="71"/>
      <c r="BE172" s="71"/>
      <c r="BF172" s="71"/>
    </row>
    <row r="173" spans="1:58" ht="17">
      <c r="A173" s="65" t="s">
        <v>1090</v>
      </c>
      <c r="B173" s="65" t="s">
        <v>882</v>
      </c>
      <c r="C173" s="59">
        <v>465294</v>
      </c>
      <c r="D173" s="65" t="s">
        <v>1206</v>
      </c>
      <c r="E173" s="85" t="s">
        <v>1190</v>
      </c>
      <c r="F173" s="65"/>
      <c r="G173" s="59" t="s">
        <v>737</v>
      </c>
      <c r="H173" s="59" t="s">
        <v>739</v>
      </c>
      <c r="I173" s="59"/>
      <c r="J173" s="71" t="str">
        <f t="array" ref="J173">IFERROR(INDEX(All_User!D:D,MATCH(D173,All_User!H:H,0)),"없음")</f>
        <v>jiho.yoo@stryker.com</v>
      </c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71"/>
      <c r="AJ173" s="71"/>
      <c r="AK173" s="71"/>
      <c r="AL173" s="71"/>
      <c r="AM173" s="71"/>
      <c r="AN173" s="71"/>
      <c r="AO173" s="71"/>
      <c r="AP173" s="71"/>
      <c r="AQ173" s="71"/>
      <c r="AR173" s="71"/>
      <c r="AS173" s="71"/>
      <c r="AT173" s="71"/>
      <c r="AU173" s="71"/>
      <c r="AV173" s="71"/>
      <c r="AW173" s="71"/>
      <c r="AX173" s="71"/>
      <c r="AY173" s="71"/>
      <c r="AZ173" s="71"/>
      <c r="BA173" s="71"/>
      <c r="BB173" s="71"/>
      <c r="BC173" s="71"/>
      <c r="BD173" s="71"/>
      <c r="BE173" s="71"/>
      <c r="BF173" s="71"/>
    </row>
    <row r="174" spans="1:58" ht="17">
      <c r="A174" s="65" t="s">
        <v>1090</v>
      </c>
      <c r="B174" s="65" t="s">
        <v>882</v>
      </c>
      <c r="C174" s="59">
        <v>465312</v>
      </c>
      <c r="D174" s="65" t="s">
        <v>1207</v>
      </c>
      <c r="E174" s="85" t="s">
        <v>1190</v>
      </c>
      <c r="F174" s="65"/>
      <c r="G174" s="59" t="s">
        <v>295</v>
      </c>
      <c r="H174" s="59" t="s">
        <v>297</v>
      </c>
      <c r="I174" s="59"/>
      <c r="J174" s="71" t="str">
        <f t="array" ref="J174">IFERROR(INDEX(All_User!D:D,MATCH(D174,All_User!H:H,0)),"없음")</f>
        <v>louis.kang@stryker.com</v>
      </c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71"/>
      <c r="AJ174" s="71"/>
      <c r="AK174" s="71"/>
      <c r="AL174" s="71"/>
      <c r="AM174" s="71"/>
      <c r="AN174" s="71"/>
      <c r="AO174" s="71"/>
      <c r="AP174" s="71"/>
      <c r="AQ174" s="71"/>
      <c r="AR174" s="71"/>
      <c r="AS174" s="71"/>
      <c r="AT174" s="71"/>
      <c r="AU174" s="71"/>
      <c r="AV174" s="71"/>
      <c r="AW174" s="71"/>
      <c r="AX174" s="71"/>
      <c r="AY174" s="71"/>
      <c r="AZ174" s="71"/>
      <c r="BA174" s="71"/>
      <c r="BB174" s="71"/>
      <c r="BC174" s="71"/>
      <c r="BD174" s="71"/>
      <c r="BE174" s="71"/>
      <c r="BF174" s="71"/>
    </row>
    <row r="175" spans="1:58" ht="17">
      <c r="A175" s="65" t="s">
        <v>1090</v>
      </c>
      <c r="B175" s="65" t="s">
        <v>882</v>
      </c>
      <c r="C175" s="59"/>
      <c r="D175" s="65" t="s">
        <v>1208</v>
      </c>
      <c r="E175" s="85" t="s">
        <v>1190</v>
      </c>
      <c r="F175" s="65"/>
      <c r="G175" s="59" t="s">
        <v>208</v>
      </c>
      <c r="H175" s="59" t="s">
        <v>210</v>
      </c>
      <c r="I175" s="59"/>
      <c r="J175" s="71" t="str">
        <f t="array" ref="J175">IFERROR(INDEX(All_User!D:D,MATCH(D175,All_User!H:H,0)),"없음")</f>
        <v>young.hwang@stryker.com</v>
      </c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71"/>
      <c r="AJ175" s="71"/>
      <c r="AK175" s="71"/>
      <c r="AL175" s="71"/>
      <c r="AM175" s="71"/>
      <c r="AN175" s="71"/>
      <c r="AO175" s="71"/>
      <c r="AP175" s="71"/>
      <c r="AQ175" s="71"/>
      <c r="AR175" s="71"/>
      <c r="AS175" s="71"/>
      <c r="AT175" s="71"/>
      <c r="AU175" s="71"/>
      <c r="AV175" s="71"/>
      <c r="AW175" s="71"/>
      <c r="AX175" s="71"/>
      <c r="AY175" s="71"/>
      <c r="AZ175" s="71"/>
      <c r="BA175" s="71"/>
      <c r="BB175" s="71"/>
      <c r="BC175" s="71"/>
      <c r="BD175" s="71"/>
      <c r="BE175" s="71"/>
      <c r="BF175" s="71"/>
    </row>
    <row r="176" spans="1:58" ht="17">
      <c r="A176" s="65" t="s">
        <v>1090</v>
      </c>
      <c r="B176" s="65" t="s">
        <v>882</v>
      </c>
      <c r="C176" s="59">
        <v>465314</v>
      </c>
      <c r="D176" s="65" t="s">
        <v>1209</v>
      </c>
      <c r="E176" s="85" t="s">
        <v>1190</v>
      </c>
      <c r="F176" s="51" t="s">
        <v>102</v>
      </c>
      <c r="G176" s="58" t="s">
        <v>1210</v>
      </c>
      <c r="H176" s="79" t="s">
        <v>1211</v>
      </c>
      <c r="I176" s="59"/>
      <c r="J176" s="71" t="str">
        <f t="array" ref="J176">IFERROR(INDEX(All_User!D:D,MATCH(D176,All_User!H:H,0)),"없음")</f>
        <v>terry.kim@stryker.com</v>
      </c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71"/>
      <c r="AJ176" s="71"/>
      <c r="AK176" s="71"/>
      <c r="AL176" s="71"/>
      <c r="AM176" s="71"/>
      <c r="AN176" s="71"/>
      <c r="AO176" s="71"/>
      <c r="AP176" s="71"/>
      <c r="AQ176" s="71"/>
      <c r="AR176" s="71"/>
      <c r="AS176" s="71"/>
      <c r="AT176" s="71"/>
      <c r="AU176" s="71"/>
      <c r="AV176" s="71"/>
      <c r="AW176" s="71"/>
      <c r="AX176" s="71"/>
      <c r="AY176" s="71"/>
      <c r="AZ176" s="71"/>
      <c r="BA176" s="71"/>
      <c r="BB176" s="71"/>
      <c r="BC176" s="71"/>
      <c r="BD176" s="71"/>
      <c r="BE176" s="71"/>
      <c r="BF176" s="71"/>
    </row>
    <row r="177" spans="1:58" ht="17">
      <c r="A177" s="65" t="s">
        <v>1090</v>
      </c>
      <c r="B177" s="65" t="s">
        <v>882</v>
      </c>
      <c r="C177" s="59">
        <v>465322</v>
      </c>
      <c r="D177" s="65" t="s">
        <v>1212</v>
      </c>
      <c r="E177" s="85" t="s">
        <v>1190</v>
      </c>
      <c r="F177" s="65" t="s">
        <v>790</v>
      </c>
      <c r="G177" s="59" t="s">
        <v>788</v>
      </c>
      <c r="H177" s="105" t="s">
        <v>1213</v>
      </c>
      <c r="I177" s="59"/>
      <c r="J177" s="71" t="str">
        <f t="array" ref="J177">IFERROR(INDEX(All_User!D:D,MATCH(D177,All_User!H:H,0)),"없음")</f>
        <v>neal.kim@stryker.com</v>
      </c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71"/>
      <c r="AJ177" s="71"/>
      <c r="AK177" s="71"/>
      <c r="AL177" s="71"/>
      <c r="AM177" s="71"/>
      <c r="AN177" s="71"/>
      <c r="AO177" s="71"/>
      <c r="AP177" s="71"/>
      <c r="AQ177" s="71"/>
      <c r="AR177" s="71"/>
      <c r="AS177" s="71"/>
      <c r="AT177" s="71"/>
      <c r="AU177" s="71"/>
      <c r="AV177" s="71"/>
      <c r="AW177" s="71"/>
      <c r="AX177" s="71"/>
      <c r="AY177" s="71"/>
      <c r="AZ177" s="71"/>
      <c r="BA177" s="71"/>
      <c r="BB177" s="71"/>
      <c r="BC177" s="71"/>
      <c r="BD177" s="71"/>
      <c r="BE177" s="71"/>
      <c r="BF177" s="71"/>
    </row>
    <row r="178" spans="1:58" ht="17">
      <c r="A178" s="65" t="s">
        <v>1090</v>
      </c>
      <c r="B178" s="65" t="s">
        <v>882</v>
      </c>
      <c r="C178" s="59">
        <v>465328</v>
      </c>
      <c r="D178" s="65" t="s">
        <v>1214</v>
      </c>
      <c r="E178" s="85" t="s">
        <v>1190</v>
      </c>
      <c r="F178" s="65" t="s">
        <v>850</v>
      </c>
      <c r="G178" s="59" t="s">
        <v>340</v>
      </c>
      <c r="H178" s="58" t="s">
        <v>342</v>
      </c>
      <c r="I178" s="59"/>
      <c r="J178" s="71" t="str">
        <f t="array" ref="J178">IFERROR(INDEX(All_User!D:D,MATCH(D178,All_User!H:H,0)),"없음")</f>
        <v>jackson.kim@stryker.com</v>
      </c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71"/>
      <c r="AJ178" s="71"/>
      <c r="AK178" s="71"/>
      <c r="AL178" s="71"/>
      <c r="AM178" s="71"/>
      <c r="AN178" s="71"/>
      <c r="AO178" s="71"/>
      <c r="AP178" s="71"/>
      <c r="AQ178" s="71"/>
      <c r="AR178" s="71"/>
      <c r="AS178" s="71"/>
      <c r="AT178" s="71"/>
      <c r="AU178" s="71"/>
      <c r="AV178" s="71"/>
      <c r="AW178" s="71"/>
      <c r="AX178" s="71"/>
      <c r="AY178" s="71"/>
      <c r="AZ178" s="71"/>
      <c r="BA178" s="71"/>
      <c r="BB178" s="71"/>
      <c r="BC178" s="71"/>
      <c r="BD178" s="71"/>
      <c r="BE178" s="71"/>
      <c r="BF178" s="71"/>
    </row>
    <row r="179" spans="1:58" ht="17">
      <c r="A179" s="65" t="s">
        <v>1090</v>
      </c>
      <c r="B179" s="65" t="s">
        <v>882</v>
      </c>
      <c r="C179" s="59">
        <v>465293</v>
      </c>
      <c r="D179" s="65" t="s">
        <v>1215</v>
      </c>
      <c r="E179" s="85" t="s">
        <v>1190</v>
      </c>
      <c r="F179" s="65" t="s">
        <v>917</v>
      </c>
      <c r="G179" s="59" t="s">
        <v>816</v>
      </c>
      <c r="H179" s="79" t="s">
        <v>1216</v>
      </c>
      <c r="I179" s="59"/>
      <c r="J179" s="71" t="str">
        <f t="array" ref="J179">IFERROR(INDEX(All_User!D:D,MATCH(D179,All_User!H:H,0)),"없음")</f>
        <v>cis7.ym@stryker.com</v>
      </c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71"/>
      <c r="AJ179" s="71"/>
      <c r="AK179" s="71"/>
      <c r="AL179" s="71"/>
      <c r="AM179" s="71"/>
      <c r="AN179" s="71"/>
      <c r="AO179" s="71"/>
      <c r="AP179" s="71"/>
      <c r="AQ179" s="71"/>
      <c r="AR179" s="71"/>
      <c r="AS179" s="71"/>
      <c r="AT179" s="71"/>
      <c r="AU179" s="71"/>
      <c r="AV179" s="71"/>
      <c r="AW179" s="71"/>
      <c r="AX179" s="71"/>
      <c r="AY179" s="71"/>
      <c r="AZ179" s="71"/>
      <c r="BA179" s="71"/>
      <c r="BB179" s="71"/>
      <c r="BC179" s="71"/>
      <c r="BD179" s="71"/>
      <c r="BE179" s="71"/>
      <c r="BF179" s="71"/>
    </row>
    <row r="180" spans="1:58" ht="17">
      <c r="A180" s="65" t="s">
        <v>1090</v>
      </c>
      <c r="B180" s="65" t="s">
        <v>882</v>
      </c>
      <c r="C180" s="59"/>
      <c r="D180" s="65" t="s">
        <v>1217</v>
      </c>
      <c r="E180" s="85" t="s">
        <v>1190</v>
      </c>
      <c r="F180" s="65" t="s">
        <v>790</v>
      </c>
      <c r="G180" s="59" t="s">
        <v>697</v>
      </c>
      <c r="H180" s="58" t="s">
        <v>699</v>
      </c>
      <c r="I180" s="59"/>
      <c r="J180" s="71" t="str">
        <f t="array" ref="J180">IFERROR(INDEX(All_User!D:D,MATCH(D180,All_User!H:H,0)),"없음")</f>
        <v>ethan.song@stryker.com</v>
      </c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71"/>
      <c r="AJ180" s="71"/>
      <c r="AK180" s="71"/>
      <c r="AL180" s="71"/>
      <c r="AM180" s="71"/>
      <c r="AN180" s="71"/>
      <c r="AO180" s="71"/>
      <c r="AP180" s="71"/>
      <c r="AQ180" s="71"/>
      <c r="AR180" s="71"/>
      <c r="AS180" s="71"/>
      <c r="AT180" s="71"/>
      <c r="AU180" s="71"/>
      <c r="AV180" s="71"/>
      <c r="AW180" s="71"/>
      <c r="AX180" s="71"/>
      <c r="AY180" s="71"/>
      <c r="AZ180" s="71"/>
      <c r="BA180" s="71"/>
      <c r="BB180" s="71"/>
      <c r="BC180" s="71"/>
      <c r="BD180" s="71"/>
      <c r="BE180" s="71"/>
      <c r="BF180" s="71"/>
    </row>
    <row r="181" spans="1:58" ht="17">
      <c r="A181" s="65" t="s">
        <v>1090</v>
      </c>
      <c r="B181" s="65" t="s">
        <v>882</v>
      </c>
      <c r="C181" s="59">
        <v>465289</v>
      </c>
      <c r="D181" s="65" t="s">
        <v>1218</v>
      </c>
      <c r="E181" s="85" t="s">
        <v>1190</v>
      </c>
      <c r="F181" s="65" t="s">
        <v>917</v>
      </c>
      <c r="G181" s="59" t="s">
        <v>818</v>
      </c>
      <c r="H181" s="79" t="s">
        <v>1219</v>
      </c>
      <c r="I181" s="59"/>
      <c r="J181" s="71" t="str">
        <f t="array" ref="J181">IFERROR(INDEX(All_User!D:D,MATCH(D181,All_User!H:H,0)),"없음")</f>
        <v>cis3.ym@stryker.com</v>
      </c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71"/>
      <c r="AJ181" s="71"/>
      <c r="AK181" s="71"/>
      <c r="AL181" s="71"/>
      <c r="AM181" s="71"/>
      <c r="AN181" s="71"/>
      <c r="AO181" s="71"/>
      <c r="AP181" s="71"/>
      <c r="AQ181" s="71"/>
      <c r="AR181" s="71"/>
      <c r="AS181" s="71"/>
      <c r="AT181" s="71"/>
      <c r="AU181" s="71"/>
      <c r="AV181" s="71"/>
      <c r="AW181" s="71"/>
      <c r="AX181" s="71"/>
      <c r="AY181" s="71"/>
      <c r="AZ181" s="71"/>
      <c r="BA181" s="71"/>
      <c r="BB181" s="71"/>
      <c r="BC181" s="71"/>
      <c r="BD181" s="71"/>
      <c r="BE181" s="71"/>
      <c r="BF181" s="71"/>
    </row>
    <row r="182" spans="1:58" ht="17">
      <c r="A182" s="65" t="s">
        <v>1090</v>
      </c>
      <c r="B182" s="65" t="s">
        <v>882</v>
      </c>
      <c r="C182" s="59"/>
      <c r="D182" s="65" t="s">
        <v>1220</v>
      </c>
      <c r="E182" s="85" t="s">
        <v>1190</v>
      </c>
      <c r="F182" s="65"/>
      <c r="G182" s="59" t="s">
        <v>171</v>
      </c>
      <c r="H182" s="59" t="s">
        <v>173</v>
      </c>
      <c r="I182" s="59"/>
      <c r="J182" s="71" t="str">
        <f t="array" ref="J182">IFERROR(INDEX(All_User!D:D,MATCH(D182,All_User!H:H,0)),"없음")</f>
        <v>jason.han@stryker.com</v>
      </c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71"/>
      <c r="AJ182" s="71"/>
      <c r="AK182" s="71"/>
      <c r="AL182" s="71"/>
      <c r="AM182" s="71"/>
      <c r="AN182" s="71"/>
      <c r="AO182" s="71"/>
      <c r="AP182" s="71"/>
      <c r="AQ182" s="71"/>
      <c r="AR182" s="71"/>
      <c r="AS182" s="71"/>
      <c r="AT182" s="71"/>
      <c r="AU182" s="71"/>
      <c r="AV182" s="71"/>
      <c r="AW182" s="71"/>
      <c r="AX182" s="71"/>
      <c r="AY182" s="71"/>
      <c r="AZ182" s="71"/>
      <c r="BA182" s="71"/>
      <c r="BB182" s="71"/>
      <c r="BC182" s="71"/>
      <c r="BD182" s="71"/>
      <c r="BE182" s="71"/>
      <c r="BF182" s="71"/>
    </row>
    <row r="183" spans="1:58" ht="17">
      <c r="A183" s="65" t="s">
        <v>1090</v>
      </c>
      <c r="B183" s="65" t="s">
        <v>882</v>
      </c>
      <c r="C183" s="59"/>
      <c r="D183" s="65" t="s">
        <v>1221</v>
      </c>
      <c r="E183" s="85" t="s">
        <v>1190</v>
      </c>
      <c r="F183" s="65"/>
      <c r="G183" s="59" t="s">
        <v>384</v>
      </c>
      <c r="H183" s="59" t="s">
        <v>386</v>
      </c>
      <c r="I183" s="59"/>
      <c r="J183" s="71" t="str">
        <f t="array" ref="J183">IFERROR(INDEX(All_User!D:D,MATCH(D183,All_User!H:H,0)),"없음")</f>
        <v>soyoun.kim@stryker.com</v>
      </c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71"/>
      <c r="AJ183" s="71"/>
      <c r="AK183" s="71"/>
      <c r="AL183" s="71"/>
      <c r="AM183" s="71"/>
      <c r="AN183" s="71"/>
      <c r="AO183" s="71"/>
      <c r="AP183" s="71"/>
      <c r="AQ183" s="71"/>
      <c r="AR183" s="71"/>
      <c r="AS183" s="71"/>
      <c r="AT183" s="71"/>
      <c r="AU183" s="71"/>
      <c r="AV183" s="71"/>
      <c r="AW183" s="71"/>
      <c r="AX183" s="71"/>
      <c r="AY183" s="71"/>
      <c r="AZ183" s="71"/>
      <c r="BA183" s="71"/>
      <c r="BB183" s="71"/>
      <c r="BC183" s="71"/>
      <c r="BD183" s="71"/>
      <c r="BE183" s="71"/>
      <c r="BF183" s="71"/>
    </row>
    <row r="184" spans="1:58" ht="17">
      <c r="A184" s="65" t="s">
        <v>1090</v>
      </c>
      <c r="B184" s="65" t="s">
        <v>882</v>
      </c>
      <c r="C184" s="59">
        <v>465319</v>
      </c>
      <c r="D184" s="65" t="s">
        <v>1222</v>
      </c>
      <c r="E184" s="85" t="s">
        <v>1190</v>
      </c>
      <c r="F184" s="65" t="s">
        <v>833</v>
      </c>
      <c r="G184" s="59" t="s">
        <v>1223</v>
      </c>
      <c r="H184" s="79" t="s">
        <v>1224</v>
      </c>
      <c r="I184" s="59"/>
      <c r="J184" s="71" t="str">
        <f t="array" ref="J184">IFERROR(INDEX(All_User!D:D,MATCH(D184,All_User!H:H,0)),"없음")</f>
        <v>Bomin.kim@stryker.com</v>
      </c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71"/>
      <c r="AJ184" s="71"/>
      <c r="AK184" s="71"/>
      <c r="AL184" s="71"/>
      <c r="AM184" s="71"/>
      <c r="AN184" s="71"/>
      <c r="AO184" s="71"/>
      <c r="AP184" s="71"/>
      <c r="AQ184" s="71"/>
      <c r="AR184" s="71"/>
      <c r="AS184" s="71"/>
      <c r="AT184" s="71"/>
      <c r="AU184" s="71"/>
      <c r="AV184" s="71"/>
      <c r="AW184" s="71"/>
      <c r="AX184" s="71"/>
      <c r="AY184" s="71"/>
      <c r="AZ184" s="71"/>
      <c r="BA184" s="71"/>
      <c r="BB184" s="71"/>
      <c r="BC184" s="71"/>
      <c r="BD184" s="71"/>
      <c r="BE184" s="71"/>
      <c r="BF184" s="71"/>
    </row>
    <row r="185" spans="1:58" ht="17">
      <c r="A185" s="65" t="s">
        <v>1090</v>
      </c>
      <c r="B185" s="65" t="s">
        <v>882</v>
      </c>
      <c r="C185" s="59">
        <v>465309</v>
      </c>
      <c r="D185" s="65" t="s">
        <v>1225</v>
      </c>
      <c r="E185" s="85" t="s">
        <v>1190</v>
      </c>
      <c r="F185" s="65"/>
      <c r="G185" s="59" t="s">
        <v>103</v>
      </c>
      <c r="H185" s="59" t="s">
        <v>105</v>
      </c>
      <c r="I185" s="59"/>
      <c r="J185" s="71" t="str">
        <f t="array" ref="J185">IFERROR(INDEX(All_User!D:D,MATCH(D185,All_User!H:H,0)),"없음")</f>
        <v>martin.cho@stryker.com</v>
      </c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71"/>
      <c r="AJ185" s="71"/>
      <c r="AK185" s="71"/>
      <c r="AL185" s="71"/>
      <c r="AM185" s="71"/>
      <c r="AN185" s="71"/>
      <c r="AO185" s="71"/>
      <c r="AP185" s="71"/>
      <c r="AQ185" s="71"/>
      <c r="AR185" s="71"/>
      <c r="AS185" s="71"/>
      <c r="AT185" s="71"/>
      <c r="AU185" s="71"/>
      <c r="AV185" s="71"/>
      <c r="AW185" s="71"/>
      <c r="AX185" s="71"/>
      <c r="AY185" s="71"/>
      <c r="AZ185" s="71"/>
      <c r="BA185" s="71"/>
      <c r="BB185" s="71"/>
      <c r="BC185" s="71"/>
      <c r="BD185" s="71"/>
      <c r="BE185" s="71"/>
      <c r="BF185" s="71"/>
    </row>
    <row r="186" spans="1:58" ht="17">
      <c r="A186" s="65" t="s">
        <v>1090</v>
      </c>
      <c r="B186" s="65" t="s">
        <v>882</v>
      </c>
      <c r="C186" s="59">
        <v>465302</v>
      </c>
      <c r="D186" s="65" t="s">
        <v>1226</v>
      </c>
      <c r="E186" s="85" t="s">
        <v>1190</v>
      </c>
      <c r="F186" s="65"/>
      <c r="G186" s="59" t="s">
        <v>661</v>
      </c>
      <c r="H186" s="59" t="s">
        <v>663</v>
      </c>
      <c r="I186" s="59"/>
      <c r="J186" s="71" t="str">
        <f t="array" ref="J186">IFERROR(INDEX(All_User!D:D,MATCH(D186,All_User!H:H,0)),"없음")</f>
        <v>dana.shin@stryker.com</v>
      </c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71"/>
      <c r="AJ186" s="71"/>
      <c r="AK186" s="71"/>
      <c r="AL186" s="71"/>
      <c r="AM186" s="71"/>
      <c r="AN186" s="71"/>
      <c r="AO186" s="71"/>
      <c r="AP186" s="71"/>
      <c r="AQ186" s="71"/>
      <c r="AR186" s="71"/>
      <c r="AS186" s="71"/>
      <c r="AT186" s="71"/>
      <c r="AU186" s="71"/>
      <c r="AV186" s="71"/>
      <c r="AW186" s="71"/>
      <c r="AX186" s="71"/>
      <c r="AY186" s="71"/>
      <c r="AZ186" s="71"/>
      <c r="BA186" s="71"/>
      <c r="BB186" s="71"/>
      <c r="BC186" s="71"/>
      <c r="BD186" s="71"/>
      <c r="BE186" s="71"/>
      <c r="BF186" s="71"/>
    </row>
    <row r="187" spans="1:58" ht="17">
      <c r="A187" s="65" t="s">
        <v>1090</v>
      </c>
      <c r="B187" s="65" t="s">
        <v>882</v>
      </c>
      <c r="C187" s="59">
        <v>465329</v>
      </c>
      <c r="D187" s="65" t="s">
        <v>1227</v>
      </c>
      <c r="E187" s="85" t="s">
        <v>1190</v>
      </c>
      <c r="F187" s="65"/>
      <c r="G187" s="59" t="s">
        <v>860</v>
      </c>
      <c r="H187" s="59" t="s">
        <v>862</v>
      </c>
      <c r="I187" s="59"/>
      <c r="J187" s="71" t="str">
        <f t="array" ref="J187">IFERROR(INDEX(All_User!D:D,MATCH(D187,All_User!H:H,0)),"없음")</f>
        <v>shawn.kim@stryker.com</v>
      </c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71"/>
      <c r="AJ187" s="71"/>
      <c r="AK187" s="71"/>
      <c r="AL187" s="71"/>
      <c r="AM187" s="71"/>
      <c r="AN187" s="71"/>
      <c r="AO187" s="71"/>
      <c r="AP187" s="71"/>
      <c r="AQ187" s="71"/>
      <c r="AR187" s="71"/>
      <c r="AS187" s="71"/>
      <c r="AT187" s="71"/>
      <c r="AU187" s="71"/>
      <c r="AV187" s="71"/>
      <c r="AW187" s="71"/>
      <c r="AX187" s="71"/>
      <c r="AY187" s="71"/>
      <c r="AZ187" s="71"/>
      <c r="BA187" s="71"/>
      <c r="BB187" s="71"/>
      <c r="BC187" s="71"/>
      <c r="BD187" s="71"/>
      <c r="BE187" s="71"/>
      <c r="BF187" s="71"/>
    </row>
    <row r="188" spans="1:58" ht="17">
      <c r="A188" s="65" t="s">
        <v>1090</v>
      </c>
      <c r="B188" s="65" t="s">
        <v>882</v>
      </c>
      <c r="C188" s="59">
        <v>465298</v>
      </c>
      <c r="D188" s="65" t="s">
        <v>1228</v>
      </c>
      <c r="E188" s="85" t="s">
        <v>1190</v>
      </c>
      <c r="F188" s="51" t="s">
        <v>540</v>
      </c>
      <c r="G188" s="58" t="s">
        <v>670</v>
      </c>
      <c r="H188" s="59" t="s">
        <v>672</v>
      </c>
      <c r="I188" s="59" t="s">
        <v>1034</v>
      </c>
      <c r="J188" s="71" t="str">
        <f t="array" ref="J188">IFERROR(INDEX(All_User!D:D,MATCH(D188,All_User!H:H,0)),"없음")</f>
        <v>Simon.sin@stryker.com</v>
      </c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71"/>
      <c r="AJ188" s="71"/>
      <c r="AK188" s="71"/>
      <c r="AL188" s="71"/>
      <c r="AM188" s="71"/>
      <c r="AN188" s="71"/>
      <c r="AO188" s="71"/>
      <c r="AP188" s="71"/>
      <c r="AQ188" s="71"/>
      <c r="AR188" s="71"/>
      <c r="AS188" s="71"/>
      <c r="AT188" s="71"/>
      <c r="AU188" s="71"/>
      <c r="AV188" s="71"/>
      <c r="AW188" s="71"/>
      <c r="AX188" s="71"/>
      <c r="AY188" s="71"/>
      <c r="AZ188" s="71"/>
      <c r="BA188" s="71"/>
      <c r="BB188" s="71"/>
      <c r="BC188" s="71"/>
      <c r="BD188" s="71"/>
      <c r="BE188" s="71"/>
      <c r="BF188" s="71"/>
    </row>
    <row r="189" spans="1:58" ht="17">
      <c r="A189" s="65" t="s">
        <v>1090</v>
      </c>
      <c r="B189" s="65" t="s">
        <v>882</v>
      </c>
      <c r="C189" s="59">
        <v>465324</v>
      </c>
      <c r="D189" s="65" t="s">
        <v>1229</v>
      </c>
      <c r="E189" s="85" t="s">
        <v>1190</v>
      </c>
      <c r="F189" s="51" t="s">
        <v>1230</v>
      </c>
      <c r="G189" s="58" t="s">
        <v>1231</v>
      </c>
      <c r="H189" s="59" t="s">
        <v>1232</v>
      </c>
      <c r="I189" s="59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71"/>
      <c r="AJ189" s="71"/>
      <c r="AK189" s="71"/>
      <c r="AL189" s="71"/>
      <c r="AM189" s="71"/>
      <c r="AN189" s="71"/>
      <c r="AO189" s="71"/>
      <c r="AP189" s="71"/>
      <c r="AQ189" s="71"/>
      <c r="AR189" s="71"/>
      <c r="AS189" s="71"/>
      <c r="AT189" s="71"/>
      <c r="AU189" s="71"/>
      <c r="AV189" s="71"/>
      <c r="AW189" s="71"/>
      <c r="AX189" s="71"/>
      <c r="AY189" s="71"/>
      <c r="AZ189" s="71"/>
      <c r="BA189" s="71"/>
      <c r="BB189" s="71"/>
      <c r="BC189" s="71"/>
      <c r="BD189" s="71"/>
      <c r="BE189" s="71"/>
      <c r="BF189" s="71"/>
    </row>
    <row r="190" spans="1:58" ht="17">
      <c r="A190" s="65" t="s">
        <v>1090</v>
      </c>
      <c r="B190" s="65" t="s">
        <v>882</v>
      </c>
      <c r="C190" s="59">
        <v>465305</v>
      </c>
      <c r="D190" s="65" t="s">
        <v>1233</v>
      </c>
      <c r="E190" s="85" t="s">
        <v>1190</v>
      </c>
      <c r="F190" s="65" t="s">
        <v>790</v>
      </c>
      <c r="G190" s="59" t="s">
        <v>1234</v>
      </c>
      <c r="H190" s="79" t="s">
        <v>1235</v>
      </c>
      <c r="I190" s="59"/>
      <c r="J190" s="71" t="str">
        <f t="array" ref="J190">IFERROR(INDEX(All_User!D:D,MATCH(D190,All_User!H:H,0)),"없음")</f>
        <v>dahye.jeong@stryker.com</v>
      </c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71"/>
      <c r="AJ190" s="71"/>
      <c r="AK190" s="71"/>
      <c r="AL190" s="71"/>
      <c r="AM190" s="71"/>
      <c r="AN190" s="71"/>
      <c r="AO190" s="71"/>
      <c r="AP190" s="71"/>
      <c r="AQ190" s="71"/>
      <c r="AR190" s="71"/>
      <c r="AS190" s="71"/>
      <c r="AT190" s="71"/>
      <c r="AU190" s="71"/>
      <c r="AV190" s="71"/>
      <c r="AW190" s="71"/>
      <c r="AX190" s="71"/>
      <c r="AY190" s="71"/>
      <c r="AZ190" s="71"/>
      <c r="BA190" s="71"/>
      <c r="BB190" s="71"/>
      <c r="BC190" s="71"/>
      <c r="BD190" s="71"/>
      <c r="BE190" s="71"/>
      <c r="BF190" s="71"/>
    </row>
    <row r="191" spans="1:58" ht="17">
      <c r="A191" s="65" t="s">
        <v>1090</v>
      </c>
      <c r="B191" s="65" t="s">
        <v>882</v>
      </c>
      <c r="C191" s="59">
        <v>465303</v>
      </c>
      <c r="D191" s="65" t="s">
        <v>1236</v>
      </c>
      <c r="E191" s="85" t="s">
        <v>1190</v>
      </c>
      <c r="F191" s="51" t="s">
        <v>850</v>
      </c>
      <c r="G191" s="58" t="s">
        <v>561</v>
      </c>
      <c r="H191" s="104" t="s">
        <v>563</v>
      </c>
      <c r="I191" s="59"/>
      <c r="J191" s="71" t="str">
        <f t="array" ref="J191">IFERROR(INDEX(All_User!D:D,MATCH(D191,All_User!H:H,0)),"없음")</f>
        <v>tyler.park@stryker.com</v>
      </c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71"/>
      <c r="AJ191" s="71"/>
      <c r="AK191" s="71"/>
      <c r="AL191" s="71"/>
      <c r="AM191" s="71"/>
      <c r="AN191" s="71"/>
      <c r="AO191" s="71"/>
      <c r="AP191" s="71"/>
      <c r="AQ191" s="71"/>
      <c r="AR191" s="71"/>
      <c r="AS191" s="71"/>
      <c r="AT191" s="71"/>
      <c r="AU191" s="71"/>
      <c r="AV191" s="71"/>
      <c r="AW191" s="71"/>
      <c r="AX191" s="71"/>
      <c r="AY191" s="71"/>
      <c r="AZ191" s="71"/>
      <c r="BA191" s="71"/>
      <c r="BB191" s="71"/>
      <c r="BC191" s="71"/>
      <c r="BD191" s="71"/>
      <c r="BE191" s="71"/>
      <c r="BF191" s="71"/>
    </row>
    <row r="192" spans="1:58" ht="17">
      <c r="A192" s="65" t="s">
        <v>1090</v>
      </c>
      <c r="B192" s="65" t="s">
        <v>882</v>
      </c>
      <c r="C192" s="59">
        <v>465315</v>
      </c>
      <c r="D192" s="65" t="s">
        <v>1237</v>
      </c>
      <c r="E192" s="85" t="s">
        <v>1190</v>
      </c>
      <c r="F192" s="65" t="s">
        <v>540</v>
      </c>
      <c r="G192" s="59" t="s">
        <v>345</v>
      </c>
      <c r="H192" s="58" t="s">
        <v>347</v>
      </c>
      <c r="I192" s="59"/>
      <c r="J192" s="71" t="str">
        <f t="array" ref="J192">IFERROR(INDEX(All_User!D:D,MATCH(D192,All_User!H:H,0)),"없음")</f>
        <v>genie.kim@stryker.com</v>
      </c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71"/>
      <c r="AJ192" s="71"/>
      <c r="AK192" s="71"/>
      <c r="AL192" s="71"/>
      <c r="AM192" s="71"/>
      <c r="AN192" s="71"/>
      <c r="AO192" s="71"/>
      <c r="AP192" s="71"/>
      <c r="AQ192" s="71"/>
      <c r="AR192" s="71"/>
      <c r="AS192" s="71"/>
      <c r="AT192" s="71"/>
      <c r="AU192" s="71"/>
      <c r="AV192" s="71"/>
      <c r="AW192" s="71"/>
      <c r="AX192" s="71"/>
      <c r="AY192" s="71"/>
      <c r="AZ192" s="71"/>
      <c r="BA192" s="71"/>
      <c r="BB192" s="71"/>
      <c r="BC192" s="71"/>
      <c r="BD192" s="71"/>
      <c r="BE192" s="71"/>
      <c r="BF192" s="71"/>
    </row>
    <row r="193" spans="1:58" ht="17">
      <c r="A193" s="65" t="s">
        <v>1090</v>
      </c>
      <c r="B193" s="65" t="s">
        <v>882</v>
      </c>
      <c r="C193" s="59">
        <v>465299</v>
      </c>
      <c r="D193" s="65" t="s">
        <v>1238</v>
      </c>
      <c r="E193" s="85" t="s">
        <v>1190</v>
      </c>
      <c r="F193" s="65"/>
      <c r="G193" s="59" t="s">
        <v>642</v>
      </c>
      <c r="H193" s="59" t="s">
        <v>644</v>
      </c>
      <c r="I193" s="59" t="s">
        <v>1239</v>
      </c>
      <c r="J193" s="71" t="str">
        <f t="array" ref="J193">IFERROR(INDEX(All_User!D:D,MATCH(D193,All_User!H:H,0)),"없음")</f>
        <v>jaehee.seo@stryker.com</v>
      </c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71"/>
      <c r="AJ193" s="71"/>
      <c r="AK193" s="71"/>
      <c r="AL193" s="71"/>
      <c r="AM193" s="71"/>
      <c r="AN193" s="71"/>
      <c r="AO193" s="71"/>
      <c r="AP193" s="71"/>
      <c r="AQ193" s="71"/>
      <c r="AR193" s="71"/>
      <c r="AS193" s="71"/>
      <c r="AT193" s="71"/>
      <c r="AU193" s="71"/>
      <c r="AV193" s="71"/>
      <c r="AW193" s="71"/>
      <c r="AX193" s="71"/>
      <c r="AY193" s="71"/>
      <c r="AZ193" s="71"/>
      <c r="BA193" s="71"/>
      <c r="BB193" s="71"/>
      <c r="BC193" s="71"/>
      <c r="BD193" s="71"/>
      <c r="BE193" s="71"/>
      <c r="BF193" s="71"/>
    </row>
    <row r="194" spans="1:58" ht="17">
      <c r="A194" s="65" t="s">
        <v>1090</v>
      </c>
      <c r="B194" s="65" t="s">
        <v>882</v>
      </c>
      <c r="C194" s="59">
        <v>465327</v>
      </c>
      <c r="D194" s="65" t="s">
        <v>1240</v>
      </c>
      <c r="E194" s="85" t="s">
        <v>1190</v>
      </c>
      <c r="F194" s="65" t="s">
        <v>850</v>
      </c>
      <c r="G194" s="59" t="s">
        <v>321</v>
      </c>
      <c r="H194" s="79" t="s">
        <v>1241</v>
      </c>
      <c r="I194" s="59"/>
      <c r="J194" s="71" t="str">
        <f t="array" ref="J194">IFERROR(INDEX(All_User!D:D,MATCH(D194,All_User!H:H,0)),"없음")</f>
        <v>Rayna.Kim@stryker.com</v>
      </c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71"/>
      <c r="AJ194" s="71"/>
      <c r="AK194" s="71"/>
      <c r="AL194" s="71"/>
      <c r="AM194" s="71"/>
      <c r="AN194" s="71"/>
      <c r="AO194" s="71"/>
      <c r="AP194" s="71"/>
      <c r="AQ194" s="71"/>
      <c r="AR194" s="71"/>
      <c r="AS194" s="71"/>
      <c r="AT194" s="71"/>
      <c r="AU194" s="71"/>
      <c r="AV194" s="71"/>
      <c r="AW194" s="71"/>
      <c r="AX194" s="71"/>
      <c r="AY194" s="71"/>
      <c r="AZ194" s="71"/>
      <c r="BA194" s="71"/>
      <c r="BB194" s="71"/>
      <c r="BC194" s="71"/>
      <c r="BD194" s="71"/>
      <c r="BE194" s="71"/>
      <c r="BF194" s="71"/>
    </row>
    <row r="195" spans="1:58" ht="17">
      <c r="A195" s="65" t="s">
        <v>1090</v>
      </c>
      <c r="B195" s="65" t="s">
        <v>882</v>
      </c>
      <c r="C195" s="59">
        <v>465330</v>
      </c>
      <c r="D195" s="65" t="s">
        <v>1242</v>
      </c>
      <c r="E195" s="85" t="s">
        <v>1190</v>
      </c>
      <c r="F195" s="65"/>
      <c r="G195" s="59" t="s">
        <v>291</v>
      </c>
      <c r="H195" s="59" t="s">
        <v>292</v>
      </c>
      <c r="I195" s="59"/>
      <c r="J195" s="71" t="str">
        <f t="array" ref="J195">IFERROR(INDEX(All_User!D:D,MATCH(D195,All_User!H:H,0)),"없음")</f>
        <v>James.Kang@stryker.com</v>
      </c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71"/>
      <c r="AJ195" s="71"/>
      <c r="AK195" s="71"/>
      <c r="AL195" s="71"/>
      <c r="AM195" s="71"/>
      <c r="AN195" s="71"/>
      <c r="AO195" s="71"/>
      <c r="AP195" s="71"/>
      <c r="AQ195" s="71"/>
      <c r="AR195" s="71"/>
      <c r="AS195" s="71"/>
      <c r="AT195" s="71"/>
      <c r="AU195" s="71"/>
      <c r="AV195" s="71"/>
      <c r="AW195" s="71"/>
      <c r="AX195" s="71"/>
      <c r="AY195" s="71"/>
      <c r="AZ195" s="71"/>
      <c r="BA195" s="71"/>
      <c r="BB195" s="71"/>
      <c r="BC195" s="71"/>
      <c r="BD195" s="71"/>
      <c r="BE195" s="71"/>
      <c r="BF195" s="71"/>
    </row>
    <row r="196" spans="1:58" ht="17">
      <c r="A196" s="65" t="s">
        <v>1090</v>
      </c>
      <c r="B196" s="65" t="s">
        <v>882</v>
      </c>
      <c r="C196" s="59">
        <v>465290</v>
      </c>
      <c r="D196" s="65" t="s">
        <v>1243</v>
      </c>
      <c r="E196" s="85" t="s">
        <v>1190</v>
      </c>
      <c r="F196" s="65"/>
      <c r="G196" s="59" t="s">
        <v>483</v>
      </c>
      <c r="H196" s="59" t="s">
        <v>485</v>
      </c>
      <c r="I196" s="59"/>
      <c r="J196" s="71" t="str">
        <f t="array" ref="J196">IFERROR(INDEX(All_User!D:D,MATCH(D196,All_User!H:H,0)),"없음")</f>
        <v>henry.lee@stryker.com</v>
      </c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71"/>
      <c r="AJ196" s="71"/>
      <c r="AK196" s="71"/>
      <c r="AL196" s="71"/>
      <c r="AM196" s="71"/>
      <c r="AN196" s="71"/>
      <c r="AO196" s="71"/>
      <c r="AP196" s="71"/>
      <c r="AQ196" s="71"/>
      <c r="AR196" s="71"/>
      <c r="AS196" s="71"/>
      <c r="AT196" s="71"/>
      <c r="AU196" s="71"/>
      <c r="AV196" s="71"/>
      <c r="AW196" s="71"/>
      <c r="AX196" s="71"/>
      <c r="AY196" s="71"/>
      <c r="AZ196" s="71"/>
      <c r="BA196" s="71"/>
      <c r="BB196" s="71"/>
      <c r="BC196" s="71"/>
      <c r="BD196" s="71"/>
      <c r="BE196" s="71"/>
      <c r="BF196" s="71"/>
    </row>
    <row r="197" spans="1:58" ht="17">
      <c r="A197" s="65" t="s">
        <v>1090</v>
      </c>
      <c r="B197" s="65" t="s">
        <v>882</v>
      </c>
      <c r="C197" s="59">
        <v>465315</v>
      </c>
      <c r="D197" s="65" t="s">
        <v>1244</v>
      </c>
      <c r="E197" s="85" t="s">
        <v>1190</v>
      </c>
      <c r="F197" s="65" t="s">
        <v>909</v>
      </c>
      <c r="G197" s="59" t="s">
        <v>1245</v>
      </c>
      <c r="H197" s="12" t="s">
        <v>31</v>
      </c>
      <c r="I197" s="59"/>
      <c r="J197" s="71" t="str">
        <f t="array" ref="J197">IFERROR(INDEX(All_User!D:D,MATCH(D197,All_User!H:H,0)),"없음")</f>
        <v>andrew.ahn@stryker.com</v>
      </c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71"/>
      <c r="AJ197" s="71"/>
      <c r="AK197" s="71"/>
      <c r="AL197" s="71"/>
      <c r="AM197" s="71"/>
      <c r="AN197" s="71"/>
      <c r="AO197" s="71"/>
      <c r="AP197" s="71"/>
      <c r="AQ197" s="71"/>
      <c r="AR197" s="71"/>
      <c r="AS197" s="71"/>
      <c r="AT197" s="71"/>
      <c r="AU197" s="71"/>
      <c r="AV197" s="71"/>
      <c r="AW197" s="71"/>
      <c r="AX197" s="71"/>
      <c r="AY197" s="71"/>
      <c r="AZ197" s="71"/>
      <c r="BA197" s="71"/>
      <c r="BB197" s="71"/>
      <c r="BC197" s="71"/>
      <c r="BD197" s="71"/>
      <c r="BE197" s="71"/>
      <c r="BF197" s="71"/>
    </row>
    <row r="198" spans="1:58" ht="17">
      <c r="A198" s="65" t="s">
        <v>1090</v>
      </c>
      <c r="B198" s="65" t="s">
        <v>882</v>
      </c>
      <c r="C198" s="59">
        <v>465313</v>
      </c>
      <c r="D198" s="65" t="s">
        <v>1246</v>
      </c>
      <c r="E198" s="85" t="s">
        <v>1190</v>
      </c>
      <c r="F198" s="65" t="s">
        <v>850</v>
      </c>
      <c r="G198" s="59" t="s">
        <v>1247</v>
      </c>
      <c r="H198" s="58" t="s">
        <v>125</v>
      </c>
      <c r="I198" s="59"/>
      <c r="J198" s="71" t="str">
        <f t="array" ref="J198">IFERROR(INDEX(All_User!D:D,MATCH(D198,All_User!H:H,0)),"없음")</f>
        <v>kyu.choi@stryker.com</v>
      </c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71"/>
      <c r="AJ198" s="71"/>
      <c r="AK198" s="71"/>
      <c r="AL198" s="71"/>
      <c r="AM198" s="71"/>
      <c r="AN198" s="71"/>
      <c r="AO198" s="71"/>
      <c r="AP198" s="71"/>
      <c r="AQ198" s="71"/>
      <c r="AR198" s="71"/>
      <c r="AS198" s="71"/>
      <c r="AT198" s="71"/>
      <c r="AU198" s="71"/>
      <c r="AV198" s="71"/>
      <c r="AW198" s="71"/>
      <c r="AX198" s="71"/>
      <c r="AY198" s="71"/>
      <c r="AZ198" s="71"/>
      <c r="BA198" s="71"/>
      <c r="BB198" s="71"/>
      <c r="BC198" s="71"/>
      <c r="BD198" s="71"/>
      <c r="BE198" s="71"/>
      <c r="BF198" s="71"/>
    </row>
    <row r="199" spans="1:58" ht="17">
      <c r="A199" s="65" t="s">
        <v>1090</v>
      </c>
      <c r="B199" s="65" t="s">
        <v>882</v>
      </c>
      <c r="C199" s="59">
        <v>465310</v>
      </c>
      <c r="D199" s="65" t="s">
        <v>1248</v>
      </c>
      <c r="E199" s="85" t="s">
        <v>1190</v>
      </c>
      <c r="F199" s="65" t="s">
        <v>854</v>
      </c>
      <c r="G199" s="59" t="s">
        <v>417</v>
      </c>
      <c r="H199" s="79" t="s">
        <v>1249</v>
      </c>
      <c r="I199" s="59"/>
      <c r="J199" s="71" t="str">
        <f t="array" ref="J199">IFERROR(INDEX(All_User!D:D,MATCH(D199,All_User!H:H,0)),"없음")</f>
        <v>james.kim@stryker.com</v>
      </c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71"/>
      <c r="AJ199" s="71"/>
      <c r="AK199" s="71"/>
      <c r="AL199" s="71"/>
      <c r="AM199" s="71"/>
      <c r="AN199" s="71"/>
      <c r="AO199" s="71"/>
      <c r="AP199" s="71"/>
      <c r="AQ199" s="71"/>
      <c r="AR199" s="71"/>
      <c r="AS199" s="71"/>
      <c r="AT199" s="71"/>
      <c r="AU199" s="71"/>
      <c r="AV199" s="71"/>
      <c r="AW199" s="71"/>
      <c r="AX199" s="71"/>
      <c r="AY199" s="71"/>
      <c r="AZ199" s="71"/>
      <c r="BA199" s="71"/>
      <c r="BB199" s="71"/>
      <c r="BC199" s="71"/>
      <c r="BD199" s="71"/>
      <c r="BE199" s="71"/>
      <c r="BF199" s="71"/>
    </row>
    <row r="200" spans="1:58" ht="17">
      <c r="A200" s="65" t="s">
        <v>1090</v>
      </c>
      <c r="B200" s="65" t="s">
        <v>882</v>
      </c>
      <c r="C200" s="59">
        <v>465306</v>
      </c>
      <c r="D200" s="65" t="s">
        <v>1250</v>
      </c>
      <c r="E200" s="85" t="s">
        <v>1190</v>
      </c>
      <c r="F200" s="65" t="s">
        <v>846</v>
      </c>
      <c r="G200" s="59" t="s">
        <v>843</v>
      </c>
      <c r="H200" s="79" t="s">
        <v>1251</v>
      </c>
      <c r="I200" s="59"/>
      <c r="J200" s="71" t="str">
        <f t="array" ref="J200">IFERROR(INDEX(All_User!D:D,MATCH(D200,All_User!H:H,0)),"없음")</f>
        <v>sally.choi@stryker.com</v>
      </c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71"/>
      <c r="AJ200" s="71"/>
      <c r="AK200" s="71"/>
      <c r="AL200" s="71"/>
      <c r="AM200" s="71"/>
      <c r="AN200" s="71"/>
      <c r="AO200" s="71"/>
      <c r="AP200" s="71"/>
      <c r="AQ200" s="71"/>
      <c r="AR200" s="71"/>
      <c r="AS200" s="71"/>
      <c r="AT200" s="71"/>
      <c r="AU200" s="71"/>
      <c r="AV200" s="71"/>
      <c r="AW200" s="71"/>
      <c r="AX200" s="71"/>
      <c r="AY200" s="71"/>
      <c r="AZ200" s="71"/>
      <c r="BA200" s="71"/>
      <c r="BB200" s="71"/>
      <c r="BC200" s="71"/>
      <c r="BD200" s="71"/>
      <c r="BE200" s="71"/>
      <c r="BF200" s="71"/>
    </row>
    <row r="201" spans="1:58" ht="17">
      <c r="A201" s="65" t="s">
        <v>1090</v>
      </c>
      <c r="B201" s="65" t="s">
        <v>882</v>
      </c>
      <c r="C201" s="59">
        <v>465296</v>
      </c>
      <c r="D201" s="65" t="s">
        <v>1252</v>
      </c>
      <c r="E201" s="85" t="s">
        <v>1190</v>
      </c>
      <c r="F201" s="65" t="s">
        <v>829</v>
      </c>
      <c r="G201" s="106" t="s">
        <v>628</v>
      </c>
      <c r="H201" s="106" t="s">
        <v>630</v>
      </c>
      <c r="I201" s="59"/>
      <c r="J201" s="71" t="str">
        <f t="array" ref="J201">IFERROR(INDEX(All_User!D:D,MATCH(D201,All_User!H:H,0)),"없음")</f>
        <v>yj.seo@stryker.com</v>
      </c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71"/>
      <c r="AJ201" s="71"/>
      <c r="AK201" s="71"/>
      <c r="AL201" s="71"/>
      <c r="AM201" s="71"/>
      <c r="AN201" s="71"/>
      <c r="AO201" s="71"/>
      <c r="AP201" s="71"/>
      <c r="AQ201" s="71"/>
      <c r="AR201" s="71"/>
      <c r="AS201" s="71"/>
      <c r="AT201" s="71"/>
      <c r="AU201" s="71"/>
      <c r="AV201" s="71"/>
      <c r="AW201" s="71"/>
      <c r="AX201" s="71"/>
      <c r="AY201" s="71"/>
      <c r="AZ201" s="71"/>
      <c r="BA201" s="71"/>
      <c r="BB201" s="71"/>
      <c r="BC201" s="71"/>
      <c r="BD201" s="71"/>
      <c r="BE201" s="71"/>
      <c r="BF201" s="71"/>
    </row>
    <row r="202" spans="1:58" ht="17">
      <c r="A202" s="65" t="s">
        <v>1090</v>
      </c>
      <c r="B202" s="65" t="s">
        <v>882</v>
      </c>
      <c r="C202" s="59">
        <v>465325</v>
      </c>
      <c r="D202" s="65" t="s">
        <v>1253</v>
      </c>
      <c r="E202" s="85" t="s">
        <v>1190</v>
      </c>
      <c r="F202" s="65" t="s">
        <v>790</v>
      </c>
      <c r="G202" s="59" t="s">
        <v>1254</v>
      </c>
      <c r="H202" s="79" t="s">
        <v>1255</v>
      </c>
      <c r="I202" s="59"/>
      <c r="J202" s="71" t="str">
        <f t="array" ref="J202">IFERROR(INDEX(All_User!D:D,MATCH(D202,All_User!H:H,0)),"없음")</f>
        <v>bryan.park@stryker.com</v>
      </c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71"/>
      <c r="AJ202" s="71"/>
      <c r="AK202" s="71"/>
      <c r="AL202" s="71"/>
      <c r="AM202" s="71"/>
      <c r="AN202" s="71"/>
      <c r="AO202" s="71"/>
      <c r="AP202" s="71"/>
      <c r="AQ202" s="71"/>
      <c r="AR202" s="71"/>
      <c r="AS202" s="71"/>
      <c r="AT202" s="71"/>
      <c r="AU202" s="71"/>
      <c r="AV202" s="71"/>
      <c r="AW202" s="71"/>
      <c r="AX202" s="71"/>
      <c r="AY202" s="71"/>
      <c r="AZ202" s="71"/>
      <c r="BA202" s="71"/>
      <c r="BB202" s="71"/>
      <c r="BC202" s="71"/>
      <c r="BD202" s="71"/>
      <c r="BE202" s="71"/>
      <c r="BF202" s="71"/>
    </row>
    <row r="203" spans="1:58" ht="17">
      <c r="A203" s="65" t="s">
        <v>1090</v>
      </c>
      <c r="B203" s="65" t="s">
        <v>882</v>
      </c>
      <c r="C203" s="59">
        <v>465318</v>
      </c>
      <c r="D203" s="65" t="s">
        <v>1256</v>
      </c>
      <c r="E203" s="85" t="s">
        <v>1190</v>
      </c>
      <c r="F203" s="65" t="s">
        <v>917</v>
      </c>
      <c r="G203" s="59" t="s">
        <v>820</v>
      </c>
      <c r="H203" s="79" t="s">
        <v>1257</v>
      </c>
      <c r="I203" s="59"/>
      <c r="J203" s="71" t="str">
        <f t="array" ref="J203">IFERROR(INDEX(All_User!D:D,MATCH(D203,All_User!H:H,0)),"없음")</f>
        <v>kit.ym@stryker.com</v>
      </c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71"/>
      <c r="AJ203" s="71"/>
      <c r="AK203" s="71"/>
      <c r="AL203" s="71"/>
      <c r="AM203" s="71"/>
      <c r="AN203" s="71"/>
      <c r="AO203" s="71"/>
      <c r="AP203" s="71"/>
      <c r="AQ203" s="71"/>
      <c r="AR203" s="71"/>
      <c r="AS203" s="71"/>
      <c r="AT203" s="71"/>
      <c r="AU203" s="71"/>
      <c r="AV203" s="71"/>
      <c r="AW203" s="71"/>
      <c r="AX203" s="71"/>
      <c r="AY203" s="71"/>
      <c r="AZ203" s="71"/>
      <c r="BA203" s="71"/>
      <c r="BB203" s="71"/>
      <c r="BC203" s="71"/>
      <c r="BD203" s="71"/>
      <c r="BE203" s="71"/>
      <c r="BF203" s="71"/>
    </row>
    <row r="204" spans="1:58" ht="17">
      <c r="A204" s="65" t="s">
        <v>1090</v>
      </c>
      <c r="B204" s="65" t="s">
        <v>882</v>
      </c>
      <c r="C204" s="59">
        <v>465317</v>
      </c>
      <c r="D204" s="65" t="s">
        <v>1258</v>
      </c>
      <c r="E204" s="85" t="s">
        <v>1190</v>
      </c>
      <c r="F204" s="65" t="s">
        <v>917</v>
      </c>
      <c r="G204" s="59" t="s">
        <v>822</v>
      </c>
      <c r="H204" s="79" t="s">
        <v>1259</v>
      </c>
      <c r="I204" s="59"/>
      <c r="J204" s="71" t="str">
        <f t="array" ref="J204">IFERROR(INDEX(All_User!D:D,MATCH(D204,All_User!H:H,0)),"없음")</f>
        <v>grn.ym@stryker.com</v>
      </c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71"/>
      <c r="AJ204" s="71"/>
      <c r="AK204" s="71"/>
      <c r="AL204" s="71"/>
      <c r="AM204" s="71"/>
      <c r="AN204" s="71"/>
      <c r="AO204" s="71"/>
      <c r="AP204" s="71"/>
      <c r="AQ204" s="71"/>
      <c r="AR204" s="71"/>
      <c r="AS204" s="71"/>
      <c r="AT204" s="71"/>
      <c r="AU204" s="71"/>
      <c r="AV204" s="71"/>
      <c r="AW204" s="71"/>
      <c r="AX204" s="71"/>
      <c r="AY204" s="71"/>
      <c r="AZ204" s="71"/>
      <c r="BA204" s="71"/>
      <c r="BB204" s="71"/>
      <c r="BC204" s="71"/>
      <c r="BD204" s="71"/>
      <c r="BE204" s="71"/>
      <c r="BF204" s="71"/>
    </row>
    <row r="205" spans="1:58" ht="17">
      <c r="A205" s="65" t="s">
        <v>1090</v>
      </c>
      <c r="B205" s="65" t="s">
        <v>882</v>
      </c>
      <c r="C205" s="59">
        <v>465307</v>
      </c>
      <c r="D205" s="65" t="s">
        <v>1260</v>
      </c>
      <c r="E205" s="85" t="s">
        <v>1190</v>
      </c>
      <c r="F205" s="65" t="s">
        <v>917</v>
      </c>
      <c r="G205" s="59" t="s">
        <v>824</v>
      </c>
      <c r="H205" s="79" t="s">
        <v>1261</v>
      </c>
      <c r="J205" s="71" t="str">
        <f t="array" ref="J205">IFERROR(INDEX(All_User!D:D,MATCH(D205,All_User!H:H,0)),"없음")</f>
        <v>fixation.ym@stryker.com</v>
      </c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71"/>
      <c r="AJ205" s="71"/>
      <c r="AK205" s="71"/>
      <c r="AL205" s="71"/>
      <c r="AM205" s="71"/>
      <c r="AN205" s="71"/>
      <c r="AO205" s="71"/>
      <c r="AP205" s="71"/>
      <c r="AQ205" s="71"/>
      <c r="AR205" s="71"/>
      <c r="AS205" s="71"/>
      <c r="AT205" s="71"/>
      <c r="AU205" s="71"/>
      <c r="AV205" s="71"/>
      <c r="AW205" s="71"/>
      <c r="AX205" s="71"/>
      <c r="AY205" s="71"/>
      <c r="AZ205" s="71"/>
      <c r="BA205" s="71"/>
      <c r="BB205" s="71"/>
      <c r="BC205" s="71"/>
      <c r="BD205" s="71"/>
      <c r="BE205" s="71"/>
      <c r="BF205" s="71"/>
    </row>
    <row r="206" spans="1:58" ht="17">
      <c r="A206" s="65" t="s">
        <v>1090</v>
      </c>
      <c r="B206" s="65" t="s">
        <v>882</v>
      </c>
      <c r="C206" s="59">
        <v>465311</v>
      </c>
      <c r="D206" s="65" t="s">
        <v>1262</v>
      </c>
      <c r="E206" s="85" t="s">
        <v>1190</v>
      </c>
      <c r="F206" s="51" t="s">
        <v>899</v>
      </c>
      <c r="G206" s="58" t="s">
        <v>159</v>
      </c>
      <c r="H206" s="79" t="s">
        <v>1263</v>
      </c>
      <c r="I206" s="59"/>
      <c r="J206" s="71" t="str">
        <f t="array" ref="J206">IFERROR(INDEX(All_User!D:D,MATCH(D206,All_User!H:H,0)),"없음")</f>
        <v>alice.han@stryker.com</v>
      </c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71"/>
      <c r="AJ206" s="71"/>
      <c r="AK206" s="71"/>
      <c r="AL206" s="71"/>
      <c r="AM206" s="71"/>
      <c r="AN206" s="71"/>
      <c r="AO206" s="71"/>
      <c r="AP206" s="71"/>
      <c r="AQ206" s="71"/>
      <c r="AR206" s="71"/>
      <c r="AS206" s="71"/>
      <c r="AT206" s="71"/>
      <c r="AU206" s="71"/>
      <c r="AV206" s="71"/>
      <c r="AW206" s="71"/>
      <c r="AX206" s="71"/>
      <c r="AY206" s="71"/>
      <c r="AZ206" s="71"/>
      <c r="BA206" s="71"/>
      <c r="BB206" s="71"/>
      <c r="BC206" s="71"/>
      <c r="BD206" s="71"/>
      <c r="BE206" s="71"/>
      <c r="BF206" s="71"/>
    </row>
    <row r="207" spans="1:58" ht="17">
      <c r="A207" s="65" t="s">
        <v>1090</v>
      </c>
      <c r="B207" s="65" t="s">
        <v>882</v>
      </c>
      <c r="C207" s="59">
        <v>465295</v>
      </c>
      <c r="D207" s="65" t="s">
        <v>1264</v>
      </c>
      <c r="E207" s="85" t="s">
        <v>1190</v>
      </c>
      <c r="F207" s="65" t="s">
        <v>909</v>
      </c>
      <c r="G207" s="59" t="s">
        <v>1265</v>
      </c>
      <c r="H207" s="79" t="s">
        <v>1266</v>
      </c>
      <c r="I207" s="59"/>
      <c r="J207" s="71" t="str">
        <f t="array" ref="J207">IFERROR(INDEX(All_User!D:D,MATCH(D207,All_User!H:H,0)),"없음")</f>
        <v>Huey.Sim@stryker.com</v>
      </c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71"/>
      <c r="AJ207" s="71"/>
      <c r="AK207" s="71"/>
      <c r="AL207" s="71"/>
      <c r="AM207" s="71"/>
      <c r="AN207" s="71"/>
      <c r="AO207" s="71"/>
      <c r="AP207" s="71"/>
      <c r="AQ207" s="71"/>
      <c r="AR207" s="71"/>
      <c r="AS207" s="71"/>
      <c r="AT207" s="71"/>
      <c r="AU207" s="71"/>
      <c r="AV207" s="71"/>
      <c r="AW207" s="71"/>
      <c r="AX207" s="71"/>
      <c r="AY207" s="71"/>
      <c r="AZ207" s="71"/>
      <c r="BA207" s="71"/>
      <c r="BB207" s="71"/>
      <c r="BC207" s="71"/>
      <c r="BD207" s="71"/>
      <c r="BE207" s="71"/>
      <c r="BF207" s="71"/>
    </row>
    <row r="208" spans="1:58" ht="17">
      <c r="A208" s="65" t="s">
        <v>1090</v>
      </c>
      <c r="B208" s="65" t="s">
        <v>882</v>
      </c>
      <c r="C208" s="59">
        <v>465304</v>
      </c>
      <c r="D208" s="65" t="s">
        <v>1267</v>
      </c>
      <c r="E208" s="85" t="s">
        <v>1190</v>
      </c>
      <c r="F208" s="65" t="s">
        <v>921</v>
      </c>
      <c r="G208" s="59" t="s">
        <v>299</v>
      </c>
      <c r="H208" s="59" t="s">
        <v>301</v>
      </c>
      <c r="I208" s="59"/>
      <c r="J208" s="71" t="str">
        <f t="array" ref="J208">IFERROR(INDEX(All_User!D:D,MATCH(D208,All_User!H:H,0)),"없음")</f>
        <v>chloe.kang@stryker.com</v>
      </c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71"/>
      <c r="AJ208" s="71"/>
      <c r="AK208" s="71"/>
      <c r="AL208" s="71"/>
      <c r="AM208" s="71"/>
      <c r="AN208" s="71"/>
      <c r="AO208" s="71"/>
      <c r="AP208" s="71"/>
      <c r="AQ208" s="71"/>
      <c r="AR208" s="71"/>
      <c r="AS208" s="71"/>
      <c r="AT208" s="71"/>
      <c r="AU208" s="71"/>
      <c r="AV208" s="71"/>
      <c r="AW208" s="71"/>
      <c r="AX208" s="71"/>
      <c r="AY208" s="71"/>
      <c r="AZ208" s="71"/>
      <c r="BA208" s="71"/>
      <c r="BB208" s="71"/>
      <c r="BC208" s="71"/>
      <c r="BD208" s="71"/>
      <c r="BE208" s="71"/>
      <c r="BF208" s="71"/>
    </row>
    <row r="209" spans="1:58" ht="17">
      <c r="A209" s="65" t="s">
        <v>1268</v>
      </c>
      <c r="B209" s="65" t="s">
        <v>882</v>
      </c>
      <c r="C209" s="65">
        <v>477072</v>
      </c>
      <c r="D209" s="65" t="s">
        <v>1269</v>
      </c>
      <c r="E209" s="85" t="s">
        <v>1270</v>
      </c>
      <c r="F209" s="65" t="s">
        <v>884</v>
      </c>
      <c r="G209" s="59" t="s">
        <v>684</v>
      </c>
      <c r="H209" s="65" t="s">
        <v>686</v>
      </c>
      <c r="I209" s="65"/>
      <c r="J209" s="71" t="str">
        <f t="array" ref="J209">IFERROR(INDEX(All_User!D:D,MATCH(D209,All_User!H:H,0)),"없음")</f>
        <v>jun.song@stryker.com</v>
      </c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71"/>
      <c r="AJ209" s="71"/>
      <c r="AK209" s="71"/>
      <c r="AL209" s="71"/>
      <c r="AM209" s="71"/>
      <c r="AN209" s="71"/>
      <c r="AO209" s="71"/>
      <c r="AP209" s="71"/>
      <c r="AQ209" s="71"/>
      <c r="AR209" s="71"/>
      <c r="AS209" s="71"/>
      <c r="AT209" s="71"/>
      <c r="AU209" s="71"/>
      <c r="AV209" s="71"/>
      <c r="AW209" s="71"/>
      <c r="AX209" s="71"/>
      <c r="AY209" s="71"/>
      <c r="AZ209" s="71"/>
      <c r="BA209" s="71"/>
      <c r="BB209" s="71"/>
      <c r="BC209" s="71"/>
      <c r="BD209" s="71"/>
      <c r="BE209" s="71"/>
      <c r="BF209" s="71"/>
    </row>
    <row r="210" spans="1:58" ht="17">
      <c r="A210" s="65" t="s">
        <v>1268</v>
      </c>
      <c r="B210" s="65" t="s">
        <v>882</v>
      </c>
      <c r="C210" s="65"/>
      <c r="D210" s="65" t="s">
        <v>1271</v>
      </c>
      <c r="E210" s="85" t="s">
        <v>1270</v>
      </c>
      <c r="F210" s="65" t="s">
        <v>884</v>
      </c>
      <c r="G210" s="59" t="s">
        <v>885</v>
      </c>
      <c r="H210" s="65"/>
      <c r="I210" s="65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71"/>
      <c r="AJ210" s="71"/>
      <c r="AK210" s="71"/>
      <c r="AL210" s="71"/>
      <c r="AM210" s="71"/>
      <c r="AN210" s="71"/>
      <c r="AO210" s="71"/>
      <c r="AP210" s="71"/>
      <c r="AQ210" s="71"/>
      <c r="AR210" s="71"/>
      <c r="AS210" s="71"/>
      <c r="AT210" s="71"/>
      <c r="AU210" s="71"/>
      <c r="AV210" s="71"/>
      <c r="AW210" s="71"/>
      <c r="AX210" s="71"/>
      <c r="AY210" s="71"/>
      <c r="AZ210" s="71"/>
      <c r="BA210" s="71"/>
      <c r="BB210" s="71"/>
      <c r="BC210" s="71"/>
      <c r="BD210" s="71"/>
      <c r="BE210" s="71"/>
      <c r="BF210" s="71"/>
    </row>
    <row r="211" spans="1:58" ht="17">
      <c r="A211" s="65" t="s">
        <v>1268</v>
      </c>
      <c r="B211" s="65" t="s">
        <v>882</v>
      </c>
      <c r="C211" s="65"/>
      <c r="D211" s="65" t="s">
        <v>1272</v>
      </c>
      <c r="E211" s="85" t="s">
        <v>1270</v>
      </c>
      <c r="F211" s="65" t="s">
        <v>884</v>
      </c>
      <c r="G211" s="59" t="s">
        <v>885</v>
      </c>
      <c r="H211" s="65"/>
      <c r="I211" s="65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71"/>
      <c r="AJ211" s="71"/>
      <c r="AK211" s="71"/>
      <c r="AL211" s="71"/>
      <c r="AM211" s="71"/>
      <c r="AN211" s="71"/>
      <c r="AO211" s="71"/>
      <c r="AP211" s="71"/>
      <c r="AQ211" s="71"/>
      <c r="AR211" s="71"/>
      <c r="AS211" s="71"/>
      <c r="AT211" s="71"/>
      <c r="AU211" s="71"/>
      <c r="AV211" s="71"/>
      <c r="AW211" s="71"/>
      <c r="AX211" s="71"/>
      <c r="AY211" s="71"/>
      <c r="AZ211" s="71"/>
      <c r="BA211" s="71"/>
      <c r="BB211" s="71"/>
      <c r="BC211" s="71"/>
      <c r="BD211" s="71"/>
      <c r="BE211" s="71"/>
      <c r="BF211" s="71"/>
    </row>
    <row r="212" spans="1:58" ht="17">
      <c r="A212" s="65" t="s">
        <v>1268</v>
      </c>
      <c r="B212" s="65" t="s">
        <v>882</v>
      </c>
      <c r="C212" s="65">
        <v>477070</v>
      </c>
      <c r="D212" s="65" t="s">
        <v>1273</v>
      </c>
      <c r="E212" s="85" t="s">
        <v>1270</v>
      </c>
      <c r="F212" s="65" t="s">
        <v>884</v>
      </c>
      <c r="G212" s="59" t="s">
        <v>885</v>
      </c>
      <c r="H212" s="65"/>
      <c r="I212" s="65" t="s">
        <v>975</v>
      </c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71"/>
      <c r="AJ212" s="71"/>
      <c r="AK212" s="71"/>
      <c r="AL212" s="71"/>
      <c r="AM212" s="71"/>
      <c r="AN212" s="71"/>
      <c r="AO212" s="71"/>
      <c r="AP212" s="71"/>
      <c r="AQ212" s="71"/>
      <c r="AR212" s="71"/>
      <c r="AS212" s="71"/>
      <c r="AT212" s="71"/>
      <c r="AU212" s="71"/>
      <c r="AV212" s="71"/>
      <c r="AW212" s="71"/>
      <c r="AX212" s="71"/>
      <c r="AY212" s="71"/>
      <c r="AZ212" s="71"/>
      <c r="BA212" s="71"/>
      <c r="BB212" s="71"/>
      <c r="BC212" s="71"/>
      <c r="BD212" s="71"/>
      <c r="BE212" s="71"/>
      <c r="BF212" s="71"/>
    </row>
    <row r="213" spans="1:58" ht="17">
      <c r="A213" s="65" t="s">
        <v>1268</v>
      </c>
      <c r="B213" s="65" t="s">
        <v>882</v>
      </c>
      <c r="C213" s="65">
        <v>477057</v>
      </c>
      <c r="D213" s="65" t="s">
        <v>1274</v>
      </c>
      <c r="E213" s="85" t="s">
        <v>1270</v>
      </c>
      <c r="F213" s="51" t="s">
        <v>899</v>
      </c>
      <c r="G213" s="59" t="s">
        <v>1275</v>
      </c>
      <c r="H213" s="65" t="s">
        <v>63</v>
      </c>
      <c r="I213" s="65"/>
      <c r="J213" s="71" t="str">
        <f t="array" ref="J213">IFERROR(INDEX(All_User!D:D,MATCH(D213,All_User!H:H,0)),"없음")</f>
        <v>alicia.bang@stryker.com</v>
      </c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71"/>
      <c r="AJ213" s="71"/>
      <c r="AK213" s="71"/>
      <c r="AL213" s="71"/>
      <c r="AM213" s="71"/>
      <c r="AN213" s="71"/>
      <c r="AO213" s="71"/>
      <c r="AP213" s="71"/>
      <c r="AQ213" s="71"/>
      <c r="AR213" s="71"/>
      <c r="AS213" s="71"/>
      <c r="AT213" s="71"/>
      <c r="AU213" s="71"/>
      <c r="AV213" s="71"/>
      <c r="AW213" s="71"/>
      <c r="AX213" s="71"/>
      <c r="AY213" s="71"/>
      <c r="AZ213" s="71"/>
      <c r="BA213" s="71"/>
      <c r="BB213" s="71"/>
      <c r="BC213" s="71"/>
      <c r="BD213" s="71"/>
      <c r="BE213" s="71"/>
      <c r="BF213" s="71"/>
    </row>
    <row r="214" spans="1:58" ht="17">
      <c r="A214" s="65" t="s">
        <v>1268</v>
      </c>
      <c r="B214" s="65" t="s">
        <v>882</v>
      </c>
      <c r="C214" s="65"/>
      <c r="D214" s="65" t="s">
        <v>1276</v>
      </c>
      <c r="E214" s="85" t="s">
        <v>1270</v>
      </c>
      <c r="F214" s="65" t="s">
        <v>884</v>
      </c>
      <c r="G214" s="59" t="s">
        <v>885</v>
      </c>
      <c r="H214" s="65"/>
      <c r="I214" s="65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71"/>
      <c r="AJ214" s="71"/>
      <c r="AK214" s="71"/>
      <c r="AL214" s="71"/>
      <c r="AM214" s="71"/>
      <c r="AN214" s="71"/>
      <c r="AO214" s="71"/>
      <c r="AP214" s="71"/>
      <c r="AQ214" s="71"/>
      <c r="AR214" s="71"/>
      <c r="AS214" s="71"/>
      <c r="AT214" s="71"/>
      <c r="AU214" s="71"/>
      <c r="AV214" s="71"/>
      <c r="AW214" s="71"/>
      <c r="AX214" s="71"/>
      <c r="AY214" s="71"/>
      <c r="AZ214" s="71"/>
      <c r="BA214" s="71"/>
      <c r="BB214" s="71"/>
      <c r="BC214" s="71"/>
      <c r="BD214" s="71"/>
      <c r="BE214" s="71"/>
      <c r="BF214" s="71"/>
    </row>
    <row r="215" spans="1:58" ht="17">
      <c r="A215" s="65" t="s">
        <v>1268</v>
      </c>
      <c r="B215" s="65" t="s">
        <v>882</v>
      </c>
      <c r="C215" s="65"/>
      <c r="D215" s="65" t="s">
        <v>1277</v>
      </c>
      <c r="E215" s="85" t="s">
        <v>1270</v>
      </c>
      <c r="F215" s="65" t="s">
        <v>884</v>
      </c>
      <c r="G215" s="59" t="s">
        <v>885</v>
      </c>
      <c r="H215" s="65"/>
      <c r="I215" s="65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  <c r="AK215" s="71"/>
      <c r="AL215" s="71"/>
      <c r="AM215" s="71"/>
      <c r="AN215" s="71"/>
      <c r="AO215" s="71"/>
      <c r="AP215" s="71"/>
      <c r="AQ215" s="71"/>
      <c r="AR215" s="71"/>
      <c r="AS215" s="71"/>
      <c r="AT215" s="71"/>
      <c r="AU215" s="71"/>
      <c r="AV215" s="71"/>
      <c r="AW215" s="71"/>
      <c r="AX215" s="71"/>
      <c r="AY215" s="71"/>
      <c r="AZ215" s="71"/>
      <c r="BA215" s="71"/>
      <c r="BB215" s="71"/>
      <c r="BC215" s="71"/>
      <c r="BD215" s="71"/>
      <c r="BE215" s="71"/>
      <c r="BF215" s="71"/>
    </row>
    <row r="216" spans="1:58" ht="17">
      <c r="A216" s="65" t="s">
        <v>1268</v>
      </c>
      <c r="B216" s="65" t="s">
        <v>882</v>
      </c>
      <c r="C216" s="65">
        <v>477064</v>
      </c>
      <c r="D216" s="65" t="s">
        <v>1278</v>
      </c>
      <c r="E216" s="85" t="s">
        <v>1270</v>
      </c>
      <c r="F216" s="65" t="s">
        <v>884</v>
      </c>
      <c r="G216" s="59" t="s">
        <v>885</v>
      </c>
      <c r="H216" s="51"/>
      <c r="I216" s="65" t="s">
        <v>975</v>
      </c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  <c r="AO216" s="71"/>
      <c r="AP216" s="71"/>
      <c r="AQ216" s="71"/>
      <c r="AR216" s="71"/>
      <c r="AS216" s="71"/>
      <c r="AT216" s="71"/>
      <c r="AU216" s="71"/>
      <c r="AV216" s="71"/>
      <c r="AW216" s="71"/>
      <c r="AX216" s="71"/>
      <c r="AY216" s="71"/>
      <c r="AZ216" s="71"/>
      <c r="BA216" s="71"/>
      <c r="BB216" s="71"/>
      <c r="BC216" s="71"/>
      <c r="BD216" s="71"/>
      <c r="BE216" s="71"/>
      <c r="BF216" s="71"/>
    </row>
    <row r="217" spans="1:58" ht="17">
      <c r="A217" s="65" t="s">
        <v>1268</v>
      </c>
      <c r="B217" s="65" t="s">
        <v>882</v>
      </c>
      <c r="C217" s="65">
        <v>477066</v>
      </c>
      <c r="D217" s="65" t="s">
        <v>1279</v>
      </c>
      <c r="E217" s="85" t="s">
        <v>1270</v>
      </c>
      <c r="F217" s="65" t="s">
        <v>790</v>
      </c>
      <c r="G217" s="59" t="s">
        <v>1280</v>
      </c>
      <c r="H217" s="51" t="s">
        <v>558</v>
      </c>
      <c r="I217" s="65"/>
      <c r="J217" s="71" t="str">
        <f t="array" ref="J217">IFERROR(INDEX(All_User!D:D,MATCH(D217,All_User!H:H,0)),"없음")</f>
        <v>jy.park@stryker.com</v>
      </c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71"/>
      <c r="AJ217" s="71"/>
      <c r="AK217" s="71"/>
      <c r="AL217" s="71"/>
      <c r="AM217" s="71"/>
      <c r="AN217" s="71"/>
      <c r="AO217" s="71"/>
      <c r="AP217" s="71"/>
      <c r="AQ217" s="71"/>
      <c r="AR217" s="71"/>
      <c r="AS217" s="71"/>
      <c r="AT217" s="71"/>
      <c r="AU217" s="71"/>
      <c r="AV217" s="71"/>
      <c r="AW217" s="71"/>
      <c r="AX217" s="71"/>
      <c r="AY217" s="71"/>
      <c r="AZ217" s="71"/>
      <c r="BA217" s="71"/>
      <c r="BB217" s="71"/>
      <c r="BC217" s="71"/>
      <c r="BD217" s="71"/>
      <c r="BE217" s="71"/>
      <c r="BF217" s="71"/>
    </row>
    <row r="218" spans="1:58" ht="17">
      <c r="A218" s="65" t="s">
        <v>1268</v>
      </c>
      <c r="B218" s="65" t="s">
        <v>882</v>
      </c>
      <c r="C218" s="65"/>
      <c r="D218" s="65" t="s">
        <v>1281</v>
      </c>
      <c r="E218" s="85" t="s">
        <v>1270</v>
      </c>
      <c r="F218" s="65" t="s">
        <v>884</v>
      </c>
      <c r="G218" s="59" t="s">
        <v>885</v>
      </c>
      <c r="H218" s="51"/>
      <c r="I218" s="65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71"/>
      <c r="AJ218" s="71"/>
      <c r="AK218" s="71"/>
      <c r="AL218" s="71"/>
      <c r="AM218" s="71"/>
      <c r="AN218" s="71"/>
      <c r="AO218" s="71"/>
      <c r="AP218" s="71"/>
      <c r="AQ218" s="71"/>
      <c r="AR218" s="71"/>
      <c r="AS218" s="71"/>
      <c r="AT218" s="71"/>
      <c r="AU218" s="71"/>
      <c r="AV218" s="71"/>
      <c r="AW218" s="71"/>
      <c r="AX218" s="71"/>
      <c r="AY218" s="71"/>
      <c r="AZ218" s="71"/>
      <c r="BA218" s="71"/>
      <c r="BB218" s="71"/>
      <c r="BC218" s="71"/>
      <c r="BD218" s="71"/>
      <c r="BE218" s="71"/>
      <c r="BF218" s="71"/>
    </row>
    <row r="219" spans="1:58" ht="17">
      <c r="A219" s="65" t="s">
        <v>1268</v>
      </c>
      <c r="B219" s="65" t="s">
        <v>882</v>
      </c>
      <c r="C219" s="65">
        <v>477061</v>
      </c>
      <c r="D219" s="65" t="s">
        <v>1282</v>
      </c>
      <c r="E219" s="85" t="s">
        <v>1270</v>
      </c>
      <c r="F219" s="65" t="s">
        <v>884</v>
      </c>
      <c r="G219" s="59" t="s">
        <v>885</v>
      </c>
      <c r="H219" s="51"/>
      <c r="I219" s="65" t="s">
        <v>975</v>
      </c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71"/>
      <c r="AJ219" s="71"/>
      <c r="AK219" s="71"/>
      <c r="AL219" s="71"/>
      <c r="AM219" s="71"/>
      <c r="AN219" s="71"/>
      <c r="AO219" s="71"/>
      <c r="AP219" s="71"/>
      <c r="AQ219" s="71"/>
      <c r="AR219" s="71"/>
      <c r="AS219" s="71"/>
      <c r="AT219" s="71"/>
      <c r="AU219" s="71"/>
      <c r="AV219" s="71"/>
      <c r="AW219" s="71"/>
      <c r="AX219" s="71"/>
      <c r="AY219" s="71"/>
      <c r="AZ219" s="71"/>
      <c r="BA219" s="71"/>
      <c r="BB219" s="71"/>
      <c r="BC219" s="71"/>
      <c r="BD219" s="71"/>
      <c r="BE219" s="71"/>
      <c r="BF219" s="71"/>
    </row>
    <row r="220" spans="1:58" ht="17">
      <c r="A220" s="65" t="s">
        <v>1268</v>
      </c>
      <c r="B220" s="65" t="s">
        <v>882</v>
      </c>
      <c r="C220" s="65"/>
      <c r="D220" s="65" t="s">
        <v>1283</v>
      </c>
      <c r="E220" s="85" t="s">
        <v>1270</v>
      </c>
      <c r="F220" s="65" t="s">
        <v>884</v>
      </c>
      <c r="G220" s="59" t="s">
        <v>885</v>
      </c>
      <c r="H220" s="65"/>
      <c r="I220" s="65" t="s">
        <v>975</v>
      </c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71"/>
      <c r="AJ220" s="71"/>
      <c r="AK220" s="71"/>
      <c r="AL220" s="71"/>
      <c r="AM220" s="71"/>
      <c r="AN220" s="71"/>
      <c r="AO220" s="71"/>
      <c r="AP220" s="71"/>
      <c r="AQ220" s="71"/>
      <c r="AR220" s="71"/>
      <c r="AS220" s="71"/>
      <c r="AT220" s="71"/>
      <c r="AU220" s="71"/>
      <c r="AV220" s="71"/>
      <c r="AW220" s="71"/>
      <c r="AX220" s="71"/>
      <c r="AY220" s="71"/>
      <c r="AZ220" s="71"/>
      <c r="BA220" s="71"/>
      <c r="BB220" s="71"/>
      <c r="BC220" s="71"/>
      <c r="BD220" s="71"/>
      <c r="BE220" s="71"/>
      <c r="BF220" s="71"/>
    </row>
    <row r="221" spans="1:58" ht="17">
      <c r="A221" s="65" t="s">
        <v>1268</v>
      </c>
      <c r="B221" s="65" t="s">
        <v>882</v>
      </c>
      <c r="C221" s="65"/>
      <c r="D221" s="65" t="s">
        <v>1284</v>
      </c>
      <c r="E221" s="85" t="s">
        <v>1270</v>
      </c>
      <c r="F221" s="65" t="s">
        <v>884</v>
      </c>
      <c r="G221" s="59" t="s">
        <v>885</v>
      </c>
      <c r="H221" s="65"/>
      <c r="I221" s="65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71"/>
      <c r="AJ221" s="71"/>
      <c r="AK221" s="71"/>
      <c r="AL221" s="71"/>
      <c r="AM221" s="71"/>
      <c r="AN221" s="71"/>
      <c r="AO221" s="71"/>
      <c r="AP221" s="71"/>
      <c r="AQ221" s="71"/>
      <c r="AR221" s="71"/>
      <c r="AS221" s="71"/>
      <c r="AT221" s="71"/>
      <c r="AU221" s="71"/>
      <c r="AV221" s="71"/>
      <c r="AW221" s="71"/>
      <c r="AX221" s="71"/>
      <c r="AY221" s="71"/>
      <c r="AZ221" s="71"/>
      <c r="BA221" s="71"/>
      <c r="BB221" s="71"/>
      <c r="BC221" s="71"/>
      <c r="BD221" s="71"/>
      <c r="BE221" s="71"/>
      <c r="BF221" s="71"/>
    </row>
    <row r="222" spans="1:58" ht="17">
      <c r="A222" s="65" t="s">
        <v>1268</v>
      </c>
      <c r="B222" s="65" t="s">
        <v>882</v>
      </c>
      <c r="C222" s="65"/>
      <c r="D222" s="65" t="s">
        <v>1285</v>
      </c>
      <c r="E222" s="85" t="s">
        <v>1270</v>
      </c>
      <c r="F222" s="65" t="s">
        <v>884</v>
      </c>
      <c r="G222" s="59" t="s">
        <v>885</v>
      </c>
      <c r="H222" s="65"/>
      <c r="I222" s="65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71"/>
      <c r="AJ222" s="71"/>
      <c r="AK222" s="71"/>
      <c r="AL222" s="71"/>
      <c r="AM222" s="71"/>
      <c r="AN222" s="71"/>
      <c r="AO222" s="71"/>
      <c r="AP222" s="71"/>
      <c r="AQ222" s="71"/>
      <c r="AR222" s="71"/>
      <c r="AS222" s="71"/>
      <c r="AT222" s="71"/>
      <c r="AU222" s="71"/>
      <c r="AV222" s="71"/>
      <c r="AW222" s="71"/>
      <c r="AX222" s="71"/>
      <c r="AY222" s="71"/>
      <c r="AZ222" s="71"/>
      <c r="BA222" s="71"/>
      <c r="BB222" s="71"/>
      <c r="BC222" s="71"/>
      <c r="BD222" s="71"/>
      <c r="BE222" s="71"/>
      <c r="BF222" s="71"/>
    </row>
    <row r="223" spans="1:58" ht="17">
      <c r="A223" s="65" t="s">
        <v>1268</v>
      </c>
      <c r="B223" s="65" t="s">
        <v>882</v>
      </c>
      <c r="C223" s="65">
        <v>477060</v>
      </c>
      <c r="D223" s="65" t="s">
        <v>1286</v>
      </c>
      <c r="E223" s="85" t="s">
        <v>1270</v>
      </c>
      <c r="F223" s="65" t="s">
        <v>1287</v>
      </c>
      <c r="G223" s="59" t="s">
        <v>638</v>
      </c>
      <c r="H223" s="65" t="s">
        <v>640</v>
      </c>
      <c r="I223" s="65"/>
      <c r="J223" s="71" t="str">
        <f t="array" ref="J223">IFERROR(INDEX(All_User!D:D,MATCH(D223,All_User!H:H,0)),"없음")</f>
        <v>junghoon.seo@stryker.com</v>
      </c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71"/>
      <c r="AJ223" s="71"/>
      <c r="AK223" s="71"/>
      <c r="AL223" s="71"/>
      <c r="AM223" s="71"/>
      <c r="AN223" s="71"/>
      <c r="AO223" s="71"/>
      <c r="AP223" s="71"/>
      <c r="AQ223" s="71"/>
      <c r="AR223" s="71"/>
      <c r="AS223" s="71"/>
      <c r="AT223" s="71"/>
      <c r="AU223" s="71"/>
      <c r="AV223" s="71"/>
      <c r="AW223" s="71"/>
      <c r="AX223" s="71"/>
      <c r="AY223" s="71"/>
      <c r="AZ223" s="71"/>
      <c r="BA223" s="71"/>
      <c r="BB223" s="71"/>
      <c r="BC223" s="71"/>
      <c r="BD223" s="71"/>
      <c r="BE223" s="71"/>
      <c r="BF223" s="71"/>
    </row>
    <row r="224" spans="1:58" ht="17">
      <c r="A224" s="65" t="s">
        <v>1268</v>
      </c>
      <c r="B224" s="65" t="s">
        <v>882</v>
      </c>
      <c r="C224" s="65"/>
      <c r="D224" s="65" t="s">
        <v>1288</v>
      </c>
      <c r="E224" s="85" t="s">
        <v>1270</v>
      </c>
      <c r="F224" s="65" t="s">
        <v>884</v>
      </c>
      <c r="G224" s="59" t="s">
        <v>885</v>
      </c>
      <c r="H224" s="65"/>
      <c r="I224" s="65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71"/>
      <c r="AJ224" s="71"/>
      <c r="AK224" s="71"/>
      <c r="AL224" s="71"/>
      <c r="AM224" s="71"/>
      <c r="AN224" s="71"/>
      <c r="AO224" s="71"/>
      <c r="AP224" s="71"/>
      <c r="AQ224" s="71"/>
      <c r="AR224" s="71"/>
      <c r="AS224" s="71"/>
      <c r="AT224" s="71"/>
      <c r="AU224" s="71"/>
      <c r="AV224" s="71"/>
      <c r="AW224" s="71"/>
      <c r="AX224" s="71"/>
      <c r="AY224" s="71"/>
      <c r="AZ224" s="71"/>
      <c r="BA224" s="71"/>
      <c r="BB224" s="71"/>
      <c r="BC224" s="71"/>
      <c r="BD224" s="71"/>
      <c r="BE224" s="71"/>
      <c r="BF224" s="71"/>
    </row>
    <row r="225" spans="1:58" ht="17">
      <c r="A225" s="65" t="s">
        <v>1268</v>
      </c>
      <c r="B225" s="65" t="s">
        <v>882</v>
      </c>
      <c r="C225" s="65"/>
      <c r="D225" s="65" t="s">
        <v>1289</v>
      </c>
      <c r="E225" s="85" t="s">
        <v>1270</v>
      </c>
      <c r="F225" s="65" t="s">
        <v>884</v>
      </c>
      <c r="G225" s="59" t="s">
        <v>885</v>
      </c>
      <c r="H225" s="65"/>
      <c r="I225" s="65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71"/>
      <c r="AJ225" s="71"/>
      <c r="AK225" s="71"/>
      <c r="AL225" s="71"/>
      <c r="AM225" s="71"/>
      <c r="AN225" s="71"/>
      <c r="AO225" s="71"/>
      <c r="AP225" s="71"/>
      <c r="AQ225" s="71"/>
      <c r="AR225" s="71"/>
      <c r="AS225" s="71"/>
      <c r="AT225" s="71"/>
      <c r="AU225" s="71"/>
      <c r="AV225" s="71"/>
      <c r="AW225" s="71"/>
      <c r="AX225" s="71"/>
      <c r="AY225" s="71"/>
      <c r="AZ225" s="71"/>
      <c r="BA225" s="71"/>
      <c r="BB225" s="71"/>
      <c r="BC225" s="71"/>
      <c r="BD225" s="71"/>
      <c r="BE225" s="71"/>
      <c r="BF225" s="71"/>
    </row>
    <row r="226" spans="1:58" ht="17">
      <c r="A226" s="65" t="s">
        <v>1268</v>
      </c>
      <c r="B226" s="65" t="s">
        <v>882</v>
      </c>
      <c r="C226" s="65"/>
      <c r="D226" s="65" t="s">
        <v>1290</v>
      </c>
      <c r="E226" s="85" t="s">
        <v>1270</v>
      </c>
      <c r="F226" s="65" t="s">
        <v>884</v>
      </c>
      <c r="G226" s="59" t="s">
        <v>885</v>
      </c>
      <c r="H226" s="65"/>
      <c r="I226" s="65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  <c r="AP226" s="71"/>
      <c r="AQ226" s="71"/>
      <c r="AR226" s="71"/>
      <c r="AS226" s="71"/>
      <c r="AT226" s="71"/>
      <c r="AU226" s="71"/>
      <c r="AV226" s="71"/>
      <c r="AW226" s="71"/>
      <c r="AX226" s="71"/>
      <c r="AY226" s="71"/>
      <c r="AZ226" s="71"/>
      <c r="BA226" s="71"/>
      <c r="BB226" s="71"/>
      <c r="BC226" s="71"/>
      <c r="BD226" s="71"/>
      <c r="BE226" s="71"/>
      <c r="BF226" s="71"/>
    </row>
    <row r="227" spans="1:58" ht="17">
      <c r="A227" s="65" t="s">
        <v>1268</v>
      </c>
      <c r="B227" s="65" t="s">
        <v>882</v>
      </c>
      <c r="C227" s="65">
        <v>477077</v>
      </c>
      <c r="D227" s="65" t="s">
        <v>1291</v>
      </c>
      <c r="E227" s="85" t="s">
        <v>1270</v>
      </c>
      <c r="F227" s="65" t="s">
        <v>955</v>
      </c>
      <c r="G227" s="59" t="s">
        <v>1100</v>
      </c>
      <c r="H227" s="65" t="s">
        <v>110</v>
      </c>
      <c r="I227" s="65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  <c r="AP227" s="71"/>
      <c r="AQ227" s="71"/>
      <c r="AR227" s="71"/>
      <c r="AS227" s="71"/>
      <c r="AT227" s="71"/>
      <c r="AU227" s="71"/>
      <c r="AV227" s="71"/>
      <c r="AW227" s="71"/>
      <c r="AX227" s="71"/>
      <c r="AY227" s="71"/>
      <c r="AZ227" s="71"/>
      <c r="BA227" s="71"/>
      <c r="BB227" s="71"/>
      <c r="BC227" s="71"/>
      <c r="BD227" s="71"/>
      <c r="BE227" s="71"/>
      <c r="BF227" s="71"/>
    </row>
    <row r="228" spans="1:58" ht="17">
      <c r="A228" s="65" t="s">
        <v>1268</v>
      </c>
      <c r="B228" s="65" t="s">
        <v>882</v>
      </c>
      <c r="C228" s="65"/>
      <c r="D228" s="65" t="s">
        <v>1292</v>
      </c>
      <c r="E228" s="85" t="s">
        <v>1270</v>
      </c>
      <c r="F228" s="65" t="s">
        <v>884</v>
      </c>
      <c r="G228" s="59" t="s">
        <v>885</v>
      </c>
      <c r="H228" s="65"/>
      <c r="I228" s="65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71"/>
      <c r="AJ228" s="71"/>
      <c r="AK228" s="71"/>
      <c r="AL228" s="71"/>
      <c r="AM228" s="71"/>
      <c r="AN228" s="71"/>
      <c r="AO228" s="71"/>
      <c r="AP228" s="71"/>
      <c r="AQ228" s="71"/>
      <c r="AR228" s="71"/>
      <c r="AS228" s="71"/>
      <c r="AT228" s="71"/>
      <c r="AU228" s="71"/>
      <c r="AV228" s="71"/>
      <c r="AW228" s="71"/>
      <c r="AX228" s="71"/>
      <c r="AY228" s="71"/>
      <c r="AZ228" s="71"/>
      <c r="BA228" s="71"/>
      <c r="BB228" s="71"/>
      <c r="BC228" s="71"/>
      <c r="BD228" s="71"/>
      <c r="BE228" s="71"/>
      <c r="BF228" s="71"/>
    </row>
    <row r="229" spans="1:58" ht="17">
      <c r="A229" s="65" t="s">
        <v>1268</v>
      </c>
      <c r="B229" s="65" t="s">
        <v>882</v>
      </c>
      <c r="C229" s="65"/>
      <c r="D229" s="65" t="s">
        <v>1293</v>
      </c>
      <c r="E229" s="85" t="s">
        <v>1270</v>
      </c>
      <c r="F229" s="65" t="s">
        <v>884</v>
      </c>
      <c r="G229" s="59" t="s">
        <v>885</v>
      </c>
      <c r="H229" s="65"/>
      <c r="I229" s="65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71"/>
      <c r="AJ229" s="71"/>
      <c r="AK229" s="71"/>
      <c r="AL229" s="71"/>
      <c r="AM229" s="71"/>
      <c r="AN229" s="71"/>
      <c r="AO229" s="71"/>
      <c r="AP229" s="71"/>
      <c r="AQ229" s="71"/>
      <c r="AR229" s="71"/>
      <c r="AS229" s="71"/>
      <c r="AT229" s="71"/>
      <c r="AU229" s="71"/>
      <c r="AV229" s="71"/>
      <c r="AW229" s="71"/>
      <c r="AX229" s="71"/>
      <c r="AY229" s="71"/>
      <c r="AZ229" s="71"/>
      <c r="BA229" s="71"/>
      <c r="BB229" s="71"/>
      <c r="BC229" s="71"/>
      <c r="BD229" s="71"/>
      <c r="BE229" s="71"/>
      <c r="BF229" s="71"/>
    </row>
    <row r="230" spans="1:58" ht="17">
      <c r="A230" s="65" t="s">
        <v>1268</v>
      </c>
      <c r="B230" s="65" t="s">
        <v>882</v>
      </c>
      <c r="C230" s="65"/>
      <c r="D230" s="65" t="s">
        <v>1294</v>
      </c>
      <c r="E230" s="85" t="s">
        <v>1270</v>
      </c>
      <c r="F230" s="65" t="s">
        <v>884</v>
      </c>
      <c r="G230" s="59" t="s">
        <v>885</v>
      </c>
      <c r="H230" s="65"/>
      <c r="I230" s="65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  <c r="AR230" s="71"/>
      <c r="AS230" s="71"/>
      <c r="AT230" s="71"/>
      <c r="AU230" s="71"/>
      <c r="AV230" s="71"/>
      <c r="AW230" s="71"/>
      <c r="AX230" s="71"/>
      <c r="AY230" s="71"/>
      <c r="AZ230" s="71"/>
      <c r="BA230" s="71"/>
      <c r="BB230" s="71"/>
      <c r="BC230" s="71"/>
      <c r="BD230" s="71"/>
      <c r="BE230" s="71"/>
      <c r="BF230" s="71"/>
    </row>
    <row r="231" spans="1:58" ht="17">
      <c r="A231" s="65" t="s">
        <v>1268</v>
      </c>
      <c r="B231" s="65" t="s">
        <v>882</v>
      </c>
      <c r="C231" s="65"/>
      <c r="D231" s="65" t="s">
        <v>1295</v>
      </c>
      <c r="E231" s="85" t="s">
        <v>1270</v>
      </c>
      <c r="F231" s="65" t="s">
        <v>884</v>
      </c>
      <c r="G231" s="59" t="s">
        <v>885</v>
      </c>
      <c r="H231" s="65"/>
      <c r="I231" s="65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  <c r="AR231" s="71"/>
      <c r="AS231" s="71"/>
      <c r="AT231" s="71"/>
      <c r="AU231" s="71"/>
      <c r="AV231" s="71"/>
      <c r="AW231" s="71"/>
      <c r="AX231" s="71"/>
      <c r="AY231" s="71"/>
      <c r="AZ231" s="71"/>
      <c r="BA231" s="71"/>
      <c r="BB231" s="71"/>
      <c r="BC231" s="71"/>
      <c r="BD231" s="71"/>
      <c r="BE231" s="71"/>
      <c r="BF231" s="71"/>
    </row>
    <row r="232" spans="1:58" ht="17">
      <c r="A232" s="65" t="s">
        <v>1268</v>
      </c>
      <c r="B232" s="65" t="s">
        <v>882</v>
      </c>
      <c r="C232" s="65">
        <v>477073</v>
      </c>
      <c r="D232" s="65" t="s">
        <v>1296</v>
      </c>
      <c r="E232" s="85" t="s">
        <v>1270</v>
      </c>
      <c r="F232" s="65" t="s">
        <v>884</v>
      </c>
      <c r="G232" s="59" t="s">
        <v>885</v>
      </c>
      <c r="H232" s="65"/>
      <c r="I232" s="65" t="s">
        <v>975</v>
      </c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  <c r="AR232" s="71"/>
      <c r="AS232" s="71"/>
      <c r="AT232" s="71"/>
      <c r="AU232" s="71"/>
      <c r="AV232" s="71"/>
      <c r="AW232" s="71"/>
      <c r="AX232" s="71"/>
      <c r="AY232" s="71"/>
      <c r="AZ232" s="71"/>
      <c r="BA232" s="71"/>
      <c r="BB232" s="71"/>
      <c r="BC232" s="71"/>
      <c r="BD232" s="71"/>
      <c r="BE232" s="71"/>
      <c r="BF232" s="71"/>
    </row>
    <row r="233" spans="1:58" ht="17">
      <c r="A233" s="65" t="s">
        <v>1268</v>
      </c>
      <c r="B233" s="65" t="s">
        <v>882</v>
      </c>
      <c r="C233" s="65"/>
      <c r="D233" s="65" t="s">
        <v>1297</v>
      </c>
      <c r="E233" s="85" t="s">
        <v>1270</v>
      </c>
      <c r="F233" s="65" t="s">
        <v>884</v>
      </c>
      <c r="G233" s="59" t="s">
        <v>885</v>
      </c>
      <c r="H233" s="65"/>
      <c r="I233" s="65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71"/>
      <c r="AJ233" s="71"/>
      <c r="AK233" s="71"/>
      <c r="AL233" s="71"/>
      <c r="AM233" s="71"/>
      <c r="AN233" s="71"/>
      <c r="AO233" s="71"/>
      <c r="AP233" s="71"/>
      <c r="AQ233" s="71"/>
      <c r="AR233" s="71"/>
      <c r="AS233" s="71"/>
      <c r="AT233" s="71"/>
      <c r="AU233" s="71"/>
      <c r="AV233" s="71"/>
      <c r="AW233" s="71"/>
      <c r="AX233" s="71"/>
      <c r="AY233" s="71"/>
      <c r="AZ233" s="71"/>
      <c r="BA233" s="71"/>
      <c r="BB233" s="71"/>
      <c r="BC233" s="71"/>
      <c r="BD233" s="71"/>
      <c r="BE233" s="71"/>
      <c r="BF233" s="71"/>
    </row>
    <row r="234" spans="1:58" ht="17">
      <c r="A234" s="65" t="s">
        <v>1268</v>
      </c>
      <c r="B234" s="65" t="s">
        <v>882</v>
      </c>
      <c r="C234" s="94"/>
      <c r="D234" s="94"/>
      <c r="E234" s="107"/>
      <c r="F234" s="65" t="s">
        <v>884</v>
      </c>
      <c r="G234" s="59" t="s">
        <v>885</v>
      </c>
      <c r="H234" s="94"/>
      <c r="I234" s="94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71"/>
      <c r="AJ234" s="71"/>
      <c r="AK234" s="71"/>
      <c r="AL234" s="71"/>
      <c r="AM234" s="71"/>
      <c r="AN234" s="71"/>
      <c r="AO234" s="71"/>
      <c r="AP234" s="71"/>
      <c r="AQ234" s="71"/>
      <c r="AR234" s="71"/>
      <c r="AS234" s="71"/>
      <c r="AT234" s="71"/>
      <c r="AU234" s="71"/>
      <c r="AV234" s="71"/>
      <c r="AW234" s="71"/>
      <c r="AX234" s="71"/>
      <c r="AY234" s="71"/>
      <c r="AZ234" s="71"/>
      <c r="BA234" s="71"/>
      <c r="BB234" s="71"/>
      <c r="BC234" s="71"/>
      <c r="BD234" s="71"/>
      <c r="BE234" s="71"/>
      <c r="BF234" s="71"/>
    </row>
    <row r="235" spans="1:58" ht="17">
      <c r="A235" s="65" t="s">
        <v>1268</v>
      </c>
      <c r="B235" s="65" t="s">
        <v>882</v>
      </c>
      <c r="C235" s="94"/>
      <c r="D235" s="94"/>
      <c r="E235" s="107"/>
      <c r="F235" s="65" t="s">
        <v>884</v>
      </c>
      <c r="G235" s="59" t="s">
        <v>885</v>
      </c>
      <c r="H235" s="94"/>
      <c r="I235" s="94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  <c r="AW235" s="71"/>
      <c r="AX235" s="71"/>
      <c r="AY235" s="71"/>
      <c r="AZ235" s="71"/>
      <c r="BA235" s="71"/>
      <c r="BB235" s="71"/>
      <c r="BC235" s="71"/>
      <c r="BD235" s="71"/>
      <c r="BE235" s="71"/>
      <c r="BF235" s="71"/>
    </row>
    <row r="236" spans="1:58" ht="17">
      <c r="A236" s="65" t="s">
        <v>1268</v>
      </c>
      <c r="B236" s="65" t="s">
        <v>882</v>
      </c>
      <c r="C236" s="94"/>
      <c r="D236" s="94"/>
      <c r="E236" s="107"/>
      <c r="F236" s="65" t="s">
        <v>884</v>
      </c>
      <c r="G236" s="59" t="s">
        <v>885</v>
      </c>
      <c r="H236" s="94"/>
      <c r="I236" s="94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71"/>
      <c r="AJ236" s="71"/>
      <c r="AK236" s="71"/>
      <c r="AL236" s="71"/>
      <c r="AM236" s="71"/>
      <c r="AN236" s="71"/>
      <c r="AO236" s="71"/>
      <c r="AP236" s="71"/>
      <c r="AQ236" s="71"/>
      <c r="AR236" s="71"/>
      <c r="AS236" s="71"/>
      <c r="AT236" s="71"/>
      <c r="AU236" s="71"/>
      <c r="AV236" s="71"/>
      <c r="AW236" s="71"/>
      <c r="AX236" s="71"/>
      <c r="AY236" s="71"/>
      <c r="AZ236" s="71"/>
      <c r="BA236" s="71"/>
      <c r="BB236" s="71"/>
      <c r="BC236" s="71"/>
      <c r="BD236" s="71"/>
      <c r="BE236" s="71"/>
      <c r="BF236" s="71"/>
    </row>
    <row r="237" spans="1:58" ht="17">
      <c r="A237" s="65" t="s">
        <v>1268</v>
      </c>
      <c r="B237" s="65" t="s">
        <v>882</v>
      </c>
      <c r="C237" s="94"/>
      <c r="D237" s="94"/>
      <c r="E237" s="107"/>
      <c r="F237" s="65" t="s">
        <v>884</v>
      </c>
      <c r="G237" s="59" t="s">
        <v>885</v>
      </c>
      <c r="H237" s="94"/>
      <c r="I237" s="94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71"/>
      <c r="AJ237" s="71"/>
      <c r="AK237" s="71"/>
      <c r="AL237" s="71"/>
      <c r="AM237" s="71"/>
      <c r="AN237" s="71"/>
      <c r="AO237" s="71"/>
      <c r="AP237" s="71"/>
      <c r="AQ237" s="71"/>
      <c r="AR237" s="71"/>
      <c r="AS237" s="71"/>
      <c r="AT237" s="71"/>
      <c r="AU237" s="71"/>
      <c r="AV237" s="71"/>
      <c r="AW237" s="71"/>
      <c r="AX237" s="71"/>
      <c r="AY237" s="71"/>
      <c r="AZ237" s="71"/>
      <c r="BA237" s="71"/>
      <c r="BB237" s="71"/>
      <c r="BC237" s="71"/>
      <c r="BD237" s="71"/>
      <c r="BE237" s="71"/>
      <c r="BF237" s="71"/>
    </row>
    <row r="238" spans="1:58" ht="17">
      <c r="A238" s="65" t="s">
        <v>1268</v>
      </c>
      <c r="B238" s="65" t="s">
        <v>882</v>
      </c>
      <c r="C238" s="94"/>
      <c r="D238" s="94"/>
      <c r="E238" s="107"/>
      <c r="F238" s="65" t="s">
        <v>884</v>
      </c>
      <c r="G238" s="59" t="s">
        <v>885</v>
      </c>
      <c r="H238" s="94"/>
      <c r="I238" s="94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71"/>
      <c r="AJ238" s="71"/>
      <c r="AK238" s="71"/>
      <c r="AL238" s="71"/>
      <c r="AM238" s="71"/>
      <c r="AN238" s="71"/>
      <c r="AO238" s="71"/>
      <c r="AP238" s="71"/>
      <c r="AQ238" s="71"/>
      <c r="AR238" s="71"/>
      <c r="AS238" s="71"/>
      <c r="AT238" s="71"/>
      <c r="AU238" s="71"/>
      <c r="AV238" s="71"/>
      <c r="AW238" s="71"/>
      <c r="AX238" s="71"/>
      <c r="AY238" s="71"/>
      <c r="AZ238" s="71"/>
      <c r="BA238" s="71"/>
      <c r="BB238" s="71"/>
      <c r="BC238" s="71"/>
      <c r="BD238" s="71"/>
      <c r="BE238" s="71"/>
      <c r="BF238" s="71"/>
    </row>
    <row r="239" spans="1:58" ht="17">
      <c r="A239" s="65" t="s">
        <v>1268</v>
      </c>
      <c r="B239" s="65" t="s">
        <v>882</v>
      </c>
      <c r="C239" s="94"/>
      <c r="D239" s="94"/>
      <c r="E239" s="107"/>
      <c r="F239" s="65" t="s">
        <v>884</v>
      </c>
      <c r="G239" s="59" t="s">
        <v>885</v>
      </c>
      <c r="H239" s="94"/>
      <c r="I239" s="94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71"/>
      <c r="AJ239" s="71"/>
      <c r="AK239" s="71"/>
      <c r="AL239" s="71"/>
      <c r="AM239" s="71"/>
      <c r="AN239" s="71"/>
      <c r="AO239" s="71"/>
      <c r="AP239" s="71"/>
      <c r="AQ239" s="71"/>
      <c r="AR239" s="71"/>
      <c r="AS239" s="71"/>
      <c r="AT239" s="71"/>
      <c r="AU239" s="71"/>
      <c r="AV239" s="71"/>
      <c r="AW239" s="71"/>
      <c r="AX239" s="71"/>
      <c r="AY239" s="71"/>
      <c r="AZ239" s="71"/>
      <c r="BA239" s="71"/>
      <c r="BB239" s="71"/>
      <c r="BC239" s="71"/>
      <c r="BD239" s="71"/>
      <c r="BE239" s="71"/>
      <c r="BF239" s="71"/>
    </row>
    <row r="240" spans="1:58" ht="17">
      <c r="A240" s="65" t="s">
        <v>1268</v>
      </c>
      <c r="B240" s="65" t="s">
        <v>882</v>
      </c>
      <c r="C240" s="94"/>
      <c r="D240" s="94"/>
      <c r="E240" s="107"/>
      <c r="F240" s="65" t="s">
        <v>884</v>
      </c>
      <c r="G240" s="59" t="s">
        <v>885</v>
      </c>
      <c r="H240" s="94"/>
      <c r="I240" s="94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71"/>
      <c r="AJ240" s="71"/>
      <c r="AK240" s="71"/>
      <c r="AL240" s="71"/>
      <c r="AM240" s="71"/>
      <c r="AN240" s="71"/>
      <c r="AO240" s="71"/>
      <c r="AP240" s="71"/>
      <c r="AQ240" s="71"/>
      <c r="AR240" s="71"/>
      <c r="AS240" s="71"/>
      <c r="AT240" s="71"/>
      <c r="AU240" s="71"/>
      <c r="AV240" s="71"/>
      <c r="AW240" s="71"/>
      <c r="AX240" s="71"/>
      <c r="AY240" s="71"/>
      <c r="AZ240" s="71"/>
      <c r="BA240" s="71"/>
      <c r="BB240" s="71"/>
      <c r="BC240" s="71"/>
      <c r="BD240" s="71"/>
      <c r="BE240" s="71"/>
      <c r="BF240" s="71"/>
    </row>
    <row r="241" spans="1:58" ht="17">
      <c r="A241" s="65" t="s">
        <v>1268</v>
      </c>
      <c r="B241" s="65" t="s">
        <v>882</v>
      </c>
      <c r="C241" s="94"/>
      <c r="D241" s="94"/>
      <c r="E241" s="107"/>
      <c r="F241" s="65" t="s">
        <v>884</v>
      </c>
      <c r="G241" s="59" t="s">
        <v>885</v>
      </c>
      <c r="H241" s="94"/>
      <c r="I241" s="94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71"/>
      <c r="AJ241" s="71"/>
      <c r="AK241" s="71"/>
      <c r="AL241" s="71"/>
      <c r="AM241" s="71"/>
      <c r="AN241" s="71"/>
      <c r="AO241" s="71"/>
      <c r="AP241" s="71"/>
      <c r="AQ241" s="71"/>
      <c r="AR241" s="71"/>
      <c r="AS241" s="71"/>
      <c r="AT241" s="71"/>
      <c r="AU241" s="71"/>
      <c r="AV241" s="71"/>
      <c r="AW241" s="71"/>
      <c r="AX241" s="71"/>
      <c r="AY241" s="71"/>
      <c r="AZ241" s="71"/>
      <c r="BA241" s="71"/>
      <c r="BB241" s="71"/>
      <c r="BC241" s="71"/>
      <c r="BD241" s="71"/>
      <c r="BE241" s="71"/>
      <c r="BF241" s="71"/>
    </row>
    <row r="242" spans="1:58" ht="17">
      <c r="A242" s="65" t="s">
        <v>1268</v>
      </c>
      <c r="B242" s="65" t="s">
        <v>882</v>
      </c>
      <c r="C242" s="94"/>
      <c r="D242" s="94"/>
      <c r="E242" s="107"/>
      <c r="F242" s="65" t="s">
        <v>884</v>
      </c>
      <c r="G242" s="59" t="s">
        <v>885</v>
      </c>
      <c r="H242" s="94"/>
      <c r="I242" s="94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71"/>
      <c r="AJ242" s="71"/>
      <c r="AK242" s="71"/>
      <c r="AL242" s="71"/>
      <c r="AM242" s="71"/>
      <c r="AN242" s="71"/>
      <c r="AO242" s="71"/>
      <c r="AP242" s="71"/>
      <c r="AQ242" s="71"/>
      <c r="AR242" s="71"/>
      <c r="AS242" s="71"/>
      <c r="AT242" s="71"/>
      <c r="AU242" s="71"/>
      <c r="AV242" s="71"/>
      <c r="AW242" s="71"/>
      <c r="AX242" s="71"/>
      <c r="AY242" s="71"/>
      <c r="AZ242" s="71"/>
      <c r="BA242" s="71"/>
      <c r="BB242" s="71"/>
      <c r="BC242" s="71"/>
      <c r="BD242" s="71"/>
      <c r="BE242" s="71"/>
      <c r="BF242" s="71"/>
    </row>
    <row r="243" spans="1:58" ht="17">
      <c r="A243" s="65" t="s">
        <v>1268</v>
      </c>
      <c r="B243" s="65" t="s">
        <v>882</v>
      </c>
      <c r="C243" s="94"/>
      <c r="D243" s="94"/>
      <c r="E243" s="107"/>
      <c r="F243" s="65" t="s">
        <v>884</v>
      </c>
      <c r="G243" s="59" t="s">
        <v>885</v>
      </c>
      <c r="H243" s="94"/>
      <c r="I243" s="94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71"/>
      <c r="AJ243" s="71"/>
      <c r="AK243" s="71"/>
      <c r="AL243" s="71"/>
      <c r="AM243" s="71"/>
      <c r="AN243" s="71"/>
      <c r="AO243" s="71"/>
      <c r="AP243" s="71"/>
      <c r="AQ243" s="71"/>
      <c r="AR243" s="71"/>
      <c r="AS243" s="71"/>
      <c r="AT243" s="71"/>
      <c r="AU243" s="71"/>
      <c r="AV243" s="71"/>
      <c r="AW243" s="71"/>
      <c r="AX243" s="71"/>
      <c r="AY243" s="71"/>
      <c r="AZ243" s="71"/>
      <c r="BA243" s="71"/>
      <c r="BB243" s="71"/>
      <c r="BC243" s="71"/>
      <c r="BD243" s="71"/>
      <c r="BE243" s="71"/>
      <c r="BF243" s="71"/>
    </row>
    <row r="244" spans="1:58" ht="17">
      <c r="A244" s="65" t="s">
        <v>1268</v>
      </c>
      <c r="B244" s="65" t="s">
        <v>882</v>
      </c>
      <c r="C244" s="94"/>
      <c r="D244" s="94"/>
      <c r="E244" s="107"/>
      <c r="F244" s="65" t="s">
        <v>884</v>
      </c>
      <c r="G244" s="59" t="s">
        <v>885</v>
      </c>
      <c r="H244" s="94"/>
      <c r="I244" s="94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71"/>
      <c r="AJ244" s="71"/>
      <c r="AK244" s="71"/>
      <c r="AL244" s="71"/>
      <c r="AM244" s="71"/>
      <c r="AN244" s="71"/>
      <c r="AO244" s="71"/>
      <c r="AP244" s="71"/>
      <c r="AQ244" s="71"/>
      <c r="AR244" s="71"/>
      <c r="AS244" s="71"/>
      <c r="AT244" s="71"/>
      <c r="AU244" s="71"/>
      <c r="AV244" s="71"/>
      <c r="AW244" s="71"/>
      <c r="AX244" s="71"/>
      <c r="AY244" s="71"/>
      <c r="AZ244" s="71"/>
      <c r="BA244" s="71"/>
      <c r="BB244" s="71"/>
      <c r="BC244" s="71"/>
      <c r="BD244" s="71"/>
      <c r="BE244" s="71"/>
      <c r="BF244" s="71"/>
    </row>
    <row r="245" spans="1:58" ht="17">
      <c r="A245" s="65" t="s">
        <v>1268</v>
      </c>
      <c r="B245" s="65" t="s">
        <v>882</v>
      </c>
      <c r="C245" s="94"/>
      <c r="D245" s="94"/>
      <c r="E245" s="107"/>
      <c r="F245" s="65" t="s">
        <v>884</v>
      </c>
      <c r="G245" s="59" t="s">
        <v>885</v>
      </c>
      <c r="H245" s="94"/>
      <c r="I245" s="94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71"/>
      <c r="AJ245" s="71"/>
      <c r="AK245" s="71"/>
      <c r="AL245" s="71"/>
      <c r="AM245" s="71"/>
      <c r="AN245" s="71"/>
      <c r="AO245" s="71"/>
      <c r="AP245" s="71"/>
      <c r="AQ245" s="71"/>
      <c r="AR245" s="71"/>
      <c r="AS245" s="71"/>
      <c r="AT245" s="71"/>
      <c r="AU245" s="71"/>
      <c r="AV245" s="71"/>
      <c r="AW245" s="71"/>
      <c r="AX245" s="71"/>
      <c r="AY245" s="71"/>
      <c r="AZ245" s="71"/>
      <c r="BA245" s="71"/>
      <c r="BB245" s="71"/>
      <c r="BC245" s="71"/>
      <c r="BD245" s="71"/>
      <c r="BE245" s="71"/>
      <c r="BF245" s="71"/>
    </row>
    <row r="246" spans="1:58" ht="17">
      <c r="A246" s="65" t="s">
        <v>1268</v>
      </c>
      <c r="B246" s="65" t="s">
        <v>882</v>
      </c>
      <c r="C246" s="94"/>
      <c r="D246" s="94"/>
      <c r="E246" s="107"/>
      <c r="F246" s="65" t="s">
        <v>884</v>
      </c>
      <c r="G246" s="59" t="s">
        <v>885</v>
      </c>
      <c r="H246" s="94"/>
      <c r="I246" s="94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71"/>
      <c r="AJ246" s="71"/>
      <c r="AK246" s="71"/>
      <c r="AL246" s="71"/>
      <c r="AM246" s="71"/>
      <c r="AN246" s="71"/>
      <c r="AO246" s="71"/>
      <c r="AP246" s="71"/>
      <c r="AQ246" s="71"/>
      <c r="AR246" s="71"/>
      <c r="AS246" s="71"/>
      <c r="AT246" s="71"/>
      <c r="AU246" s="71"/>
      <c r="AV246" s="71"/>
      <c r="AW246" s="71"/>
      <c r="AX246" s="71"/>
      <c r="AY246" s="71"/>
      <c r="AZ246" s="71"/>
      <c r="BA246" s="71"/>
      <c r="BB246" s="71"/>
      <c r="BC246" s="71"/>
      <c r="BD246" s="71"/>
      <c r="BE246" s="71"/>
      <c r="BF246" s="71"/>
    </row>
    <row r="247" spans="1:58" ht="17">
      <c r="A247" s="65" t="s">
        <v>1268</v>
      </c>
      <c r="B247" s="65" t="s">
        <v>882</v>
      </c>
      <c r="C247" s="94"/>
      <c r="D247" s="94"/>
      <c r="E247" s="107"/>
      <c r="F247" s="65" t="s">
        <v>884</v>
      </c>
      <c r="G247" s="59" t="s">
        <v>885</v>
      </c>
      <c r="H247" s="94"/>
      <c r="I247" s="94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71"/>
      <c r="AJ247" s="71"/>
      <c r="AK247" s="71"/>
      <c r="AL247" s="71"/>
      <c r="AM247" s="71"/>
      <c r="AN247" s="71"/>
      <c r="AO247" s="71"/>
      <c r="AP247" s="71"/>
      <c r="AQ247" s="71"/>
      <c r="AR247" s="71"/>
      <c r="AS247" s="71"/>
      <c r="AT247" s="71"/>
      <c r="AU247" s="71"/>
      <c r="AV247" s="71"/>
      <c r="AW247" s="71"/>
      <c r="AX247" s="71"/>
      <c r="AY247" s="71"/>
      <c r="AZ247" s="71"/>
      <c r="BA247" s="71"/>
      <c r="BB247" s="71"/>
      <c r="BC247" s="71"/>
      <c r="BD247" s="71"/>
      <c r="BE247" s="71"/>
      <c r="BF247" s="71"/>
    </row>
    <row r="248" spans="1:58" ht="17">
      <c r="A248" s="65" t="s">
        <v>1268</v>
      </c>
      <c r="B248" s="65" t="s">
        <v>882</v>
      </c>
      <c r="C248" s="94"/>
      <c r="D248" s="94"/>
      <c r="E248" s="107"/>
      <c r="F248" s="65" t="s">
        <v>884</v>
      </c>
      <c r="G248" s="59" t="s">
        <v>885</v>
      </c>
      <c r="H248" s="94"/>
      <c r="I248" s="94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71"/>
      <c r="AJ248" s="71"/>
      <c r="AK248" s="71"/>
      <c r="AL248" s="71"/>
      <c r="AM248" s="71"/>
      <c r="AN248" s="71"/>
      <c r="AO248" s="71"/>
      <c r="AP248" s="71"/>
      <c r="AQ248" s="71"/>
      <c r="AR248" s="71"/>
      <c r="AS248" s="71"/>
      <c r="AT248" s="71"/>
      <c r="AU248" s="71"/>
      <c r="AV248" s="71"/>
      <c r="AW248" s="71"/>
      <c r="AX248" s="71"/>
      <c r="AY248" s="71"/>
      <c r="AZ248" s="71"/>
      <c r="BA248" s="71"/>
      <c r="BB248" s="71"/>
      <c r="BC248" s="71"/>
      <c r="BD248" s="71"/>
      <c r="BE248" s="71"/>
      <c r="BF248" s="71"/>
    </row>
    <row r="249" spans="1:58" ht="17">
      <c r="A249" s="65" t="s">
        <v>1268</v>
      </c>
      <c r="B249" s="65" t="s">
        <v>882</v>
      </c>
      <c r="C249" s="94"/>
      <c r="D249" s="94"/>
      <c r="E249" s="107"/>
      <c r="F249" s="65" t="s">
        <v>884</v>
      </c>
      <c r="G249" s="59" t="s">
        <v>885</v>
      </c>
      <c r="H249" s="94"/>
      <c r="I249" s="94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71"/>
      <c r="AJ249" s="71"/>
      <c r="AK249" s="71"/>
      <c r="AL249" s="71"/>
      <c r="AM249" s="71"/>
      <c r="AN249" s="71"/>
      <c r="AO249" s="71"/>
      <c r="AP249" s="71"/>
      <c r="AQ249" s="71"/>
      <c r="AR249" s="71"/>
      <c r="AS249" s="71"/>
      <c r="AT249" s="71"/>
      <c r="AU249" s="71"/>
      <c r="AV249" s="71"/>
      <c r="AW249" s="71"/>
      <c r="AX249" s="71"/>
      <c r="AY249" s="71"/>
      <c r="AZ249" s="71"/>
      <c r="BA249" s="71"/>
      <c r="BB249" s="71"/>
      <c r="BC249" s="71"/>
      <c r="BD249" s="71"/>
      <c r="BE249" s="71"/>
      <c r="BF249" s="71"/>
    </row>
    <row r="250" spans="1:58" ht="17">
      <c r="A250" s="65" t="s">
        <v>1268</v>
      </c>
      <c r="B250" s="65" t="s">
        <v>882</v>
      </c>
      <c r="C250" s="94"/>
      <c r="D250" s="94"/>
      <c r="E250" s="107"/>
      <c r="F250" s="65" t="s">
        <v>884</v>
      </c>
      <c r="G250" s="59" t="s">
        <v>885</v>
      </c>
      <c r="H250" s="94"/>
      <c r="I250" s="94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71"/>
      <c r="AJ250" s="71"/>
      <c r="AK250" s="71"/>
      <c r="AL250" s="71"/>
      <c r="AM250" s="71"/>
      <c r="AN250" s="71"/>
      <c r="AO250" s="71"/>
      <c r="AP250" s="71"/>
      <c r="AQ250" s="71"/>
      <c r="AR250" s="71"/>
      <c r="AS250" s="71"/>
      <c r="AT250" s="71"/>
      <c r="AU250" s="71"/>
      <c r="AV250" s="71"/>
      <c r="AW250" s="71"/>
      <c r="AX250" s="71"/>
      <c r="AY250" s="71"/>
      <c r="AZ250" s="71"/>
      <c r="BA250" s="71"/>
      <c r="BB250" s="71"/>
      <c r="BC250" s="71"/>
      <c r="BD250" s="71"/>
      <c r="BE250" s="71"/>
      <c r="BF250" s="71"/>
    </row>
    <row r="251" spans="1:58" ht="17">
      <c r="A251" s="65" t="s">
        <v>1268</v>
      </c>
      <c r="B251" s="65" t="s">
        <v>882</v>
      </c>
      <c r="C251" s="94"/>
      <c r="D251" s="94"/>
      <c r="E251" s="107"/>
      <c r="F251" s="65" t="s">
        <v>884</v>
      </c>
      <c r="G251" s="59" t="s">
        <v>885</v>
      </c>
      <c r="H251" s="94"/>
      <c r="I251" s="94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71"/>
      <c r="AJ251" s="71"/>
      <c r="AK251" s="71"/>
      <c r="AL251" s="71"/>
      <c r="AM251" s="71"/>
      <c r="AN251" s="71"/>
      <c r="AO251" s="71"/>
      <c r="AP251" s="71"/>
      <c r="AQ251" s="71"/>
      <c r="AR251" s="71"/>
      <c r="AS251" s="71"/>
      <c r="AT251" s="71"/>
      <c r="AU251" s="71"/>
      <c r="AV251" s="71"/>
      <c r="AW251" s="71"/>
      <c r="AX251" s="71"/>
      <c r="AY251" s="71"/>
      <c r="AZ251" s="71"/>
      <c r="BA251" s="71"/>
      <c r="BB251" s="71"/>
      <c r="BC251" s="71"/>
      <c r="BD251" s="71"/>
      <c r="BE251" s="71"/>
      <c r="BF251" s="71"/>
    </row>
    <row r="252" spans="1:58" ht="17">
      <c r="A252" s="65" t="s">
        <v>1268</v>
      </c>
      <c r="B252" s="65" t="s">
        <v>882</v>
      </c>
      <c r="C252" s="94"/>
      <c r="D252" s="94"/>
      <c r="E252" s="107"/>
      <c r="F252" s="65" t="s">
        <v>884</v>
      </c>
      <c r="G252" s="59" t="s">
        <v>885</v>
      </c>
      <c r="H252" s="94"/>
      <c r="I252" s="94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71"/>
      <c r="AJ252" s="71"/>
      <c r="AK252" s="71"/>
      <c r="AL252" s="71"/>
      <c r="AM252" s="71"/>
      <c r="AN252" s="71"/>
      <c r="AO252" s="71"/>
      <c r="AP252" s="71"/>
      <c r="AQ252" s="71"/>
      <c r="AR252" s="71"/>
      <c r="AS252" s="71"/>
      <c r="AT252" s="71"/>
      <c r="AU252" s="71"/>
      <c r="AV252" s="71"/>
      <c r="AW252" s="71"/>
      <c r="AX252" s="71"/>
      <c r="AY252" s="71"/>
      <c r="AZ252" s="71"/>
      <c r="BA252" s="71"/>
      <c r="BB252" s="71"/>
      <c r="BC252" s="71"/>
      <c r="BD252" s="71"/>
      <c r="BE252" s="71"/>
      <c r="BF252" s="71"/>
    </row>
    <row r="253" spans="1:58" ht="17">
      <c r="A253" s="94" t="s">
        <v>1298</v>
      </c>
      <c r="B253" s="94" t="s">
        <v>882</v>
      </c>
      <c r="C253" s="94"/>
      <c r="D253" s="94" t="s">
        <v>1299</v>
      </c>
      <c r="E253" s="107" t="s">
        <v>1300</v>
      </c>
      <c r="F253" s="40" t="s">
        <v>909</v>
      </c>
      <c r="G253" s="87" t="s">
        <v>784</v>
      </c>
      <c r="H253" s="108" t="s">
        <v>785</v>
      </c>
      <c r="I253" s="94" t="s">
        <v>1301</v>
      </c>
      <c r="J253" s="71" t="str">
        <f t="array" ref="J253">IFERROR(INDEX(All_User!D:D,MATCH(D253,All_User!H:H,0)),"없음")</f>
        <v>없음</v>
      </c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71"/>
      <c r="AJ253" s="71"/>
      <c r="AK253" s="71"/>
      <c r="AL253" s="71"/>
      <c r="AM253" s="71"/>
      <c r="AN253" s="71"/>
      <c r="AO253" s="71"/>
      <c r="AP253" s="71"/>
      <c r="AQ253" s="71"/>
      <c r="AR253" s="71"/>
      <c r="AS253" s="71"/>
      <c r="AT253" s="71"/>
      <c r="AU253" s="71"/>
      <c r="AV253" s="71"/>
      <c r="AW253" s="71"/>
      <c r="AX253" s="71"/>
      <c r="AY253" s="71"/>
      <c r="AZ253" s="71"/>
      <c r="BA253" s="71"/>
      <c r="BB253" s="71"/>
      <c r="BC253" s="71"/>
      <c r="BD253" s="71"/>
      <c r="BE253" s="71"/>
      <c r="BF253" s="71"/>
    </row>
    <row r="254" spans="1:58" ht="17">
      <c r="A254" s="94"/>
      <c r="B254" s="94"/>
      <c r="C254" s="94"/>
      <c r="D254" s="94"/>
      <c r="E254" s="107"/>
      <c r="F254" s="94"/>
      <c r="G254" s="87"/>
      <c r="H254" s="94"/>
      <c r="I254" s="94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71"/>
      <c r="AJ254" s="71"/>
      <c r="AK254" s="71"/>
      <c r="AL254" s="71"/>
      <c r="AM254" s="71"/>
      <c r="AN254" s="71"/>
      <c r="AO254" s="71"/>
      <c r="AP254" s="71"/>
      <c r="AQ254" s="71"/>
      <c r="AR254" s="71"/>
      <c r="AS254" s="71"/>
      <c r="AT254" s="71"/>
      <c r="AU254" s="71"/>
      <c r="AV254" s="71"/>
      <c r="AW254" s="71"/>
      <c r="AX254" s="71"/>
      <c r="AY254" s="71"/>
      <c r="AZ254" s="71"/>
      <c r="BA254" s="71"/>
      <c r="BB254" s="71"/>
      <c r="BC254" s="71"/>
      <c r="BD254" s="71"/>
      <c r="BE254" s="71"/>
      <c r="BF254" s="71"/>
    </row>
    <row r="255" spans="1:58" ht="17">
      <c r="A255" s="94"/>
      <c r="B255" s="94"/>
      <c r="C255" s="94"/>
      <c r="D255" s="94"/>
      <c r="E255" s="107"/>
      <c r="F255" s="94"/>
      <c r="G255" s="87"/>
      <c r="H255" s="94"/>
      <c r="I255" s="94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71"/>
      <c r="AJ255" s="71"/>
      <c r="AK255" s="71"/>
      <c r="AL255" s="71"/>
      <c r="AM255" s="71"/>
      <c r="AN255" s="71"/>
      <c r="AO255" s="71"/>
      <c r="AP255" s="71"/>
      <c r="AQ255" s="71"/>
      <c r="AR255" s="71"/>
      <c r="AS255" s="71"/>
      <c r="AT255" s="71"/>
      <c r="AU255" s="71"/>
      <c r="AV255" s="71"/>
      <c r="AW255" s="71"/>
      <c r="AX255" s="71"/>
      <c r="AY255" s="71"/>
      <c r="AZ255" s="71"/>
      <c r="BA255" s="71"/>
      <c r="BB255" s="71"/>
      <c r="BC255" s="71"/>
      <c r="BD255" s="71"/>
      <c r="BE255" s="71"/>
      <c r="BF255" s="71"/>
    </row>
    <row r="256" spans="1:58" ht="17">
      <c r="A256" s="94"/>
      <c r="B256" s="94"/>
      <c r="C256" s="94"/>
      <c r="D256" s="94"/>
      <c r="E256" s="107"/>
      <c r="F256" s="94"/>
      <c r="G256" s="87"/>
      <c r="H256" s="94"/>
      <c r="I256" s="94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71"/>
      <c r="AJ256" s="71"/>
      <c r="AK256" s="71"/>
      <c r="AL256" s="71"/>
      <c r="AM256" s="71"/>
      <c r="AN256" s="71"/>
      <c r="AO256" s="71"/>
      <c r="AP256" s="71"/>
      <c r="AQ256" s="71"/>
      <c r="AR256" s="71"/>
      <c r="AS256" s="71"/>
      <c r="AT256" s="71"/>
      <c r="AU256" s="71"/>
      <c r="AV256" s="71"/>
      <c r="AW256" s="71"/>
      <c r="AX256" s="71"/>
      <c r="AY256" s="71"/>
      <c r="AZ256" s="71"/>
      <c r="BA256" s="71"/>
      <c r="BB256" s="71"/>
      <c r="BC256" s="71"/>
      <c r="BD256" s="71"/>
      <c r="BE256" s="71"/>
      <c r="BF256" s="71"/>
    </row>
    <row r="257" spans="1:58" ht="17">
      <c r="A257" s="94"/>
      <c r="B257" s="94"/>
      <c r="C257" s="94"/>
      <c r="D257" s="94"/>
      <c r="E257" s="107"/>
      <c r="F257" s="94"/>
      <c r="G257" s="87"/>
      <c r="H257" s="94"/>
      <c r="I257" s="94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71"/>
      <c r="AJ257" s="71"/>
      <c r="AK257" s="71"/>
      <c r="AL257" s="71"/>
      <c r="AM257" s="71"/>
      <c r="AN257" s="71"/>
      <c r="AO257" s="71"/>
      <c r="AP257" s="71"/>
      <c r="AQ257" s="71"/>
      <c r="AR257" s="71"/>
      <c r="AS257" s="71"/>
      <c r="AT257" s="71"/>
      <c r="AU257" s="71"/>
      <c r="AV257" s="71"/>
      <c r="AW257" s="71"/>
      <c r="AX257" s="71"/>
      <c r="AY257" s="71"/>
      <c r="AZ257" s="71"/>
      <c r="BA257" s="71"/>
      <c r="BB257" s="71"/>
      <c r="BC257" s="71"/>
      <c r="BD257" s="71"/>
      <c r="BE257" s="71"/>
      <c r="BF257" s="71"/>
    </row>
    <row r="258" spans="1:58" ht="17">
      <c r="A258" s="94"/>
      <c r="B258" s="94"/>
      <c r="C258" s="94"/>
      <c r="D258" s="94"/>
      <c r="E258" s="107"/>
      <c r="F258" s="94"/>
      <c r="G258" s="87"/>
      <c r="H258" s="94"/>
      <c r="I258" s="94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71"/>
      <c r="AJ258" s="71"/>
      <c r="AK258" s="71"/>
      <c r="AL258" s="71"/>
      <c r="AM258" s="71"/>
      <c r="AN258" s="71"/>
      <c r="AO258" s="71"/>
      <c r="AP258" s="71"/>
      <c r="AQ258" s="71"/>
      <c r="AR258" s="71"/>
      <c r="AS258" s="71"/>
      <c r="AT258" s="71"/>
      <c r="AU258" s="71"/>
      <c r="AV258" s="71"/>
      <c r="AW258" s="71"/>
      <c r="AX258" s="71"/>
      <c r="AY258" s="71"/>
      <c r="AZ258" s="71"/>
      <c r="BA258" s="71"/>
      <c r="BB258" s="71"/>
      <c r="BC258" s="71"/>
      <c r="BD258" s="71"/>
      <c r="BE258" s="71"/>
      <c r="BF258" s="71"/>
    </row>
    <row r="259" spans="1:58" ht="17">
      <c r="A259" s="94"/>
      <c r="B259" s="94"/>
      <c r="C259" s="94"/>
      <c r="D259" s="94"/>
      <c r="E259" s="107"/>
      <c r="F259" s="94"/>
      <c r="G259" s="87"/>
      <c r="H259" s="94"/>
      <c r="I259" s="94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71"/>
      <c r="AJ259" s="71"/>
      <c r="AK259" s="71"/>
      <c r="AL259" s="71"/>
      <c r="AM259" s="71"/>
      <c r="AN259" s="71"/>
      <c r="AO259" s="71"/>
      <c r="AP259" s="71"/>
      <c r="AQ259" s="71"/>
      <c r="AR259" s="71"/>
      <c r="AS259" s="71"/>
      <c r="AT259" s="71"/>
      <c r="AU259" s="71"/>
      <c r="AV259" s="71"/>
      <c r="AW259" s="71"/>
      <c r="AX259" s="71"/>
      <c r="AY259" s="71"/>
      <c r="AZ259" s="71"/>
      <c r="BA259" s="71"/>
      <c r="BB259" s="71"/>
      <c r="BC259" s="71"/>
      <c r="BD259" s="71"/>
      <c r="BE259" s="71"/>
      <c r="BF259" s="71"/>
    </row>
    <row r="260" spans="1:58" ht="17">
      <c r="A260" s="94"/>
      <c r="B260" s="94"/>
      <c r="C260" s="94"/>
      <c r="D260" s="94"/>
      <c r="E260" s="107"/>
      <c r="F260" s="94"/>
      <c r="G260" s="87"/>
      <c r="H260" s="94"/>
      <c r="I260" s="94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71"/>
      <c r="AJ260" s="71"/>
      <c r="AK260" s="71"/>
      <c r="AL260" s="71"/>
      <c r="AM260" s="71"/>
      <c r="AN260" s="71"/>
      <c r="AO260" s="71"/>
      <c r="AP260" s="71"/>
      <c r="AQ260" s="71"/>
      <c r="AR260" s="71"/>
      <c r="AS260" s="71"/>
      <c r="AT260" s="71"/>
      <c r="AU260" s="71"/>
      <c r="AV260" s="71"/>
      <c r="AW260" s="71"/>
      <c r="AX260" s="71"/>
      <c r="AY260" s="71"/>
      <c r="AZ260" s="71"/>
      <c r="BA260" s="71"/>
      <c r="BB260" s="71"/>
      <c r="BC260" s="71"/>
      <c r="BD260" s="71"/>
      <c r="BE260" s="71"/>
      <c r="BF260" s="71"/>
    </row>
    <row r="261" spans="1:58" ht="17">
      <c r="A261" s="94"/>
      <c r="B261" s="94"/>
      <c r="C261" s="94"/>
      <c r="D261" s="94"/>
      <c r="E261" s="107"/>
      <c r="F261" s="94"/>
      <c r="G261" s="87"/>
      <c r="H261" s="94"/>
      <c r="I261" s="94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71"/>
      <c r="AJ261" s="71"/>
      <c r="AK261" s="71"/>
      <c r="AL261" s="71"/>
      <c r="AM261" s="71"/>
      <c r="AN261" s="71"/>
      <c r="AO261" s="71"/>
      <c r="AP261" s="71"/>
      <c r="AQ261" s="71"/>
      <c r="AR261" s="71"/>
      <c r="AS261" s="71"/>
      <c r="AT261" s="71"/>
      <c r="AU261" s="71"/>
      <c r="AV261" s="71"/>
      <c r="AW261" s="71"/>
      <c r="AX261" s="71"/>
      <c r="AY261" s="71"/>
      <c r="AZ261" s="71"/>
      <c r="BA261" s="71"/>
      <c r="BB261" s="71"/>
      <c r="BC261" s="71"/>
      <c r="BD261" s="71"/>
      <c r="BE261" s="71"/>
      <c r="BF261" s="71"/>
    </row>
    <row r="262" spans="1:58" ht="17">
      <c r="A262" s="94"/>
      <c r="B262" s="94"/>
      <c r="C262" s="94"/>
      <c r="D262" s="94"/>
      <c r="E262" s="107"/>
      <c r="F262" s="94"/>
      <c r="G262" s="87"/>
      <c r="H262" s="94"/>
      <c r="I262" s="94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71"/>
      <c r="AJ262" s="71"/>
      <c r="AK262" s="71"/>
      <c r="AL262" s="71"/>
      <c r="AM262" s="71"/>
      <c r="AN262" s="71"/>
      <c r="AO262" s="71"/>
      <c r="AP262" s="71"/>
      <c r="AQ262" s="71"/>
      <c r="AR262" s="71"/>
      <c r="AS262" s="71"/>
      <c r="AT262" s="71"/>
      <c r="AU262" s="71"/>
      <c r="AV262" s="71"/>
      <c r="AW262" s="71"/>
      <c r="AX262" s="71"/>
      <c r="AY262" s="71"/>
      <c r="AZ262" s="71"/>
      <c r="BA262" s="71"/>
      <c r="BB262" s="71"/>
      <c r="BC262" s="71"/>
      <c r="BD262" s="71"/>
      <c r="BE262" s="71"/>
      <c r="BF262" s="71"/>
    </row>
    <row r="263" spans="1:58" ht="17">
      <c r="A263" s="94"/>
      <c r="B263" s="94"/>
      <c r="C263" s="94"/>
      <c r="D263" s="94"/>
      <c r="E263" s="107"/>
      <c r="F263" s="94"/>
      <c r="G263" s="87"/>
      <c r="H263" s="94"/>
      <c r="I263" s="94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71"/>
      <c r="AJ263" s="71"/>
      <c r="AK263" s="71"/>
      <c r="AL263" s="71"/>
      <c r="AM263" s="71"/>
      <c r="AN263" s="71"/>
      <c r="AO263" s="71"/>
      <c r="AP263" s="71"/>
      <c r="AQ263" s="71"/>
      <c r="AR263" s="71"/>
      <c r="AS263" s="71"/>
      <c r="AT263" s="71"/>
      <c r="AU263" s="71"/>
      <c r="AV263" s="71"/>
      <c r="AW263" s="71"/>
      <c r="AX263" s="71"/>
      <c r="AY263" s="71"/>
      <c r="AZ263" s="71"/>
      <c r="BA263" s="71"/>
      <c r="BB263" s="71"/>
      <c r="BC263" s="71"/>
      <c r="BD263" s="71"/>
      <c r="BE263" s="71"/>
      <c r="BF263" s="71"/>
    </row>
    <row r="264" spans="1:58" ht="17">
      <c r="A264" s="94"/>
      <c r="B264" s="94"/>
      <c r="C264" s="94"/>
      <c r="D264" s="94"/>
      <c r="E264" s="107"/>
      <c r="F264" s="94"/>
      <c r="G264" s="87"/>
      <c r="H264" s="94"/>
      <c r="I264" s="94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71"/>
      <c r="AJ264" s="71"/>
      <c r="AK264" s="71"/>
      <c r="AL264" s="71"/>
      <c r="AM264" s="71"/>
      <c r="AN264" s="71"/>
      <c r="AO264" s="71"/>
      <c r="AP264" s="71"/>
      <c r="AQ264" s="71"/>
      <c r="AR264" s="71"/>
      <c r="AS264" s="71"/>
      <c r="AT264" s="71"/>
      <c r="AU264" s="71"/>
      <c r="AV264" s="71"/>
      <c r="AW264" s="71"/>
      <c r="AX264" s="71"/>
      <c r="AY264" s="71"/>
      <c r="AZ264" s="71"/>
      <c r="BA264" s="71"/>
      <c r="BB264" s="71"/>
      <c r="BC264" s="71"/>
      <c r="BD264" s="71"/>
      <c r="BE264" s="71"/>
      <c r="BF264" s="71"/>
    </row>
    <row r="265" spans="1:58" ht="17">
      <c r="A265" s="94"/>
      <c r="B265" s="94"/>
      <c r="C265" s="94"/>
      <c r="D265" s="94"/>
      <c r="E265" s="107"/>
      <c r="F265" s="94"/>
      <c r="G265" s="87"/>
      <c r="H265" s="94"/>
      <c r="I265" s="94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71"/>
      <c r="AJ265" s="71"/>
      <c r="AK265" s="71"/>
      <c r="AL265" s="71"/>
      <c r="AM265" s="71"/>
      <c r="AN265" s="71"/>
      <c r="AO265" s="71"/>
      <c r="AP265" s="71"/>
      <c r="AQ265" s="71"/>
      <c r="AR265" s="71"/>
      <c r="AS265" s="71"/>
      <c r="AT265" s="71"/>
      <c r="AU265" s="71"/>
      <c r="AV265" s="71"/>
      <c r="AW265" s="71"/>
      <c r="AX265" s="71"/>
      <c r="AY265" s="71"/>
      <c r="AZ265" s="71"/>
      <c r="BA265" s="71"/>
      <c r="BB265" s="71"/>
      <c r="BC265" s="71"/>
      <c r="BD265" s="71"/>
      <c r="BE265" s="71"/>
      <c r="BF265" s="71"/>
    </row>
    <row r="266" spans="1:58" ht="17">
      <c r="A266" s="94"/>
      <c r="B266" s="94"/>
      <c r="C266" s="94"/>
      <c r="D266" s="94"/>
      <c r="E266" s="107"/>
      <c r="F266" s="94"/>
      <c r="G266" s="87"/>
      <c r="H266" s="94"/>
      <c r="I266" s="94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71"/>
      <c r="AJ266" s="71"/>
      <c r="AK266" s="71"/>
      <c r="AL266" s="71"/>
      <c r="AM266" s="71"/>
      <c r="AN266" s="71"/>
      <c r="AO266" s="71"/>
      <c r="AP266" s="71"/>
      <c r="AQ266" s="71"/>
      <c r="AR266" s="71"/>
      <c r="AS266" s="71"/>
      <c r="AT266" s="71"/>
      <c r="AU266" s="71"/>
      <c r="AV266" s="71"/>
      <c r="AW266" s="71"/>
      <c r="AX266" s="71"/>
      <c r="AY266" s="71"/>
      <c r="AZ266" s="71"/>
      <c r="BA266" s="71"/>
      <c r="BB266" s="71"/>
      <c r="BC266" s="71"/>
      <c r="BD266" s="71"/>
      <c r="BE266" s="71"/>
      <c r="BF266" s="71"/>
    </row>
    <row r="267" spans="1:58" ht="17">
      <c r="A267" s="94"/>
      <c r="B267" s="94"/>
      <c r="C267" s="94"/>
      <c r="D267" s="94"/>
      <c r="E267" s="107"/>
      <c r="F267" s="94"/>
      <c r="G267" s="87"/>
      <c r="H267" s="94"/>
      <c r="I267" s="94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71"/>
      <c r="AJ267" s="71"/>
      <c r="AK267" s="71"/>
      <c r="AL267" s="71"/>
      <c r="AM267" s="71"/>
      <c r="AN267" s="71"/>
      <c r="AO267" s="71"/>
      <c r="AP267" s="71"/>
      <c r="AQ267" s="71"/>
      <c r="AR267" s="71"/>
      <c r="AS267" s="71"/>
      <c r="AT267" s="71"/>
      <c r="AU267" s="71"/>
      <c r="AV267" s="71"/>
      <c r="AW267" s="71"/>
      <c r="AX267" s="71"/>
      <c r="AY267" s="71"/>
      <c r="AZ267" s="71"/>
      <c r="BA267" s="71"/>
      <c r="BB267" s="71"/>
      <c r="BC267" s="71"/>
      <c r="BD267" s="71"/>
      <c r="BE267" s="71"/>
      <c r="BF267" s="71"/>
    </row>
    <row r="268" spans="1:58" ht="17">
      <c r="A268" s="94"/>
      <c r="B268" s="94"/>
      <c r="C268" s="94"/>
      <c r="D268" s="94"/>
      <c r="E268" s="107"/>
      <c r="F268" s="94"/>
      <c r="G268" s="87"/>
      <c r="H268" s="94"/>
      <c r="I268" s="94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71"/>
      <c r="AJ268" s="71"/>
      <c r="AK268" s="71"/>
      <c r="AL268" s="71"/>
      <c r="AM268" s="71"/>
      <c r="AN268" s="71"/>
      <c r="AO268" s="71"/>
      <c r="AP268" s="71"/>
      <c r="AQ268" s="71"/>
      <c r="AR268" s="71"/>
      <c r="AS268" s="71"/>
      <c r="AT268" s="71"/>
      <c r="AU268" s="71"/>
      <c r="AV268" s="71"/>
      <c r="AW268" s="71"/>
      <c r="AX268" s="71"/>
      <c r="AY268" s="71"/>
      <c r="AZ268" s="71"/>
      <c r="BA268" s="71"/>
      <c r="BB268" s="71"/>
      <c r="BC268" s="71"/>
      <c r="BD268" s="71"/>
      <c r="BE268" s="71"/>
      <c r="BF268" s="71"/>
    </row>
    <row r="269" spans="1:58" ht="17">
      <c r="A269" s="94"/>
      <c r="B269" s="94"/>
      <c r="C269" s="94"/>
      <c r="D269" s="94"/>
      <c r="E269" s="107"/>
      <c r="F269" s="94"/>
      <c r="G269" s="87"/>
      <c r="H269" s="94"/>
      <c r="I269" s="94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71"/>
      <c r="AJ269" s="71"/>
      <c r="AK269" s="71"/>
      <c r="AL269" s="71"/>
      <c r="AM269" s="71"/>
      <c r="AN269" s="71"/>
      <c r="AO269" s="71"/>
      <c r="AP269" s="71"/>
      <c r="AQ269" s="71"/>
      <c r="AR269" s="71"/>
      <c r="AS269" s="71"/>
      <c r="AT269" s="71"/>
      <c r="AU269" s="71"/>
      <c r="AV269" s="71"/>
      <c r="AW269" s="71"/>
      <c r="AX269" s="71"/>
      <c r="AY269" s="71"/>
      <c r="AZ269" s="71"/>
      <c r="BA269" s="71"/>
      <c r="BB269" s="71"/>
      <c r="BC269" s="71"/>
      <c r="BD269" s="71"/>
      <c r="BE269" s="71"/>
      <c r="BF269" s="71"/>
    </row>
    <row r="270" spans="1:58" ht="17">
      <c r="A270" s="94"/>
      <c r="B270" s="94"/>
      <c r="C270" s="94"/>
      <c r="D270" s="94"/>
      <c r="E270" s="107"/>
      <c r="F270" s="94"/>
      <c r="G270" s="87"/>
      <c r="H270" s="94"/>
      <c r="I270" s="94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71"/>
      <c r="AJ270" s="71"/>
      <c r="AK270" s="71"/>
      <c r="AL270" s="71"/>
      <c r="AM270" s="71"/>
      <c r="AN270" s="71"/>
      <c r="AO270" s="71"/>
      <c r="AP270" s="71"/>
      <c r="AQ270" s="71"/>
      <c r="AR270" s="71"/>
      <c r="AS270" s="71"/>
      <c r="AT270" s="71"/>
      <c r="AU270" s="71"/>
      <c r="AV270" s="71"/>
      <c r="AW270" s="71"/>
      <c r="AX270" s="71"/>
      <c r="AY270" s="71"/>
      <c r="AZ270" s="71"/>
      <c r="BA270" s="71"/>
      <c r="BB270" s="71"/>
      <c r="BC270" s="71"/>
      <c r="BD270" s="71"/>
      <c r="BE270" s="71"/>
      <c r="BF270" s="71"/>
    </row>
    <row r="271" spans="1:58" ht="17">
      <c r="A271" s="94"/>
      <c r="B271" s="94"/>
      <c r="C271" s="94"/>
      <c r="D271" s="94"/>
      <c r="E271" s="107"/>
      <c r="F271" s="94"/>
      <c r="G271" s="87"/>
      <c r="H271" s="94"/>
      <c r="I271" s="94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71"/>
      <c r="AJ271" s="71"/>
      <c r="AK271" s="71"/>
      <c r="AL271" s="71"/>
      <c r="AM271" s="71"/>
      <c r="AN271" s="71"/>
      <c r="AO271" s="71"/>
      <c r="AP271" s="71"/>
      <c r="AQ271" s="71"/>
      <c r="AR271" s="71"/>
      <c r="AS271" s="71"/>
      <c r="AT271" s="71"/>
      <c r="AU271" s="71"/>
      <c r="AV271" s="71"/>
      <c r="AW271" s="71"/>
      <c r="AX271" s="71"/>
      <c r="AY271" s="71"/>
      <c r="AZ271" s="71"/>
      <c r="BA271" s="71"/>
      <c r="BB271" s="71"/>
      <c r="BC271" s="71"/>
      <c r="BD271" s="71"/>
      <c r="BE271" s="71"/>
      <c r="BF271" s="71"/>
    </row>
    <row r="272" spans="1:58" ht="17">
      <c r="A272" s="94"/>
      <c r="B272" s="94"/>
      <c r="C272" s="94"/>
      <c r="D272" s="94"/>
      <c r="E272" s="107"/>
      <c r="F272" s="94"/>
      <c r="G272" s="87"/>
      <c r="H272" s="94"/>
      <c r="I272" s="94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71"/>
      <c r="AJ272" s="71"/>
      <c r="AK272" s="71"/>
      <c r="AL272" s="71"/>
      <c r="AM272" s="71"/>
      <c r="AN272" s="71"/>
      <c r="AO272" s="71"/>
      <c r="AP272" s="71"/>
      <c r="AQ272" s="71"/>
      <c r="AR272" s="71"/>
      <c r="AS272" s="71"/>
      <c r="AT272" s="71"/>
      <c r="AU272" s="71"/>
      <c r="AV272" s="71"/>
      <c r="AW272" s="71"/>
      <c r="AX272" s="71"/>
      <c r="AY272" s="71"/>
      <c r="AZ272" s="71"/>
      <c r="BA272" s="71"/>
      <c r="BB272" s="71"/>
      <c r="BC272" s="71"/>
      <c r="BD272" s="71"/>
      <c r="BE272" s="71"/>
      <c r="BF272" s="71"/>
    </row>
    <row r="273" spans="1:58" ht="17">
      <c r="A273" s="94"/>
      <c r="B273" s="94"/>
      <c r="C273" s="94"/>
      <c r="D273" s="94"/>
      <c r="E273" s="107"/>
      <c r="F273" s="94"/>
      <c r="G273" s="87"/>
      <c r="H273" s="94"/>
      <c r="I273" s="94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71"/>
      <c r="AJ273" s="71"/>
      <c r="AK273" s="71"/>
      <c r="AL273" s="71"/>
      <c r="AM273" s="71"/>
      <c r="AN273" s="71"/>
      <c r="AO273" s="71"/>
      <c r="AP273" s="71"/>
      <c r="AQ273" s="71"/>
      <c r="AR273" s="71"/>
      <c r="AS273" s="71"/>
      <c r="AT273" s="71"/>
      <c r="AU273" s="71"/>
      <c r="AV273" s="71"/>
      <c r="AW273" s="71"/>
      <c r="AX273" s="71"/>
      <c r="AY273" s="71"/>
      <c r="AZ273" s="71"/>
      <c r="BA273" s="71"/>
      <c r="BB273" s="71"/>
      <c r="BC273" s="71"/>
      <c r="BD273" s="71"/>
      <c r="BE273" s="71"/>
      <c r="BF273" s="71"/>
    </row>
  </sheetData>
  <autoFilter ref="A1:I252" xr:uid="{00000000-0009-0000-0000-000001000000}"/>
  <phoneticPr fontId="72" type="noConversion"/>
  <conditionalFormatting sqref="H1:H106 G32 H108:H171 H173:H273">
    <cfRule type="expression" dxfId="3" priority="1">
      <formula>COUNTIF(H:H,H:H)&gt;1</formula>
    </cfRule>
  </conditionalFormatting>
  <hyperlinks>
    <hyperlink ref="H14" r:id="rId1" xr:uid="{00000000-0004-0000-0100-000000000000}"/>
    <hyperlink ref="H15" r:id="rId2" xr:uid="{00000000-0004-0000-0100-000001000000}"/>
    <hyperlink ref="H38" r:id="rId3" xr:uid="{00000000-0004-0000-0100-000002000000}"/>
    <hyperlink ref="H52" r:id="rId4" xr:uid="{00000000-0004-0000-0100-000003000000}"/>
    <hyperlink ref="I52" r:id="rId5" xr:uid="{00000000-0004-0000-0100-000004000000}"/>
    <hyperlink ref="H54" r:id="rId6" xr:uid="{00000000-0004-0000-0100-000005000000}"/>
    <hyperlink ref="H82" r:id="rId7" xr:uid="{00000000-0004-0000-0100-000006000000}"/>
    <hyperlink ref="H85" r:id="rId8" xr:uid="{00000000-0004-0000-0100-000007000000}"/>
    <hyperlink ref="H104" r:id="rId9" xr:uid="{00000000-0004-0000-0100-000008000000}"/>
    <hyperlink ref="H118" r:id="rId10" xr:uid="{00000000-0004-0000-0100-000009000000}"/>
    <hyperlink ref="H132" r:id="rId11" xr:uid="{00000000-0004-0000-0100-00000A000000}"/>
    <hyperlink ref="H135" r:id="rId12" xr:uid="{00000000-0004-0000-0100-00000B000000}"/>
    <hyperlink ref="H138" r:id="rId13" xr:uid="{00000000-0004-0000-0100-00000C000000}"/>
    <hyperlink ref="H145" r:id="rId14" xr:uid="{00000000-0004-0000-0100-00000D000000}"/>
    <hyperlink ref="H147" r:id="rId15" xr:uid="{00000000-0004-0000-0100-00000E000000}"/>
    <hyperlink ref="H148" r:id="rId16" xr:uid="{00000000-0004-0000-0100-00000F000000}"/>
    <hyperlink ref="H149" r:id="rId17" xr:uid="{00000000-0004-0000-0100-000010000000}"/>
    <hyperlink ref="H150" r:id="rId18" xr:uid="{00000000-0004-0000-0100-000011000000}"/>
    <hyperlink ref="H152" r:id="rId19" xr:uid="{00000000-0004-0000-0100-000012000000}"/>
    <hyperlink ref="H153" r:id="rId20" xr:uid="{00000000-0004-0000-0100-000013000000}"/>
    <hyperlink ref="H156" r:id="rId21" xr:uid="{00000000-0004-0000-0100-000014000000}"/>
    <hyperlink ref="H157" r:id="rId22" xr:uid="{00000000-0004-0000-0100-000015000000}"/>
    <hyperlink ref="H159" r:id="rId23" xr:uid="{00000000-0004-0000-0100-000016000000}"/>
    <hyperlink ref="H160" r:id="rId24" xr:uid="{00000000-0004-0000-0100-000017000000}"/>
    <hyperlink ref="H162" r:id="rId25" xr:uid="{00000000-0004-0000-0100-000018000000}"/>
    <hyperlink ref="H163" r:id="rId26" xr:uid="{00000000-0004-0000-0100-000019000000}"/>
    <hyperlink ref="H164" r:id="rId27" xr:uid="{00000000-0004-0000-0100-00001A000000}"/>
    <hyperlink ref="H165" r:id="rId28" xr:uid="{00000000-0004-0000-0100-00001B000000}"/>
    <hyperlink ref="H166" r:id="rId29" xr:uid="{00000000-0004-0000-0100-00001C000000}"/>
    <hyperlink ref="H167" r:id="rId30" xr:uid="{00000000-0004-0000-0100-00001D000000}"/>
    <hyperlink ref="H168" r:id="rId31" xr:uid="{00000000-0004-0000-0100-00001E000000}"/>
    <hyperlink ref="H169" r:id="rId32" xr:uid="{00000000-0004-0000-0100-00001F000000}"/>
    <hyperlink ref="H176" r:id="rId33" xr:uid="{00000000-0004-0000-0100-000020000000}"/>
    <hyperlink ref="H177" r:id="rId34" xr:uid="{00000000-0004-0000-0100-000021000000}"/>
    <hyperlink ref="H179" r:id="rId35" xr:uid="{00000000-0004-0000-0100-000022000000}"/>
    <hyperlink ref="H181" r:id="rId36" xr:uid="{00000000-0004-0000-0100-000023000000}"/>
    <hyperlink ref="H184" r:id="rId37" xr:uid="{00000000-0004-0000-0100-000024000000}"/>
    <hyperlink ref="H190" r:id="rId38" xr:uid="{00000000-0004-0000-0100-000025000000}"/>
    <hyperlink ref="H194" r:id="rId39" xr:uid="{00000000-0004-0000-0100-000026000000}"/>
    <hyperlink ref="H199" r:id="rId40" xr:uid="{00000000-0004-0000-0100-000027000000}"/>
    <hyperlink ref="H200" r:id="rId41" xr:uid="{00000000-0004-0000-0100-000028000000}"/>
    <hyperlink ref="H202" r:id="rId42" xr:uid="{00000000-0004-0000-0100-000029000000}"/>
    <hyperlink ref="H203" r:id="rId43" xr:uid="{00000000-0004-0000-0100-00002A000000}"/>
    <hyperlink ref="H204" r:id="rId44" xr:uid="{00000000-0004-0000-0100-00002B000000}"/>
    <hyperlink ref="H205" r:id="rId45" xr:uid="{00000000-0004-0000-0100-00002C000000}"/>
    <hyperlink ref="H206" r:id="rId46" xr:uid="{00000000-0004-0000-0100-00002D000000}"/>
    <hyperlink ref="H207" r:id="rId47" xr:uid="{00000000-0004-0000-0100-00002E000000}"/>
  </hyperlinks>
  <pageMargins left="0.7" right="0.7" top="0.75" bottom="0.75" header="0.3" footer="0.3"/>
  <legacyDrawing r:id="rId4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000"/>
  <sheetViews>
    <sheetView workbookViewId="0"/>
  </sheetViews>
  <sheetFormatPr baseColWidth="10" defaultColWidth="12.6640625" defaultRowHeight="15.75" customHeight="1"/>
  <cols>
    <col min="1" max="1" width="8.33203125" customWidth="1"/>
    <col min="2" max="2" width="14.33203125" customWidth="1"/>
    <col min="3" max="3" width="22.6640625" customWidth="1"/>
    <col min="4" max="4" width="29.6640625" customWidth="1"/>
  </cols>
  <sheetData>
    <row r="1" spans="1:6" ht="15.75" customHeight="1">
      <c r="A1" s="40" t="s">
        <v>1302</v>
      </c>
      <c r="B1" s="40" t="s">
        <v>1303</v>
      </c>
      <c r="C1" s="109" t="s">
        <v>1304</v>
      </c>
      <c r="D1" s="40" t="s">
        <v>3</v>
      </c>
      <c r="E1" s="40" t="s">
        <v>4</v>
      </c>
      <c r="F1" s="40" t="s">
        <v>1305</v>
      </c>
    </row>
    <row r="2" spans="1:6" ht="15.75" customHeight="1">
      <c r="A2" s="40">
        <v>7500</v>
      </c>
      <c r="B2" s="40" t="s">
        <v>1306</v>
      </c>
      <c r="C2" s="110" t="s">
        <v>1307</v>
      </c>
      <c r="D2" s="40" t="s">
        <v>243</v>
      </c>
      <c r="E2" s="40" t="e">
        <v>#N/A</v>
      </c>
      <c r="F2" s="40" t="s">
        <v>1308</v>
      </c>
    </row>
    <row r="3" spans="1:6" ht="15.75" customHeight="1">
      <c r="A3" s="40">
        <v>7501</v>
      </c>
      <c r="B3" s="40" t="s">
        <v>1309</v>
      </c>
      <c r="C3" s="110" t="s">
        <v>1310</v>
      </c>
      <c r="D3" s="40" t="s">
        <v>250</v>
      </c>
      <c r="E3" s="40" t="e">
        <v>#N/A</v>
      </c>
    </row>
    <row r="4" spans="1:6" ht="15.75" customHeight="1">
      <c r="A4" s="40">
        <v>7502</v>
      </c>
      <c r="B4" s="40" t="s">
        <v>1311</v>
      </c>
      <c r="C4" s="110" t="s">
        <v>1312</v>
      </c>
      <c r="D4" s="40" t="s">
        <v>501</v>
      </c>
      <c r="E4" s="40" t="e">
        <v>#N/A</v>
      </c>
    </row>
    <row r="5" spans="1:6" ht="15.75" customHeight="1">
      <c r="A5" s="40">
        <v>7503</v>
      </c>
      <c r="B5" s="40" t="s">
        <v>1313</v>
      </c>
      <c r="C5" s="110" t="s">
        <v>1314</v>
      </c>
      <c r="D5" s="40" t="s">
        <v>1315</v>
      </c>
      <c r="E5" s="40" t="e">
        <v>#N/A</v>
      </c>
    </row>
    <row r="6" spans="1:6" ht="15.75" customHeight="1">
      <c r="A6" s="40">
        <v>7504</v>
      </c>
      <c r="B6" s="40" t="s">
        <v>1316</v>
      </c>
      <c r="C6" s="110" t="s">
        <v>1317</v>
      </c>
      <c r="D6" s="40" t="s">
        <v>1318</v>
      </c>
      <c r="E6" s="40" t="e">
        <v>#N/A</v>
      </c>
    </row>
    <row r="7" spans="1:6" ht="15.75" customHeight="1">
      <c r="A7" s="40">
        <v>7505</v>
      </c>
      <c r="B7" s="40" t="s">
        <v>1319</v>
      </c>
      <c r="C7" s="110" t="s">
        <v>1320</v>
      </c>
      <c r="D7" s="40" t="s">
        <v>1321</v>
      </c>
      <c r="E7" s="40" t="e">
        <v>#N/A</v>
      </c>
    </row>
    <row r="8" spans="1:6" ht="15.75" customHeight="1">
      <c r="A8" s="40">
        <v>7506</v>
      </c>
      <c r="B8" s="40" t="s">
        <v>1322</v>
      </c>
      <c r="C8" s="110" t="s">
        <v>1323</v>
      </c>
      <c r="D8" s="40" t="s">
        <v>1324</v>
      </c>
      <c r="E8" s="40" t="e">
        <v>#N/A</v>
      </c>
    </row>
    <row r="9" spans="1:6" ht="15.75" customHeight="1">
      <c r="A9" s="40">
        <v>7507</v>
      </c>
      <c r="B9" s="40" t="s">
        <v>1325</v>
      </c>
      <c r="C9" s="110" t="s">
        <v>1326</v>
      </c>
      <c r="D9" s="40" t="s">
        <v>1327</v>
      </c>
      <c r="E9" s="40" t="e">
        <v>#N/A</v>
      </c>
    </row>
    <row r="10" spans="1:6" ht="15.75" customHeight="1">
      <c r="A10" s="40">
        <v>7508</v>
      </c>
      <c r="B10" s="40" t="s">
        <v>1328</v>
      </c>
      <c r="C10" s="110" t="s">
        <v>1329</v>
      </c>
      <c r="D10" s="40" t="s">
        <v>1330</v>
      </c>
      <c r="E10" s="40" t="e">
        <v>#N/A</v>
      </c>
    </row>
    <row r="11" spans="1:6" ht="15.75" customHeight="1">
      <c r="A11" s="40">
        <v>7509</v>
      </c>
      <c r="B11" s="40" t="s">
        <v>1331</v>
      </c>
      <c r="C11" s="110" t="s">
        <v>1332</v>
      </c>
      <c r="D11" s="40" t="s">
        <v>1333</v>
      </c>
      <c r="E11" s="40" t="e">
        <v>#N/A</v>
      </c>
    </row>
    <row r="12" spans="1:6" ht="15.75" customHeight="1">
      <c r="A12" s="40">
        <v>7510</v>
      </c>
      <c r="B12" s="40" t="s">
        <v>1334</v>
      </c>
      <c r="C12" s="110" t="s">
        <v>1335</v>
      </c>
      <c r="D12" s="40" t="s">
        <v>1336</v>
      </c>
      <c r="E12" s="40" t="e">
        <v>#N/A</v>
      </c>
    </row>
    <row r="13" spans="1:6" ht="15.75" customHeight="1">
      <c r="A13" s="40">
        <v>7511</v>
      </c>
      <c r="B13" s="40" t="s">
        <v>1337</v>
      </c>
      <c r="C13" s="110" t="s">
        <v>1338</v>
      </c>
      <c r="D13" s="40" t="s">
        <v>735</v>
      </c>
      <c r="E13" s="40" t="e">
        <v>#N/A</v>
      </c>
    </row>
    <row r="14" spans="1:6" ht="15.75" customHeight="1">
      <c r="A14" s="40">
        <v>7512</v>
      </c>
      <c r="B14" s="40" t="s">
        <v>1339</v>
      </c>
      <c r="C14" s="110" t="s">
        <v>1340</v>
      </c>
      <c r="D14" s="40" t="s">
        <v>31</v>
      </c>
      <c r="E14" s="40" t="e">
        <v>#N/A</v>
      </c>
    </row>
    <row r="15" spans="1:6" ht="15.75" customHeight="1">
      <c r="A15" s="40">
        <v>7513</v>
      </c>
      <c r="B15" s="40" t="s">
        <v>1341</v>
      </c>
      <c r="C15" s="110" t="s">
        <v>1342</v>
      </c>
      <c r="D15" s="40" t="s">
        <v>78</v>
      </c>
      <c r="E15" s="40" t="e">
        <v>#N/A</v>
      </c>
    </row>
    <row r="16" spans="1:6" ht="15.75" customHeight="1">
      <c r="A16" s="40">
        <v>7514</v>
      </c>
      <c r="B16" s="40" t="s">
        <v>1343</v>
      </c>
      <c r="C16" s="110" t="s">
        <v>1344</v>
      </c>
      <c r="D16" s="40" t="s">
        <v>1345</v>
      </c>
      <c r="E16" s="40" t="e">
        <v>#N/A</v>
      </c>
    </row>
    <row r="17" spans="1:6" ht="15.75" customHeight="1">
      <c r="A17" s="40">
        <v>7515</v>
      </c>
      <c r="B17" s="40" t="s">
        <v>1346</v>
      </c>
      <c r="C17" s="110" t="s">
        <v>1347</v>
      </c>
      <c r="D17" s="40" t="s">
        <v>618</v>
      </c>
      <c r="E17" s="40" t="e">
        <v>#N/A</v>
      </c>
    </row>
    <row r="18" spans="1:6" ht="15.75" customHeight="1">
      <c r="A18" s="40">
        <v>7516</v>
      </c>
      <c r="B18" s="40" t="s">
        <v>1348</v>
      </c>
      <c r="C18" s="110" t="s">
        <v>1349</v>
      </c>
      <c r="D18" s="40" t="s">
        <v>173</v>
      </c>
      <c r="E18" s="40" t="e">
        <v>#N/A</v>
      </c>
    </row>
    <row r="19" spans="1:6" ht="15.75" customHeight="1">
      <c r="A19" s="40">
        <v>7517</v>
      </c>
      <c r="B19" s="40" t="s">
        <v>1350</v>
      </c>
      <c r="C19" s="110" t="s">
        <v>1351</v>
      </c>
      <c r="D19" s="40" t="s">
        <v>129</v>
      </c>
      <c r="E19" s="40" t="e">
        <v>#N/A</v>
      </c>
    </row>
    <row r="20" spans="1:6" ht="15.75" customHeight="1">
      <c r="A20" s="40">
        <v>7518</v>
      </c>
      <c r="B20" s="40" t="s">
        <v>1352</v>
      </c>
      <c r="C20" s="110" t="s">
        <v>1353</v>
      </c>
      <c r="D20" s="40" t="s">
        <v>1354</v>
      </c>
      <c r="E20" s="40" t="e">
        <v>#N/A</v>
      </c>
      <c r="F20" s="40" t="s">
        <v>1355</v>
      </c>
    </row>
    <row r="21" spans="1:6" ht="15.75" customHeight="1">
      <c r="A21" s="40">
        <v>7519</v>
      </c>
      <c r="B21" s="40" t="s">
        <v>1356</v>
      </c>
      <c r="C21" s="110" t="s">
        <v>1357</v>
      </c>
      <c r="D21" s="40" t="s">
        <v>58</v>
      </c>
      <c r="E21" s="40" t="e">
        <v>#N/A</v>
      </c>
    </row>
    <row r="22" spans="1:6" ht="15.75" customHeight="1">
      <c r="A22" s="40">
        <v>7520</v>
      </c>
      <c r="B22" s="40" t="s">
        <v>1358</v>
      </c>
      <c r="C22" s="110" t="s">
        <v>1359</v>
      </c>
      <c r="D22" s="40" t="s">
        <v>649</v>
      </c>
      <c r="E22" s="40" t="e">
        <v>#N/A</v>
      </c>
    </row>
    <row r="23" spans="1:6" ht="15.75" customHeight="1">
      <c r="A23" s="40">
        <v>7521</v>
      </c>
      <c r="B23" s="40" t="s">
        <v>1360</v>
      </c>
      <c r="C23" s="110" t="s">
        <v>1361</v>
      </c>
      <c r="D23" s="40" t="s">
        <v>467</v>
      </c>
      <c r="E23" s="40" t="e">
        <v>#N/A</v>
      </c>
    </row>
    <row r="24" spans="1:6" ht="15.75" customHeight="1">
      <c r="A24" s="40">
        <v>7522</v>
      </c>
      <c r="B24" s="40" t="s">
        <v>1362</v>
      </c>
      <c r="C24" s="110" t="s">
        <v>1363</v>
      </c>
      <c r="D24" s="40" t="s">
        <v>655</v>
      </c>
      <c r="E24" s="40" t="e">
        <v>#N/A</v>
      </c>
    </row>
    <row r="25" spans="1:6" ht="15.75" customHeight="1">
      <c r="A25" s="40">
        <v>7523</v>
      </c>
      <c r="B25" s="40" t="s">
        <v>1364</v>
      </c>
      <c r="C25" s="110" t="s">
        <v>1365</v>
      </c>
      <c r="D25" s="40" t="s">
        <v>845</v>
      </c>
      <c r="E25" s="40" t="e">
        <v>#N/A</v>
      </c>
    </row>
    <row r="26" spans="1:6" ht="15.75" customHeight="1">
      <c r="A26" s="40">
        <v>7524</v>
      </c>
      <c r="B26" s="40" t="s">
        <v>1366</v>
      </c>
      <c r="C26" s="110" t="s">
        <v>1367</v>
      </c>
      <c r="D26" s="40" t="s">
        <v>1368</v>
      </c>
      <c r="E26" s="40" t="e">
        <v>#N/A</v>
      </c>
    </row>
    <row r="27" spans="1:6" ht="15.75" customHeight="1">
      <c r="A27" s="40">
        <v>7525</v>
      </c>
      <c r="B27" s="40" t="s">
        <v>1369</v>
      </c>
      <c r="C27" s="110" t="s">
        <v>1370</v>
      </c>
      <c r="D27" s="40" t="s">
        <v>117</v>
      </c>
      <c r="E27" s="40" t="e">
        <v>#N/A</v>
      </c>
    </row>
    <row r="28" spans="1:6" ht="15.75" customHeight="1">
      <c r="A28" s="40">
        <v>7526</v>
      </c>
      <c r="B28" s="40" t="s">
        <v>1371</v>
      </c>
      <c r="C28" s="110" t="s">
        <v>1372</v>
      </c>
      <c r="D28" s="40" t="s">
        <v>722</v>
      </c>
      <c r="E28" s="40" t="e">
        <v>#N/A</v>
      </c>
    </row>
    <row r="29" spans="1:6" ht="15.75" customHeight="1">
      <c r="A29" s="40">
        <v>7527</v>
      </c>
      <c r="B29" s="40" t="s">
        <v>1373</v>
      </c>
      <c r="C29" s="110" t="s">
        <v>1374</v>
      </c>
      <c r="D29" s="40" t="s">
        <v>233</v>
      </c>
      <c r="E29" s="40" t="e">
        <v>#N/A</v>
      </c>
    </row>
    <row r="30" spans="1:6" ht="15.75" customHeight="1">
      <c r="A30" s="40">
        <v>7528</v>
      </c>
      <c r="B30" s="40" t="s">
        <v>1375</v>
      </c>
      <c r="C30" s="110" t="s">
        <v>1376</v>
      </c>
      <c r="D30" s="40" t="s">
        <v>663</v>
      </c>
      <c r="E30" s="40" t="e">
        <v>#N/A</v>
      </c>
    </row>
    <row r="31" spans="1:6" ht="15.75" customHeight="1">
      <c r="A31" s="40">
        <v>7529</v>
      </c>
      <c r="B31" s="40" t="s">
        <v>1377</v>
      </c>
      <c r="C31" s="110" t="s">
        <v>1378</v>
      </c>
      <c r="D31" s="40" t="s">
        <v>386</v>
      </c>
      <c r="E31" s="40" t="e">
        <v>#N/A</v>
      </c>
    </row>
    <row r="32" spans="1:6" ht="15.75" customHeight="1">
      <c r="A32" s="40">
        <v>7530</v>
      </c>
      <c r="B32" s="40" t="s">
        <v>1379</v>
      </c>
      <c r="C32" s="110" t="s">
        <v>1380</v>
      </c>
      <c r="D32" s="40" t="s">
        <v>320</v>
      </c>
      <c r="E32" s="40" t="e">
        <v>#N/A</v>
      </c>
    </row>
    <row r="33" spans="1:5" ht="15.75" customHeight="1">
      <c r="A33" s="40">
        <v>7531</v>
      </c>
      <c r="B33" s="40" t="s">
        <v>1381</v>
      </c>
      <c r="C33" s="110" t="s">
        <v>1382</v>
      </c>
      <c r="D33" s="40" t="s">
        <v>471</v>
      </c>
      <c r="E33" s="40" t="e">
        <v>#N/A</v>
      </c>
    </row>
    <row r="34" spans="1:5" ht="15.75" customHeight="1">
      <c r="A34" s="40">
        <v>7532</v>
      </c>
      <c r="B34" s="40" t="s">
        <v>1383</v>
      </c>
      <c r="C34" s="110" t="s">
        <v>1384</v>
      </c>
      <c r="D34" s="40" t="s">
        <v>535</v>
      </c>
      <c r="E34" s="40" t="e">
        <v>#N/A</v>
      </c>
    </row>
    <row r="35" spans="1:5" ht="15.75" customHeight="1">
      <c r="A35" s="40">
        <v>7533</v>
      </c>
      <c r="B35" s="40" t="s">
        <v>1385</v>
      </c>
      <c r="C35" s="110" t="s">
        <v>1386</v>
      </c>
      <c r="D35" s="40" t="s">
        <v>1387</v>
      </c>
      <c r="E35" s="40" t="e">
        <v>#N/A</v>
      </c>
    </row>
    <row r="36" spans="1:5" ht="15.75" customHeight="1">
      <c r="A36" s="40">
        <v>7534</v>
      </c>
      <c r="B36" s="40" t="s">
        <v>1388</v>
      </c>
      <c r="C36" s="110" t="s">
        <v>1389</v>
      </c>
      <c r="E36" s="40" t="s">
        <v>1390</v>
      </c>
    </row>
    <row r="37" spans="1:5" ht="15.75" customHeight="1">
      <c r="A37" s="40">
        <v>7535</v>
      </c>
      <c r="B37" s="40" t="s">
        <v>1391</v>
      </c>
      <c r="C37" s="110" t="s">
        <v>1392</v>
      </c>
      <c r="D37" s="40" t="s">
        <v>222</v>
      </c>
      <c r="E37" s="40" t="e">
        <v>#N/A</v>
      </c>
    </row>
    <row r="38" spans="1:5" ht="15.75" customHeight="1">
      <c r="A38" s="40">
        <v>7536</v>
      </c>
      <c r="B38" s="40" t="s">
        <v>1393</v>
      </c>
      <c r="C38" s="110" t="s">
        <v>1394</v>
      </c>
      <c r="D38" s="40" t="s">
        <v>379</v>
      </c>
      <c r="E38" s="40" t="e">
        <v>#N/A</v>
      </c>
    </row>
    <row r="39" spans="1:5" ht="15.75" customHeight="1">
      <c r="A39" s="40">
        <v>7537</v>
      </c>
      <c r="B39" s="40" t="s">
        <v>1395</v>
      </c>
      <c r="C39" s="110" t="s">
        <v>1396</v>
      </c>
      <c r="D39" s="40" t="s">
        <v>726</v>
      </c>
      <c r="E39" s="40" t="e">
        <v>#N/A</v>
      </c>
    </row>
    <row r="40" spans="1:5" ht="15.75" customHeight="1">
      <c r="A40" s="40">
        <v>7538</v>
      </c>
      <c r="B40" s="40" t="s">
        <v>1397</v>
      </c>
      <c r="C40" s="110" t="s">
        <v>1398</v>
      </c>
      <c r="E40" s="40" t="s">
        <v>1399</v>
      </c>
    </row>
    <row r="41" spans="1:5" ht="15.75" customHeight="1">
      <c r="A41" s="40">
        <v>7539</v>
      </c>
      <c r="B41" s="40" t="s">
        <v>1400</v>
      </c>
      <c r="C41" s="110" t="s">
        <v>1401</v>
      </c>
      <c r="E41" s="40" t="s">
        <v>1402</v>
      </c>
    </row>
    <row r="42" spans="1:5" ht="15.75" customHeight="1">
      <c r="A42" s="40">
        <v>7540</v>
      </c>
      <c r="B42" s="40" t="s">
        <v>1403</v>
      </c>
      <c r="C42" s="110" t="s">
        <v>1404</v>
      </c>
      <c r="D42" s="40" t="s">
        <v>332</v>
      </c>
      <c r="E42" s="40" t="e">
        <v>#N/A</v>
      </c>
    </row>
    <row r="43" spans="1:5" ht="15.75" customHeight="1">
      <c r="A43" s="40">
        <v>7541</v>
      </c>
      <c r="B43" s="40" t="s">
        <v>1405</v>
      </c>
      <c r="C43" s="110" t="s">
        <v>1406</v>
      </c>
      <c r="D43" s="40" t="s">
        <v>659</v>
      </c>
      <c r="E43" s="40" t="e">
        <v>#N/A</v>
      </c>
    </row>
    <row r="44" spans="1:5" ht="15.75" customHeight="1">
      <c r="A44" s="40">
        <v>7542</v>
      </c>
      <c r="B44" s="40" t="s">
        <v>1407</v>
      </c>
      <c r="C44" s="110" t="s">
        <v>1408</v>
      </c>
      <c r="D44" s="40" t="s">
        <v>699</v>
      </c>
      <c r="E44" s="40" t="e">
        <v>#N/A</v>
      </c>
    </row>
    <row r="45" spans="1:5" ht="15.75" customHeight="1">
      <c r="A45" s="40">
        <v>7543</v>
      </c>
      <c r="B45" s="40" t="s">
        <v>1409</v>
      </c>
      <c r="C45" s="110" t="s">
        <v>1410</v>
      </c>
      <c r="D45" s="40" t="s">
        <v>301</v>
      </c>
      <c r="E45" s="40" t="e">
        <v>#N/A</v>
      </c>
    </row>
    <row r="46" spans="1:5" ht="15.75" customHeight="1">
      <c r="A46" s="40">
        <v>7544</v>
      </c>
      <c r="B46" s="40" t="s">
        <v>1411</v>
      </c>
      <c r="C46" s="110" t="s">
        <v>1412</v>
      </c>
      <c r="D46" s="40" t="s">
        <v>588</v>
      </c>
      <c r="E46" s="40" t="e">
        <v>#N/A</v>
      </c>
    </row>
    <row r="47" spans="1:5" ht="15.75" customHeight="1">
      <c r="A47" s="40">
        <v>7545</v>
      </c>
      <c r="B47" s="40" t="s">
        <v>1413</v>
      </c>
      <c r="C47" s="110" t="s">
        <v>1414</v>
      </c>
      <c r="D47" s="40" t="s">
        <v>538</v>
      </c>
      <c r="E47" s="40" t="e">
        <v>#N/A</v>
      </c>
    </row>
    <row r="48" spans="1:5" ht="15.75" customHeight="1">
      <c r="A48" s="40">
        <v>7546</v>
      </c>
      <c r="B48" s="40" t="s">
        <v>1415</v>
      </c>
      <c r="C48" s="110" t="s">
        <v>1416</v>
      </c>
      <c r="D48" s="40" t="s">
        <v>168</v>
      </c>
      <c r="E48" s="40" t="e">
        <v>#N/A</v>
      </c>
    </row>
    <row r="49" spans="1:5" ht="15.75" customHeight="1">
      <c r="A49" s="40">
        <v>7547</v>
      </c>
      <c r="B49" s="40" t="s">
        <v>1417</v>
      </c>
      <c r="C49" s="110" t="s">
        <v>1418</v>
      </c>
      <c r="D49" s="40" t="s">
        <v>1419</v>
      </c>
      <c r="E49" s="40" t="e">
        <v>#N/A</v>
      </c>
    </row>
    <row r="50" spans="1:5" ht="14">
      <c r="A50" s="40">
        <v>7548</v>
      </c>
      <c r="B50" s="40" t="s">
        <v>1420</v>
      </c>
      <c r="C50" s="110" t="s">
        <v>1421</v>
      </c>
      <c r="D50" s="40" t="s">
        <v>1422</v>
      </c>
      <c r="E50" s="40" t="e">
        <v>#N/A</v>
      </c>
    </row>
    <row r="51" spans="1:5" ht="14">
      <c r="A51" s="40">
        <v>7549</v>
      </c>
      <c r="B51" s="40" t="s">
        <v>1423</v>
      </c>
      <c r="C51" s="110" t="s">
        <v>1424</v>
      </c>
      <c r="D51" s="40" t="s">
        <v>1425</v>
      </c>
      <c r="E51" s="40" t="e">
        <v>#N/A</v>
      </c>
    </row>
    <row r="52" spans="1:5" ht="14">
      <c r="A52" s="40">
        <v>7550</v>
      </c>
      <c r="B52" s="40" t="s">
        <v>1426</v>
      </c>
      <c r="C52" s="110" t="s">
        <v>1427</v>
      </c>
      <c r="D52" s="40" t="s">
        <v>297</v>
      </c>
      <c r="E52" s="40" t="e">
        <v>#N/A</v>
      </c>
    </row>
    <row r="53" spans="1:5" ht="14">
      <c r="A53" s="40">
        <v>7551</v>
      </c>
      <c r="B53" s="40" t="s">
        <v>1428</v>
      </c>
      <c r="C53" s="110" t="s">
        <v>1429</v>
      </c>
      <c r="D53" s="40" t="s">
        <v>739</v>
      </c>
      <c r="E53" s="40" t="e">
        <v>#N/A</v>
      </c>
    </row>
    <row r="54" spans="1:5" ht="14">
      <c r="A54" s="40">
        <v>7552</v>
      </c>
      <c r="B54" s="40" t="s">
        <v>1430</v>
      </c>
      <c r="C54" s="110" t="s">
        <v>1431</v>
      </c>
      <c r="D54" s="40" t="s">
        <v>201</v>
      </c>
      <c r="E54" s="40" t="e">
        <v>#N/A</v>
      </c>
    </row>
    <row r="55" spans="1:5" ht="14">
      <c r="A55" s="40">
        <v>7553</v>
      </c>
      <c r="B55" s="40" t="s">
        <v>1432</v>
      </c>
      <c r="C55" s="110" t="s">
        <v>1433</v>
      </c>
      <c r="D55" s="40" t="s">
        <v>196</v>
      </c>
      <c r="E55" s="40" t="e">
        <v>#N/A</v>
      </c>
    </row>
    <row r="56" spans="1:5" ht="14">
      <c r="A56" s="40">
        <v>7554</v>
      </c>
      <c r="B56" s="40" t="s">
        <v>1434</v>
      </c>
      <c r="C56" s="110" t="s">
        <v>1435</v>
      </c>
      <c r="E56" s="40" t="s">
        <v>1436</v>
      </c>
    </row>
    <row r="57" spans="1:5" ht="14">
      <c r="A57" s="40">
        <v>7555</v>
      </c>
      <c r="B57" s="40" t="s">
        <v>1437</v>
      </c>
      <c r="C57" s="110" t="s">
        <v>1438</v>
      </c>
      <c r="D57" s="40" t="s">
        <v>382</v>
      </c>
      <c r="E57" s="40" t="e">
        <v>#N/A</v>
      </c>
    </row>
    <row r="58" spans="1:5" ht="14">
      <c r="A58" s="40">
        <v>7556</v>
      </c>
      <c r="B58" s="40" t="s">
        <v>1439</v>
      </c>
      <c r="C58" s="110" t="s">
        <v>1440</v>
      </c>
      <c r="D58" s="40" t="s">
        <v>760</v>
      </c>
      <c r="E58" s="40" t="e">
        <v>#N/A</v>
      </c>
    </row>
    <row r="59" spans="1:5" ht="14">
      <c r="A59" s="40">
        <v>7557</v>
      </c>
      <c r="B59" s="40" t="s">
        <v>1441</v>
      </c>
      <c r="C59" s="110" t="s">
        <v>1442</v>
      </c>
      <c r="D59" s="40" t="s">
        <v>1443</v>
      </c>
      <c r="E59" s="40" t="e">
        <v>#N/A</v>
      </c>
    </row>
    <row r="60" spans="1:5" ht="14">
      <c r="A60" s="40">
        <v>7558</v>
      </c>
      <c r="B60" s="40" t="s">
        <v>1444</v>
      </c>
      <c r="C60" s="110" t="s">
        <v>1445</v>
      </c>
      <c r="D60" s="40" t="s">
        <v>1446</v>
      </c>
      <c r="E60" s="40" t="e">
        <v>#N/A</v>
      </c>
    </row>
    <row r="61" spans="1:5" ht="14">
      <c r="A61" s="40">
        <v>7559</v>
      </c>
      <c r="B61" s="40" t="s">
        <v>1447</v>
      </c>
      <c r="C61" s="110" t="s">
        <v>1448</v>
      </c>
      <c r="D61" s="40" t="s">
        <v>121</v>
      </c>
      <c r="E61" s="40" t="e">
        <v>#N/A</v>
      </c>
    </row>
    <row r="62" spans="1:5" ht="14">
      <c r="A62" s="40">
        <v>7560</v>
      </c>
      <c r="B62" s="40" t="s">
        <v>1449</v>
      </c>
      <c r="C62" s="110" t="s">
        <v>1450</v>
      </c>
      <c r="D62" s="40" t="s">
        <v>358</v>
      </c>
      <c r="E62" s="40" t="e">
        <v>#N/A</v>
      </c>
    </row>
    <row r="63" spans="1:5" ht="14">
      <c r="A63" s="40">
        <v>7561</v>
      </c>
      <c r="B63" s="40" t="s">
        <v>1451</v>
      </c>
      <c r="C63" s="110" t="s">
        <v>1452</v>
      </c>
      <c r="D63" s="40" t="s">
        <v>1453</v>
      </c>
      <c r="E63" s="40" t="e">
        <v>#N/A</v>
      </c>
    </row>
    <row r="64" spans="1:5" ht="14">
      <c r="A64" s="40">
        <v>7562</v>
      </c>
      <c r="B64" s="40" t="s">
        <v>1454</v>
      </c>
      <c r="C64" s="110" t="s">
        <v>1455</v>
      </c>
      <c r="D64" s="40" t="s">
        <v>478</v>
      </c>
      <c r="E64" s="40" t="e">
        <v>#N/A</v>
      </c>
    </row>
    <row r="65" spans="1:5" ht="14">
      <c r="A65" s="40">
        <v>7563</v>
      </c>
      <c r="B65" s="40" t="s">
        <v>1456</v>
      </c>
      <c r="C65" s="110" t="s">
        <v>1457</v>
      </c>
      <c r="D65" s="40" t="s">
        <v>488</v>
      </c>
      <c r="E65" s="40" t="e">
        <v>#N/A</v>
      </c>
    </row>
    <row r="66" spans="1:5" ht="14">
      <c r="A66" s="40">
        <v>7564</v>
      </c>
      <c r="B66" s="40" t="s">
        <v>1458</v>
      </c>
      <c r="C66" s="110" t="s">
        <v>1459</v>
      </c>
      <c r="D66" s="40" t="s">
        <v>554</v>
      </c>
      <c r="E66" s="40" t="e">
        <v>#N/A</v>
      </c>
    </row>
    <row r="67" spans="1:5" ht="14">
      <c r="A67" s="40">
        <v>7565</v>
      </c>
      <c r="B67" s="40" t="s">
        <v>1460</v>
      </c>
      <c r="C67" s="110" t="s">
        <v>1461</v>
      </c>
      <c r="E67" s="40" t="s">
        <v>1462</v>
      </c>
    </row>
    <row r="68" spans="1:5" ht="14">
      <c r="A68" s="40">
        <v>7566</v>
      </c>
      <c r="B68" s="40" t="s">
        <v>1463</v>
      </c>
      <c r="C68" s="110" t="s">
        <v>1464</v>
      </c>
      <c r="D68" s="40" t="s">
        <v>25</v>
      </c>
      <c r="E68" s="40" t="e">
        <v>#N/A</v>
      </c>
    </row>
    <row r="69" spans="1:5" ht="14">
      <c r="A69" s="40">
        <v>7567</v>
      </c>
      <c r="B69" s="40" t="s">
        <v>1465</v>
      </c>
      <c r="C69" s="110" t="s">
        <v>1466</v>
      </c>
      <c r="D69" s="40" t="s">
        <v>114</v>
      </c>
      <c r="E69" s="40" t="e">
        <v>#N/A</v>
      </c>
    </row>
    <row r="70" spans="1:5" ht="14">
      <c r="A70" s="40">
        <v>7568</v>
      </c>
      <c r="B70" s="40" t="s">
        <v>1467</v>
      </c>
      <c r="C70" s="110" t="s">
        <v>1468</v>
      </c>
      <c r="D70" s="40" t="s">
        <v>69</v>
      </c>
      <c r="E70" s="40" t="e">
        <v>#N/A</v>
      </c>
    </row>
    <row r="71" spans="1:5" ht="14">
      <c r="A71" s="40">
        <v>7569</v>
      </c>
      <c r="B71" s="40" t="s">
        <v>1469</v>
      </c>
      <c r="C71" s="110" t="s">
        <v>1470</v>
      </c>
      <c r="D71" s="40" t="s">
        <v>272</v>
      </c>
      <c r="E71" s="40" t="e">
        <v>#N/A</v>
      </c>
    </row>
    <row r="72" spans="1:5" ht="14">
      <c r="A72" s="40">
        <v>7570</v>
      </c>
      <c r="B72" s="40" t="s">
        <v>1471</v>
      </c>
      <c r="C72" s="110" t="s">
        <v>1472</v>
      </c>
      <c r="D72" s="40" t="s">
        <v>1473</v>
      </c>
      <c r="E72" s="40" t="e">
        <v>#N/A</v>
      </c>
    </row>
    <row r="73" spans="1:5" ht="14">
      <c r="A73" s="40">
        <v>7571</v>
      </c>
      <c r="B73" s="40" t="s">
        <v>1474</v>
      </c>
      <c r="C73" s="110" t="s">
        <v>1475</v>
      </c>
      <c r="D73" s="40" t="s">
        <v>596</v>
      </c>
      <c r="E73" s="40" t="e">
        <v>#N/A</v>
      </c>
    </row>
    <row r="74" spans="1:5" ht="14">
      <c r="A74" s="40">
        <v>7572</v>
      </c>
      <c r="B74" s="40" t="s">
        <v>1476</v>
      </c>
      <c r="C74" s="110" t="s">
        <v>1477</v>
      </c>
      <c r="D74" s="40" t="s">
        <v>702</v>
      </c>
      <c r="E74" s="40" t="e">
        <v>#N/A</v>
      </c>
    </row>
    <row r="75" spans="1:5" ht="14">
      <c r="A75" s="40">
        <v>7573</v>
      </c>
      <c r="B75" s="40" t="s">
        <v>1478</v>
      </c>
      <c r="C75" s="110" t="s">
        <v>1479</v>
      </c>
      <c r="D75" s="40" t="s">
        <v>849</v>
      </c>
      <c r="E75" s="40" t="e">
        <v>#N/A</v>
      </c>
    </row>
    <row r="76" spans="1:5" ht="14">
      <c r="A76" s="40">
        <v>7574</v>
      </c>
      <c r="B76" s="40" t="s">
        <v>1480</v>
      </c>
      <c r="C76" s="110" t="s">
        <v>1481</v>
      </c>
      <c r="D76" s="40" t="s">
        <v>282</v>
      </c>
      <c r="E76" s="40" t="e">
        <v>#N/A</v>
      </c>
    </row>
    <row r="77" spans="1:5" ht="14">
      <c r="A77" s="40">
        <v>7575</v>
      </c>
      <c r="B77" s="40" t="s">
        <v>1482</v>
      </c>
      <c r="C77" s="110" t="s">
        <v>1483</v>
      </c>
      <c r="D77" s="40" t="s">
        <v>451</v>
      </c>
      <c r="E77" s="40" t="e">
        <v>#N/A</v>
      </c>
    </row>
    <row r="78" spans="1:5" ht="14">
      <c r="A78" s="40">
        <v>7576</v>
      </c>
      <c r="B78" s="40" t="s">
        <v>1484</v>
      </c>
      <c r="C78" s="110" t="s">
        <v>1485</v>
      </c>
      <c r="D78" s="40" t="s">
        <v>520</v>
      </c>
      <c r="E78" s="40" t="e">
        <v>#N/A</v>
      </c>
    </row>
    <row r="79" spans="1:5" ht="14">
      <c r="A79" s="40">
        <v>7577</v>
      </c>
      <c r="B79" s="40" t="s">
        <v>1486</v>
      </c>
      <c r="C79" s="110" t="s">
        <v>1487</v>
      </c>
      <c r="D79" s="40" t="s">
        <v>677</v>
      </c>
      <c r="E79" s="40" t="e">
        <v>#N/A</v>
      </c>
    </row>
    <row r="80" spans="1:5" ht="14">
      <c r="A80" s="40">
        <v>7578</v>
      </c>
      <c r="B80" s="40" t="s">
        <v>1488</v>
      </c>
      <c r="C80" s="110" t="s">
        <v>1489</v>
      </c>
      <c r="D80" s="40" t="s">
        <v>582</v>
      </c>
      <c r="E80" s="40" t="e">
        <v>#N/A</v>
      </c>
    </row>
    <row r="81" spans="1:5" ht="14">
      <c r="A81" s="40">
        <v>7579</v>
      </c>
      <c r="B81" s="40" t="s">
        <v>1490</v>
      </c>
      <c r="C81" s="110" t="s">
        <v>1491</v>
      </c>
      <c r="D81" s="40" t="s">
        <v>475</v>
      </c>
      <c r="E81" s="40" t="e">
        <v>#N/A</v>
      </c>
    </row>
    <row r="82" spans="1:5" ht="14">
      <c r="A82" s="40">
        <v>7580</v>
      </c>
      <c r="B82" s="40" t="s">
        <v>1492</v>
      </c>
      <c r="C82" s="110" t="s">
        <v>1493</v>
      </c>
      <c r="D82" s="40" t="s">
        <v>840</v>
      </c>
      <c r="E82" s="40" t="e">
        <v>#N/A</v>
      </c>
    </row>
    <row r="83" spans="1:5" ht="14">
      <c r="A83" s="40">
        <v>7581</v>
      </c>
      <c r="B83" s="40" t="s">
        <v>1494</v>
      </c>
      <c r="C83" s="110" t="s">
        <v>1495</v>
      </c>
      <c r="D83" s="40" t="s">
        <v>188</v>
      </c>
      <c r="E83" s="40" t="e">
        <v>#N/A</v>
      </c>
    </row>
    <row r="84" spans="1:5" ht="14">
      <c r="A84" s="40">
        <v>7582</v>
      </c>
      <c r="B84" s="40" t="s">
        <v>1496</v>
      </c>
      <c r="C84" s="110" t="s">
        <v>1497</v>
      </c>
      <c r="D84" s="40" t="s">
        <v>376</v>
      </c>
      <c r="E84" s="40" t="e">
        <v>#N/A</v>
      </c>
    </row>
    <row r="85" spans="1:5" ht="14">
      <c r="A85" s="40">
        <v>7583</v>
      </c>
      <c r="B85" s="40" t="s">
        <v>1498</v>
      </c>
      <c r="C85" s="110" t="s">
        <v>1499</v>
      </c>
      <c r="D85" s="40" t="s">
        <v>705</v>
      </c>
      <c r="E85" s="40" t="e">
        <v>#N/A</v>
      </c>
    </row>
    <row r="86" spans="1:5" ht="14">
      <c r="A86" s="40">
        <v>7584</v>
      </c>
      <c r="B86" s="40" t="s">
        <v>1500</v>
      </c>
      <c r="C86" s="110" t="s">
        <v>1501</v>
      </c>
      <c r="D86" s="40" t="s">
        <v>279</v>
      </c>
      <c r="E86" s="40" t="e">
        <v>#N/A</v>
      </c>
    </row>
    <row r="87" spans="1:5" ht="14">
      <c r="A87" s="40">
        <v>7585</v>
      </c>
      <c r="B87" s="40" t="s">
        <v>1502</v>
      </c>
      <c r="C87" s="110" t="s">
        <v>1503</v>
      </c>
      <c r="D87" s="40" t="s">
        <v>512</v>
      </c>
      <c r="E87" s="40" t="e">
        <v>#N/A</v>
      </c>
    </row>
    <row r="88" spans="1:5" ht="14">
      <c r="A88" s="40">
        <v>7586</v>
      </c>
      <c r="B88" s="40" t="s">
        <v>1504</v>
      </c>
      <c r="C88" s="110" t="s">
        <v>1505</v>
      </c>
      <c r="D88" s="40" t="s">
        <v>731</v>
      </c>
      <c r="E88" s="40" t="e">
        <v>#N/A</v>
      </c>
    </row>
    <row r="89" spans="1:5" ht="14">
      <c r="A89" s="40">
        <v>7587</v>
      </c>
      <c r="B89" s="40" t="s">
        <v>1506</v>
      </c>
      <c r="C89" s="110" t="s">
        <v>1507</v>
      </c>
      <c r="D89" s="40" t="s">
        <v>440</v>
      </c>
      <c r="E89" s="40" t="e">
        <v>#N/A</v>
      </c>
    </row>
    <row r="90" spans="1:5" ht="14">
      <c r="A90" s="40">
        <v>7588</v>
      </c>
      <c r="B90" s="40" t="s">
        <v>1508</v>
      </c>
      <c r="C90" s="110" t="s">
        <v>1509</v>
      </c>
      <c r="D90" s="40" t="s">
        <v>165</v>
      </c>
      <c r="E90" s="40" t="e">
        <v>#N/A</v>
      </c>
    </row>
    <row r="91" spans="1:5" ht="14">
      <c r="A91" s="40">
        <v>7589</v>
      </c>
      <c r="B91" s="40" t="s">
        <v>1510</v>
      </c>
      <c r="C91" s="110" t="s">
        <v>1511</v>
      </c>
      <c r="D91" s="40" t="s">
        <v>236</v>
      </c>
      <c r="E91" s="40" t="e">
        <v>#N/A</v>
      </c>
    </row>
    <row r="92" spans="1:5" ht="14">
      <c r="A92" s="40">
        <v>7590</v>
      </c>
      <c r="B92" s="40" t="s">
        <v>1512</v>
      </c>
      <c r="C92" s="110" t="s">
        <v>1513</v>
      </c>
      <c r="D92" s="40" t="s">
        <v>416</v>
      </c>
      <c r="E92" s="40" t="e">
        <v>#N/A</v>
      </c>
    </row>
    <row r="93" spans="1:5" ht="14">
      <c r="A93" s="40">
        <v>7591</v>
      </c>
      <c r="B93" s="40" t="s">
        <v>1514</v>
      </c>
      <c r="C93" s="110" t="s">
        <v>1515</v>
      </c>
      <c r="D93" s="40" t="s">
        <v>73</v>
      </c>
      <c r="E93" s="40" t="e">
        <v>#N/A</v>
      </c>
    </row>
    <row r="94" spans="1:5" ht="14">
      <c r="A94" s="40">
        <v>7592</v>
      </c>
      <c r="B94" s="40" t="s">
        <v>1516</v>
      </c>
      <c r="C94" s="110" t="s">
        <v>1517</v>
      </c>
      <c r="D94" s="40" t="s">
        <v>1518</v>
      </c>
      <c r="E94" s="40" t="e">
        <v>#N/A</v>
      </c>
    </row>
    <row r="95" spans="1:5" ht="14">
      <c r="A95" s="40">
        <v>7593</v>
      </c>
      <c r="B95" s="40" t="s">
        <v>1519</v>
      </c>
      <c r="C95" s="110" t="s">
        <v>1520</v>
      </c>
      <c r="D95" s="40" t="s">
        <v>426</v>
      </c>
      <c r="E95" s="40" t="e">
        <v>#N/A</v>
      </c>
    </row>
    <row r="96" spans="1:5" ht="14">
      <c r="A96" s="40">
        <v>7594</v>
      </c>
      <c r="B96" s="40" t="s">
        <v>1521</v>
      </c>
      <c r="C96" s="110" t="s">
        <v>1522</v>
      </c>
      <c r="D96" s="40" t="s">
        <v>38</v>
      </c>
      <c r="E96" s="40" t="e">
        <v>#N/A</v>
      </c>
    </row>
    <row r="97" spans="1:5" ht="14">
      <c r="A97" s="40">
        <v>7595</v>
      </c>
      <c r="B97" s="40" t="s">
        <v>1523</v>
      </c>
      <c r="C97" s="110" t="s">
        <v>1524</v>
      </c>
      <c r="D97" s="40" t="s">
        <v>515</v>
      </c>
      <c r="E97" s="40" t="e">
        <v>#N/A</v>
      </c>
    </row>
    <row r="98" spans="1:5" ht="14">
      <c r="A98" s="40">
        <v>7596</v>
      </c>
      <c r="B98" s="40" t="s">
        <v>1525</v>
      </c>
      <c r="C98" s="110" t="s">
        <v>1526</v>
      </c>
      <c r="D98" s="40" t="s">
        <v>347</v>
      </c>
      <c r="E98" s="40" t="e">
        <v>#N/A</v>
      </c>
    </row>
    <row r="99" spans="1:5" ht="14">
      <c r="A99" s="40">
        <v>7597</v>
      </c>
      <c r="B99" s="40" t="s">
        <v>1527</v>
      </c>
      <c r="C99" s="110" t="s">
        <v>1528</v>
      </c>
      <c r="D99" s="40" t="s">
        <v>351</v>
      </c>
      <c r="E99" s="40" t="e">
        <v>#N/A</v>
      </c>
    </row>
    <row r="100" spans="1:5" ht="14">
      <c r="A100" s="40">
        <v>7598</v>
      </c>
      <c r="B100" s="40" t="s">
        <v>1529</v>
      </c>
      <c r="C100" s="110" t="s">
        <v>1530</v>
      </c>
      <c r="D100" s="40" t="s">
        <v>1531</v>
      </c>
      <c r="E100" s="40" t="e">
        <v>#N/A</v>
      </c>
    </row>
    <row r="101" spans="1:5" ht="14">
      <c r="A101" s="40">
        <v>7599</v>
      </c>
      <c r="B101" s="40" t="s">
        <v>1532</v>
      </c>
      <c r="C101" s="110" t="s">
        <v>1533</v>
      </c>
      <c r="E101" s="40" t="s">
        <v>1534</v>
      </c>
    </row>
    <row r="102" spans="1:5" ht="14">
      <c r="A102" s="40">
        <v>7600</v>
      </c>
      <c r="B102" s="40" t="s">
        <v>1535</v>
      </c>
      <c r="C102" s="110" t="s">
        <v>1536</v>
      </c>
      <c r="D102" s="40" t="s">
        <v>156</v>
      </c>
      <c r="E102" s="40" t="e">
        <v>#N/A</v>
      </c>
    </row>
    <row r="103" spans="1:5" ht="14">
      <c r="A103" s="40">
        <v>7601</v>
      </c>
      <c r="B103" s="40" t="s">
        <v>1537</v>
      </c>
      <c r="C103" s="110" t="s">
        <v>1538</v>
      </c>
      <c r="D103" s="40" t="s">
        <v>392</v>
      </c>
      <c r="E103" s="40" t="e">
        <v>#N/A</v>
      </c>
    </row>
    <row r="104" spans="1:5" ht="14">
      <c r="A104" s="40">
        <v>7602</v>
      </c>
      <c r="B104" s="40" t="s">
        <v>1539</v>
      </c>
      <c r="C104" s="110" t="s">
        <v>1540</v>
      </c>
      <c r="D104" s="40" t="s">
        <v>1232</v>
      </c>
      <c r="E104" s="40" t="s">
        <v>1541</v>
      </c>
    </row>
    <row r="105" spans="1:5" ht="14">
      <c r="A105" s="40">
        <v>7603</v>
      </c>
      <c r="B105" s="40" t="s">
        <v>1542</v>
      </c>
      <c r="C105" s="110" t="s">
        <v>1543</v>
      </c>
      <c r="D105" s="40" t="s">
        <v>261</v>
      </c>
      <c r="E105" s="40" t="e">
        <v>#N/A</v>
      </c>
    </row>
    <row r="106" spans="1:5" ht="14">
      <c r="A106" s="40">
        <v>7604</v>
      </c>
      <c r="B106" s="40" t="s">
        <v>1544</v>
      </c>
      <c r="C106" s="110" t="s">
        <v>1545</v>
      </c>
      <c r="D106" s="40" t="s">
        <v>230</v>
      </c>
      <c r="E106" s="40" t="e">
        <v>#N/A</v>
      </c>
    </row>
    <row r="107" spans="1:5" ht="14">
      <c r="A107" s="40">
        <v>7605</v>
      </c>
      <c r="B107" s="40" t="s">
        <v>1546</v>
      </c>
      <c r="C107" s="110" t="s">
        <v>1547</v>
      </c>
      <c r="D107" s="40" t="s">
        <v>1548</v>
      </c>
      <c r="E107" s="40" t="e">
        <v>#N/A</v>
      </c>
    </row>
    <row r="108" spans="1:5" ht="14">
      <c r="A108" s="40">
        <v>7606</v>
      </c>
      <c r="B108" s="40" t="s">
        <v>1549</v>
      </c>
      <c r="C108" s="110" t="s">
        <v>1550</v>
      </c>
      <c r="D108" s="40" t="s">
        <v>485</v>
      </c>
      <c r="E108" s="40" t="e">
        <v>#N/A</v>
      </c>
    </row>
    <row r="109" spans="1:5" ht="14">
      <c r="A109" s="40">
        <v>7607</v>
      </c>
      <c r="B109" s="40" t="s">
        <v>1551</v>
      </c>
      <c r="C109" s="110" t="s">
        <v>1552</v>
      </c>
      <c r="E109" s="40" t="e">
        <v>#N/A</v>
      </c>
    </row>
    <row r="110" spans="1:5" ht="14">
      <c r="A110" s="40">
        <v>7608</v>
      </c>
      <c r="B110" s="40" t="s">
        <v>1553</v>
      </c>
      <c r="C110" s="110" t="s">
        <v>1554</v>
      </c>
      <c r="D110" s="40" t="s">
        <v>592</v>
      </c>
      <c r="E110" s="40" t="e">
        <v>#N/A</v>
      </c>
    </row>
    <row r="111" spans="1:5" ht="14">
      <c r="A111" s="40">
        <v>7609</v>
      </c>
      <c r="B111" s="40" t="s">
        <v>1555</v>
      </c>
      <c r="C111" s="110" t="s">
        <v>1556</v>
      </c>
      <c r="D111" s="40" t="s">
        <v>558</v>
      </c>
      <c r="E111" s="40" t="e">
        <v>#N/A</v>
      </c>
    </row>
    <row r="112" spans="1:5" ht="14">
      <c r="A112" s="40">
        <v>7610</v>
      </c>
      <c r="B112" s="40" t="s">
        <v>1557</v>
      </c>
      <c r="C112" s="110" t="s">
        <v>1558</v>
      </c>
      <c r="D112" s="40" t="s">
        <v>149</v>
      </c>
      <c r="E112" s="40" t="e">
        <v>#N/A</v>
      </c>
    </row>
    <row r="113" spans="1:5" ht="14">
      <c r="A113" s="40">
        <v>7611</v>
      </c>
      <c r="B113" s="40" t="s">
        <v>1559</v>
      </c>
      <c r="C113" s="110" t="s">
        <v>1560</v>
      </c>
      <c r="D113" s="40" t="s">
        <v>1561</v>
      </c>
      <c r="E113" s="40" t="e">
        <v>#N/A</v>
      </c>
    </row>
    <row r="114" spans="1:5" ht="14">
      <c r="A114" s="40">
        <v>7612</v>
      </c>
      <c r="B114" s="40" t="s">
        <v>1562</v>
      </c>
      <c r="C114" s="110" t="s">
        <v>1563</v>
      </c>
      <c r="D114" s="40" t="s">
        <v>532</v>
      </c>
      <c r="E114" s="40" t="e">
        <v>#N/A</v>
      </c>
    </row>
    <row r="115" spans="1:5" ht="14">
      <c r="A115" s="40">
        <v>7613</v>
      </c>
      <c r="B115" s="40" t="s">
        <v>1564</v>
      </c>
      <c r="C115" s="110" t="s">
        <v>1565</v>
      </c>
      <c r="D115" s="40" t="s">
        <v>459</v>
      </c>
      <c r="E115" s="40" t="e">
        <v>#N/A</v>
      </c>
    </row>
    <row r="116" spans="1:5" ht="14">
      <c r="A116" s="40">
        <v>7614</v>
      </c>
      <c r="B116" s="40" t="s">
        <v>1566</v>
      </c>
      <c r="C116" s="110" t="s">
        <v>1567</v>
      </c>
      <c r="D116" s="40" t="s">
        <v>443</v>
      </c>
      <c r="E116" s="40" t="e">
        <v>#N/A</v>
      </c>
    </row>
    <row r="117" spans="1:5" ht="14">
      <c r="A117" s="40">
        <v>7615</v>
      </c>
      <c r="B117" s="40" t="s">
        <v>1568</v>
      </c>
      <c r="C117" s="110" t="s">
        <v>1569</v>
      </c>
      <c r="D117" s="40" t="s">
        <v>402</v>
      </c>
      <c r="E117" s="40" t="e">
        <v>#N/A</v>
      </c>
    </row>
    <row r="118" spans="1:5" ht="14">
      <c r="A118" s="40">
        <v>7616</v>
      </c>
      <c r="B118" s="40" t="s">
        <v>1570</v>
      </c>
      <c r="C118" s="110" t="s">
        <v>1571</v>
      </c>
      <c r="D118" s="40" t="s">
        <v>605</v>
      </c>
      <c r="E118" s="40" t="e">
        <v>#N/A</v>
      </c>
    </row>
    <row r="119" spans="1:5" ht="14">
      <c r="A119" s="40">
        <v>7617</v>
      </c>
      <c r="B119" s="40" t="s">
        <v>1572</v>
      </c>
      <c r="C119" s="110" t="s">
        <v>1573</v>
      </c>
      <c r="D119" s="40" t="s">
        <v>528</v>
      </c>
      <c r="E119" s="40" t="e">
        <v>#N/A</v>
      </c>
    </row>
    <row r="120" spans="1:5" ht="14">
      <c r="A120" s="40">
        <v>7618</v>
      </c>
      <c r="B120" s="40" t="s">
        <v>1574</v>
      </c>
      <c r="C120" s="110" t="s">
        <v>1575</v>
      </c>
      <c r="D120" s="40" t="s">
        <v>132</v>
      </c>
      <c r="E120" s="40" t="e">
        <v>#N/A</v>
      </c>
    </row>
    <row r="121" spans="1:5" ht="14">
      <c r="A121" s="40">
        <v>7619</v>
      </c>
      <c r="B121" s="40" t="s">
        <v>1576</v>
      </c>
      <c r="C121" s="110" t="s">
        <v>1577</v>
      </c>
      <c r="D121" s="40" t="s">
        <v>644</v>
      </c>
      <c r="E121" s="40" t="e">
        <v>#N/A</v>
      </c>
    </row>
    <row r="122" spans="1:5" ht="14">
      <c r="A122" s="40">
        <v>7620</v>
      </c>
      <c r="B122" s="40" t="s">
        <v>1578</v>
      </c>
      <c r="C122" s="110" t="s">
        <v>1579</v>
      </c>
      <c r="D122" s="40" t="s">
        <v>406</v>
      </c>
      <c r="E122" s="40" t="e">
        <v>#N/A</v>
      </c>
    </row>
    <row r="123" spans="1:5" ht="14">
      <c r="A123" s="40">
        <v>7621</v>
      </c>
      <c r="B123" s="40" t="s">
        <v>1580</v>
      </c>
      <c r="C123" s="110" t="s">
        <v>1581</v>
      </c>
      <c r="E123" s="40" t="s">
        <v>1582</v>
      </c>
    </row>
    <row r="124" spans="1:5" ht="14">
      <c r="A124" s="40">
        <v>7622</v>
      </c>
      <c r="B124" s="40" t="s">
        <v>1583</v>
      </c>
      <c r="C124" s="110" t="s">
        <v>1584</v>
      </c>
      <c r="D124" s="40" t="s">
        <v>610</v>
      </c>
      <c r="E124" s="40" t="e">
        <v>#N/A</v>
      </c>
    </row>
    <row r="125" spans="1:5" ht="14">
      <c r="A125" s="40">
        <v>7623</v>
      </c>
      <c r="B125" s="40" t="s">
        <v>1585</v>
      </c>
      <c r="C125" s="110" t="s">
        <v>1586</v>
      </c>
      <c r="D125" s="40" t="s">
        <v>125</v>
      </c>
      <c r="E125" s="40" t="e">
        <v>#N/A</v>
      </c>
    </row>
    <row r="126" spans="1:5" ht="14">
      <c r="A126" s="40">
        <v>7624</v>
      </c>
      <c r="B126" s="40" t="s">
        <v>1587</v>
      </c>
      <c r="C126" s="110" t="s">
        <v>1588</v>
      </c>
      <c r="D126" s="40" t="s">
        <v>544</v>
      </c>
      <c r="E126" s="40" t="e">
        <v>#N/A</v>
      </c>
    </row>
    <row r="127" spans="1:5" ht="14">
      <c r="A127" s="40">
        <v>7625</v>
      </c>
      <c r="B127" s="40" t="s">
        <v>1589</v>
      </c>
      <c r="C127" s="110" t="s">
        <v>1590</v>
      </c>
      <c r="D127" s="40" t="s">
        <v>504</v>
      </c>
      <c r="E127" s="40" t="e">
        <v>#N/A</v>
      </c>
    </row>
    <row r="128" spans="1:5" ht="14">
      <c r="A128" s="40">
        <v>7626</v>
      </c>
      <c r="B128" s="40" t="s">
        <v>1591</v>
      </c>
      <c r="C128" s="110" t="s">
        <v>1592</v>
      </c>
      <c r="D128" s="40" t="s">
        <v>1593</v>
      </c>
      <c r="E128" s="40" t="e">
        <v>#N/A</v>
      </c>
    </row>
    <row r="129" spans="1:5" ht="14">
      <c r="A129" s="40">
        <v>7627</v>
      </c>
      <c r="B129" s="40" t="s">
        <v>1594</v>
      </c>
      <c r="C129" s="110" t="s">
        <v>1595</v>
      </c>
      <c r="D129" s="40" t="s">
        <v>246</v>
      </c>
      <c r="E129" s="40" t="e">
        <v>#N/A</v>
      </c>
    </row>
    <row r="130" spans="1:5" ht="14">
      <c r="A130" s="40">
        <v>7628</v>
      </c>
      <c r="B130" s="40" t="s">
        <v>1596</v>
      </c>
      <c r="C130" s="110" t="s">
        <v>1597</v>
      </c>
      <c r="D130" s="40" t="s">
        <v>410</v>
      </c>
      <c r="E130" s="40" t="e">
        <v>#N/A</v>
      </c>
    </row>
    <row r="131" spans="1:5" ht="14">
      <c r="A131" s="40">
        <v>7629</v>
      </c>
      <c r="B131" s="40" t="s">
        <v>1598</v>
      </c>
      <c r="C131" s="110" t="s">
        <v>1599</v>
      </c>
      <c r="D131" s="40" t="s">
        <v>1053</v>
      </c>
      <c r="E131" s="40" t="s">
        <v>1600</v>
      </c>
    </row>
    <row r="132" spans="1:5" ht="14">
      <c r="A132" s="40">
        <v>7630</v>
      </c>
      <c r="B132" s="40" t="s">
        <v>1601</v>
      </c>
      <c r="C132" s="110" t="s">
        <v>1602</v>
      </c>
      <c r="D132" s="40" t="s">
        <v>191</v>
      </c>
      <c r="E132" s="40" t="e">
        <v>#N/A</v>
      </c>
    </row>
    <row r="133" spans="1:5" ht="14">
      <c r="A133" s="40">
        <v>7631</v>
      </c>
      <c r="B133" s="40" t="s">
        <v>1603</v>
      </c>
      <c r="C133" s="110" t="s">
        <v>1604</v>
      </c>
      <c r="D133" s="40" t="s">
        <v>743</v>
      </c>
      <c r="E133" s="40" t="e">
        <v>#N/A</v>
      </c>
    </row>
    <row r="134" spans="1:5" ht="14">
      <c r="A134" s="40">
        <v>7632</v>
      </c>
      <c r="B134" s="40" t="s">
        <v>1605</v>
      </c>
      <c r="C134" s="110" t="s">
        <v>1606</v>
      </c>
      <c r="D134" s="40" t="s">
        <v>255</v>
      </c>
      <c r="E134" s="40" t="e">
        <v>#N/A</v>
      </c>
    </row>
    <row r="135" spans="1:5" ht="14">
      <c r="A135" s="40">
        <v>7633</v>
      </c>
      <c r="B135" s="40" t="s">
        <v>1607</v>
      </c>
      <c r="C135" s="110" t="s">
        <v>1608</v>
      </c>
      <c r="D135" s="40" t="s">
        <v>338</v>
      </c>
      <c r="E135" s="40" t="e">
        <v>#N/A</v>
      </c>
    </row>
    <row r="136" spans="1:5" ht="14">
      <c r="A136" s="40">
        <v>7634</v>
      </c>
      <c r="B136" s="40" t="s">
        <v>1609</v>
      </c>
      <c r="C136" s="110" t="s">
        <v>1610</v>
      </c>
      <c r="D136" s="40" t="s">
        <v>179</v>
      </c>
      <c r="E136" s="40" t="e">
        <v>#N/A</v>
      </c>
    </row>
    <row r="137" spans="1:5" ht="14">
      <c r="A137" s="40">
        <v>7635</v>
      </c>
      <c r="B137" s="40" t="s">
        <v>1611</v>
      </c>
      <c r="C137" s="110" t="s">
        <v>1612</v>
      </c>
      <c r="D137" s="40" t="s">
        <v>268</v>
      </c>
      <c r="E137" s="40" t="e">
        <v>#N/A</v>
      </c>
    </row>
    <row r="138" spans="1:5" ht="14">
      <c r="A138" s="40">
        <v>7636</v>
      </c>
      <c r="B138" s="40" t="s">
        <v>1613</v>
      </c>
      <c r="C138" s="110" t="s">
        <v>1614</v>
      </c>
      <c r="D138" s="40" t="s">
        <v>285</v>
      </c>
      <c r="E138" s="40" t="e">
        <v>#N/A</v>
      </c>
    </row>
    <row r="139" spans="1:5" ht="14">
      <c r="A139" s="40">
        <v>7637</v>
      </c>
      <c r="B139" s="40" t="s">
        <v>1615</v>
      </c>
      <c r="C139" s="110" t="s">
        <v>1616</v>
      </c>
      <c r="D139" s="40" t="s">
        <v>63</v>
      </c>
      <c r="E139" s="40" t="e">
        <v>#N/A</v>
      </c>
    </row>
    <row r="140" spans="1:5" ht="14">
      <c r="A140" s="40">
        <v>7638</v>
      </c>
      <c r="B140" s="40" t="s">
        <v>1617</v>
      </c>
      <c r="C140" s="110" t="s">
        <v>1618</v>
      </c>
      <c r="D140" s="40" t="s">
        <v>371</v>
      </c>
      <c r="E140" s="40" t="e">
        <v>#N/A</v>
      </c>
    </row>
    <row r="141" spans="1:5" ht="14">
      <c r="A141" s="40">
        <v>7639</v>
      </c>
      <c r="B141" s="40" t="s">
        <v>1619</v>
      </c>
      <c r="C141" s="110" t="s">
        <v>1620</v>
      </c>
      <c r="D141" s="40" t="s">
        <v>161</v>
      </c>
      <c r="E141" s="40" t="e">
        <v>#N/A</v>
      </c>
    </row>
    <row r="142" spans="1:5" ht="14">
      <c r="A142" s="40">
        <v>7640</v>
      </c>
      <c r="B142" s="40" t="s">
        <v>1621</v>
      </c>
      <c r="C142" s="110" t="s">
        <v>1622</v>
      </c>
      <c r="D142" s="40" t="s">
        <v>692</v>
      </c>
      <c r="E142" s="40" t="e">
        <v>#N/A</v>
      </c>
    </row>
    <row r="143" spans="1:5" ht="14">
      <c r="A143" s="40">
        <v>7641</v>
      </c>
      <c r="B143" s="40" t="s">
        <v>1623</v>
      </c>
      <c r="C143" s="110" t="s">
        <v>1624</v>
      </c>
      <c r="E143" s="40" t="s">
        <v>1625</v>
      </c>
    </row>
    <row r="144" spans="1:5" ht="14">
      <c r="A144" s="40">
        <v>7642</v>
      </c>
      <c r="B144" s="40" t="s">
        <v>1626</v>
      </c>
      <c r="C144" s="110" t="s">
        <v>1627</v>
      </c>
      <c r="D144" s="40" t="s">
        <v>240</v>
      </c>
      <c r="E144" s="40" t="e">
        <v>#N/A</v>
      </c>
    </row>
    <row r="145" spans="1:6" ht="14">
      <c r="A145" s="40">
        <v>7643</v>
      </c>
      <c r="B145" s="40" t="s">
        <v>1628</v>
      </c>
      <c r="C145" s="110" t="s">
        <v>1629</v>
      </c>
      <c r="D145" s="40" t="s">
        <v>184</v>
      </c>
      <c r="E145" s="40" t="e">
        <v>#N/A</v>
      </c>
    </row>
    <row r="146" spans="1:6" ht="14">
      <c r="A146" s="40">
        <v>7644</v>
      </c>
      <c r="B146" s="40" t="s">
        <v>1630</v>
      </c>
      <c r="C146" s="110" t="s">
        <v>1631</v>
      </c>
      <c r="D146" s="40" t="s">
        <v>99</v>
      </c>
      <c r="E146" s="40" t="e">
        <v>#N/A</v>
      </c>
    </row>
    <row r="147" spans="1:6" ht="14">
      <c r="A147" s="40">
        <v>7645</v>
      </c>
      <c r="B147" s="40" t="s">
        <v>1632</v>
      </c>
      <c r="C147" s="110" t="s">
        <v>1633</v>
      </c>
      <c r="D147" s="40" t="s">
        <v>496</v>
      </c>
      <c r="E147" s="40" t="e">
        <v>#N/A</v>
      </c>
    </row>
    <row r="148" spans="1:6" ht="14">
      <c r="A148" s="40">
        <v>7646</v>
      </c>
      <c r="B148" s="40" t="s">
        <v>1634</v>
      </c>
      <c r="C148" s="110" t="s">
        <v>1635</v>
      </c>
      <c r="D148" s="40" t="s">
        <v>362</v>
      </c>
      <c r="E148" s="40" t="e">
        <v>#N/A</v>
      </c>
    </row>
    <row r="149" spans="1:6" ht="14">
      <c r="A149" s="40">
        <v>7647</v>
      </c>
      <c r="B149" s="40" t="s">
        <v>1636</v>
      </c>
      <c r="C149" s="110" t="s">
        <v>1637</v>
      </c>
      <c r="D149" s="40" t="s">
        <v>367</v>
      </c>
      <c r="E149" s="40" t="e">
        <v>#N/A</v>
      </c>
    </row>
    <row r="150" spans="1:6" ht="14">
      <c r="A150" s="40">
        <v>7648</v>
      </c>
      <c r="B150" s="40" t="s">
        <v>1638</v>
      </c>
      <c r="C150" s="110" t="s">
        <v>1639</v>
      </c>
      <c r="D150" s="40" t="s">
        <v>137</v>
      </c>
      <c r="E150" s="40" t="e">
        <v>#N/A</v>
      </c>
    </row>
    <row r="151" spans="1:6" ht="14">
      <c r="A151" s="40">
        <v>7649</v>
      </c>
      <c r="B151" s="40" t="s">
        <v>1640</v>
      </c>
      <c r="C151" s="110" t="s">
        <v>1641</v>
      </c>
      <c r="D151" s="40" t="s">
        <v>615</v>
      </c>
      <c r="E151" s="40" t="e">
        <v>#N/A</v>
      </c>
    </row>
    <row r="152" spans="1:6" ht="14">
      <c r="A152" s="40">
        <v>7650</v>
      </c>
      <c r="B152" s="40" t="s">
        <v>1642</v>
      </c>
      <c r="C152" s="110" t="s">
        <v>1643</v>
      </c>
      <c r="D152" s="40" t="s">
        <v>600</v>
      </c>
      <c r="E152" s="40" t="e">
        <v>#N/A</v>
      </c>
    </row>
    <row r="153" spans="1:6" ht="14">
      <c r="A153" s="40">
        <v>7651</v>
      </c>
      <c r="B153" s="40" t="s">
        <v>1644</v>
      </c>
      <c r="C153" s="110" t="s">
        <v>1645</v>
      </c>
      <c r="D153" s="40" t="s">
        <v>462</v>
      </c>
      <c r="E153" s="40" t="e">
        <v>#N/A</v>
      </c>
    </row>
    <row r="154" spans="1:6" ht="14">
      <c r="A154" s="40">
        <v>7652</v>
      </c>
      <c r="B154" s="40" t="s">
        <v>1646</v>
      </c>
      <c r="C154" s="110" t="s">
        <v>1647</v>
      </c>
      <c r="D154" s="40" t="s">
        <v>508</v>
      </c>
      <c r="E154" s="40" t="s">
        <v>497</v>
      </c>
      <c r="F154" s="40" t="s">
        <v>1648</v>
      </c>
    </row>
    <row r="155" spans="1:6" ht="14">
      <c r="A155" s="40">
        <v>7653</v>
      </c>
      <c r="B155" s="40" t="s">
        <v>1649</v>
      </c>
      <c r="C155" s="110" t="s">
        <v>1650</v>
      </c>
      <c r="D155" s="40" t="s">
        <v>630</v>
      </c>
      <c r="E155" s="40" t="e">
        <v>#N/A</v>
      </c>
    </row>
    <row r="156" spans="1:6" ht="14">
      <c r="A156" s="40">
        <v>7654</v>
      </c>
      <c r="B156" s="40" t="s">
        <v>1651</v>
      </c>
      <c r="C156" s="110" t="s">
        <v>1652</v>
      </c>
      <c r="D156" s="40" t="s">
        <v>1653</v>
      </c>
      <c r="E156" s="40" t="e">
        <v>#N/A</v>
      </c>
    </row>
    <row r="157" spans="1:6" ht="14">
      <c r="A157" s="40">
        <v>7655</v>
      </c>
      <c r="B157" s="40" t="s">
        <v>1654</v>
      </c>
      <c r="C157" s="110" t="s">
        <v>1655</v>
      </c>
      <c r="D157" s="40" t="s">
        <v>265</v>
      </c>
      <c r="E157" s="40" t="e">
        <v>#N/A</v>
      </c>
    </row>
    <row r="158" spans="1:6" ht="14">
      <c r="A158" s="40">
        <v>7656</v>
      </c>
      <c r="B158" s="40" t="s">
        <v>1656</v>
      </c>
      <c r="C158" s="110" t="s">
        <v>1657</v>
      </c>
      <c r="D158" s="40" t="s">
        <v>243</v>
      </c>
      <c r="E158" s="40" t="e">
        <v>#N/A</v>
      </c>
    </row>
    <row r="159" spans="1:6" ht="14">
      <c r="A159" s="40">
        <v>7657</v>
      </c>
      <c r="B159" s="40" t="s">
        <v>1658</v>
      </c>
      <c r="C159" s="110" t="s">
        <v>1659</v>
      </c>
      <c r="D159" s="40" t="s">
        <v>717</v>
      </c>
      <c r="E159" s="40" t="e">
        <v>#N/A</v>
      </c>
    </row>
    <row r="160" spans="1:6" ht="14">
      <c r="A160" s="40">
        <v>7658</v>
      </c>
      <c r="B160" s="40" t="s">
        <v>1660</v>
      </c>
      <c r="C160" s="110" t="s">
        <v>1661</v>
      </c>
      <c r="D160" s="40" t="s">
        <v>110</v>
      </c>
      <c r="E160" s="40" t="e">
        <v>#N/A</v>
      </c>
    </row>
    <row r="161" spans="1:5" ht="14">
      <c r="A161" s="40">
        <v>7659</v>
      </c>
      <c r="B161" s="40" t="s">
        <v>1662</v>
      </c>
      <c r="C161" s="110" t="s">
        <v>1663</v>
      </c>
      <c r="D161" s="40" t="s">
        <v>83</v>
      </c>
      <c r="E161" s="40" t="e">
        <v>#N/A</v>
      </c>
    </row>
    <row r="162" spans="1:5" ht="14">
      <c r="A162" s="40">
        <v>7660</v>
      </c>
      <c r="B162" s="40" t="s">
        <v>1664</v>
      </c>
      <c r="C162" s="110" t="s">
        <v>1665</v>
      </c>
      <c r="D162" s="40" t="s">
        <v>753</v>
      </c>
      <c r="E162" s="40" t="e">
        <v>#N/A</v>
      </c>
    </row>
    <row r="163" spans="1:5" ht="14">
      <c r="A163" s="40">
        <v>7661</v>
      </c>
      <c r="B163" s="40" t="s">
        <v>1666</v>
      </c>
      <c r="C163" s="110" t="s">
        <v>1667</v>
      </c>
      <c r="D163" s="40" t="s">
        <v>49</v>
      </c>
      <c r="E163" s="40" t="e">
        <v>#N/A</v>
      </c>
    </row>
    <row r="164" spans="1:5" ht="14">
      <c r="A164" s="40">
        <v>7662</v>
      </c>
      <c r="B164" s="40" t="s">
        <v>1668</v>
      </c>
      <c r="C164" s="110" t="s">
        <v>1669</v>
      </c>
      <c r="D164" s="40" t="s">
        <v>44</v>
      </c>
      <c r="E164" s="40" t="e">
        <v>#N/A</v>
      </c>
    </row>
    <row r="165" spans="1:5" ht="14">
      <c r="A165" s="40">
        <v>7663</v>
      </c>
      <c r="B165" s="40" t="s">
        <v>1670</v>
      </c>
      <c r="C165" s="110" t="s">
        <v>1671</v>
      </c>
      <c r="D165" s="40" t="s">
        <v>576</v>
      </c>
      <c r="E165" s="40" t="e">
        <v>#N/A</v>
      </c>
    </row>
    <row r="166" spans="1:5" ht="14">
      <c r="A166" s="40">
        <v>7664</v>
      </c>
      <c r="B166" s="40" t="s">
        <v>1672</v>
      </c>
      <c r="C166" s="110" t="s">
        <v>1673</v>
      </c>
      <c r="D166" s="40" t="s">
        <v>524</v>
      </c>
      <c r="E166" s="40" t="e">
        <v>#N/A</v>
      </c>
    </row>
    <row r="167" spans="1:5" ht="14">
      <c r="A167" s="40">
        <v>7665</v>
      </c>
      <c r="B167" s="40" t="s">
        <v>1674</v>
      </c>
      <c r="C167" s="110" t="s">
        <v>1675</v>
      </c>
      <c r="D167" s="40" t="s">
        <v>226</v>
      </c>
      <c r="E167" s="40" t="e">
        <v>#N/A</v>
      </c>
    </row>
    <row r="168" spans="1:5" ht="14">
      <c r="A168" s="40">
        <v>7666</v>
      </c>
      <c r="B168" s="40" t="s">
        <v>1676</v>
      </c>
      <c r="C168" s="110" t="s">
        <v>1677</v>
      </c>
      <c r="D168" s="40" t="s">
        <v>219</v>
      </c>
      <c r="E168" s="40" t="e">
        <v>#N/A</v>
      </c>
    </row>
    <row r="169" spans="1:5" ht="14">
      <c r="A169" s="40">
        <v>7667</v>
      </c>
      <c r="B169" s="40" t="s">
        <v>1678</v>
      </c>
      <c r="C169" s="110" t="s">
        <v>1679</v>
      </c>
      <c r="D169" s="40" t="s">
        <v>1680</v>
      </c>
      <c r="E169" s="40" t="e">
        <v>#N/A</v>
      </c>
    </row>
    <row r="170" spans="1:5" ht="14">
      <c r="A170" s="40">
        <v>7668</v>
      </c>
      <c r="B170" s="40" t="s">
        <v>1681</v>
      </c>
      <c r="C170" s="110" t="s">
        <v>1682</v>
      </c>
      <c r="D170" s="40" t="s">
        <v>90</v>
      </c>
      <c r="E170" s="40" t="e">
        <v>#N/A</v>
      </c>
    </row>
    <row r="171" spans="1:5" ht="14">
      <c r="A171" s="40">
        <v>7669</v>
      </c>
      <c r="B171" s="40" t="s">
        <v>1683</v>
      </c>
      <c r="C171" s="110" t="s">
        <v>1684</v>
      </c>
      <c r="D171" s="40" t="s">
        <v>695</v>
      </c>
      <c r="E171" s="40" t="e">
        <v>#N/A</v>
      </c>
    </row>
    <row r="172" spans="1:5" ht="14">
      <c r="A172" s="40">
        <v>7670</v>
      </c>
      <c r="B172" s="40" t="s">
        <v>1685</v>
      </c>
      <c r="C172" s="110" t="s">
        <v>1686</v>
      </c>
      <c r="D172" s="40" t="s">
        <v>1687</v>
      </c>
      <c r="E172" s="40" t="e">
        <v>#N/A</v>
      </c>
    </row>
    <row r="173" spans="1:5" ht="14">
      <c r="A173" s="40">
        <v>7671</v>
      </c>
      <c r="B173" s="40" t="s">
        <v>1688</v>
      </c>
      <c r="C173" s="110" t="s">
        <v>1689</v>
      </c>
      <c r="D173" s="40" t="s">
        <v>206</v>
      </c>
      <c r="E173" s="40" t="e">
        <v>#N/A</v>
      </c>
    </row>
    <row r="174" spans="1:5" ht="14">
      <c r="A174" s="40">
        <v>7672</v>
      </c>
      <c r="B174" s="40" t="s">
        <v>1690</v>
      </c>
      <c r="C174" s="110" t="s">
        <v>1691</v>
      </c>
      <c r="D174" s="40" t="s">
        <v>585</v>
      </c>
      <c r="E174" s="40" t="e">
        <v>#N/A</v>
      </c>
    </row>
    <row r="175" spans="1:5" ht="14">
      <c r="A175" s="40">
        <v>7673</v>
      </c>
      <c r="B175" s="40" t="s">
        <v>1692</v>
      </c>
      <c r="C175" s="110" t="s">
        <v>1693</v>
      </c>
      <c r="D175" s="40" t="s">
        <v>572</v>
      </c>
      <c r="E175" s="40" t="e">
        <v>#N/A</v>
      </c>
    </row>
    <row r="176" spans="1:5" ht="14">
      <c r="A176" s="40">
        <v>7674</v>
      </c>
      <c r="B176" s="40" t="s">
        <v>1694</v>
      </c>
      <c r="C176" s="110" t="s">
        <v>1695</v>
      </c>
      <c r="D176" s="40" t="s">
        <v>708</v>
      </c>
      <c r="E176" s="40" t="e">
        <v>#N/A</v>
      </c>
    </row>
    <row r="177" spans="1:5" ht="14">
      <c r="A177" s="40">
        <v>7675</v>
      </c>
      <c r="B177" s="40" t="s">
        <v>1696</v>
      </c>
      <c r="C177" s="110" t="s">
        <v>1697</v>
      </c>
      <c r="D177" s="40" t="s">
        <v>1698</v>
      </c>
      <c r="E177" s="40" t="e">
        <v>#N/A</v>
      </c>
    </row>
    <row r="178" spans="1:5" ht="14">
      <c r="A178" s="40">
        <v>7676</v>
      </c>
      <c r="B178" s="40" t="s">
        <v>1699</v>
      </c>
      <c r="C178" s="110" t="s">
        <v>1700</v>
      </c>
      <c r="D178" s="40" t="s">
        <v>1701</v>
      </c>
      <c r="E178" s="40" t="e">
        <v>#N/A</v>
      </c>
    </row>
    <row r="179" spans="1:5" ht="14">
      <c r="A179" s="40">
        <v>7677</v>
      </c>
      <c r="B179" s="40" t="s">
        <v>1702</v>
      </c>
      <c r="C179" s="110" t="s">
        <v>1703</v>
      </c>
      <c r="D179" s="40" t="s">
        <v>783</v>
      </c>
      <c r="E179" s="40" t="s">
        <v>1704</v>
      </c>
    </row>
    <row r="180" spans="1:5" ht="14">
      <c r="A180" s="40">
        <v>7678</v>
      </c>
      <c r="B180" s="40" t="s">
        <v>1705</v>
      </c>
      <c r="C180" s="110" t="s">
        <v>1706</v>
      </c>
      <c r="D180" s="40" t="s">
        <v>681</v>
      </c>
      <c r="E180" s="40" t="e">
        <v>#N/A</v>
      </c>
    </row>
    <row r="181" spans="1:5" ht="14">
      <c r="A181" s="40">
        <v>7679</v>
      </c>
      <c r="B181" s="40" t="s">
        <v>1707</v>
      </c>
      <c r="C181" s="110" t="s">
        <v>1708</v>
      </c>
      <c r="D181" s="40" t="s">
        <v>568</v>
      </c>
      <c r="E181" s="40" t="e">
        <v>#N/A</v>
      </c>
    </row>
    <row r="182" spans="1:5" ht="14">
      <c r="A182" s="40">
        <v>7680</v>
      </c>
      <c r="B182" s="40" t="s">
        <v>1709</v>
      </c>
      <c r="C182" s="110" t="s">
        <v>1710</v>
      </c>
      <c r="D182" s="40" t="s">
        <v>1711</v>
      </c>
      <c r="E182" s="40" t="e">
        <v>#N/A</v>
      </c>
    </row>
    <row r="183" spans="1:5" ht="14">
      <c r="A183" s="40">
        <v>7681</v>
      </c>
      <c r="B183" s="40" t="s">
        <v>1712</v>
      </c>
      <c r="C183" s="110" t="s">
        <v>1713</v>
      </c>
      <c r="D183" s="40" t="s">
        <v>764</v>
      </c>
      <c r="E183" s="40" t="s">
        <v>1704</v>
      </c>
    </row>
    <row r="184" spans="1:5" ht="14">
      <c r="A184" s="40">
        <v>7682</v>
      </c>
      <c r="B184" s="40" t="s">
        <v>1714</v>
      </c>
      <c r="C184" s="110" t="s">
        <v>1715</v>
      </c>
      <c r="D184" s="40" t="s">
        <v>18</v>
      </c>
      <c r="E184" s="40" t="e">
        <v>#N/A</v>
      </c>
    </row>
    <row r="185" spans="1:5" ht="14">
      <c r="A185" s="40">
        <v>7683</v>
      </c>
      <c r="B185" s="40" t="s">
        <v>1716</v>
      </c>
      <c r="C185" s="110" t="s">
        <v>1717</v>
      </c>
      <c r="D185" s="40" t="s">
        <v>549</v>
      </c>
      <c r="E185" s="40" t="e">
        <v>#N/A</v>
      </c>
    </row>
    <row r="186" spans="1:5" ht="14">
      <c r="A186" s="40">
        <v>7684</v>
      </c>
      <c r="B186" s="40" t="s">
        <v>1718</v>
      </c>
      <c r="C186" s="110" t="s">
        <v>1719</v>
      </c>
      <c r="D186" s="40" t="s">
        <v>563</v>
      </c>
      <c r="E186" s="40" t="e">
        <v>#N/A</v>
      </c>
    </row>
    <row r="187" spans="1:5" ht="14">
      <c r="A187" s="40">
        <v>7685</v>
      </c>
      <c r="B187" s="40" t="s">
        <v>1720</v>
      </c>
      <c r="C187" s="110" t="s">
        <v>1721</v>
      </c>
      <c r="D187" s="40" t="s">
        <v>342</v>
      </c>
      <c r="E187" s="40" t="e">
        <v>#N/A</v>
      </c>
    </row>
    <row r="188" spans="1:5" ht="14">
      <c r="A188" s="40">
        <v>7686</v>
      </c>
      <c r="B188" s="40" t="s">
        <v>1722</v>
      </c>
      <c r="C188" s="110" t="s">
        <v>1723</v>
      </c>
      <c r="D188" s="40" t="s">
        <v>215</v>
      </c>
      <c r="E188" s="40" t="e">
        <v>#N/A</v>
      </c>
    </row>
    <row r="189" spans="1:5" ht="14">
      <c r="A189" s="40">
        <v>7687</v>
      </c>
      <c r="B189" s="40" t="s">
        <v>1724</v>
      </c>
      <c r="C189" s="110" t="s">
        <v>1725</v>
      </c>
      <c r="D189" s="40" t="s">
        <v>355</v>
      </c>
      <c r="E189" s="40" t="e">
        <v>#N/A</v>
      </c>
    </row>
    <row r="190" spans="1:5" ht="14">
      <c r="A190" s="40">
        <v>7688</v>
      </c>
      <c r="B190" s="40" t="s">
        <v>1726</v>
      </c>
      <c r="C190" s="110" t="s">
        <v>1727</v>
      </c>
      <c r="D190" s="40" t="s">
        <v>210</v>
      </c>
      <c r="E190" s="40" t="e">
        <v>#N/A</v>
      </c>
    </row>
    <row r="191" spans="1:5" ht="14">
      <c r="A191" s="40">
        <v>7689</v>
      </c>
      <c r="B191" s="40" t="s">
        <v>1728</v>
      </c>
      <c r="C191" s="110" t="s">
        <v>1729</v>
      </c>
      <c r="D191" s="40" t="s">
        <v>757</v>
      </c>
      <c r="E191" s="40" t="e">
        <v>#N/A</v>
      </c>
    </row>
    <row r="192" spans="1:5" ht="14">
      <c r="A192" s="40">
        <v>7690</v>
      </c>
      <c r="B192" s="40" t="s">
        <v>1730</v>
      </c>
      <c r="C192" s="110" t="s">
        <v>1731</v>
      </c>
      <c r="D192" s="40" t="s">
        <v>436</v>
      </c>
      <c r="E192" s="40" t="e">
        <v>#N/A</v>
      </c>
    </row>
    <row r="193" spans="1:5" ht="14">
      <c r="A193" s="40">
        <v>7691</v>
      </c>
      <c r="B193" s="40" t="s">
        <v>1732</v>
      </c>
      <c r="C193" s="110" t="s">
        <v>1733</v>
      </c>
      <c r="D193" s="40" t="s">
        <v>481</v>
      </c>
      <c r="E193" s="40" t="e">
        <v>#N/A</v>
      </c>
    </row>
    <row r="194" spans="1:5" ht="14">
      <c r="A194" s="40">
        <v>7692</v>
      </c>
      <c r="B194" s="40" t="s">
        <v>1734</v>
      </c>
      <c r="C194" s="110" t="s">
        <v>1735</v>
      </c>
      <c r="D194" s="40" t="s">
        <v>398</v>
      </c>
      <c r="E194" s="40" t="e">
        <v>#N/A</v>
      </c>
    </row>
    <row r="195" spans="1:5" ht="14">
      <c r="A195" s="40">
        <v>7693</v>
      </c>
      <c r="B195" s="40" t="s">
        <v>1736</v>
      </c>
      <c r="C195" s="110" t="s">
        <v>1737</v>
      </c>
      <c r="E195" s="40" t="s">
        <v>1738</v>
      </c>
    </row>
    <row r="196" spans="1:5" ht="14">
      <c r="A196" s="40">
        <v>7694</v>
      </c>
      <c r="B196" s="40" t="s">
        <v>1739</v>
      </c>
      <c r="C196" s="110" t="s">
        <v>1740</v>
      </c>
      <c r="D196" s="40" t="s">
        <v>289</v>
      </c>
      <c r="E196" s="40" t="e">
        <v>#N/A</v>
      </c>
    </row>
    <row r="197" spans="1:5" ht="14">
      <c r="A197" s="40">
        <v>7695</v>
      </c>
      <c r="B197" s="40" t="s">
        <v>1741</v>
      </c>
      <c r="C197" s="110" t="s">
        <v>1742</v>
      </c>
      <c r="D197" s="40" t="s">
        <v>750</v>
      </c>
      <c r="E197" s="40" t="e">
        <v>#N/A</v>
      </c>
    </row>
    <row r="198" spans="1:5" ht="14">
      <c r="A198" s="40">
        <v>7696</v>
      </c>
      <c r="B198" s="40" t="s">
        <v>1743</v>
      </c>
      <c r="C198" s="110" t="s">
        <v>1744</v>
      </c>
      <c r="D198" s="40" t="s">
        <v>419</v>
      </c>
      <c r="E198" s="40" t="e">
        <v>#N/A</v>
      </c>
    </row>
    <row r="199" spans="1:5" ht="14">
      <c r="A199" s="40">
        <v>7697</v>
      </c>
      <c r="B199" s="40" t="s">
        <v>1745</v>
      </c>
      <c r="C199" s="110" t="s">
        <v>1746</v>
      </c>
      <c r="D199" s="40" t="s">
        <v>413</v>
      </c>
      <c r="E199" s="40" t="e">
        <v>#N/A</v>
      </c>
    </row>
    <row r="200" spans="1:5" ht="14">
      <c r="A200" s="40">
        <v>7698</v>
      </c>
      <c r="B200" s="40" t="s">
        <v>1747</v>
      </c>
      <c r="C200" s="110" t="s">
        <v>1748</v>
      </c>
      <c r="D200" s="40" t="s">
        <v>640</v>
      </c>
      <c r="E200" s="40" t="e">
        <v>#N/A</v>
      </c>
    </row>
    <row r="201" spans="1:5" ht="14">
      <c r="A201" s="40">
        <v>7699</v>
      </c>
      <c r="B201" s="40" t="s">
        <v>1749</v>
      </c>
      <c r="C201" s="110" t="s">
        <v>1750</v>
      </c>
      <c r="D201" s="40" t="s">
        <v>105</v>
      </c>
      <c r="E201" s="40" t="e">
        <v>#N/A</v>
      </c>
    </row>
    <row r="202" spans="1:5" ht="13">
      <c r="C202" s="109"/>
    </row>
    <row r="203" spans="1:5" ht="13">
      <c r="C203" s="109"/>
    </row>
    <row r="204" spans="1:5" ht="13">
      <c r="C204" s="109"/>
    </row>
    <row r="205" spans="1:5" ht="13">
      <c r="C205" s="109"/>
    </row>
    <row r="206" spans="1:5" ht="13">
      <c r="C206" s="109"/>
    </row>
    <row r="207" spans="1:5" ht="13">
      <c r="C207" s="109"/>
    </row>
    <row r="208" spans="1:5" ht="13">
      <c r="C208" s="109"/>
    </row>
    <row r="209" spans="3:3" ht="13">
      <c r="C209" s="109"/>
    </row>
    <row r="210" spans="3:3" ht="13">
      <c r="C210" s="109"/>
    </row>
    <row r="211" spans="3:3" ht="13">
      <c r="C211" s="109"/>
    </row>
    <row r="212" spans="3:3" ht="13">
      <c r="C212" s="109"/>
    </row>
    <row r="213" spans="3:3" ht="13">
      <c r="C213" s="109"/>
    </row>
    <row r="214" spans="3:3" ht="13">
      <c r="C214" s="109"/>
    </row>
    <row r="215" spans="3:3" ht="13">
      <c r="C215" s="109"/>
    </row>
    <row r="216" spans="3:3" ht="13">
      <c r="C216" s="109"/>
    </row>
    <row r="217" spans="3:3" ht="13">
      <c r="C217" s="109"/>
    </row>
    <row r="218" spans="3:3" ht="13">
      <c r="C218" s="109"/>
    </row>
    <row r="219" spans="3:3" ht="13">
      <c r="C219" s="109"/>
    </row>
    <row r="220" spans="3:3" ht="13">
      <c r="C220" s="109"/>
    </row>
    <row r="221" spans="3:3" ht="13">
      <c r="C221" s="109"/>
    </row>
    <row r="222" spans="3:3" ht="13">
      <c r="C222" s="109"/>
    </row>
    <row r="223" spans="3:3" ht="13">
      <c r="C223" s="109"/>
    </row>
    <row r="224" spans="3:3" ht="13">
      <c r="C224" s="109"/>
    </row>
    <row r="225" spans="3:3" ht="13">
      <c r="C225" s="109"/>
    </row>
    <row r="226" spans="3:3" ht="13">
      <c r="C226" s="109"/>
    </row>
    <row r="227" spans="3:3" ht="13">
      <c r="C227" s="109"/>
    </row>
    <row r="228" spans="3:3" ht="13">
      <c r="C228" s="109"/>
    </row>
    <row r="229" spans="3:3" ht="13">
      <c r="C229" s="109"/>
    </row>
    <row r="230" spans="3:3" ht="13">
      <c r="C230" s="109"/>
    </row>
    <row r="231" spans="3:3" ht="13">
      <c r="C231" s="109"/>
    </row>
    <row r="232" spans="3:3" ht="13">
      <c r="C232" s="109"/>
    </row>
    <row r="233" spans="3:3" ht="13">
      <c r="C233" s="109"/>
    </row>
    <row r="234" spans="3:3" ht="13">
      <c r="C234" s="109"/>
    </row>
    <row r="235" spans="3:3" ht="13">
      <c r="C235" s="109"/>
    </row>
    <row r="236" spans="3:3" ht="13">
      <c r="C236" s="109"/>
    </row>
    <row r="237" spans="3:3" ht="13">
      <c r="C237" s="109"/>
    </row>
    <row r="238" spans="3:3" ht="13">
      <c r="C238" s="109"/>
    </row>
    <row r="239" spans="3:3" ht="13">
      <c r="C239" s="109"/>
    </row>
    <row r="240" spans="3:3" ht="13">
      <c r="C240" s="109"/>
    </row>
    <row r="241" spans="3:3" ht="13">
      <c r="C241" s="109"/>
    </row>
    <row r="242" spans="3:3" ht="13">
      <c r="C242" s="109"/>
    </row>
    <row r="243" spans="3:3" ht="13">
      <c r="C243" s="109"/>
    </row>
    <row r="244" spans="3:3" ht="13">
      <c r="C244" s="109"/>
    </row>
    <row r="245" spans="3:3" ht="13">
      <c r="C245" s="109"/>
    </row>
    <row r="246" spans="3:3" ht="13">
      <c r="C246" s="109"/>
    </row>
    <row r="247" spans="3:3" ht="13">
      <c r="C247" s="109"/>
    </row>
    <row r="248" spans="3:3" ht="13">
      <c r="C248" s="109"/>
    </row>
    <row r="249" spans="3:3" ht="13">
      <c r="C249" s="109"/>
    </row>
    <row r="250" spans="3:3" ht="13">
      <c r="C250" s="109"/>
    </row>
    <row r="251" spans="3:3" ht="13">
      <c r="C251" s="109"/>
    </row>
    <row r="252" spans="3:3" ht="13">
      <c r="C252" s="109"/>
    </row>
    <row r="253" spans="3:3" ht="13">
      <c r="C253" s="109"/>
    </row>
    <row r="254" spans="3:3" ht="13">
      <c r="C254" s="109"/>
    </row>
    <row r="255" spans="3:3" ht="13">
      <c r="C255" s="109"/>
    </row>
    <row r="256" spans="3:3" ht="13">
      <c r="C256" s="109"/>
    </row>
    <row r="257" spans="3:3" ht="13">
      <c r="C257" s="109"/>
    </row>
    <row r="258" spans="3:3" ht="13">
      <c r="C258" s="109"/>
    </row>
    <row r="259" spans="3:3" ht="13">
      <c r="C259" s="109"/>
    </row>
    <row r="260" spans="3:3" ht="13">
      <c r="C260" s="109"/>
    </row>
    <row r="261" spans="3:3" ht="13">
      <c r="C261" s="109"/>
    </row>
    <row r="262" spans="3:3" ht="13">
      <c r="C262" s="109"/>
    </row>
    <row r="263" spans="3:3" ht="13">
      <c r="C263" s="109"/>
    </row>
    <row r="264" spans="3:3" ht="13">
      <c r="C264" s="109"/>
    </row>
    <row r="265" spans="3:3" ht="13">
      <c r="C265" s="109"/>
    </row>
    <row r="266" spans="3:3" ht="13">
      <c r="C266" s="109"/>
    </row>
    <row r="267" spans="3:3" ht="13">
      <c r="C267" s="109"/>
    </row>
    <row r="268" spans="3:3" ht="13">
      <c r="C268" s="109"/>
    </row>
    <row r="269" spans="3:3" ht="13">
      <c r="C269" s="109"/>
    </row>
    <row r="270" spans="3:3" ht="13">
      <c r="C270" s="109"/>
    </row>
    <row r="271" spans="3:3" ht="13">
      <c r="C271" s="109"/>
    </row>
    <row r="272" spans="3:3" ht="13">
      <c r="C272" s="109"/>
    </row>
    <row r="273" spans="3:3" ht="13">
      <c r="C273" s="109"/>
    </row>
    <row r="274" spans="3:3" ht="13">
      <c r="C274" s="109"/>
    </row>
    <row r="275" spans="3:3" ht="13">
      <c r="C275" s="109"/>
    </row>
    <row r="276" spans="3:3" ht="13">
      <c r="C276" s="109"/>
    </row>
    <row r="277" spans="3:3" ht="13">
      <c r="C277" s="109"/>
    </row>
    <row r="278" spans="3:3" ht="13">
      <c r="C278" s="109"/>
    </row>
    <row r="279" spans="3:3" ht="13">
      <c r="C279" s="109"/>
    </row>
    <row r="280" spans="3:3" ht="13">
      <c r="C280" s="109"/>
    </row>
    <row r="281" spans="3:3" ht="13">
      <c r="C281" s="109"/>
    </row>
    <row r="282" spans="3:3" ht="13">
      <c r="C282" s="109"/>
    </row>
    <row r="283" spans="3:3" ht="13">
      <c r="C283" s="109"/>
    </row>
    <row r="284" spans="3:3" ht="13">
      <c r="C284" s="109"/>
    </row>
    <row r="285" spans="3:3" ht="13">
      <c r="C285" s="109"/>
    </row>
    <row r="286" spans="3:3" ht="13">
      <c r="C286" s="109"/>
    </row>
    <row r="287" spans="3:3" ht="13">
      <c r="C287" s="109"/>
    </row>
    <row r="288" spans="3:3" ht="13">
      <c r="C288" s="109"/>
    </row>
    <row r="289" spans="3:3" ht="13">
      <c r="C289" s="109"/>
    </row>
    <row r="290" spans="3:3" ht="13">
      <c r="C290" s="109"/>
    </row>
    <row r="291" spans="3:3" ht="13">
      <c r="C291" s="109"/>
    </row>
    <row r="292" spans="3:3" ht="13">
      <c r="C292" s="109"/>
    </row>
    <row r="293" spans="3:3" ht="13">
      <c r="C293" s="109"/>
    </row>
    <row r="294" spans="3:3" ht="13">
      <c r="C294" s="109"/>
    </row>
    <row r="295" spans="3:3" ht="13">
      <c r="C295" s="109"/>
    </row>
    <row r="296" spans="3:3" ht="13">
      <c r="C296" s="109"/>
    </row>
    <row r="297" spans="3:3" ht="13">
      <c r="C297" s="109"/>
    </row>
    <row r="298" spans="3:3" ht="13">
      <c r="C298" s="109"/>
    </row>
    <row r="299" spans="3:3" ht="13">
      <c r="C299" s="109"/>
    </row>
    <row r="300" spans="3:3" ht="13">
      <c r="C300" s="109"/>
    </row>
    <row r="301" spans="3:3" ht="13">
      <c r="C301" s="109"/>
    </row>
    <row r="302" spans="3:3" ht="13">
      <c r="C302" s="109"/>
    </row>
    <row r="303" spans="3:3" ht="13">
      <c r="C303" s="109"/>
    </row>
    <row r="304" spans="3:3" ht="13">
      <c r="C304" s="109"/>
    </row>
    <row r="305" spans="3:3" ht="13">
      <c r="C305" s="109"/>
    </row>
    <row r="306" spans="3:3" ht="13">
      <c r="C306" s="109"/>
    </row>
    <row r="307" spans="3:3" ht="13">
      <c r="C307" s="109"/>
    </row>
    <row r="308" spans="3:3" ht="13">
      <c r="C308" s="109"/>
    </row>
    <row r="309" spans="3:3" ht="13">
      <c r="C309" s="109"/>
    </row>
    <row r="310" spans="3:3" ht="13">
      <c r="C310" s="109"/>
    </row>
    <row r="311" spans="3:3" ht="13">
      <c r="C311" s="109"/>
    </row>
    <row r="312" spans="3:3" ht="13">
      <c r="C312" s="109"/>
    </row>
    <row r="313" spans="3:3" ht="13">
      <c r="C313" s="109"/>
    </row>
    <row r="314" spans="3:3" ht="13">
      <c r="C314" s="109"/>
    </row>
    <row r="315" spans="3:3" ht="13">
      <c r="C315" s="109"/>
    </row>
    <row r="316" spans="3:3" ht="13">
      <c r="C316" s="109"/>
    </row>
    <row r="317" spans="3:3" ht="13">
      <c r="C317" s="109"/>
    </row>
    <row r="318" spans="3:3" ht="13">
      <c r="C318" s="109"/>
    </row>
    <row r="319" spans="3:3" ht="13">
      <c r="C319" s="109"/>
    </row>
    <row r="320" spans="3:3" ht="13">
      <c r="C320" s="109"/>
    </row>
    <row r="321" spans="3:3" ht="13">
      <c r="C321" s="109"/>
    </row>
    <row r="322" spans="3:3" ht="13">
      <c r="C322" s="109"/>
    </row>
    <row r="323" spans="3:3" ht="13">
      <c r="C323" s="109"/>
    </row>
    <row r="324" spans="3:3" ht="13">
      <c r="C324" s="109"/>
    </row>
    <row r="325" spans="3:3" ht="13">
      <c r="C325" s="109"/>
    </row>
    <row r="326" spans="3:3" ht="13">
      <c r="C326" s="109"/>
    </row>
    <row r="327" spans="3:3" ht="13">
      <c r="C327" s="109"/>
    </row>
    <row r="328" spans="3:3" ht="13">
      <c r="C328" s="109"/>
    </row>
    <row r="329" spans="3:3" ht="13">
      <c r="C329" s="109"/>
    </row>
    <row r="330" spans="3:3" ht="13">
      <c r="C330" s="109"/>
    </row>
    <row r="331" spans="3:3" ht="13">
      <c r="C331" s="109"/>
    </row>
    <row r="332" spans="3:3" ht="13">
      <c r="C332" s="109"/>
    </row>
    <row r="333" spans="3:3" ht="13">
      <c r="C333" s="109"/>
    </row>
    <row r="334" spans="3:3" ht="13">
      <c r="C334" s="109"/>
    </row>
    <row r="335" spans="3:3" ht="13">
      <c r="C335" s="109"/>
    </row>
    <row r="336" spans="3:3" ht="13">
      <c r="C336" s="109"/>
    </row>
    <row r="337" spans="3:3" ht="13">
      <c r="C337" s="109"/>
    </row>
    <row r="338" spans="3:3" ht="13">
      <c r="C338" s="109"/>
    </row>
    <row r="339" spans="3:3" ht="13">
      <c r="C339" s="109"/>
    </row>
    <row r="340" spans="3:3" ht="13">
      <c r="C340" s="109"/>
    </row>
    <row r="341" spans="3:3" ht="13">
      <c r="C341" s="109"/>
    </row>
    <row r="342" spans="3:3" ht="13">
      <c r="C342" s="109"/>
    </row>
    <row r="343" spans="3:3" ht="13">
      <c r="C343" s="109"/>
    </row>
    <row r="344" spans="3:3" ht="13">
      <c r="C344" s="109"/>
    </row>
    <row r="345" spans="3:3" ht="13">
      <c r="C345" s="109"/>
    </row>
    <row r="346" spans="3:3" ht="13">
      <c r="C346" s="109"/>
    </row>
    <row r="347" spans="3:3" ht="13">
      <c r="C347" s="109"/>
    </row>
    <row r="348" spans="3:3" ht="13">
      <c r="C348" s="109"/>
    </row>
    <row r="349" spans="3:3" ht="13">
      <c r="C349" s="109"/>
    </row>
    <row r="350" spans="3:3" ht="13">
      <c r="C350" s="109"/>
    </row>
    <row r="351" spans="3:3" ht="13">
      <c r="C351" s="109"/>
    </row>
    <row r="352" spans="3:3" ht="13">
      <c r="C352" s="109"/>
    </row>
    <row r="353" spans="3:3" ht="13">
      <c r="C353" s="109"/>
    </row>
    <row r="354" spans="3:3" ht="13">
      <c r="C354" s="109"/>
    </row>
    <row r="355" spans="3:3" ht="13">
      <c r="C355" s="109"/>
    </row>
    <row r="356" spans="3:3" ht="13">
      <c r="C356" s="109"/>
    </row>
    <row r="357" spans="3:3" ht="13">
      <c r="C357" s="109"/>
    </row>
    <row r="358" spans="3:3" ht="13">
      <c r="C358" s="109"/>
    </row>
    <row r="359" spans="3:3" ht="13">
      <c r="C359" s="109"/>
    </row>
    <row r="360" spans="3:3" ht="13">
      <c r="C360" s="109"/>
    </row>
    <row r="361" spans="3:3" ht="13">
      <c r="C361" s="109"/>
    </row>
    <row r="362" spans="3:3" ht="13">
      <c r="C362" s="109"/>
    </row>
    <row r="363" spans="3:3" ht="13">
      <c r="C363" s="109"/>
    </row>
    <row r="364" spans="3:3" ht="13">
      <c r="C364" s="109"/>
    </row>
    <row r="365" spans="3:3" ht="13">
      <c r="C365" s="109"/>
    </row>
    <row r="366" spans="3:3" ht="13">
      <c r="C366" s="109"/>
    </row>
    <row r="367" spans="3:3" ht="13">
      <c r="C367" s="109"/>
    </row>
    <row r="368" spans="3:3" ht="13">
      <c r="C368" s="109"/>
    </row>
    <row r="369" spans="3:3" ht="13">
      <c r="C369" s="109"/>
    </row>
    <row r="370" spans="3:3" ht="13">
      <c r="C370" s="109"/>
    </row>
    <row r="371" spans="3:3" ht="13">
      <c r="C371" s="109"/>
    </row>
    <row r="372" spans="3:3" ht="13">
      <c r="C372" s="109"/>
    </row>
    <row r="373" spans="3:3" ht="13">
      <c r="C373" s="109"/>
    </row>
    <row r="374" spans="3:3" ht="13">
      <c r="C374" s="109"/>
    </row>
    <row r="375" spans="3:3" ht="13">
      <c r="C375" s="109"/>
    </row>
    <row r="376" spans="3:3" ht="13">
      <c r="C376" s="109"/>
    </row>
    <row r="377" spans="3:3" ht="13">
      <c r="C377" s="109"/>
    </row>
    <row r="378" spans="3:3" ht="13">
      <c r="C378" s="109"/>
    </row>
    <row r="379" spans="3:3" ht="13">
      <c r="C379" s="109"/>
    </row>
    <row r="380" spans="3:3" ht="13">
      <c r="C380" s="109"/>
    </row>
    <row r="381" spans="3:3" ht="13">
      <c r="C381" s="109"/>
    </row>
    <row r="382" spans="3:3" ht="13">
      <c r="C382" s="109"/>
    </row>
    <row r="383" spans="3:3" ht="13">
      <c r="C383" s="109"/>
    </row>
    <row r="384" spans="3:3" ht="13">
      <c r="C384" s="109"/>
    </row>
    <row r="385" spans="3:3" ht="13">
      <c r="C385" s="109"/>
    </row>
    <row r="386" spans="3:3" ht="13">
      <c r="C386" s="109"/>
    </row>
    <row r="387" spans="3:3" ht="13">
      <c r="C387" s="109"/>
    </row>
    <row r="388" spans="3:3" ht="13">
      <c r="C388" s="109"/>
    </row>
    <row r="389" spans="3:3" ht="13">
      <c r="C389" s="109"/>
    </row>
    <row r="390" spans="3:3" ht="13">
      <c r="C390" s="109"/>
    </row>
    <row r="391" spans="3:3" ht="13">
      <c r="C391" s="109"/>
    </row>
    <row r="392" spans="3:3" ht="13">
      <c r="C392" s="109"/>
    </row>
    <row r="393" spans="3:3" ht="13">
      <c r="C393" s="109"/>
    </row>
    <row r="394" spans="3:3" ht="13">
      <c r="C394" s="109"/>
    </row>
    <row r="395" spans="3:3" ht="13">
      <c r="C395" s="109"/>
    </row>
    <row r="396" spans="3:3" ht="13">
      <c r="C396" s="109"/>
    </row>
    <row r="397" spans="3:3" ht="13">
      <c r="C397" s="109"/>
    </row>
    <row r="398" spans="3:3" ht="13">
      <c r="C398" s="109"/>
    </row>
    <row r="399" spans="3:3" ht="13">
      <c r="C399" s="109"/>
    </row>
    <row r="400" spans="3:3" ht="13">
      <c r="C400" s="109"/>
    </row>
    <row r="401" spans="3:3" ht="13">
      <c r="C401" s="109"/>
    </row>
    <row r="402" spans="3:3" ht="13">
      <c r="C402" s="109"/>
    </row>
    <row r="403" spans="3:3" ht="13">
      <c r="C403" s="109"/>
    </row>
    <row r="404" spans="3:3" ht="13">
      <c r="C404" s="109"/>
    </row>
    <row r="405" spans="3:3" ht="13">
      <c r="C405" s="109"/>
    </row>
    <row r="406" spans="3:3" ht="13">
      <c r="C406" s="109"/>
    </row>
    <row r="407" spans="3:3" ht="13">
      <c r="C407" s="109"/>
    </row>
    <row r="408" spans="3:3" ht="13">
      <c r="C408" s="109"/>
    </row>
    <row r="409" spans="3:3" ht="13">
      <c r="C409" s="109"/>
    </row>
    <row r="410" spans="3:3" ht="13">
      <c r="C410" s="109"/>
    </row>
    <row r="411" spans="3:3" ht="13">
      <c r="C411" s="109"/>
    </row>
    <row r="412" spans="3:3" ht="13">
      <c r="C412" s="109"/>
    </row>
    <row r="413" spans="3:3" ht="13">
      <c r="C413" s="109"/>
    </row>
    <row r="414" spans="3:3" ht="13">
      <c r="C414" s="109"/>
    </row>
    <row r="415" spans="3:3" ht="13">
      <c r="C415" s="109"/>
    </row>
    <row r="416" spans="3:3" ht="13">
      <c r="C416" s="109"/>
    </row>
    <row r="417" spans="3:3" ht="13">
      <c r="C417" s="109"/>
    </row>
    <row r="418" spans="3:3" ht="13">
      <c r="C418" s="109"/>
    </row>
    <row r="419" spans="3:3" ht="13">
      <c r="C419" s="109"/>
    </row>
    <row r="420" spans="3:3" ht="13">
      <c r="C420" s="109"/>
    </row>
    <row r="421" spans="3:3" ht="13">
      <c r="C421" s="109"/>
    </row>
    <row r="422" spans="3:3" ht="13">
      <c r="C422" s="109"/>
    </row>
    <row r="423" spans="3:3" ht="13">
      <c r="C423" s="109"/>
    </row>
    <row r="424" spans="3:3" ht="13">
      <c r="C424" s="109"/>
    </row>
    <row r="425" spans="3:3" ht="13">
      <c r="C425" s="109"/>
    </row>
    <row r="426" spans="3:3" ht="13">
      <c r="C426" s="109"/>
    </row>
    <row r="427" spans="3:3" ht="13">
      <c r="C427" s="109"/>
    </row>
    <row r="428" spans="3:3" ht="13">
      <c r="C428" s="109"/>
    </row>
    <row r="429" spans="3:3" ht="13">
      <c r="C429" s="109"/>
    </row>
    <row r="430" spans="3:3" ht="13">
      <c r="C430" s="109"/>
    </row>
    <row r="431" spans="3:3" ht="13">
      <c r="C431" s="109"/>
    </row>
    <row r="432" spans="3:3" ht="13">
      <c r="C432" s="109"/>
    </row>
    <row r="433" spans="3:3" ht="13">
      <c r="C433" s="109"/>
    </row>
    <row r="434" spans="3:3" ht="13">
      <c r="C434" s="109"/>
    </row>
    <row r="435" spans="3:3" ht="13">
      <c r="C435" s="109"/>
    </row>
    <row r="436" spans="3:3" ht="13">
      <c r="C436" s="109"/>
    </row>
    <row r="437" spans="3:3" ht="13">
      <c r="C437" s="109"/>
    </row>
    <row r="438" spans="3:3" ht="13">
      <c r="C438" s="109"/>
    </row>
    <row r="439" spans="3:3" ht="13">
      <c r="C439" s="109"/>
    </row>
    <row r="440" spans="3:3" ht="13">
      <c r="C440" s="109"/>
    </row>
    <row r="441" spans="3:3" ht="13">
      <c r="C441" s="109"/>
    </row>
    <row r="442" spans="3:3" ht="13">
      <c r="C442" s="109"/>
    </row>
    <row r="443" spans="3:3" ht="13">
      <c r="C443" s="109"/>
    </row>
    <row r="444" spans="3:3" ht="13">
      <c r="C444" s="109"/>
    </row>
    <row r="445" spans="3:3" ht="13">
      <c r="C445" s="109"/>
    </row>
    <row r="446" spans="3:3" ht="13">
      <c r="C446" s="109"/>
    </row>
    <row r="447" spans="3:3" ht="13">
      <c r="C447" s="109"/>
    </row>
    <row r="448" spans="3:3" ht="13">
      <c r="C448" s="109"/>
    </row>
    <row r="449" spans="3:3" ht="13">
      <c r="C449" s="109"/>
    </row>
    <row r="450" spans="3:3" ht="13">
      <c r="C450" s="109"/>
    </row>
    <row r="451" spans="3:3" ht="13">
      <c r="C451" s="109"/>
    </row>
    <row r="452" spans="3:3" ht="13">
      <c r="C452" s="109"/>
    </row>
    <row r="453" spans="3:3" ht="13">
      <c r="C453" s="109"/>
    </row>
    <row r="454" spans="3:3" ht="13">
      <c r="C454" s="109"/>
    </row>
    <row r="455" spans="3:3" ht="13">
      <c r="C455" s="109"/>
    </row>
    <row r="456" spans="3:3" ht="13">
      <c r="C456" s="109"/>
    </row>
    <row r="457" spans="3:3" ht="13">
      <c r="C457" s="109"/>
    </row>
    <row r="458" spans="3:3" ht="13">
      <c r="C458" s="109"/>
    </row>
    <row r="459" spans="3:3" ht="13">
      <c r="C459" s="109"/>
    </row>
    <row r="460" spans="3:3" ht="13">
      <c r="C460" s="109"/>
    </row>
    <row r="461" spans="3:3" ht="13">
      <c r="C461" s="109"/>
    </row>
    <row r="462" spans="3:3" ht="13">
      <c r="C462" s="109"/>
    </row>
    <row r="463" spans="3:3" ht="13">
      <c r="C463" s="109"/>
    </row>
    <row r="464" spans="3:3" ht="13">
      <c r="C464" s="109"/>
    </row>
    <row r="465" spans="3:3" ht="13">
      <c r="C465" s="109"/>
    </row>
    <row r="466" spans="3:3" ht="13">
      <c r="C466" s="109"/>
    </row>
    <row r="467" spans="3:3" ht="13">
      <c r="C467" s="109"/>
    </row>
    <row r="468" spans="3:3" ht="13">
      <c r="C468" s="109"/>
    </row>
    <row r="469" spans="3:3" ht="13">
      <c r="C469" s="109"/>
    </row>
    <row r="470" spans="3:3" ht="13">
      <c r="C470" s="109"/>
    </row>
    <row r="471" spans="3:3" ht="13">
      <c r="C471" s="109"/>
    </row>
    <row r="472" spans="3:3" ht="13">
      <c r="C472" s="109"/>
    </row>
    <row r="473" spans="3:3" ht="13">
      <c r="C473" s="109"/>
    </row>
    <row r="474" spans="3:3" ht="13">
      <c r="C474" s="109"/>
    </row>
    <row r="475" spans="3:3" ht="13">
      <c r="C475" s="109"/>
    </row>
    <row r="476" spans="3:3" ht="13">
      <c r="C476" s="109"/>
    </row>
    <row r="477" spans="3:3" ht="13">
      <c r="C477" s="109"/>
    </row>
    <row r="478" spans="3:3" ht="13">
      <c r="C478" s="109"/>
    </row>
    <row r="479" spans="3:3" ht="13">
      <c r="C479" s="109"/>
    </row>
    <row r="480" spans="3:3" ht="13">
      <c r="C480" s="109"/>
    </row>
    <row r="481" spans="3:3" ht="13">
      <c r="C481" s="109"/>
    </row>
    <row r="482" spans="3:3" ht="13">
      <c r="C482" s="109"/>
    </row>
    <row r="483" spans="3:3" ht="13">
      <c r="C483" s="109"/>
    </row>
    <row r="484" spans="3:3" ht="13">
      <c r="C484" s="109"/>
    </row>
    <row r="485" spans="3:3" ht="13">
      <c r="C485" s="109"/>
    </row>
    <row r="486" spans="3:3" ht="13">
      <c r="C486" s="109"/>
    </row>
    <row r="487" spans="3:3" ht="13">
      <c r="C487" s="109"/>
    </row>
    <row r="488" spans="3:3" ht="13">
      <c r="C488" s="109"/>
    </row>
    <row r="489" spans="3:3" ht="13">
      <c r="C489" s="109"/>
    </row>
    <row r="490" spans="3:3" ht="13">
      <c r="C490" s="109"/>
    </row>
    <row r="491" spans="3:3" ht="13">
      <c r="C491" s="109"/>
    </row>
    <row r="492" spans="3:3" ht="13">
      <c r="C492" s="109"/>
    </row>
    <row r="493" spans="3:3" ht="13">
      <c r="C493" s="109"/>
    </row>
    <row r="494" spans="3:3" ht="13">
      <c r="C494" s="109"/>
    </row>
    <row r="495" spans="3:3" ht="13">
      <c r="C495" s="109"/>
    </row>
    <row r="496" spans="3:3" ht="13">
      <c r="C496" s="109"/>
    </row>
    <row r="497" spans="3:3" ht="13">
      <c r="C497" s="109"/>
    </row>
    <row r="498" spans="3:3" ht="13">
      <c r="C498" s="109"/>
    </row>
    <row r="499" spans="3:3" ht="13">
      <c r="C499" s="109"/>
    </row>
    <row r="500" spans="3:3" ht="13">
      <c r="C500" s="109"/>
    </row>
    <row r="501" spans="3:3" ht="13">
      <c r="C501" s="109"/>
    </row>
    <row r="502" spans="3:3" ht="13">
      <c r="C502" s="109"/>
    </row>
    <row r="503" spans="3:3" ht="13">
      <c r="C503" s="109"/>
    </row>
    <row r="504" spans="3:3" ht="13">
      <c r="C504" s="109"/>
    </row>
    <row r="505" spans="3:3" ht="13">
      <c r="C505" s="109"/>
    </row>
    <row r="506" spans="3:3" ht="13">
      <c r="C506" s="109"/>
    </row>
    <row r="507" spans="3:3" ht="13">
      <c r="C507" s="109"/>
    </row>
    <row r="508" spans="3:3" ht="13">
      <c r="C508" s="109"/>
    </row>
    <row r="509" spans="3:3" ht="13">
      <c r="C509" s="109"/>
    </row>
    <row r="510" spans="3:3" ht="13">
      <c r="C510" s="109"/>
    </row>
    <row r="511" spans="3:3" ht="13">
      <c r="C511" s="109"/>
    </row>
    <row r="512" spans="3:3" ht="13">
      <c r="C512" s="109"/>
    </row>
    <row r="513" spans="3:3" ht="13">
      <c r="C513" s="109"/>
    </row>
    <row r="514" spans="3:3" ht="13">
      <c r="C514" s="109"/>
    </row>
    <row r="515" spans="3:3" ht="13">
      <c r="C515" s="109"/>
    </row>
    <row r="516" spans="3:3" ht="13">
      <c r="C516" s="109"/>
    </row>
    <row r="517" spans="3:3" ht="13">
      <c r="C517" s="109"/>
    </row>
    <row r="518" spans="3:3" ht="13">
      <c r="C518" s="109"/>
    </row>
    <row r="519" spans="3:3" ht="13">
      <c r="C519" s="109"/>
    </row>
    <row r="520" spans="3:3" ht="13">
      <c r="C520" s="109"/>
    </row>
    <row r="521" spans="3:3" ht="13">
      <c r="C521" s="109"/>
    </row>
    <row r="522" spans="3:3" ht="13">
      <c r="C522" s="109"/>
    </row>
    <row r="523" spans="3:3" ht="13">
      <c r="C523" s="109"/>
    </row>
    <row r="524" spans="3:3" ht="13">
      <c r="C524" s="109"/>
    </row>
    <row r="525" spans="3:3" ht="13">
      <c r="C525" s="109"/>
    </row>
    <row r="526" spans="3:3" ht="13">
      <c r="C526" s="109"/>
    </row>
    <row r="527" spans="3:3" ht="13">
      <c r="C527" s="109"/>
    </row>
    <row r="528" spans="3:3" ht="13">
      <c r="C528" s="109"/>
    </row>
    <row r="529" spans="3:3" ht="13">
      <c r="C529" s="109"/>
    </row>
    <row r="530" spans="3:3" ht="13">
      <c r="C530" s="109"/>
    </row>
    <row r="531" spans="3:3" ht="13">
      <c r="C531" s="109"/>
    </row>
    <row r="532" spans="3:3" ht="13">
      <c r="C532" s="109"/>
    </row>
    <row r="533" spans="3:3" ht="13">
      <c r="C533" s="109"/>
    </row>
    <row r="534" spans="3:3" ht="13">
      <c r="C534" s="109"/>
    </row>
    <row r="535" spans="3:3" ht="13">
      <c r="C535" s="109"/>
    </row>
    <row r="536" spans="3:3" ht="13">
      <c r="C536" s="109"/>
    </row>
    <row r="537" spans="3:3" ht="13">
      <c r="C537" s="109"/>
    </row>
    <row r="538" spans="3:3" ht="13">
      <c r="C538" s="109"/>
    </row>
    <row r="539" spans="3:3" ht="13">
      <c r="C539" s="109"/>
    </row>
    <row r="540" spans="3:3" ht="13">
      <c r="C540" s="109"/>
    </row>
    <row r="541" spans="3:3" ht="13">
      <c r="C541" s="109"/>
    </row>
    <row r="542" spans="3:3" ht="13">
      <c r="C542" s="109"/>
    </row>
    <row r="543" spans="3:3" ht="13">
      <c r="C543" s="109"/>
    </row>
    <row r="544" spans="3:3" ht="13">
      <c r="C544" s="109"/>
    </row>
    <row r="545" spans="3:3" ht="13">
      <c r="C545" s="109"/>
    </row>
    <row r="546" spans="3:3" ht="13">
      <c r="C546" s="109"/>
    </row>
    <row r="547" spans="3:3" ht="13">
      <c r="C547" s="109"/>
    </row>
    <row r="548" spans="3:3" ht="13">
      <c r="C548" s="109"/>
    </row>
    <row r="549" spans="3:3" ht="13">
      <c r="C549" s="109"/>
    </row>
    <row r="550" spans="3:3" ht="13">
      <c r="C550" s="109"/>
    </row>
    <row r="551" spans="3:3" ht="13">
      <c r="C551" s="109"/>
    </row>
    <row r="552" spans="3:3" ht="13">
      <c r="C552" s="109"/>
    </row>
    <row r="553" spans="3:3" ht="13">
      <c r="C553" s="109"/>
    </row>
    <row r="554" spans="3:3" ht="13">
      <c r="C554" s="109"/>
    </row>
    <row r="555" spans="3:3" ht="13">
      <c r="C555" s="109"/>
    </row>
    <row r="556" spans="3:3" ht="13">
      <c r="C556" s="109"/>
    </row>
    <row r="557" spans="3:3" ht="13">
      <c r="C557" s="109"/>
    </row>
    <row r="558" spans="3:3" ht="13">
      <c r="C558" s="109"/>
    </row>
    <row r="559" spans="3:3" ht="13">
      <c r="C559" s="109"/>
    </row>
    <row r="560" spans="3:3" ht="13">
      <c r="C560" s="109"/>
    </row>
    <row r="561" spans="3:3" ht="13">
      <c r="C561" s="109"/>
    </row>
    <row r="562" spans="3:3" ht="13">
      <c r="C562" s="109"/>
    </row>
    <row r="563" spans="3:3" ht="13">
      <c r="C563" s="109"/>
    </row>
    <row r="564" spans="3:3" ht="13">
      <c r="C564" s="109"/>
    </row>
    <row r="565" spans="3:3" ht="13">
      <c r="C565" s="109"/>
    </row>
    <row r="566" spans="3:3" ht="13">
      <c r="C566" s="109"/>
    </row>
    <row r="567" spans="3:3" ht="13">
      <c r="C567" s="109"/>
    </row>
    <row r="568" spans="3:3" ht="13">
      <c r="C568" s="109"/>
    </row>
    <row r="569" spans="3:3" ht="13">
      <c r="C569" s="109"/>
    </row>
    <row r="570" spans="3:3" ht="13">
      <c r="C570" s="109"/>
    </row>
    <row r="571" spans="3:3" ht="13">
      <c r="C571" s="109"/>
    </row>
    <row r="572" spans="3:3" ht="13">
      <c r="C572" s="109"/>
    </row>
    <row r="573" spans="3:3" ht="13">
      <c r="C573" s="109"/>
    </row>
    <row r="574" spans="3:3" ht="13">
      <c r="C574" s="109"/>
    </row>
    <row r="575" spans="3:3" ht="13">
      <c r="C575" s="109"/>
    </row>
    <row r="576" spans="3:3" ht="13">
      <c r="C576" s="109"/>
    </row>
    <row r="577" spans="3:3" ht="13">
      <c r="C577" s="109"/>
    </row>
    <row r="578" spans="3:3" ht="13">
      <c r="C578" s="109"/>
    </row>
    <row r="579" spans="3:3" ht="13">
      <c r="C579" s="109"/>
    </row>
    <row r="580" spans="3:3" ht="13">
      <c r="C580" s="109"/>
    </row>
    <row r="581" spans="3:3" ht="13">
      <c r="C581" s="109"/>
    </row>
    <row r="582" spans="3:3" ht="13">
      <c r="C582" s="109"/>
    </row>
    <row r="583" spans="3:3" ht="13">
      <c r="C583" s="109"/>
    </row>
    <row r="584" spans="3:3" ht="13">
      <c r="C584" s="109"/>
    </row>
    <row r="585" spans="3:3" ht="13">
      <c r="C585" s="109"/>
    </row>
    <row r="586" spans="3:3" ht="13">
      <c r="C586" s="109"/>
    </row>
    <row r="587" spans="3:3" ht="13">
      <c r="C587" s="109"/>
    </row>
    <row r="588" spans="3:3" ht="13">
      <c r="C588" s="109"/>
    </row>
    <row r="589" spans="3:3" ht="13">
      <c r="C589" s="109"/>
    </row>
    <row r="590" spans="3:3" ht="13">
      <c r="C590" s="109"/>
    </row>
    <row r="591" spans="3:3" ht="13">
      <c r="C591" s="109"/>
    </row>
    <row r="592" spans="3:3" ht="13">
      <c r="C592" s="109"/>
    </row>
    <row r="593" spans="3:3" ht="13">
      <c r="C593" s="109"/>
    </row>
    <row r="594" spans="3:3" ht="13">
      <c r="C594" s="109"/>
    </row>
    <row r="595" spans="3:3" ht="13">
      <c r="C595" s="109"/>
    </row>
    <row r="596" spans="3:3" ht="13">
      <c r="C596" s="109"/>
    </row>
    <row r="597" spans="3:3" ht="13">
      <c r="C597" s="109"/>
    </row>
    <row r="598" spans="3:3" ht="13">
      <c r="C598" s="109"/>
    </row>
    <row r="599" spans="3:3" ht="13">
      <c r="C599" s="109"/>
    </row>
    <row r="600" spans="3:3" ht="13">
      <c r="C600" s="109"/>
    </row>
    <row r="601" spans="3:3" ht="13">
      <c r="C601" s="109"/>
    </row>
    <row r="602" spans="3:3" ht="13">
      <c r="C602" s="109"/>
    </row>
    <row r="603" spans="3:3" ht="13">
      <c r="C603" s="109"/>
    </row>
    <row r="604" spans="3:3" ht="13">
      <c r="C604" s="109"/>
    </row>
    <row r="605" spans="3:3" ht="13">
      <c r="C605" s="109"/>
    </row>
    <row r="606" spans="3:3" ht="13">
      <c r="C606" s="109"/>
    </row>
    <row r="607" spans="3:3" ht="13">
      <c r="C607" s="109"/>
    </row>
    <row r="608" spans="3:3" ht="13">
      <c r="C608" s="109"/>
    </row>
    <row r="609" spans="3:3" ht="13">
      <c r="C609" s="109"/>
    </row>
    <row r="610" spans="3:3" ht="13">
      <c r="C610" s="109"/>
    </row>
    <row r="611" spans="3:3" ht="13">
      <c r="C611" s="109"/>
    </row>
    <row r="612" spans="3:3" ht="13">
      <c r="C612" s="109"/>
    </row>
    <row r="613" spans="3:3" ht="13">
      <c r="C613" s="109"/>
    </row>
    <row r="614" spans="3:3" ht="13">
      <c r="C614" s="109"/>
    </row>
    <row r="615" spans="3:3" ht="13">
      <c r="C615" s="109"/>
    </row>
    <row r="616" spans="3:3" ht="13">
      <c r="C616" s="109"/>
    </row>
    <row r="617" spans="3:3" ht="13">
      <c r="C617" s="109"/>
    </row>
    <row r="618" spans="3:3" ht="13">
      <c r="C618" s="109"/>
    </row>
    <row r="619" spans="3:3" ht="13">
      <c r="C619" s="109"/>
    </row>
    <row r="620" spans="3:3" ht="13">
      <c r="C620" s="109"/>
    </row>
    <row r="621" spans="3:3" ht="13">
      <c r="C621" s="109"/>
    </row>
    <row r="622" spans="3:3" ht="13">
      <c r="C622" s="109"/>
    </row>
    <row r="623" spans="3:3" ht="13">
      <c r="C623" s="109"/>
    </row>
    <row r="624" spans="3:3" ht="13">
      <c r="C624" s="109"/>
    </row>
    <row r="625" spans="3:3" ht="13">
      <c r="C625" s="109"/>
    </row>
    <row r="626" spans="3:3" ht="13">
      <c r="C626" s="109"/>
    </row>
    <row r="627" spans="3:3" ht="13">
      <c r="C627" s="109"/>
    </row>
    <row r="628" spans="3:3" ht="13">
      <c r="C628" s="109"/>
    </row>
    <row r="629" spans="3:3" ht="13">
      <c r="C629" s="109"/>
    </row>
    <row r="630" spans="3:3" ht="13">
      <c r="C630" s="109"/>
    </row>
    <row r="631" spans="3:3" ht="13">
      <c r="C631" s="109"/>
    </row>
    <row r="632" spans="3:3" ht="13">
      <c r="C632" s="109"/>
    </row>
    <row r="633" spans="3:3" ht="13">
      <c r="C633" s="109"/>
    </row>
    <row r="634" spans="3:3" ht="13">
      <c r="C634" s="109"/>
    </row>
    <row r="635" spans="3:3" ht="13">
      <c r="C635" s="109"/>
    </row>
    <row r="636" spans="3:3" ht="13">
      <c r="C636" s="109"/>
    </row>
    <row r="637" spans="3:3" ht="13">
      <c r="C637" s="109"/>
    </row>
    <row r="638" spans="3:3" ht="13">
      <c r="C638" s="109"/>
    </row>
    <row r="639" spans="3:3" ht="13">
      <c r="C639" s="109"/>
    </row>
    <row r="640" spans="3:3" ht="13">
      <c r="C640" s="109"/>
    </row>
    <row r="641" spans="3:3" ht="13">
      <c r="C641" s="109"/>
    </row>
    <row r="642" spans="3:3" ht="13">
      <c r="C642" s="109"/>
    </row>
    <row r="643" spans="3:3" ht="13">
      <c r="C643" s="109"/>
    </row>
    <row r="644" spans="3:3" ht="13">
      <c r="C644" s="109"/>
    </row>
    <row r="645" spans="3:3" ht="13">
      <c r="C645" s="109"/>
    </row>
    <row r="646" spans="3:3" ht="13">
      <c r="C646" s="109"/>
    </row>
    <row r="647" spans="3:3" ht="13">
      <c r="C647" s="109"/>
    </row>
    <row r="648" spans="3:3" ht="13">
      <c r="C648" s="109"/>
    </row>
    <row r="649" spans="3:3" ht="13">
      <c r="C649" s="109"/>
    </row>
    <row r="650" spans="3:3" ht="13">
      <c r="C650" s="109"/>
    </row>
    <row r="651" spans="3:3" ht="13">
      <c r="C651" s="109"/>
    </row>
    <row r="652" spans="3:3" ht="13">
      <c r="C652" s="109"/>
    </row>
    <row r="653" spans="3:3" ht="13">
      <c r="C653" s="109"/>
    </row>
    <row r="654" spans="3:3" ht="13">
      <c r="C654" s="109"/>
    </row>
    <row r="655" spans="3:3" ht="13">
      <c r="C655" s="109"/>
    </row>
    <row r="656" spans="3:3" ht="13">
      <c r="C656" s="109"/>
    </row>
    <row r="657" spans="3:3" ht="13">
      <c r="C657" s="109"/>
    </row>
    <row r="658" spans="3:3" ht="13">
      <c r="C658" s="109"/>
    </row>
    <row r="659" spans="3:3" ht="13">
      <c r="C659" s="109"/>
    </row>
    <row r="660" spans="3:3" ht="13">
      <c r="C660" s="109"/>
    </row>
    <row r="661" spans="3:3" ht="13">
      <c r="C661" s="109"/>
    </row>
    <row r="662" spans="3:3" ht="13">
      <c r="C662" s="109"/>
    </row>
    <row r="663" spans="3:3" ht="13">
      <c r="C663" s="109"/>
    </row>
    <row r="664" spans="3:3" ht="13">
      <c r="C664" s="109"/>
    </row>
    <row r="665" spans="3:3" ht="13">
      <c r="C665" s="109"/>
    </row>
    <row r="666" spans="3:3" ht="13">
      <c r="C666" s="109"/>
    </row>
    <row r="667" spans="3:3" ht="13">
      <c r="C667" s="109"/>
    </row>
    <row r="668" spans="3:3" ht="13">
      <c r="C668" s="109"/>
    </row>
    <row r="669" spans="3:3" ht="13">
      <c r="C669" s="109"/>
    </row>
    <row r="670" spans="3:3" ht="13">
      <c r="C670" s="109"/>
    </row>
    <row r="671" spans="3:3" ht="13">
      <c r="C671" s="109"/>
    </row>
    <row r="672" spans="3:3" ht="13">
      <c r="C672" s="109"/>
    </row>
    <row r="673" spans="3:3" ht="13">
      <c r="C673" s="109"/>
    </row>
    <row r="674" spans="3:3" ht="13">
      <c r="C674" s="109"/>
    </row>
    <row r="675" spans="3:3" ht="13">
      <c r="C675" s="109"/>
    </row>
    <row r="676" spans="3:3" ht="13">
      <c r="C676" s="109"/>
    </row>
    <row r="677" spans="3:3" ht="13">
      <c r="C677" s="109"/>
    </row>
    <row r="678" spans="3:3" ht="13">
      <c r="C678" s="109"/>
    </row>
    <row r="679" spans="3:3" ht="13">
      <c r="C679" s="109"/>
    </row>
    <row r="680" spans="3:3" ht="13">
      <c r="C680" s="109"/>
    </row>
    <row r="681" spans="3:3" ht="13">
      <c r="C681" s="109"/>
    </row>
    <row r="682" spans="3:3" ht="13">
      <c r="C682" s="109"/>
    </row>
    <row r="683" spans="3:3" ht="13">
      <c r="C683" s="109"/>
    </row>
    <row r="684" spans="3:3" ht="13">
      <c r="C684" s="109"/>
    </row>
    <row r="685" spans="3:3" ht="13">
      <c r="C685" s="109"/>
    </row>
    <row r="686" spans="3:3" ht="13">
      <c r="C686" s="109"/>
    </row>
    <row r="687" spans="3:3" ht="13">
      <c r="C687" s="109"/>
    </row>
    <row r="688" spans="3:3" ht="13">
      <c r="C688" s="109"/>
    </row>
    <row r="689" spans="3:3" ht="13">
      <c r="C689" s="109"/>
    </row>
    <row r="690" spans="3:3" ht="13">
      <c r="C690" s="109"/>
    </row>
    <row r="691" spans="3:3" ht="13">
      <c r="C691" s="109"/>
    </row>
    <row r="692" spans="3:3" ht="13">
      <c r="C692" s="109"/>
    </row>
    <row r="693" spans="3:3" ht="13">
      <c r="C693" s="109"/>
    </row>
    <row r="694" spans="3:3" ht="13">
      <c r="C694" s="109"/>
    </row>
    <row r="695" spans="3:3" ht="13">
      <c r="C695" s="109"/>
    </row>
    <row r="696" spans="3:3" ht="13">
      <c r="C696" s="109"/>
    </row>
    <row r="697" spans="3:3" ht="13">
      <c r="C697" s="109"/>
    </row>
    <row r="698" spans="3:3" ht="13">
      <c r="C698" s="109"/>
    </row>
    <row r="699" spans="3:3" ht="13">
      <c r="C699" s="109"/>
    </row>
    <row r="700" spans="3:3" ht="13">
      <c r="C700" s="109"/>
    </row>
    <row r="701" spans="3:3" ht="13">
      <c r="C701" s="109"/>
    </row>
    <row r="702" spans="3:3" ht="13">
      <c r="C702" s="109"/>
    </row>
    <row r="703" spans="3:3" ht="13">
      <c r="C703" s="109"/>
    </row>
    <row r="704" spans="3:3" ht="13">
      <c r="C704" s="109"/>
    </row>
    <row r="705" spans="3:3" ht="13">
      <c r="C705" s="109"/>
    </row>
    <row r="706" spans="3:3" ht="13">
      <c r="C706" s="109"/>
    </row>
    <row r="707" spans="3:3" ht="13">
      <c r="C707" s="109"/>
    </row>
    <row r="708" spans="3:3" ht="13">
      <c r="C708" s="109"/>
    </row>
    <row r="709" spans="3:3" ht="13">
      <c r="C709" s="109"/>
    </row>
    <row r="710" spans="3:3" ht="13">
      <c r="C710" s="109"/>
    </row>
    <row r="711" spans="3:3" ht="13">
      <c r="C711" s="109"/>
    </row>
    <row r="712" spans="3:3" ht="13">
      <c r="C712" s="109"/>
    </row>
    <row r="713" spans="3:3" ht="13">
      <c r="C713" s="109"/>
    </row>
    <row r="714" spans="3:3" ht="13">
      <c r="C714" s="109"/>
    </row>
    <row r="715" spans="3:3" ht="13">
      <c r="C715" s="109"/>
    </row>
    <row r="716" spans="3:3" ht="13">
      <c r="C716" s="109"/>
    </row>
    <row r="717" spans="3:3" ht="13">
      <c r="C717" s="109"/>
    </row>
    <row r="718" spans="3:3" ht="13">
      <c r="C718" s="109"/>
    </row>
    <row r="719" spans="3:3" ht="13">
      <c r="C719" s="109"/>
    </row>
    <row r="720" spans="3:3" ht="13">
      <c r="C720" s="109"/>
    </row>
    <row r="721" spans="3:3" ht="13">
      <c r="C721" s="109"/>
    </row>
    <row r="722" spans="3:3" ht="13">
      <c r="C722" s="109"/>
    </row>
    <row r="723" spans="3:3" ht="13">
      <c r="C723" s="109"/>
    </row>
    <row r="724" spans="3:3" ht="13">
      <c r="C724" s="109"/>
    </row>
    <row r="725" spans="3:3" ht="13">
      <c r="C725" s="109"/>
    </row>
    <row r="726" spans="3:3" ht="13">
      <c r="C726" s="109"/>
    </row>
    <row r="727" spans="3:3" ht="13">
      <c r="C727" s="109"/>
    </row>
    <row r="728" spans="3:3" ht="13">
      <c r="C728" s="109"/>
    </row>
    <row r="729" spans="3:3" ht="13">
      <c r="C729" s="109"/>
    </row>
    <row r="730" spans="3:3" ht="13">
      <c r="C730" s="109"/>
    </row>
    <row r="731" spans="3:3" ht="13">
      <c r="C731" s="109"/>
    </row>
    <row r="732" spans="3:3" ht="13">
      <c r="C732" s="109"/>
    </row>
    <row r="733" spans="3:3" ht="13">
      <c r="C733" s="109"/>
    </row>
    <row r="734" spans="3:3" ht="13">
      <c r="C734" s="109"/>
    </row>
    <row r="735" spans="3:3" ht="13">
      <c r="C735" s="109"/>
    </row>
    <row r="736" spans="3:3" ht="13">
      <c r="C736" s="109"/>
    </row>
    <row r="737" spans="3:3" ht="13">
      <c r="C737" s="109"/>
    </row>
    <row r="738" spans="3:3" ht="13">
      <c r="C738" s="109"/>
    </row>
    <row r="739" spans="3:3" ht="13">
      <c r="C739" s="109"/>
    </row>
    <row r="740" spans="3:3" ht="13">
      <c r="C740" s="109"/>
    </row>
    <row r="741" spans="3:3" ht="13">
      <c r="C741" s="109"/>
    </row>
    <row r="742" spans="3:3" ht="13">
      <c r="C742" s="109"/>
    </row>
    <row r="743" spans="3:3" ht="13">
      <c r="C743" s="109"/>
    </row>
    <row r="744" spans="3:3" ht="13">
      <c r="C744" s="109"/>
    </row>
    <row r="745" spans="3:3" ht="13">
      <c r="C745" s="109"/>
    </row>
    <row r="746" spans="3:3" ht="13">
      <c r="C746" s="109"/>
    </row>
    <row r="747" spans="3:3" ht="13">
      <c r="C747" s="109"/>
    </row>
    <row r="748" spans="3:3" ht="13">
      <c r="C748" s="109"/>
    </row>
    <row r="749" spans="3:3" ht="13">
      <c r="C749" s="109"/>
    </row>
    <row r="750" spans="3:3" ht="13">
      <c r="C750" s="109"/>
    </row>
    <row r="751" spans="3:3" ht="13">
      <c r="C751" s="109"/>
    </row>
    <row r="752" spans="3:3" ht="13">
      <c r="C752" s="109"/>
    </row>
    <row r="753" spans="3:3" ht="13">
      <c r="C753" s="109"/>
    </row>
    <row r="754" spans="3:3" ht="13">
      <c r="C754" s="109"/>
    </row>
    <row r="755" spans="3:3" ht="13">
      <c r="C755" s="109"/>
    </row>
    <row r="756" spans="3:3" ht="13">
      <c r="C756" s="109"/>
    </row>
    <row r="757" spans="3:3" ht="13">
      <c r="C757" s="109"/>
    </row>
    <row r="758" spans="3:3" ht="13">
      <c r="C758" s="109"/>
    </row>
    <row r="759" spans="3:3" ht="13">
      <c r="C759" s="109"/>
    </row>
    <row r="760" spans="3:3" ht="13">
      <c r="C760" s="109"/>
    </row>
    <row r="761" spans="3:3" ht="13">
      <c r="C761" s="109"/>
    </row>
    <row r="762" spans="3:3" ht="13">
      <c r="C762" s="109"/>
    </row>
    <row r="763" spans="3:3" ht="13">
      <c r="C763" s="109"/>
    </row>
    <row r="764" spans="3:3" ht="13">
      <c r="C764" s="109"/>
    </row>
    <row r="765" spans="3:3" ht="13">
      <c r="C765" s="109"/>
    </row>
    <row r="766" spans="3:3" ht="13">
      <c r="C766" s="109"/>
    </row>
    <row r="767" spans="3:3" ht="13">
      <c r="C767" s="109"/>
    </row>
    <row r="768" spans="3:3" ht="13">
      <c r="C768" s="109"/>
    </row>
    <row r="769" spans="3:3" ht="13">
      <c r="C769" s="109"/>
    </row>
    <row r="770" spans="3:3" ht="13">
      <c r="C770" s="109"/>
    </row>
    <row r="771" spans="3:3" ht="13">
      <c r="C771" s="109"/>
    </row>
    <row r="772" spans="3:3" ht="13">
      <c r="C772" s="109"/>
    </row>
    <row r="773" spans="3:3" ht="13">
      <c r="C773" s="109"/>
    </row>
    <row r="774" spans="3:3" ht="13">
      <c r="C774" s="109"/>
    </row>
    <row r="775" spans="3:3" ht="13">
      <c r="C775" s="109"/>
    </row>
    <row r="776" spans="3:3" ht="13">
      <c r="C776" s="109"/>
    </row>
    <row r="777" spans="3:3" ht="13">
      <c r="C777" s="109"/>
    </row>
    <row r="778" spans="3:3" ht="13">
      <c r="C778" s="109"/>
    </row>
    <row r="779" spans="3:3" ht="13">
      <c r="C779" s="109"/>
    </row>
    <row r="780" spans="3:3" ht="13">
      <c r="C780" s="109"/>
    </row>
    <row r="781" spans="3:3" ht="13">
      <c r="C781" s="109"/>
    </row>
    <row r="782" spans="3:3" ht="13">
      <c r="C782" s="109"/>
    </row>
    <row r="783" spans="3:3" ht="13">
      <c r="C783" s="109"/>
    </row>
    <row r="784" spans="3:3" ht="13">
      <c r="C784" s="109"/>
    </row>
    <row r="785" spans="3:3" ht="13">
      <c r="C785" s="109"/>
    </row>
    <row r="786" spans="3:3" ht="13">
      <c r="C786" s="109"/>
    </row>
    <row r="787" spans="3:3" ht="13">
      <c r="C787" s="109"/>
    </row>
    <row r="788" spans="3:3" ht="13">
      <c r="C788" s="109"/>
    </row>
    <row r="789" spans="3:3" ht="13">
      <c r="C789" s="109"/>
    </row>
    <row r="790" spans="3:3" ht="13">
      <c r="C790" s="109"/>
    </row>
    <row r="791" spans="3:3" ht="13">
      <c r="C791" s="109"/>
    </row>
    <row r="792" spans="3:3" ht="13">
      <c r="C792" s="109"/>
    </row>
    <row r="793" spans="3:3" ht="13">
      <c r="C793" s="109"/>
    </row>
    <row r="794" spans="3:3" ht="13">
      <c r="C794" s="109"/>
    </row>
    <row r="795" spans="3:3" ht="13">
      <c r="C795" s="109"/>
    </row>
    <row r="796" spans="3:3" ht="13">
      <c r="C796" s="109"/>
    </row>
    <row r="797" spans="3:3" ht="13">
      <c r="C797" s="109"/>
    </row>
    <row r="798" spans="3:3" ht="13">
      <c r="C798" s="109"/>
    </row>
    <row r="799" spans="3:3" ht="13">
      <c r="C799" s="109"/>
    </row>
    <row r="800" spans="3:3" ht="13">
      <c r="C800" s="109"/>
    </row>
    <row r="801" spans="3:3" ht="13">
      <c r="C801" s="109"/>
    </row>
    <row r="802" spans="3:3" ht="13">
      <c r="C802" s="109"/>
    </row>
    <row r="803" spans="3:3" ht="13">
      <c r="C803" s="109"/>
    </row>
    <row r="804" spans="3:3" ht="13">
      <c r="C804" s="109"/>
    </row>
    <row r="805" spans="3:3" ht="13">
      <c r="C805" s="109"/>
    </row>
    <row r="806" spans="3:3" ht="13">
      <c r="C806" s="109"/>
    </row>
    <row r="807" spans="3:3" ht="13">
      <c r="C807" s="109"/>
    </row>
    <row r="808" spans="3:3" ht="13">
      <c r="C808" s="109"/>
    </row>
    <row r="809" spans="3:3" ht="13">
      <c r="C809" s="109"/>
    </row>
    <row r="810" spans="3:3" ht="13">
      <c r="C810" s="109"/>
    </row>
    <row r="811" spans="3:3" ht="13">
      <c r="C811" s="109"/>
    </row>
    <row r="812" spans="3:3" ht="13">
      <c r="C812" s="109"/>
    </row>
    <row r="813" spans="3:3" ht="13">
      <c r="C813" s="109"/>
    </row>
    <row r="814" spans="3:3" ht="13">
      <c r="C814" s="109"/>
    </row>
    <row r="815" spans="3:3" ht="13">
      <c r="C815" s="109"/>
    </row>
    <row r="816" spans="3:3" ht="13">
      <c r="C816" s="109"/>
    </row>
    <row r="817" spans="3:3" ht="13">
      <c r="C817" s="109"/>
    </row>
    <row r="818" spans="3:3" ht="13">
      <c r="C818" s="109"/>
    </row>
    <row r="819" spans="3:3" ht="13">
      <c r="C819" s="109"/>
    </row>
    <row r="820" spans="3:3" ht="13">
      <c r="C820" s="109"/>
    </row>
    <row r="821" spans="3:3" ht="13">
      <c r="C821" s="109"/>
    </row>
    <row r="822" spans="3:3" ht="13">
      <c r="C822" s="109"/>
    </row>
    <row r="823" spans="3:3" ht="13">
      <c r="C823" s="109"/>
    </row>
    <row r="824" spans="3:3" ht="13">
      <c r="C824" s="109"/>
    </row>
    <row r="825" spans="3:3" ht="13">
      <c r="C825" s="109"/>
    </row>
    <row r="826" spans="3:3" ht="13">
      <c r="C826" s="109"/>
    </row>
    <row r="827" spans="3:3" ht="13">
      <c r="C827" s="109"/>
    </row>
    <row r="828" spans="3:3" ht="13">
      <c r="C828" s="109"/>
    </row>
    <row r="829" spans="3:3" ht="13">
      <c r="C829" s="109"/>
    </row>
    <row r="830" spans="3:3" ht="13">
      <c r="C830" s="109"/>
    </row>
    <row r="831" spans="3:3" ht="13">
      <c r="C831" s="109"/>
    </row>
    <row r="832" spans="3:3" ht="13">
      <c r="C832" s="109"/>
    </row>
    <row r="833" spans="3:3" ht="13">
      <c r="C833" s="109"/>
    </row>
    <row r="834" spans="3:3" ht="13">
      <c r="C834" s="109"/>
    </row>
    <row r="835" spans="3:3" ht="13">
      <c r="C835" s="109"/>
    </row>
    <row r="836" spans="3:3" ht="13">
      <c r="C836" s="109"/>
    </row>
    <row r="837" spans="3:3" ht="13">
      <c r="C837" s="109"/>
    </row>
    <row r="838" spans="3:3" ht="13">
      <c r="C838" s="109"/>
    </row>
    <row r="839" spans="3:3" ht="13">
      <c r="C839" s="109"/>
    </row>
    <row r="840" spans="3:3" ht="13">
      <c r="C840" s="109"/>
    </row>
    <row r="841" spans="3:3" ht="13">
      <c r="C841" s="109"/>
    </row>
    <row r="842" spans="3:3" ht="13">
      <c r="C842" s="109"/>
    </row>
    <row r="843" spans="3:3" ht="13">
      <c r="C843" s="109"/>
    </row>
    <row r="844" spans="3:3" ht="13">
      <c r="C844" s="109"/>
    </row>
    <row r="845" spans="3:3" ht="13">
      <c r="C845" s="109"/>
    </row>
    <row r="846" spans="3:3" ht="13">
      <c r="C846" s="109"/>
    </row>
    <row r="847" spans="3:3" ht="13">
      <c r="C847" s="109"/>
    </row>
    <row r="848" spans="3:3" ht="13">
      <c r="C848" s="109"/>
    </row>
    <row r="849" spans="3:3" ht="13">
      <c r="C849" s="109"/>
    </row>
    <row r="850" spans="3:3" ht="13">
      <c r="C850" s="109"/>
    </row>
    <row r="851" spans="3:3" ht="13">
      <c r="C851" s="109"/>
    </row>
    <row r="852" spans="3:3" ht="13">
      <c r="C852" s="109"/>
    </row>
    <row r="853" spans="3:3" ht="13">
      <c r="C853" s="109"/>
    </row>
    <row r="854" spans="3:3" ht="13">
      <c r="C854" s="109"/>
    </row>
    <row r="855" spans="3:3" ht="13">
      <c r="C855" s="109"/>
    </row>
    <row r="856" spans="3:3" ht="13">
      <c r="C856" s="109"/>
    </row>
    <row r="857" spans="3:3" ht="13">
      <c r="C857" s="109"/>
    </row>
    <row r="858" spans="3:3" ht="13">
      <c r="C858" s="109"/>
    </row>
    <row r="859" spans="3:3" ht="13">
      <c r="C859" s="109"/>
    </row>
    <row r="860" spans="3:3" ht="13">
      <c r="C860" s="109"/>
    </row>
    <row r="861" spans="3:3" ht="13">
      <c r="C861" s="109"/>
    </row>
    <row r="862" spans="3:3" ht="13">
      <c r="C862" s="109"/>
    </row>
    <row r="863" spans="3:3" ht="13">
      <c r="C863" s="109"/>
    </row>
    <row r="864" spans="3:3" ht="13">
      <c r="C864" s="109"/>
    </row>
    <row r="865" spans="3:3" ht="13">
      <c r="C865" s="109"/>
    </row>
    <row r="866" spans="3:3" ht="13">
      <c r="C866" s="109"/>
    </row>
    <row r="867" spans="3:3" ht="13">
      <c r="C867" s="109"/>
    </row>
    <row r="868" spans="3:3" ht="13">
      <c r="C868" s="109"/>
    </row>
    <row r="869" spans="3:3" ht="13">
      <c r="C869" s="109"/>
    </row>
    <row r="870" spans="3:3" ht="13">
      <c r="C870" s="109"/>
    </row>
    <row r="871" spans="3:3" ht="13">
      <c r="C871" s="109"/>
    </row>
    <row r="872" spans="3:3" ht="13">
      <c r="C872" s="109"/>
    </row>
    <row r="873" spans="3:3" ht="13">
      <c r="C873" s="109"/>
    </row>
    <row r="874" spans="3:3" ht="13">
      <c r="C874" s="109"/>
    </row>
    <row r="875" spans="3:3" ht="13">
      <c r="C875" s="109"/>
    </row>
    <row r="876" spans="3:3" ht="13">
      <c r="C876" s="109"/>
    </row>
    <row r="877" spans="3:3" ht="13">
      <c r="C877" s="109"/>
    </row>
    <row r="878" spans="3:3" ht="13">
      <c r="C878" s="109"/>
    </row>
    <row r="879" spans="3:3" ht="13">
      <c r="C879" s="109"/>
    </row>
    <row r="880" spans="3:3" ht="13">
      <c r="C880" s="109"/>
    </row>
    <row r="881" spans="3:3" ht="13">
      <c r="C881" s="109"/>
    </row>
    <row r="882" spans="3:3" ht="13">
      <c r="C882" s="109"/>
    </row>
    <row r="883" spans="3:3" ht="13">
      <c r="C883" s="109"/>
    </row>
    <row r="884" spans="3:3" ht="13">
      <c r="C884" s="109"/>
    </row>
    <row r="885" spans="3:3" ht="13">
      <c r="C885" s="109"/>
    </row>
    <row r="886" spans="3:3" ht="13">
      <c r="C886" s="109"/>
    </row>
    <row r="887" spans="3:3" ht="13">
      <c r="C887" s="109"/>
    </row>
    <row r="888" spans="3:3" ht="13">
      <c r="C888" s="109"/>
    </row>
    <row r="889" spans="3:3" ht="13">
      <c r="C889" s="109"/>
    </row>
    <row r="890" spans="3:3" ht="13">
      <c r="C890" s="109"/>
    </row>
    <row r="891" spans="3:3" ht="13">
      <c r="C891" s="109"/>
    </row>
    <row r="892" spans="3:3" ht="13">
      <c r="C892" s="109"/>
    </row>
    <row r="893" spans="3:3" ht="13">
      <c r="C893" s="109"/>
    </row>
    <row r="894" spans="3:3" ht="13">
      <c r="C894" s="109"/>
    </row>
    <row r="895" spans="3:3" ht="13">
      <c r="C895" s="109"/>
    </row>
    <row r="896" spans="3:3" ht="13">
      <c r="C896" s="109"/>
    </row>
    <row r="897" spans="3:3" ht="13">
      <c r="C897" s="109"/>
    </row>
    <row r="898" spans="3:3" ht="13">
      <c r="C898" s="109"/>
    </row>
    <row r="899" spans="3:3" ht="13">
      <c r="C899" s="109"/>
    </row>
    <row r="900" spans="3:3" ht="13">
      <c r="C900" s="109"/>
    </row>
    <row r="901" spans="3:3" ht="13">
      <c r="C901" s="109"/>
    </row>
    <row r="902" spans="3:3" ht="13">
      <c r="C902" s="109"/>
    </row>
    <row r="903" spans="3:3" ht="13">
      <c r="C903" s="109"/>
    </row>
    <row r="904" spans="3:3" ht="13">
      <c r="C904" s="109"/>
    </row>
    <row r="905" spans="3:3" ht="13">
      <c r="C905" s="109"/>
    </row>
    <row r="906" spans="3:3" ht="13">
      <c r="C906" s="109"/>
    </row>
    <row r="907" spans="3:3" ht="13">
      <c r="C907" s="109"/>
    </row>
    <row r="908" spans="3:3" ht="13">
      <c r="C908" s="109"/>
    </row>
    <row r="909" spans="3:3" ht="13">
      <c r="C909" s="109"/>
    </row>
    <row r="910" spans="3:3" ht="13">
      <c r="C910" s="109"/>
    </row>
    <row r="911" spans="3:3" ht="13">
      <c r="C911" s="109"/>
    </row>
    <row r="912" spans="3:3" ht="13">
      <c r="C912" s="109"/>
    </row>
    <row r="913" spans="3:3" ht="13">
      <c r="C913" s="109"/>
    </row>
    <row r="914" spans="3:3" ht="13">
      <c r="C914" s="109"/>
    </row>
    <row r="915" spans="3:3" ht="13">
      <c r="C915" s="109"/>
    </row>
    <row r="916" spans="3:3" ht="13">
      <c r="C916" s="109"/>
    </row>
    <row r="917" spans="3:3" ht="13">
      <c r="C917" s="109"/>
    </row>
    <row r="918" spans="3:3" ht="13">
      <c r="C918" s="109"/>
    </row>
    <row r="919" spans="3:3" ht="13">
      <c r="C919" s="109"/>
    </row>
    <row r="920" spans="3:3" ht="13">
      <c r="C920" s="109"/>
    </row>
    <row r="921" spans="3:3" ht="13">
      <c r="C921" s="109"/>
    </row>
    <row r="922" spans="3:3" ht="13">
      <c r="C922" s="109"/>
    </row>
    <row r="923" spans="3:3" ht="13">
      <c r="C923" s="109"/>
    </row>
    <row r="924" spans="3:3" ht="13">
      <c r="C924" s="109"/>
    </row>
    <row r="925" spans="3:3" ht="13">
      <c r="C925" s="109"/>
    </row>
    <row r="926" spans="3:3" ht="13">
      <c r="C926" s="109"/>
    </row>
    <row r="927" spans="3:3" ht="13">
      <c r="C927" s="109"/>
    </row>
    <row r="928" spans="3:3" ht="13">
      <c r="C928" s="109"/>
    </row>
    <row r="929" spans="3:3" ht="13">
      <c r="C929" s="109"/>
    </row>
    <row r="930" spans="3:3" ht="13">
      <c r="C930" s="109"/>
    </row>
    <row r="931" spans="3:3" ht="13">
      <c r="C931" s="109"/>
    </row>
    <row r="932" spans="3:3" ht="13">
      <c r="C932" s="109"/>
    </row>
    <row r="933" spans="3:3" ht="13">
      <c r="C933" s="109"/>
    </row>
    <row r="934" spans="3:3" ht="13">
      <c r="C934" s="109"/>
    </row>
    <row r="935" spans="3:3" ht="13">
      <c r="C935" s="109"/>
    </row>
    <row r="936" spans="3:3" ht="13">
      <c r="C936" s="109"/>
    </row>
    <row r="937" spans="3:3" ht="13">
      <c r="C937" s="109"/>
    </row>
    <row r="938" spans="3:3" ht="13">
      <c r="C938" s="109"/>
    </row>
    <row r="939" spans="3:3" ht="13">
      <c r="C939" s="109"/>
    </row>
    <row r="940" spans="3:3" ht="13">
      <c r="C940" s="109"/>
    </row>
    <row r="941" spans="3:3" ht="13">
      <c r="C941" s="109"/>
    </row>
    <row r="942" spans="3:3" ht="13">
      <c r="C942" s="109"/>
    </row>
    <row r="943" spans="3:3" ht="13">
      <c r="C943" s="109"/>
    </row>
    <row r="944" spans="3:3" ht="13">
      <c r="C944" s="109"/>
    </row>
    <row r="945" spans="3:3" ht="13">
      <c r="C945" s="109"/>
    </row>
    <row r="946" spans="3:3" ht="13">
      <c r="C946" s="109"/>
    </row>
    <row r="947" spans="3:3" ht="13">
      <c r="C947" s="109"/>
    </row>
    <row r="948" spans="3:3" ht="13">
      <c r="C948" s="109"/>
    </row>
    <row r="949" spans="3:3" ht="13">
      <c r="C949" s="109"/>
    </row>
    <row r="950" spans="3:3" ht="13">
      <c r="C950" s="109"/>
    </row>
    <row r="951" spans="3:3" ht="13">
      <c r="C951" s="109"/>
    </row>
    <row r="952" spans="3:3" ht="13">
      <c r="C952" s="109"/>
    </row>
    <row r="953" spans="3:3" ht="13">
      <c r="C953" s="109"/>
    </row>
    <row r="954" spans="3:3" ht="13">
      <c r="C954" s="109"/>
    </row>
    <row r="955" spans="3:3" ht="13">
      <c r="C955" s="109"/>
    </row>
    <row r="956" spans="3:3" ht="13">
      <c r="C956" s="109"/>
    </row>
    <row r="957" spans="3:3" ht="13">
      <c r="C957" s="109"/>
    </row>
    <row r="958" spans="3:3" ht="13">
      <c r="C958" s="109"/>
    </row>
    <row r="959" spans="3:3" ht="13">
      <c r="C959" s="109"/>
    </row>
    <row r="960" spans="3:3" ht="13">
      <c r="C960" s="109"/>
    </row>
    <row r="961" spans="3:3" ht="13">
      <c r="C961" s="109"/>
    </row>
    <row r="962" spans="3:3" ht="13">
      <c r="C962" s="109"/>
    </row>
    <row r="963" spans="3:3" ht="13">
      <c r="C963" s="109"/>
    </row>
    <row r="964" spans="3:3" ht="13">
      <c r="C964" s="109"/>
    </row>
    <row r="965" spans="3:3" ht="13">
      <c r="C965" s="109"/>
    </row>
    <row r="966" spans="3:3" ht="13">
      <c r="C966" s="109"/>
    </row>
    <row r="967" spans="3:3" ht="13">
      <c r="C967" s="109"/>
    </row>
    <row r="968" spans="3:3" ht="13">
      <c r="C968" s="109"/>
    </row>
    <row r="969" spans="3:3" ht="13">
      <c r="C969" s="109"/>
    </row>
    <row r="970" spans="3:3" ht="13">
      <c r="C970" s="109"/>
    </row>
    <row r="971" spans="3:3" ht="13">
      <c r="C971" s="109"/>
    </row>
    <row r="972" spans="3:3" ht="13">
      <c r="C972" s="109"/>
    </row>
    <row r="973" spans="3:3" ht="13">
      <c r="C973" s="109"/>
    </row>
    <row r="974" spans="3:3" ht="13">
      <c r="C974" s="109"/>
    </row>
    <row r="975" spans="3:3" ht="13">
      <c r="C975" s="109"/>
    </row>
    <row r="976" spans="3:3" ht="13">
      <c r="C976" s="109"/>
    </row>
    <row r="977" spans="3:3" ht="13">
      <c r="C977" s="109"/>
    </row>
    <row r="978" spans="3:3" ht="13">
      <c r="C978" s="109"/>
    </row>
    <row r="979" spans="3:3" ht="13">
      <c r="C979" s="109"/>
    </row>
    <row r="980" spans="3:3" ht="13">
      <c r="C980" s="109"/>
    </row>
    <row r="981" spans="3:3" ht="13">
      <c r="C981" s="109"/>
    </row>
    <row r="982" spans="3:3" ht="13">
      <c r="C982" s="109"/>
    </row>
    <row r="983" spans="3:3" ht="13">
      <c r="C983" s="109"/>
    </row>
    <row r="984" spans="3:3" ht="13">
      <c r="C984" s="109"/>
    </row>
    <row r="985" spans="3:3" ht="13">
      <c r="C985" s="109"/>
    </row>
    <row r="986" spans="3:3" ht="13">
      <c r="C986" s="109"/>
    </row>
    <row r="987" spans="3:3" ht="13">
      <c r="C987" s="109"/>
    </row>
    <row r="988" spans="3:3" ht="13">
      <c r="C988" s="109"/>
    </row>
    <row r="989" spans="3:3" ht="13">
      <c r="C989" s="109"/>
    </row>
    <row r="990" spans="3:3" ht="13">
      <c r="C990" s="109"/>
    </row>
    <row r="991" spans="3:3" ht="13">
      <c r="C991" s="109"/>
    </row>
    <row r="992" spans="3:3" ht="13">
      <c r="C992" s="109"/>
    </row>
    <row r="993" spans="3:3" ht="13">
      <c r="C993" s="109"/>
    </row>
    <row r="994" spans="3:3" ht="13">
      <c r="C994" s="109"/>
    </row>
    <row r="995" spans="3:3" ht="13">
      <c r="C995" s="109"/>
    </row>
    <row r="996" spans="3:3" ht="13">
      <c r="C996" s="109"/>
    </row>
    <row r="997" spans="3:3" ht="13">
      <c r="C997" s="109"/>
    </row>
    <row r="998" spans="3:3" ht="13">
      <c r="C998" s="109"/>
    </row>
    <row r="999" spans="3:3" ht="13">
      <c r="C999" s="109"/>
    </row>
    <row r="1000" spans="3:3" ht="13">
      <c r="C1000" s="109"/>
    </row>
  </sheetData>
  <autoFilter ref="A1:Z1000" xr:uid="{00000000-0009-0000-0000-000002000000}"/>
  <phoneticPr fontId="7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131"/>
  <sheetViews>
    <sheetView workbookViewId="0"/>
  </sheetViews>
  <sheetFormatPr baseColWidth="10" defaultColWidth="12.6640625" defaultRowHeight="15.75" customHeight="1"/>
  <cols>
    <col min="1" max="1" width="4.33203125" customWidth="1"/>
    <col min="2" max="2" width="20.1640625" customWidth="1"/>
    <col min="3" max="3" width="14" customWidth="1"/>
    <col min="10" max="10" width="24.83203125" customWidth="1"/>
    <col min="11" max="11" width="29.6640625" customWidth="1"/>
    <col min="12" max="12" width="15.6640625" customWidth="1"/>
    <col min="13" max="13" width="26.1640625" customWidth="1"/>
  </cols>
  <sheetData>
    <row r="1" spans="1:13" ht="15.75" customHeight="1">
      <c r="A1" s="59" t="s">
        <v>1751</v>
      </c>
      <c r="B1" s="68" t="s">
        <v>874</v>
      </c>
      <c r="C1" s="111" t="s">
        <v>877</v>
      </c>
      <c r="D1" s="112" t="s">
        <v>1752</v>
      </c>
      <c r="E1" s="113" t="s">
        <v>1753</v>
      </c>
      <c r="F1" s="111" t="s">
        <v>1754</v>
      </c>
      <c r="G1" s="111" t="s">
        <v>5</v>
      </c>
      <c r="H1" s="111" t="s">
        <v>1755</v>
      </c>
      <c r="I1" s="111" t="s">
        <v>879</v>
      </c>
      <c r="J1" s="68" t="s">
        <v>3</v>
      </c>
      <c r="K1" s="68" t="s">
        <v>880</v>
      </c>
      <c r="L1" s="114" t="s">
        <v>1756</v>
      </c>
      <c r="M1" s="70" t="s">
        <v>1757</v>
      </c>
    </row>
    <row r="2" spans="1:13" ht="15.75" customHeight="1">
      <c r="A2" s="59"/>
      <c r="B2" s="68"/>
      <c r="C2" s="115"/>
      <c r="D2" s="115"/>
      <c r="E2" s="115"/>
      <c r="F2" s="116"/>
      <c r="G2" s="117"/>
      <c r="H2" s="117"/>
      <c r="I2" s="115"/>
      <c r="J2" s="117"/>
      <c r="K2" s="118"/>
      <c r="L2" s="119"/>
      <c r="M2" s="120"/>
    </row>
    <row r="3" spans="1:13" ht="15.75" customHeight="1">
      <c r="A3" s="59">
        <v>1</v>
      </c>
      <c r="B3" s="121" t="s">
        <v>1758</v>
      </c>
      <c r="C3" s="121" t="s">
        <v>1759</v>
      </c>
      <c r="D3" s="122">
        <v>44121</v>
      </c>
      <c r="E3" s="123" t="s">
        <v>1760</v>
      </c>
      <c r="F3" s="59">
        <v>1</v>
      </c>
      <c r="G3" s="72" t="s">
        <v>884</v>
      </c>
      <c r="H3" s="72" t="s">
        <v>884</v>
      </c>
      <c r="I3" s="121"/>
      <c r="J3" s="124"/>
      <c r="K3" s="121" t="s">
        <v>1761</v>
      </c>
      <c r="L3" s="125" t="s">
        <v>1762</v>
      </c>
      <c r="M3" s="72" t="s">
        <v>1763</v>
      </c>
    </row>
    <row r="4" spans="1:13" ht="15.75" customHeight="1">
      <c r="A4" s="59">
        <v>2</v>
      </c>
      <c r="B4" s="121" t="s">
        <v>1764</v>
      </c>
      <c r="C4" s="126" t="s">
        <v>1765</v>
      </c>
      <c r="D4" s="127">
        <v>44711</v>
      </c>
      <c r="E4" s="126" t="s">
        <v>1766</v>
      </c>
      <c r="F4" s="59">
        <v>1</v>
      </c>
      <c r="G4" s="128" t="s">
        <v>932</v>
      </c>
      <c r="H4" s="128" t="s">
        <v>1767</v>
      </c>
      <c r="I4" s="126" t="s">
        <v>171</v>
      </c>
      <c r="J4" s="124" t="s">
        <v>173</v>
      </c>
      <c r="K4" s="72"/>
      <c r="L4" s="129"/>
      <c r="M4" s="72" t="s">
        <v>1768</v>
      </c>
    </row>
    <row r="5" spans="1:13" ht="15.75" customHeight="1">
      <c r="A5" s="59">
        <v>3</v>
      </c>
      <c r="B5" s="121" t="s">
        <v>1758</v>
      </c>
      <c r="C5" s="121" t="s">
        <v>1769</v>
      </c>
      <c r="D5" s="122">
        <v>44121</v>
      </c>
      <c r="E5" s="121" t="s">
        <v>1770</v>
      </c>
      <c r="F5" s="59">
        <v>1</v>
      </c>
      <c r="G5" s="72" t="s">
        <v>988</v>
      </c>
      <c r="H5" s="72" t="s">
        <v>1767</v>
      </c>
      <c r="I5" s="130" t="s">
        <v>647</v>
      </c>
      <c r="J5" s="124" t="s">
        <v>649</v>
      </c>
      <c r="K5" s="72"/>
      <c r="L5" s="129"/>
      <c r="M5" s="72"/>
    </row>
    <row r="6" spans="1:13" ht="15.75" customHeight="1">
      <c r="A6" s="59">
        <v>4</v>
      </c>
      <c r="B6" s="121" t="s">
        <v>1758</v>
      </c>
      <c r="C6" s="131" t="s">
        <v>1771</v>
      </c>
      <c r="D6" s="122">
        <v>44121</v>
      </c>
      <c r="E6" s="131" t="s">
        <v>1772</v>
      </c>
      <c r="F6" s="59"/>
      <c r="G6" s="132" t="s">
        <v>102</v>
      </c>
      <c r="H6" s="132" t="s">
        <v>1767</v>
      </c>
      <c r="I6" s="130" t="s">
        <v>97</v>
      </c>
      <c r="J6" s="59" t="s">
        <v>99</v>
      </c>
      <c r="K6" s="72"/>
      <c r="L6" s="125" t="s">
        <v>1762</v>
      </c>
      <c r="M6" s="72"/>
    </row>
    <row r="7" spans="1:13" ht="15.75" customHeight="1">
      <c r="A7" s="59">
        <v>5</v>
      </c>
      <c r="B7" s="121" t="s">
        <v>1773</v>
      </c>
      <c r="C7" s="121" t="s">
        <v>1774</v>
      </c>
      <c r="D7" s="122">
        <v>44995</v>
      </c>
      <c r="E7" s="121" t="s">
        <v>1775</v>
      </c>
      <c r="F7" s="59">
        <v>1</v>
      </c>
      <c r="G7" s="72" t="s">
        <v>1776</v>
      </c>
      <c r="H7" s="72" t="s">
        <v>1767</v>
      </c>
      <c r="I7" s="130" t="s">
        <v>1777</v>
      </c>
      <c r="J7" s="72"/>
      <c r="K7" s="133"/>
      <c r="L7" s="125"/>
      <c r="M7" s="133"/>
    </row>
    <row r="8" spans="1:13" ht="15.75" customHeight="1">
      <c r="A8" s="59">
        <v>6</v>
      </c>
      <c r="B8" s="121" t="s">
        <v>1773</v>
      </c>
      <c r="C8" s="121" t="s">
        <v>1778</v>
      </c>
      <c r="D8" s="122">
        <v>44995</v>
      </c>
      <c r="E8" s="121" t="s">
        <v>1779</v>
      </c>
      <c r="F8" s="59">
        <v>1</v>
      </c>
      <c r="G8" s="72" t="s">
        <v>790</v>
      </c>
      <c r="H8" s="72" t="s">
        <v>1031</v>
      </c>
      <c r="I8" s="130" t="s">
        <v>1780</v>
      </c>
      <c r="J8" s="134" t="s">
        <v>1781</v>
      </c>
      <c r="K8" s="133"/>
      <c r="L8" s="125"/>
      <c r="M8" s="133"/>
    </row>
    <row r="9" spans="1:13" ht="15.75" customHeight="1">
      <c r="A9" s="59">
        <v>7</v>
      </c>
      <c r="B9" s="121" t="s">
        <v>1773</v>
      </c>
      <c r="C9" s="121" t="s">
        <v>1782</v>
      </c>
      <c r="D9" s="122">
        <v>44995</v>
      </c>
      <c r="E9" s="121" t="s">
        <v>1772</v>
      </c>
      <c r="F9" s="59"/>
      <c r="G9" s="72" t="s">
        <v>884</v>
      </c>
      <c r="H9" s="72" t="s">
        <v>884</v>
      </c>
      <c r="I9" s="130" t="s">
        <v>1783</v>
      </c>
      <c r="J9" s="134" t="s">
        <v>1784</v>
      </c>
      <c r="K9" s="133"/>
      <c r="L9" s="125" t="s">
        <v>1762</v>
      </c>
      <c r="M9" s="133"/>
    </row>
    <row r="10" spans="1:13" ht="15.75" customHeight="1">
      <c r="A10" s="135">
        <v>8</v>
      </c>
      <c r="B10" s="136" t="s">
        <v>1773</v>
      </c>
      <c r="C10" s="136" t="s">
        <v>1785</v>
      </c>
      <c r="D10" s="137">
        <v>44995</v>
      </c>
      <c r="E10" s="136" t="s">
        <v>1786</v>
      </c>
      <c r="F10" s="84"/>
      <c r="G10" s="82" t="s">
        <v>884</v>
      </c>
      <c r="H10" s="82" t="s">
        <v>884</v>
      </c>
      <c r="I10" s="84" t="s">
        <v>1787</v>
      </c>
      <c r="J10" s="138"/>
      <c r="K10" s="139"/>
      <c r="L10" s="140"/>
      <c r="M10" s="135" t="s">
        <v>1788</v>
      </c>
    </row>
    <row r="11" spans="1:13" ht="15.75" customHeight="1">
      <c r="A11" s="59">
        <v>9</v>
      </c>
      <c r="B11" s="121" t="s">
        <v>1773</v>
      </c>
      <c r="C11" s="121" t="s">
        <v>1789</v>
      </c>
      <c r="D11" s="122">
        <v>44995</v>
      </c>
      <c r="E11" s="121" t="s">
        <v>1790</v>
      </c>
      <c r="F11" s="59"/>
      <c r="G11" s="72" t="s">
        <v>1067</v>
      </c>
      <c r="H11" s="72" t="s">
        <v>1767</v>
      </c>
      <c r="I11" s="126" t="s">
        <v>729</v>
      </c>
      <c r="J11" s="60" t="s">
        <v>731</v>
      </c>
      <c r="K11" s="133"/>
      <c r="L11" s="125"/>
      <c r="M11" s="72"/>
    </row>
    <row r="12" spans="1:13" ht="15.75" customHeight="1">
      <c r="A12" s="59">
        <v>10</v>
      </c>
      <c r="B12" s="121" t="s">
        <v>1773</v>
      </c>
      <c r="C12" s="121" t="s">
        <v>1791</v>
      </c>
      <c r="D12" s="122">
        <v>44995</v>
      </c>
      <c r="E12" s="121" t="s">
        <v>1792</v>
      </c>
      <c r="F12" s="59">
        <v>1</v>
      </c>
      <c r="G12" s="72" t="s">
        <v>790</v>
      </c>
      <c r="H12" s="72" t="s">
        <v>1031</v>
      </c>
      <c r="I12" s="130" t="s">
        <v>1793</v>
      </c>
      <c r="J12" s="134" t="s">
        <v>1794</v>
      </c>
      <c r="K12" s="133"/>
      <c r="L12" s="125"/>
      <c r="M12" s="72"/>
    </row>
    <row r="13" spans="1:13" ht="15.75" customHeight="1">
      <c r="A13" s="59">
        <v>11</v>
      </c>
      <c r="B13" s="121" t="s">
        <v>1773</v>
      </c>
      <c r="C13" s="121" t="s">
        <v>1795</v>
      </c>
      <c r="D13" s="122">
        <v>44995</v>
      </c>
      <c r="E13" s="121" t="s">
        <v>1796</v>
      </c>
      <c r="F13" s="59"/>
      <c r="G13" s="72" t="s">
        <v>884</v>
      </c>
      <c r="H13" s="72" t="s">
        <v>884</v>
      </c>
      <c r="I13" s="59" t="s">
        <v>1787</v>
      </c>
      <c r="J13" s="124"/>
      <c r="K13" s="141" t="s">
        <v>1797</v>
      </c>
      <c r="L13" s="125" t="s">
        <v>1762</v>
      </c>
      <c r="M13" s="72"/>
    </row>
    <row r="14" spans="1:13" ht="15.75" customHeight="1">
      <c r="A14" s="59">
        <v>12</v>
      </c>
      <c r="B14" s="121" t="s">
        <v>1773</v>
      </c>
      <c r="C14" s="121" t="s">
        <v>1798</v>
      </c>
      <c r="D14" s="122">
        <v>45079</v>
      </c>
      <c r="E14" s="121" t="s">
        <v>1799</v>
      </c>
      <c r="F14" s="59">
        <v>1</v>
      </c>
      <c r="G14" s="72" t="s">
        <v>540</v>
      </c>
      <c r="H14" s="72" t="s">
        <v>1767</v>
      </c>
      <c r="I14" s="126" t="s">
        <v>536</v>
      </c>
      <c r="J14" s="72" t="s">
        <v>538</v>
      </c>
      <c r="K14" s="72"/>
      <c r="L14" s="129"/>
      <c r="M14" s="72"/>
    </row>
    <row r="15" spans="1:13" ht="15.75" customHeight="1">
      <c r="A15" s="59">
        <v>13</v>
      </c>
      <c r="B15" s="121" t="s">
        <v>1773</v>
      </c>
      <c r="C15" s="142" t="s">
        <v>1800</v>
      </c>
      <c r="D15" s="122">
        <v>45079</v>
      </c>
      <c r="E15" s="121" t="s">
        <v>1801</v>
      </c>
      <c r="F15" s="59">
        <v>1</v>
      </c>
      <c r="G15" s="72" t="s">
        <v>540</v>
      </c>
      <c r="H15" s="72" t="s">
        <v>541</v>
      </c>
      <c r="I15" s="130" t="s">
        <v>345</v>
      </c>
      <c r="J15" s="72" t="s">
        <v>347</v>
      </c>
      <c r="K15" s="72"/>
      <c r="L15" s="129"/>
      <c r="M15" s="72" t="str">
        <f t="array" ref="M15">IFERROR(INDEX(sales!C:C,MATCH(J15,sales!C:C,0)),"LIST없음")</f>
        <v>genie.kim@stryker.com</v>
      </c>
    </row>
    <row r="16" spans="1:13" ht="15.75" customHeight="1">
      <c r="A16" s="59">
        <v>14</v>
      </c>
      <c r="B16" s="121" t="s">
        <v>1773</v>
      </c>
      <c r="C16" s="142" t="s">
        <v>1802</v>
      </c>
      <c r="D16" s="122">
        <v>45079</v>
      </c>
      <c r="E16" s="121" t="s">
        <v>1803</v>
      </c>
      <c r="F16" s="59"/>
      <c r="G16" s="72" t="s">
        <v>833</v>
      </c>
      <c r="H16" s="72" t="s">
        <v>1093</v>
      </c>
      <c r="I16" s="130" t="s">
        <v>745</v>
      </c>
      <c r="J16" s="72" t="s">
        <v>747</v>
      </c>
      <c r="K16" s="72"/>
      <c r="L16" s="129"/>
      <c r="M16" s="72" t="str">
        <f t="array" ref="M16">IFERROR(INDEX(Printer!H:H,MATCH(J16,Printer!H:H,0)),"PRINTER LIST없음")</f>
        <v>PRINTER LIST없음</v>
      </c>
    </row>
    <row r="17" spans="1:13" ht="15.75" customHeight="1">
      <c r="A17" s="59">
        <v>15</v>
      </c>
      <c r="B17" s="121" t="s">
        <v>1773</v>
      </c>
      <c r="C17" s="142" t="s">
        <v>1804</v>
      </c>
      <c r="D17" s="122">
        <v>45079</v>
      </c>
      <c r="E17" s="121" t="s">
        <v>1805</v>
      </c>
      <c r="F17" s="59">
        <v>1</v>
      </c>
      <c r="G17" s="72" t="s">
        <v>790</v>
      </c>
      <c r="H17" s="72" t="s">
        <v>541</v>
      </c>
      <c r="I17" s="130" t="s">
        <v>1806</v>
      </c>
      <c r="J17" s="134" t="s">
        <v>1807</v>
      </c>
      <c r="K17" s="72"/>
      <c r="L17" s="129"/>
      <c r="M17" s="72" t="str">
        <f t="array" ref="M17">IFERROR(INDEX(sales!C:C,MATCH(J17,sales!C:C,0)),"LIST없음")</f>
        <v>david.oh@stryker.com</v>
      </c>
    </row>
    <row r="18" spans="1:13" ht="15.75" customHeight="1">
      <c r="A18" s="59">
        <v>16</v>
      </c>
      <c r="B18" s="121" t="s">
        <v>1773</v>
      </c>
      <c r="C18" s="142" t="s">
        <v>1808</v>
      </c>
      <c r="D18" s="122">
        <v>45079</v>
      </c>
      <c r="E18" s="121" t="s">
        <v>1809</v>
      </c>
      <c r="F18" s="59"/>
      <c r="G18" s="72" t="s">
        <v>790</v>
      </c>
      <c r="H18" s="72" t="s">
        <v>1031</v>
      </c>
      <c r="I18" s="130" t="s">
        <v>1810</v>
      </c>
      <c r="J18" s="72" t="s">
        <v>289</v>
      </c>
      <c r="K18" s="72"/>
      <c r="L18" s="129"/>
      <c r="M18" s="72"/>
    </row>
    <row r="19" spans="1:13" ht="15.75" customHeight="1">
      <c r="A19" s="59">
        <v>17</v>
      </c>
      <c r="B19" s="121" t="s">
        <v>1773</v>
      </c>
      <c r="C19" s="142" t="s">
        <v>1811</v>
      </c>
      <c r="D19" s="122">
        <v>45079</v>
      </c>
      <c r="E19" s="121" t="s">
        <v>1812</v>
      </c>
      <c r="F19" s="59">
        <v>1</v>
      </c>
      <c r="G19" s="72" t="s">
        <v>1027</v>
      </c>
      <c r="H19" s="72" t="s">
        <v>541</v>
      </c>
      <c r="I19" s="130" t="s">
        <v>594</v>
      </c>
      <c r="J19" s="72" t="s">
        <v>596</v>
      </c>
      <c r="K19" s="72"/>
      <c r="L19" s="129"/>
      <c r="M19" s="72" t="str">
        <f t="array" ref="M19">IFERROR(INDEX(sales!C:C,MATCH(J19,sales!C:C,0)),"LIST없음")</f>
        <v>michelle.park@stryker.com</v>
      </c>
    </row>
    <row r="20" spans="1:13" ht="15.75" customHeight="1">
      <c r="A20" s="59">
        <v>18</v>
      </c>
      <c r="B20" s="121" t="s">
        <v>1773</v>
      </c>
      <c r="C20" s="142" t="s">
        <v>1813</v>
      </c>
      <c r="D20" s="122">
        <v>45079</v>
      </c>
      <c r="E20" s="121" t="s">
        <v>1814</v>
      </c>
      <c r="F20" s="58"/>
      <c r="G20" s="72" t="s">
        <v>921</v>
      </c>
      <c r="H20" s="72" t="s">
        <v>1767</v>
      </c>
      <c r="I20" s="130" t="s">
        <v>330</v>
      </c>
      <c r="J20" s="72" t="s">
        <v>332</v>
      </c>
      <c r="K20" s="72"/>
      <c r="L20" s="129"/>
      <c r="M20" s="72"/>
    </row>
    <row r="21" spans="1:13" ht="15.75" customHeight="1">
      <c r="A21" s="59">
        <v>19</v>
      </c>
      <c r="B21" s="121" t="s">
        <v>1773</v>
      </c>
      <c r="C21" s="142" t="s">
        <v>1815</v>
      </c>
      <c r="D21" s="122">
        <v>45079</v>
      </c>
      <c r="E21" s="121" t="s">
        <v>1816</v>
      </c>
      <c r="F21" s="58"/>
      <c r="G21" s="72" t="s">
        <v>309</v>
      </c>
      <c r="H21" s="72" t="s">
        <v>1767</v>
      </c>
      <c r="I21" s="130" t="s">
        <v>305</v>
      </c>
      <c r="J21" s="72" t="s">
        <v>307</v>
      </c>
      <c r="K21" s="72"/>
      <c r="L21" s="129"/>
      <c r="M21" s="72"/>
    </row>
    <row r="22" spans="1:13" ht="15.75" customHeight="1">
      <c r="A22" s="59">
        <v>20</v>
      </c>
      <c r="B22" s="121" t="s">
        <v>1773</v>
      </c>
      <c r="C22" s="142" t="s">
        <v>1817</v>
      </c>
      <c r="D22" s="122">
        <v>45079</v>
      </c>
      <c r="E22" s="121" t="s">
        <v>1818</v>
      </c>
      <c r="F22" s="59"/>
      <c r="G22" s="72" t="s">
        <v>790</v>
      </c>
      <c r="H22" s="72" t="s">
        <v>1031</v>
      </c>
      <c r="I22" s="130" t="s">
        <v>270</v>
      </c>
      <c r="J22" s="72" t="s">
        <v>272</v>
      </c>
      <c r="K22" s="72"/>
      <c r="L22" s="129"/>
      <c r="M22" s="72"/>
    </row>
    <row r="23" spans="1:13" ht="15.75" customHeight="1">
      <c r="A23" s="59">
        <v>21</v>
      </c>
      <c r="B23" s="121" t="s">
        <v>1773</v>
      </c>
      <c r="C23" s="142" t="s">
        <v>1819</v>
      </c>
      <c r="D23" s="122">
        <v>45079</v>
      </c>
      <c r="E23" s="121" t="s">
        <v>1820</v>
      </c>
      <c r="F23" s="59">
        <v>1</v>
      </c>
      <c r="G23" s="72" t="s">
        <v>850</v>
      </c>
      <c r="H23" s="128" t="s">
        <v>541</v>
      </c>
      <c r="I23" s="130" t="s">
        <v>633</v>
      </c>
      <c r="J23" s="72" t="s">
        <v>635</v>
      </c>
      <c r="K23" s="72"/>
      <c r="L23" s="129"/>
      <c r="M23" s="72" t="str">
        <f t="array" ref="M23">IFERROR(INDEX(Printer!H:H,MATCH(J23,Printer!H:H,0)),"PRINTER LIST없음")</f>
        <v>Gregory.Seo@stryker.com</v>
      </c>
    </row>
    <row r="24" spans="1:13" ht="15.75" customHeight="1">
      <c r="A24" s="59">
        <v>22</v>
      </c>
      <c r="B24" s="121" t="s">
        <v>1773</v>
      </c>
      <c r="C24" s="142" t="s">
        <v>1821</v>
      </c>
      <c r="D24" s="122">
        <v>45079</v>
      </c>
      <c r="E24" s="121" t="s">
        <v>1822</v>
      </c>
      <c r="F24" s="58"/>
      <c r="G24" s="72" t="s">
        <v>1823</v>
      </c>
      <c r="H24" s="72" t="s">
        <v>1767</v>
      </c>
      <c r="I24" s="130" t="s">
        <v>253</v>
      </c>
      <c r="J24" s="72" t="s">
        <v>255</v>
      </c>
      <c r="K24" s="72"/>
      <c r="L24" s="125" t="s">
        <v>1762</v>
      </c>
      <c r="M24" s="72"/>
    </row>
    <row r="25" spans="1:13" ht="15.75" customHeight="1">
      <c r="A25" s="59">
        <v>23</v>
      </c>
      <c r="B25" s="121" t="s">
        <v>1773</v>
      </c>
      <c r="C25" s="142" t="s">
        <v>1824</v>
      </c>
      <c r="D25" s="122">
        <v>45079</v>
      </c>
      <c r="E25" s="121" t="s">
        <v>1825</v>
      </c>
      <c r="F25" s="59">
        <v>1</v>
      </c>
      <c r="G25" s="72" t="s">
        <v>1826</v>
      </c>
      <c r="H25" s="72" t="s">
        <v>541</v>
      </c>
      <c r="I25" s="130" t="s">
        <v>457</v>
      </c>
      <c r="J25" s="72" t="s">
        <v>459</v>
      </c>
      <c r="K25" s="72"/>
      <c r="L25" s="129"/>
      <c r="M25" s="72" t="str">
        <f t="array" ref="M25">IFERROR(INDEX(sales!C:C,MATCH(J25,sales!C:C,0)),"LIST없음")</f>
        <v>joy.lee@stryker.com</v>
      </c>
    </row>
    <row r="26" spans="1:13" ht="15.75" customHeight="1">
      <c r="A26" s="59">
        <v>24</v>
      </c>
      <c r="B26" s="121" t="s">
        <v>1773</v>
      </c>
      <c r="C26" s="142" t="s">
        <v>1827</v>
      </c>
      <c r="D26" s="122">
        <v>45079</v>
      </c>
      <c r="E26" s="121" t="s">
        <v>1828</v>
      </c>
      <c r="F26" s="59">
        <v>1</v>
      </c>
      <c r="G26" s="72" t="s">
        <v>833</v>
      </c>
      <c r="H26" s="72" t="s">
        <v>541</v>
      </c>
      <c r="I26" s="130" t="s">
        <v>414</v>
      </c>
      <c r="J26" s="72" t="s">
        <v>416</v>
      </c>
      <c r="K26" s="72"/>
      <c r="L26" s="125" t="s">
        <v>1762</v>
      </c>
      <c r="M26" s="72" t="str">
        <f t="array" ref="M26">IFERROR(INDEX(sales!C:C,MATCH(J26,sales!C:C,0)),"LIST없음")</f>
        <v>david.kim3@stryker.com</v>
      </c>
    </row>
    <row r="27" spans="1:13" ht="15.75" customHeight="1">
      <c r="A27" s="59">
        <v>25</v>
      </c>
      <c r="B27" s="121" t="s">
        <v>1773</v>
      </c>
      <c r="C27" s="142" t="s">
        <v>1829</v>
      </c>
      <c r="D27" s="122">
        <v>45079</v>
      </c>
      <c r="E27" s="121" t="s">
        <v>1830</v>
      </c>
      <c r="F27" s="59">
        <v>1</v>
      </c>
      <c r="G27" s="72" t="s">
        <v>932</v>
      </c>
      <c r="H27" s="72" t="s">
        <v>1093</v>
      </c>
      <c r="I27" s="130" t="s">
        <v>273</v>
      </c>
      <c r="J27" s="72" t="s">
        <v>275</v>
      </c>
      <c r="K27" s="72"/>
      <c r="L27" s="125" t="s">
        <v>1762</v>
      </c>
      <c r="M27" s="72" t="str">
        <f t="array" ref="M27">IFERROR(INDEX(Printer!H:H,MATCH(J27,Printer!H:H,0)),"PRINTER LIST없음")</f>
        <v>PRINTER LIST없음</v>
      </c>
    </row>
    <row r="28" spans="1:13" ht="15.75" customHeight="1">
      <c r="A28" s="59">
        <v>26</v>
      </c>
      <c r="B28" s="121" t="s">
        <v>1773</v>
      </c>
      <c r="C28" s="142" t="s">
        <v>1831</v>
      </c>
      <c r="D28" s="122">
        <v>45079</v>
      </c>
      <c r="E28" s="121" t="s">
        <v>1832</v>
      </c>
      <c r="F28" s="59">
        <v>1</v>
      </c>
      <c r="G28" s="72" t="s">
        <v>790</v>
      </c>
      <c r="H28" s="72" t="s">
        <v>1031</v>
      </c>
      <c r="I28" s="130" t="s">
        <v>280</v>
      </c>
      <c r="J28" s="72" t="s">
        <v>282</v>
      </c>
      <c r="K28" s="72"/>
      <c r="L28" s="129"/>
      <c r="M28" s="72"/>
    </row>
    <row r="29" spans="1:13" ht="15.75" customHeight="1">
      <c r="A29" s="59">
        <v>27</v>
      </c>
      <c r="B29" s="121" t="s">
        <v>1773</v>
      </c>
      <c r="C29" s="142" t="s">
        <v>1833</v>
      </c>
      <c r="D29" s="122">
        <v>45079</v>
      </c>
      <c r="E29" s="121" t="s">
        <v>1834</v>
      </c>
      <c r="F29" s="59">
        <v>1</v>
      </c>
      <c r="G29" s="72" t="s">
        <v>790</v>
      </c>
      <c r="H29" s="72" t="s">
        <v>1031</v>
      </c>
      <c r="I29" s="59" t="s">
        <v>860</v>
      </c>
      <c r="J29" s="134" t="s">
        <v>862</v>
      </c>
      <c r="K29" s="72" t="s">
        <v>1835</v>
      </c>
      <c r="L29" s="129"/>
      <c r="M29" s="72"/>
    </row>
    <row r="30" spans="1:13" ht="15.75" customHeight="1">
      <c r="A30" s="59">
        <v>28</v>
      </c>
      <c r="B30" s="121" t="s">
        <v>1773</v>
      </c>
      <c r="C30" s="142" t="s">
        <v>1836</v>
      </c>
      <c r="D30" s="122">
        <v>45079</v>
      </c>
      <c r="E30" s="121" t="s">
        <v>1837</v>
      </c>
      <c r="F30" s="59">
        <v>1</v>
      </c>
      <c r="G30" s="72" t="s">
        <v>833</v>
      </c>
      <c r="H30" s="72" t="s">
        <v>541</v>
      </c>
      <c r="I30" s="126" t="s">
        <v>483</v>
      </c>
      <c r="J30" s="72" t="s">
        <v>485</v>
      </c>
      <c r="K30" s="72"/>
      <c r="L30" s="129"/>
      <c r="M30" s="72" t="str">
        <f t="array" ref="M30">IFERROR(INDEX(sales!C:C,MATCH(J30,sales!C:C,0)),"LIST없음")</f>
        <v>henry.lee@stryker.com</v>
      </c>
    </row>
    <row r="31" spans="1:13" ht="15.75" customHeight="1">
      <c r="A31" s="59">
        <v>29</v>
      </c>
      <c r="B31" s="121" t="s">
        <v>1773</v>
      </c>
      <c r="C31" s="142" t="s">
        <v>1838</v>
      </c>
      <c r="D31" s="122">
        <v>45079</v>
      </c>
      <c r="E31" s="121" t="s">
        <v>1839</v>
      </c>
      <c r="F31" s="59">
        <v>1</v>
      </c>
      <c r="G31" s="72" t="s">
        <v>850</v>
      </c>
      <c r="H31" s="72" t="s">
        <v>541</v>
      </c>
      <c r="I31" s="130" t="s">
        <v>679</v>
      </c>
      <c r="J31" s="72" t="s">
        <v>681</v>
      </c>
      <c r="K31" s="72"/>
      <c r="L31" s="129"/>
      <c r="M31" s="72" t="str">
        <f t="array" ref="M31">IFERROR(INDEX(sales!C:C,MATCH(J31,sales!C:C,0)),"LIST없음")</f>
        <v>mina.song@stryker.com</v>
      </c>
    </row>
    <row r="32" spans="1:13" ht="15.75" customHeight="1">
      <c r="A32" s="59">
        <v>30</v>
      </c>
      <c r="B32" s="121" t="s">
        <v>1773</v>
      </c>
      <c r="C32" s="121" t="s">
        <v>1840</v>
      </c>
      <c r="D32" s="122">
        <v>45131</v>
      </c>
      <c r="E32" s="121" t="s">
        <v>1841</v>
      </c>
      <c r="F32" s="59"/>
      <c r="G32" s="72" t="s">
        <v>909</v>
      </c>
      <c r="H32" s="72" t="s">
        <v>909</v>
      </c>
      <c r="I32" s="130" t="s">
        <v>583</v>
      </c>
      <c r="J32" s="72" t="s">
        <v>585</v>
      </c>
      <c r="K32" s="72"/>
      <c r="L32" s="129"/>
      <c r="M32" s="72" t="str">
        <f t="array" ref="M32">IFERROR(INDEX(Printer!H:H,MATCH(J32,Printer!H:H,0)),"PRINTER LIST없음")</f>
        <v>PRINTER LIST없음</v>
      </c>
    </row>
    <row r="33" spans="1:13" ht="15.75" customHeight="1">
      <c r="A33" s="59">
        <v>31</v>
      </c>
      <c r="B33" s="121" t="s">
        <v>1773</v>
      </c>
      <c r="C33" s="121" t="s">
        <v>1842</v>
      </c>
      <c r="D33" s="122">
        <v>45131</v>
      </c>
      <c r="E33" s="121" t="s">
        <v>1843</v>
      </c>
      <c r="F33" s="59">
        <v>1</v>
      </c>
      <c r="G33" s="72" t="s">
        <v>790</v>
      </c>
      <c r="H33" s="72" t="s">
        <v>1093</v>
      </c>
      <c r="I33" s="130" t="s">
        <v>476</v>
      </c>
      <c r="J33" s="72" t="s">
        <v>478</v>
      </c>
      <c r="K33" s="72"/>
      <c r="L33" s="125" t="s">
        <v>1762</v>
      </c>
      <c r="M33" s="72" t="str">
        <f t="array" ref="M33">IFERROR(INDEX(Printer!H:H,MATCH(J33,Printer!H:H,0)),"PRINTER LIST없음")</f>
        <v>PRINTER LIST없음</v>
      </c>
    </row>
    <row r="34" spans="1:13" ht="15.75" customHeight="1">
      <c r="A34" s="59">
        <v>32</v>
      </c>
      <c r="B34" s="121" t="s">
        <v>1773</v>
      </c>
      <c r="C34" s="121" t="s">
        <v>1844</v>
      </c>
      <c r="D34" s="122">
        <v>45131</v>
      </c>
      <c r="E34" s="121" t="s">
        <v>1845</v>
      </c>
      <c r="F34" s="59"/>
      <c r="G34" s="72" t="s">
        <v>540</v>
      </c>
      <c r="H34" s="72" t="s">
        <v>1093</v>
      </c>
      <c r="I34" s="130" t="s">
        <v>758</v>
      </c>
      <c r="J34" s="72" t="s">
        <v>760</v>
      </c>
      <c r="K34" s="72"/>
      <c r="L34" s="125" t="s">
        <v>1762</v>
      </c>
      <c r="M34" s="72" t="str">
        <f t="array" ref="M34">IFERROR(INDEX(Printer!H:H,MATCH(J34,Printer!H:H,0)),"PRINTER LIST없음")</f>
        <v>PRINTER LIST없음</v>
      </c>
    </row>
    <row r="35" spans="1:13" ht="15.75" customHeight="1">
      <c r="A35" s="59">
        <v>33</v>
      </c>
      <c r="B35" s="121" t="s">
        <v>1773</v>
      </c>
      <c r="C35" s="121" t="s">
        <v>1846</v>
      </c>
      <c r="D35" s="122">
        <v>45131</v>
      </c>
      <c r="E35" s="121" t="s">
        <v>1847</v>
      </c>
      <c r="F35" s="59"/>
      <c r="G35" s="72" t="s">
        <v>884</v>
      </c>
      <c r="H35" s="72" t="s">
        <v>884</v>
      </c>
      <c r="I35" s="59" t="s">
        <v>1787</v>
      </c>
      <c r="J35" s="59" t="s">
        <v>1053</v>
      </c>
      <c r="K35" s="72" t="s">
        <v>1848</v>
      </c>
      <c r="L35" s="125" t="s">
        <v>1762</v>
      </c>
      <c r="M35" s="72"/>
    </row>
    <row r="36" spans="1:13" ht="15.75" customHeight="1">
      <c r="A36" s="59">
        <v>34</v>
      </c>
      <c r="B36" s="121" t="s">
        <v>1773</v>
      </c>
      <c r="C36" s="121" t="s">
        <v>1849</v>
      </c>
      <c r="D36" s="122">
        <v>45131</v>
      </c>
      <c r="E36" s="121" t="s">
        <v>1850</v>
      </c>
      <c r="F36" s="59">
        <v>1</v>
      </c>
      <c r="G36" s="72" t="s">
        <v>790</v>
      </c>
      <c r="H36" s="72" t="s">
        <v>1031</v>
      </c>
      <c r="I36" s="126" t="s">
        <v>620</v>
      </c>
      <c r="J36" s="134" t="s">
        <v>1851</v>
      </c>
      <c r="K36" s="133"/>
      <c r="L36" s="125"/>
      <c r="M36" s="72"/>
    </row>
    <row r="37" spans="1:13" ht="15.75" customHeight="1">
      <c r="A37" s="59">
        <v>35</v>
      </c>
      <c r="B37" s="121" t="s">
        <v>1773</v>
      </c>
      <c r="C37" s="121" t="s">
        <v>1852</v>
      </c>
      <c r="D37" s="122">
        <v>45131</v>
      </c>
      <c r="E37" s="121" t="s">
        <v>1853</v>
      </c>
      <c r="F37" s="59">
        <v>1</v>
      </c>
      <c r="G37" s="72" t="s">
        <v>932</v>
      </c>
      <c r="H37" s="72" t="s">
        <v>541</v>
      </c>
      <c r="I37" s="130" t="s">
        <v>163</v>
      </c>
      <c r="J37" s="72" t="s">
        <v>165</v>
      </c>
      <c r="K37" s="72"/>
      <c r="L37" s="129"/>
      <c r="M37" s="72" t="str">
        <f t="array" ref="M37">IFERROR(INDEX(sales!C:C,MATCH(J37,sales!C:C,0)),"LIST없음")</f>
        <v>leo.han@stryker.com</v>
      </c>
    </row>
    <row r="38" spans="1:13" ht="15.75" customHeight="1">
      <c r="A38" s="59">
        <v>36</v>
      </c>
      <c r="B38" s="121" t="s">
        <v>1773</v>
      </c>
      <c r="C38" s="121" t="s">
        <v>1854</v>
      </c>
      <c r="D38" s="122">
        <v>45131</v>
      </c>
      <c r="E38" s="121" t="s">
        <v>1855</v>
      </c>
      <c r="F38" s="59">
        <v>1</v>
      </c>
      <c r="G38" s="72" t="s">
        <v>932</v>
      </c>
      <c r="H38" s="72" t="s">
        <v>541</v>
      </c>
      <c r="I38" s="130" t="s">
        <v>374</v>
      </c>
      <c r="J38" s="72" t="s">
        <v>376</v>
      </c>
      <c r="K38" s="72"/>
      <c r="L38" s="129"/>
      <c r="M38" s="72" t="str">
        <f t="array" ref="M38">IFERROR(INDEX(sales!C:C,MATCH(J38,sales!C:C,0)),"LIST없음")</f>
        <v>jayden.kim@stryker.com</v>
      </c>
    </row>
    <row r="39" spans="1:13" ht="15.75" customHeight="1">
      <c r="A39" s="59">
        <v>37</v>
      </c>
      <c r="B39" s="121" t="s">
        <v>1773</v>
      </c>
      <c r="C39" s="121" t="s">
        <v>1856</v>
      </c>
      <c r="D39" s="122">
        <v>45131</v>
      </c>
      <c r="E39" s="121" t="s">
        <v>1857</v>
      </c>
      <c r="F39" s="59">
        <v>1</v>
      </c>
      <c r="G39" s="72" t="s">
        <v>932</v>
      </c>
      <c r="H39" s="72" t="s">
        <v>541</v>
      </c>
      <c r="I39" s="130" t="s">
        <v>116</v>
      </c>
      <c r="J39" s="72" t="s">
        <v>117</v>
      </c>
      <c r="K39" s="72"/>
      <c r="L39" s="129"/>
      <c r="M39" s="72" t="str">
        <f t="array" ref="M39">IFERROR(INDEX(sales!C:C,MATCH(J39,sales!C:C,0)),"LIST없음")</f>
        <v>claire.choi@stryker.com</v>
      </c>
    </row>
    <row r="40" spans="1:13" ht="15.75" customHeight="1">
      <c r="A40" s="59">
        <v>38</v>
      </c>
      <c r="B40" s="121" t="s">
        <v>1773</v>
      </c>
      <c r="C40" s="142" t="s">
        <v>1858</v>
      </c>
      <c r="D40" s="122">
        <v>45131</v>
      </c>
      <c r="E40" s="121" t="s">
        <v>1859</v>
      </c>
      <c r="F40" s="59">
        <v>1</v>
      </c>
      <c r="G40" s="72" t="s">
        <v>932</v>
      </c>
      <c r="H40" s="72" t="s">
        <v>541</v>
      </c>
      <c r="I40" s="130" t="s">
        <v>277</v>
      </c>
      <c r="J40" s="72" t="s">
        <v>279</v>
      </c>
      <c r="K40" s="72"/>
      <c r="L40" s="125" t="s">
        <v>1762</v>
      </c>
      <c r="M40" s="72" t="str">
        <f t="array" ref="M40">IFERROR(INDEX(sales!C:C,MATCH(J40,sales!C:C,0)),"LIST없음")</f>
        <v>suhwan.jung@stryker.com</v>
      </c>
    </row>
    <row r="41" spans="1:13" ht="15.75" customHeight="1">
      <c r="A41" s="59">
        <v>39</v>
      </c>
      <c r="B41" s="121" t="s">
        <v>1773</v>
      </c>
      <c r="C41" s="142" t="s">
        <v>1860</v>
      </c>
      <c r="D41" s="122">
        <v>45131</v>
      </c>
      <c r="E41" s="121" t="s">
        <v>1861</v>
      </c>
      <c r="F41" s="59">
        <v>1</v>
      </c>
      <c r="G41" s="72" t="s">
        <v>932</v>
      </c>
      <c r="H41" s="72" t="s">
        <v>541</v>
      </c>
      <c r="I41" s="130" t="s">
        <v>653</v>
      </c>
      <c r="J41" s="72" t="s">
        <v>655</v>
      </c>
      <c r="K41" s="72"/>
      <c r="L41" s="129"/>
      <c r="M41" s="72" t="str">
        <f t="array" ref="M41">IFERROR(INDEX(sales!C:C,MATCH(J41,sales!C:C,0)),"LIST없음")</f>
        <v>chris.shin@stryker.com</v>
      </c>
    </row>
    <row r="42" spans="1:13" ht="15.75" customHeight="1">
      <c r="A42" s="59">
        <v>40</v>
      </c>
      <c r="B42" s="121" t="s">
        <v>1773</v>
      </c>
      <c r="C42" s="142" t="s">
        <v>1862</v>
      </c>
      <c r="D42" s="122">
        <v>45131</v>
      </c>
      <c r="E42" s="121" t="s">
        <v>1863</v>
      </c>
      <c r="F42" s="58"/>
      <c r="G42" s="72" t="s">
        <v>1067</v>
      </c>
      <c r="H42" s="72" t="s">
        <v>1767</v>
      </c>
      <c r="I42" s="130" t="s">
        <v>628</v>
      </c>
      <c r="J42" s="72" t="s">
        <v>630</v>
      </c>
      <c r="K42" s="72"/>
      <c r="L42" s="129"/>
      <c r="M42" s="72"/>
    </row>
    <row r="43" spans="1:13" ht="15.75" customHeight="1">
      <c r="A43" s="59">
        <v>41</v>
      </c>
      <c r="B43" s="121" t="s">
        <v>1773</v>
      </c>
      <c r="C43" s="142" t="s">
        <v>1864</v>
      </c>
      <c r="D43" s="122">
        <v>45131</v>
      </c>
      <c r="E43" s="121" t="s">
        <v>1865</v>
      </c>
      <c r="F43" s="59">
        <v>1</v>
      </c>
      <c r="G43" s="72" t="s">
        <v>932</v>
      </c>
      <c r="H43" s="72" t="s">
        <v>541</v>
      </c>
      <c r="I43" s="130" t="s">
        <v>703</v>
      </c>
      <c r="J43" s="72" t="s">
        <v>705</v>
      </c>
      <c r="K43" s="72"/>
      <c r="L43" s="129"/>
      <c r="M43" s="72" t="str">
        <f t="array" ref="M43">IFERROR(INDEX(sales!C:C,MATCH(J43,sales!C:C,0)),"LIST없음")</f>
        <v>hailey.song@stryker.com</v>
      </c>
    </row>
    <row r="44" spans="1:13" ht="15.75" customHeight="1">
      <c r="A44" s="59">
        <v>42</v>
      </c>
      <c r="B44" s="121" t="s">
        <v>1773</v>
      </c>
      <c r="C44" s="142" t="s">
        <v>1866</v>
      </c>
      <c r="D44" s="122">
        <v>45131</v>
      </c>
      <c r="E44" s="121" t="s">
        <v>1867</v>
      </c>
      <c r="F44" s="59">
        <v>1</v>
      </c>
      <c r="G44" s="72" t="s">
        <v>540</v>
      </c>
      <c r="H44" s="72" t="s">
        <v>541</v>
      </c>
      <c r="I44" s="130" t="s">
        <v>349</v>
      </c>
      <c r="J44" s="72" t="s">
        <v>351</v>
      </c>
      <c r="K44" s="72"/>
      <c r="L44" s="129"/>
      <c r="M44" s="72" t="str">
        <f t="array" ref="M44">IFERROR(INDEX(sales!C:C,MATCH(J44,sales!C:C,0)),"LIST없음")</f>
        <v>jason.kim1@stryker.com</v>
      </c>
    </row>
    <row r="45" spans="1:13" ht="15.75" customHeight="1">
      <c r="A45" s="59">
        <v>43</v>
      </c>
      <c r="B45" s="121" t="s">
        <v>1773</v>
      </c>
      <c r="C45" s="142" t="s">
        <v>1868</v>
      </c>
      <c r="D45" s="122">
        <v>45131</v>
      </c>
      <c r="E45" s="121" t="s">
        <v>1869</v>
      </c>
      <c r="F45" s="59"/>
      <c r="G45" s="72" t="s">
        <v>1826</v>
      </c>
      <c r="H45" s="72" t="s">
        <v>541</v>
      </c>
      <c r="I45" s="130" t="s">
        <v>318</v>
      </c>
      <c r="J45" s="72" t="s">
        <v>320</v>
      </c>
      <c r="K45" s="72"/>
      <c r="L45" s="129"/>
      <c r="M45" s="72" t="str">
        <f t="array" ref="M45">IFERROR(INDEX(sales!C:C,MATCH(J45,sales!C:C,0)),"LIST없음")</f>
        <v>danny.kim@stryker.com</v>
      </c>
    </row>
    <row r="46" spans="1:13" ht="15.75" customHeight="1">
      <c r="A46" s="59">
        <v>44</v>
      </c>
      <c r="B46" s="121" t="s">
        <v>1773</v>
      </c>
      <c r="C46" s="142" t="s">
        <v>1870</v>
      </c>
      <c r="D46" s="122">
        <v>45131</v>
      </c>
      <c r="E46" s="121" t="s">
        <v>1871</v>
      </c>
      <c r="F46" s="59">
        <v>1</v>
      </c>
      <c r="G46" s="72" t="s">
        <v>932</v>
      </c>
      <c r="H46" s="72" t="s">
        <v>541</v>
      </c>
      <c r="I46" s="130" t="s">
        <v>295</v>
      </c>
      <c r="J46" s="72" t="s">
        <v>297</v>
      </c>
      <c r="K46" s="72"/>
      <c r="L46" s="129"/>
      <c r="M46" s="72" t="str">
        <f t="array" ref="M46">IFERROR(INDEX(sales!C:C,MATCH(J46,sales!C:C,0)),"LIST없음")</f>
        <v>louis.kang@stryker.com</v>
      </c>
    </row>
    <row r="47" spans="1:13" ht="15.75" customHeight="1">
      <c r="A47" s="59">
        <v>45</v>
      </c>
      <c r="B47" s="121" t="s">
        <v>1773</v>
      </c>
      <c r="C47" s="121" t="s">
        <v>1872</v>
      </c>
      <c r="D47" s="122">
        <v>45131</v>
      </c>
      <c r="E47" s="121" t="s">
        <v>1873</v>
      </c>
      <c r="F47" s="59">
        <v>1</v>
      </c>
      <c r="G47" s="72" t="s">
        <v>932</v>
      </c>
      <c r="H47" s="72" t="s">
        <v>541</v>
      </c>
      <c r="I47" s="130" t="s">
        <v>186</v>
      </c>
      <c r="J47" s="72" t="s">
        <v>188</v>
      </c>
      <c r="K47" s="72"/>
      <c r="L47" s="129"/>
      <c r="M47" s="72" t="str">
        <f t="array" ref="M47">IFERROR(INDEX(sales!C:C,MATCH(J47,sales!C:C,0)),"LIST없음")</f>
        <v>ashley.hong@stryker.com</v>
      </c>
    </row>
    <row r="48" spans="1:13" ht="15.75" customHeight="1">
      <c r="A48" s="59">
        <v>46</v>
      </c>
      <c r="B48" s="121" t="s">
        <v>1773</v>
      </c>
      <c r="C48" s="142" t="s">
        <v>1874</v>
      </c>
      <c r="D48" s="122">
        <v>45131</v>
      </c>
      <c r="E48" s="121" t="s">
        <v>1875</v>
      </c>
      <c r="F48" s="59">
        <v>1</v>
      </c>
      <c r="G48" s="72" t="s">
        <v>932</v>
      </c>
      <c r="H48" s="72" t="s">
        <v>541</v>
      </c>
      <c r="I48" s="130" t="s">
        <v>737</v>
      </c>
      <c r="J48" s="72" t="s">
        <v>739</v>
      </c>
      <c r="K48" s="72" t="s">
        <v>1876</v>
      </c>
      <c r="L48" s="129"/>
      <c r="M48" s="72" t="str">
        <f t="array" ref="M48">IFERROR(INDEX(sales!C:C,MATCH(J48,sales!C:C,0)),"LIST없음")</f>
        <v>jiho.yoo@stryker.com</v>
      </c>
    </row>
    <row r="49" spans="1:13" ht="15.75" customHeight="1">
      <c r="A49" s="59">
        <v>47</v>
      </c>
      <c r="B49" s="121" t="s">
        <v>1773</v>
      </c>
      <c r="C49" s="142" t="s">
        <v>1877</v>
      </c>
      <c r="D49" s="122">
        <v>45131</v>
      </c>
      <c r="E49" s="121" t="s">
        <v>1878</v>
      </c>
      <c r="F49" s="59">
        <v>1</v>
      </c>
      <c r="G49" s="72" t="s">
        <v>932</v>
      </c>
      <c r="H49" s="72" t="s">
        <v>541</v>
      </c>
      <c r="I49" s="130" t="s">
        <v>234</v>
      </c>
      <c r="J49" s="72" t="s">
        <v>236</v>
      </c>
      <c r="K49" s="72"/>
      <c r="L49" s="129"/>
      <c r="M49" s="72" t="str">
        <f t="array" ref="M49">IFERROR(INDEX(Printer!H:H,MATCH(J49,Printer!H:H,0)),"PRINTER LIST없음")</f>
        <v>yoonbee.jeong@stryker.com</v>
      </c>
    </row>
    <row r="50" spans="1:13" ht="17">
      <c r="A50" s="59">
        <v>48</v>
      </c>
      <c r="B50" s="121" t="s">
        <v>1773</v>
      </c>
      <c r="C50" s="142" t="s">
        <v>1879</v>
      </c>
      <c r="D50" s="122">
        <v>45131</v>
      </c>
      <c r="E50" s="121" t="s">
        <v>1880</v>
      </c>
      <c r="F50" s="59">
        <v>1</v>
      </c>
      <c r="G50" s="72" t="s">
        <v>932</v>
      </c>
      <c r="H50" s="72" t="s">
        <v>541</v>
      </c>
      <c r="I50" s="130" t="s">
        <v>438</v>
      </c>
      <c r="J50" s="72" t="s">
        <v>440</v>
      </c>
      <c r="K50" s="72"/>
      <c r="L50" s="129"/>
      <c r="M50" s="72" t="str">
        <f t="array" ref="M50">IFERROR(INDEX(sales!C:C,MATCH(J50,sales!C:C,0)),"LIST없음")</f>
        <v>ara.ko@stryker.com</v>
      </c>
    </row>
    <row r="51" spans="1:13" ht="17">
      <c r="A51" s="59">
        <v>49</v>
      </c>
      <c r="B51" s="121" t="s">
        <v>1773</v>
      </c>
      <c r="C51" s="142" t="s">
        <v>1881</v>
      </c>
      <c r="D51" s="122">
        <v>45131</v>
      </c>
      <c r="E51" s="121" t="s">
        <v>1882</v>
      </c>
      <c r="F51" s="59">
        <v>1</v>
      </c>
      <c r="G51" s="77" t="s">
        <v>932</v>
      </c>
      <c r="H51" s="77" t="s">
        <v>541</v>
      </c>
      <c r="I51" s="130" t="s">
        <v>263</v>
      </c>
      <c r="J51" s="72" t="s">
        <v>265</v>
      </c>
      <c r="K51" s="72"/>
      <c r="L51" s="129"/>
      <c r="M51" s="72" t="str">
        <f t="array" ref="M51">IFERROR(INDEX(sales!C:C,MATCH(J51,sales!C:C,0)),"LIST없음")</f>
        <v>scott.jo@stryker.com</v>
      </c>
    </row>
    <row r="52" spans="1:13" ht="17">
      <c r="A52" s="59">
        <v>50</v>
      </c>
      <c r="B52" s="121" t="s">
        <v>1773</v>
      </c>
      <c r="C52" s="142" t="s">
        <v>1883</v>
      </c>
      <c r="D52" s="122">
        <v>45131</v>
      </c>
      <c r="E52" s="121" t="s">
        <v>1884</v>
      </c>
      <c r="F52" s="59">
        <v>1</v>
      </c>
      <c r="G52" s="72" t="s">
        <v>850</v>
      </c>
      <c r="H52" s="72" t="s">
        <v>541</v>
      </c>
      <c r="I52" s="130" t="s">
        <v>340</v>
      </c>
      <c r="J52" s="72" t="s">
        <v>342</v>
      </c>
      <c r="K52" s="72"/>
      <c r="L52" s="129"/>
      <c r="M52" s="72" t="str">
        <f t="array" ref="M52">IFERROR(INDEX(Printer!H:H,MATCH(J52,Printer!H:H,0)),"PRINTER LIST없음")</f>
        <v>jackson.kim@stryker.com</v>
      </c>
    </row>
    <row r="53" spans="1:13" ht="17">
      <c r="A53" s="59">
        <v>51</v>
      </c>
      <c r="B53" s="121" t="s">
        <v>1773</v>
      </c>
      <c r="C53" s="142" t="s">
        <v>1885</v>
      </c>
      <c r="D53" s="122">
        <v>45131</v>
      </c>
      <c r="E53" s="121" t="s">
        <v>1886</v>
      </c>
      <c r="F53" s="59"/>
      <c r="G53" s="72" t="s">
        <v>540</v>
      </c>
      <c r="H53" s="72" t="s">
        <v>541</v>
      </c>
      <c r="I53" s="130" t="s">
        <v>590</v>
      </c>
      <c r="J53" s="72" t="s">
        <v>592</v>
      </c>
      <c r="K53" s="72"/>
      <c r="L53" s="129"/>
      <c r="M53" s="72" t="str">
        <f t="array" ref="M53">IFERROR(INDEX(sales!C:C,MATCH(J53,sales!C:C,0)),"LIST없음")</f>
        <v>peter.park@stryker.com</v>
      </c>
    </row>
    <row r="54" spans="1:13" ht="17">
      <c r="A54" s="59">
        <v>52</v>
      </c>
      <c r="B54" s="121" t="s">
        <v>1773</v>
      </c>
      <c r="C54" s="142" t="s">
        <v>1887</v>
      </c>
      <c r="D54" s="122">
        <v>45131</v>
      </c>
      <c r="E54" s="121" t="s">
        <v>1888</v>
      </c>
      <c r="F54" s="59">
        <v>1</v>
      </c>
      <c r="G54" s="72" t="s">
        <v>790</v>
      </c>
      <c r="H54" s="72" t="s">
        <v>541</v>
      </c>
      <c r="I54" s="130" t="s">
        <v>377</v>
      </c>
      <c r="J54" s="72" t="s">
        <v>379</v>
      </c>
      <c r="K54" s="72"/>
      <c r="L54" s="129"/>
      <c r="M54" s="72" t="str">
        <f t="array" ref="M54">IFERROR(INDEX(sales!C:C,MATCH(J54,sales!C:C,0)),"LIST없음")</f>
        <v>dongkyu.kim@stryker.com</v>
      </c>
    </row>
    <row r="55" spans="1:13" ht="17">
      <c r="A55" s="59">
        <v>53</v>
      </c>
      <c r="B55" s="121" t="s">
        <v>1773</v>
      </c>
      <c r="C55" s="142" t="s">
        <v>1889</v>
      </c>
      <c r="D55" s="122">
        <v>45131</v>
      </c>
      <c r="E55" s="121" t="s">
        <v>1890</v>
      </c>
      <c r="F55" s="59">
        <v>1</v>
      </c>
      <c r="G55" s="72" t="s">
        <v>884</v>
      </c>
      <c r="H55" s="72" t="s">
        <v>1767</v>
      </c>
      <c r="I55" s="130" t="s">
        <v>684</v>
      </c>
      <c r="J55" s="72" t="s">
        <v>686</v>
      </c>
      <c r="K55" s="72"/>
      <c r="L55" s="129"/>
      <c r="M55" s="72"/>
    </row>
    <row r="56" spans="1:13" ht="17">
      <c r="A56" s="59">
        <v>54</v>
      </c>
      <c r="B56" s="121" t="s">
        <v>1773</v>
      </c>
      <c r="C56" s="142" t="s">
        <v>1891</v>
      </c>
      <c r="D56" s="122">
        <v>45131</v>
      </c>
      <c r="E56" s="121" t="s">
        <v>1892</v>
      </c>
      <c r="F56" s="59">
        <v>1</v>
      </c>
      <c r="G56" s="72" t="s">
        <v>833</v>
      </c>
      <c r="H56" s="72" t="s">
        <v>541</v>
      </c>
      <c r="I56" s="130" t="s">
        <v>613</v>
      </c>
      <c r="J56" s="72" t="s">
        <v>615</v>
      </c>
      <c r="K56" s="72"/>
      <c r="L56" s="129"/>
      <c r="M56" s="72" t="str">
        <f t="array" ref="M56">IFERROR(INDEX(sales!C:C,MATCH(J56,sales!C:C,0)),"LIST없음")</f>
        <v>hyoseon.park@stryker.com</v>
      </c>
    </row>
    <row r="57" spans="1:13" ht="17">
      <c r="A57" s="59">
        <v>55</v>
      </c>
      <c r="B57" s="121" t="s">
        <v>1773</v>
      </c>
      <c r="C57" s="142" t="s">
        <v>1893</v>
      </c>
      <c r="D57" s="122">
        <v>45204</v>
      </c>
      <c r="E57" s="121" t="s">
        <v>1894</v>
      </c>
      <c r="F57" s="59">
        <v>1</v>
      </c>
      <c r="G57" s="72" t="s">
        <v>790</v>
      </c>
      <c r="H57" s="72" t="s">
        <v>1031</v>
      </c>
      <c r="I57" s="130" t="s">
        <v>404</v>
      </c>
      <c r="J57" s="72" t="s">
        <v>406</v>
      </c>
      <c r="K57" s="72"/>
      <c r="L57" s="129"/>
      <c r="M57" s="72"/>
    </row>
    <row r="58" spans="1:13" ht="17">
      <c r="A58" s="59">
        <v>56</v>
      </c>
      <c r="B58" s="121" t="s">
        <v>1773</v>
      </c>
      <c r="C58" s="142" t="s">
        <v>1895</v>
      </c>
      <c r="D58" s="122">
        <v>45204</v>
      </c>
      <c r="E58" s="121" t="s">
        <v>1896</v>
      </c>
      <c r="F58" s="59">
        <v>1</v>
      </c>
      <c r="G58" s="72" t="s">
        <v>790</v>
      </c>
      <c r="H58" s="72" t="s">
        <v>1031</v>
      </c>
      <c r="I58" s="130" t="s">
        <v>238</v>
      </c>
      <c r="J58" s="72" t="s">
        <v>240</v>
      </c>
      <c r="K58" s="72"/>
      <c r="L58" s="129"/>
      <c r="M58" s="72"/>
    </row>
    <row r="59" spans="1:13" ht="17">
      <c r="A59" s="59">
        <v>57</v>
      </c>
      <c r="B59" s="121" t="s">
        <v>1773</v>
      </c>
      <c r="C59" s="142" t="s">
        <v>1897</v>
      </c>
      <c r="D59" s="122">
        <v>45204</v>
      </c>
      <c r="E59" s="121" t="s">
        <v>1898</v>
      </c>
      <c r="F59" s="59">
        <v>1</v>
      </c>
      <c r="G59" s="72" t="s">
        <v>790</v>
      </c>
      <c r="H59" s="72" t="s">
        <v>1031</v>
      </c>
      <c r="I59" s="130" t="s">
        <v>408</v>
      </c>
      <c r="J59" s="72" t="s">
        <v>410</v>
      </c>
      <c r="K59" s="72"/>
      <c r="L59" s="129"/>
      <c r="M59" s="72"/>
    </row>
    <row r="60" spans="1:13" ht="17">
      <c r="A60" s="59">
        <v>58</v>
      </c>
      <c r="B60" s="121" t="s">
        <v>1773</v>
      </c>
      <c r="C60" s="142" t="s">
        <v>1899</v>
      </c>
      <c r="D60" s="122">
        <v>45204</v>
      </c>
      <c r="E60" s="121" t="s">
        <v>1900</v>
      </c>
      <c r="F60" s="59">
        <v>1</v>
      </c>
      <c r="G60" s="72" t="s">
        <v>790</v>
      </c>
      <c r="H60" s="72" t="s">
        <v>1031</v>
      </c>
      <c r="I60" s="130" t="s">
        <v>400</v>
      </c>
      <c r="J60" s="72" t="s">
        <v>402</v>
      </c>
      <c r="K60" s="72"/>
      <c r="L60" s="129"/>
      <c r="M60" s="72"/>
    </row>
    <row r="61" spans="1:13" ht="17">
      <c r="A61" s="59">
        <v>59</v>
      </c>
      <c r="B61" s="121" t="s">
        <v>1773</v>
      </c>
      <c r="C61" s="142" t="s">
        <v>1901</v>
      </c>
      <c r="D61" s="122">
        <v>45204</v>
      </c>
      <c r="E61" s="121" t="s">
        <v>1902</v>
      </c>
      <c r="F61" s="59">
        <v>1</v>
      </c>
      <c r="G61" s="72" t="s">
        <v>850</v>
      </c>
      <c r="H61" s="72" t="s">
        <v>541</v>
      </c>
      <c r="I61" s="130" t="s">
        <v>182</v>
      </c>
      <c r="J61" s="72" t="s">
        <v>184</v>
      </c>
      <c r="K61" s="72"/>
      <c r="L61" s="129"/>
      <c r="M61" s="72" t="str">
        <f t="array" ref="M61">IFERROR(INDEX(sales!C:C,MATCH(J61,sales!C:C,0)),"LIST없음")</f>
        <v>yejin.heo@stryker.com</v>
      </c>
    </row>
    <row r="62" spans="1:13" ht="17">
      <c r="A62" s="59">
        <v>60</v>
      </c>
      <c r="B62" s="121" t="s">
        <v>1773</v>
      </c>
      <c r="C62" s="142" t="s">
        <v>1903</v>
      </c>
      <c r="D62" s="122">
        <v>45246</v>
      </c>
      <c r="E62" s="121" t="s">
        <v>1904</v>
      </c>
      <c r="F62" s="59"/>
      <c r="G62" s="72" t="s">
        <v>850</v>
      </c>
      <c r="H62" s="72" t="s">
        <v>1093</v>
      </c>
      <c r="I62" s="130" t="s">
        <v>321</v>
      </c>
      <c r="J62" s="72" t="s">
        <v>322</v>
      </c>
      <c r="K62" s="72"/>
      <c r="L62" s="129"/>
      <c r="M62" s="72" t="str">
        <f t="array" ref="M62">IFERROR(INDEX(Printer!H:H,MATCH(J62,Printer!H:H,0)),"PRINTER LIST없음")</f>
        <v>PRINTER LIST없음</v>
      </c>
    </row>
    <row r="63" spans="1:13" ht="17">
      <c r="A63" s="59">
        <v>61</v>
      </c>
      <c r="B63" s="121" t="s">
        <v>1773</v>
      </c>
      <c r="C63" s="142" t="s">
        <v>1905</v>
      </c>
      <c r="D63" s="122">
        <v>45246</v>
      </c>
      <c r="E63" s="121" t="s">
        <v>1906</v>
      </c>
      <c r="F63" s="58">
        <v>1</v>
      </c>
      <c r="G63" s="72" t="s">
        <v>833</v>
      </c>
      <c r="H63" s="72" t="s">
        <v>1767</v>
      </c>
      <c r="I63" s="130" t="s">
        <v>513</v>
      </c>
      <c r="J63" s="72" t="s">
        <v>515</v>
      </c>
      <c r="K63" s="72"/>
      <c r="L63" s="129"/>
      <c r="M63" s="72"/>
    </row>
    <row r="64" spans="1:13" ht="17">
      <c r="A64" s="59">
        <v>62</v>
      </c>
      <c r="B64" s="121" t="s">
        <v>1773</v>
      </c>
      <c r="C64" s="142" t="s">
        <v>1907</v>
      </c>
      <c r="D64" s="122">
        <v>45246</v>
      </c>
      <c r="E64" s="121" t="s">
        <v>1908</v>
      </c>
      <c r="F64" s="59">
        <v>1</v>
      </c>
      <c r="G64" s="72" t="s">
        <v>854</v>
      </c>
      <c r="H64" s="72" t="s">
        <v>541</v>
      </c>
      <c r="I64" s="130" t="s">
        <v>542</v>
      </c>
      <c r="J64" s="72" t="s">
        <v>544</v>
      </c>
      <c r="K64" s="72"/>
      <c r="L64" s="129"/>
      <c r="M64" s="72" t="str">
        <f t="array" ref="M64">IFERROR(INDEX(sales!C:C,MATCH(J64,sales!C:C,0)),"LIST없음")</f>
        <v>mason.oh@stryker.com</v>
      </c>
    </row>
    <row r="65" spans="1:13" ht="17">
      <c r="A65" s="59">
        <v>63</v>
      </c>
      <c r="B65" s="121" t="s">
        <v>1773</v>
      </c>
      <c r="C65" s="142" t="s">
        <v>1909</v>
      </c>
      <c r="D65" s="122">
        <v>45246</v>
      </c>
      <c r="E65" s="121" t="s">
        <v>1910</v>
      </c>
      <c r="F65" s="59">
        <v>1</v>
      </c>
      <c r="G65" s="72" t="s">
        <v>790</v>
      </c>
      <c r="H65" s="72" t="s">
        <v>1031</v>
      </c>
      <c r="I65" s="130" t="s">
        <v>748</v>
      </c>
      <c r="J65" s="72" t="s">
        <v>750</v>
      </c>
      <c r="K65" s="72"/>
      <c r="L65" s="129"/>
      <c r="M65" s="72"/>
    </row>
    <row r="66" spans="1:13" ht="17">
      <c r="A66" s="59">
        <v>64</v>
      </c>
      <c r="B66" s="142" t="s">
        <v>1773</v>
      </c>
      <c r="C66" s="142" t="s">
        <v>1911</v>
      </c>
      <c r="D66" s="143">
        <v>45246</v>
      </c>
      <c r="E66" s="142" t="s">
        <v>1912</v>
      </c>
      <c r="F66" s="59">
        <v>1</v>
      </c>
      <c r="G66" s="72" t="s">
        <v>854</v>
      </c>
      <c r="H66" s="72" t="s">
        <v>541</v>
      </c>
      <c r="I66" s="130" t="s">
        <v>259</v>
      </c>
      <c r="J66" s="72" t="s">
        <v>261</v>
      </c>
      <c r="K66" s="72"/>
      <c r="L66" s="129"/>
      <c r="M66" s="72" t="str">
        <f t="array" ref="M66">IFERROR(INDEX(Printer!H:H,MATCH(J66,Printer!H:H,0)),"PRINTER LIST없음")</f>
        <v>PRINTER LIST없음</v>
      </c>
    </row>
    <row r="67" spans="1:13" ht="17">
      <c r="A67" s="59">
        <v>65</v>
      </c>
      <c r="B67" s="121" t="s">
        <v>1773</v>
      </c>
      <c r="C67" s="142" t="s">
        <v>1913</v>
      </c>
      <c r="D67" s="122">
        <v>45246</v>
      </c>
      <c r="E67" s="121" t="s">
        <v>1914</v>
      </c>
      <c r="F67" s="59">
        <v>1</v>
      </c>
      <c r="G67" s="72" t="s">
        <v>909</v>
      </c>
      <c r="H67" s="72" t="s">
        <v>909</v>
      </c>
      <c r="I67" s="130" t="s">
        <v>29</v>
      </c>
      <c r="J67" s="72" t="s">
        <v>31</v>
      </c>
      <c r="K67" s="72"/>
      <c r="L67" s="129"/>
      <c r="M67" s="72" t="str">
        <f t="array" ref="M67">IFERROR(INDEX(Printer!H:H,MATCH(J67,Printer!H:H,0)),"PRINTER LIST없음")</f>
        <v>PRINTER LIST없음</v>
      </c>
    </row>
    <row r="68" spans="1:13" ht="17">
      <c r="A68" s="59">
        <v>66</v>
      </c>
      <c r="B68" s="121" t="s">
        <v>1773</v>
      </c>
      <c r="C68" s="142" t="s">
        <v>1915</v>
      </c>
      <c r="D68" s="122">
        <v>45246</v>
      </c>
      <c r="E68" s="121" t="s">
        <v>1916</v>
      </c>
      <c r="F68" s="59">
        <v>1</v>
      </c>
      <c r="G68" s="72" t="s">
        <v>540</v>
      </c>
      <c r="H68" s="72" t="s">
        <v>541</v>
      </c>
      <c r="I68" s="130" t="s">
        <v>486</v>
      </c>
      <c r="J68" s="72" t="s">
        <v>488</v>
      </c>
      <c r="K68" s="72"/>
      <c r="L68" s="129"/>
      <c r="M68" s="72" t="str">
        <f t="array" ref="M68">IFERROR(INDEX(sales!C:C,MATCH(J68,sales!C:C,0)),"LIST없음")</f>
        <v>ayaan.lee@stryker.com</v>
      </c>
    </row>
    <row r="69" spans="1:13" ht="17">
      <c r="A69" s="59">
        <v>67</v>
      </c>
      <c r="B69" s="121" t="s">
        <v>1773</v>
      </c>
      <c r="C69" s="142" t="s">
        <v>1917</v>
      </c>
      <c r="D69" s="122">
        <v>45246</v>
      </c>
      <c r="E69" s="121" t="s">
        <v>1918</v>
      </c>
      <c r="F69" s="59">
        <v>1</v>
      </c>
      <c r="G69" s="72" t="s">
        <v>790</v>
      </c>
      <c r="H69" s="72" t="s">
        <v>1093</v>
      </c>
      <c r="I69" s="130" t="s">
        <v>356</v>
      </c>
      <c r="J69" s="72" t="s">
        <v>358</v>
      </c>
      <c r="K69" s="72"/>
      <c r="L69" s="129"/>
      <c r="M69" s="72" t="str">
        <f t="array" ref="M69">IFERROR(INDEX(Printer!H:H,MATCH(J69,Printer!H:H,0)),"PRINTER LIST없음")</f>
        <v>yeonjoo.kim@stryker.com</v>
      </c>
    </row>
    <row r="70" spans="1:13" ht="17">
      <c r="A70" s="59">
        <v>68</v>
      </c>
      <c r="B70" s="121" t="s">
        <v>1919</v>
      </c>
      <c r="C70" s="142" t="s">
        <v>1920</v>
      </c>
      <c r="D70" s="122">
        <v>45321</v>
      </c>
      <c r="E70" s="121" t="s">
        <v>1921</v>
      </c>
      <c r="F70" s="59"/>
      <c r="G70" s="72" t="s">
        <v>833</v>
      </c>
      <c r="H70" s="72" t="s">
        <v>541</v>
      </c>
      <c r="I70" s="130" t="s">
        <v>213</v>
      </c>
      <c r="J70" s="72" t="s">
        <v>215</v>
      </c>
      <c r="K70" s="72"/>
      <c r="L70" s="129"/>
      <c r="M70" s="72" t="str">
        <f t="array" ref="M70">IFERROR(INDEX(sales!C:C,MATCH(J70,sales!C:C,0)),"LIST없음")</f>
        <v>theo.hwang@stryker.com</v>
      </c>
    </row>
    <row r="71" spans="1:13" ht="17">
      <c r="A71" s="59">
        <v>69</v>
      </c>
      <c r="B71" s="121" t="s">
        <v>1919</v>
      </c>
      <c r="C71" s="142" t="s">
        <v>1922</v>
      </c>
      <c r="D71" s="122">
        <v>45321</v>
      </c>
      <c r="E71" s="121" t="s">
        <v>1923</v>
      </c>
      <c r="F71" s="59">
        <v>1</v>
      </c>
      <c r="G71" s="72" t="s">
        <v>833</v>
      </c>
      <c r="H71" s="72" t="s">
        <v>541</v>
      </c>
      <c r="I71" s="130" t="s">
        <v>119</v>
      </c>
      <c r="J71" s="72" t="s">
        <v>121</v>
      </c>
      <c r="K71" s="72"/>
      <c r="L71" s="129"/>
      <c r="M71" s="72" t="str">
        <f t="array" ref="M71">IFERROR(INDEX(sales!C:C,MATCH(J71,sales!C:C,0)),"LIST없음")</f>
        <v>brad.choi@stryker.com</v>
      </c>
    </row>
    <row r="72" spans="1:13" ht="17">
      <c r="A72" s="59">
        <v>70</v>
      </c>
      <c r="B72" s="121" t="s">
        <v>1919</v>
      </c>
      <c r="C72" s="142" t="s">
        <v>1924</v>
      </c>
      <c r="D72" s="122">
        <v>45330</v>
      </c>
      <c r="E72" s="121" t="s">
        <v>1925</v>
      </c>
      <c r="F72" s="59"/>
      <c r="G72" s="72" t="s">
        <v>909</v>
      </c>
      <c r="H72" s="72" t="s">
        <v>909</v>
      </c>
      <c r="I72" s="130" t="s">
        <v>88</v>
      </c>
      <c r="J72" s="72" t="s">
        <v>90</v>
      </c>
      <c r="K72" s="72"/>
      <c r="L72" s="129"/>
      <c r="M72" s="72" t="str">
        <f t="array" ref="M72">IFERROR(INDEX(Printer!H:H,MATCH(J72,Printer!H:H,0)),"PRINTER LIST없음")</f>
        <v>PRINTER LIST없음</v>
      </c>
    </row>
    <row r="73" spans="1:13" ht="17">
      <c r="A73" s="59">
        <v>71</v>
      </c>
      <c r="B73" s="121" t="s">
        <v>1926</v>
      </c>
      <c r="C73" s="142" t="s">
        <v>1927</v>
      </c>
      <c r="D73" s="122">
        <v>45474</v>
      </c>
      <c r="E73" s="121" t="s">
        <v>1928</v>
      </c>
      <c r="F73" s="59"/>
      <c r="G73" s="72" t="s">
        <v>909</v>
      </c>
      <c r="H73" s="72" t="s">
        <v>909</v>
      </c>
      <c r="I73" s="130" t="s">
        <v>204</v>
      </c>
      <c r="J73" s="72" t="s">
        <v>206</v>
      </c>
      <c r="K73" s="72"/>
      <c r="L73" s="129"/>
      <c r="M73" s="72" t="str">
        <f t="array" ref="M73">IFERROR(INDEX(Printer!H:H,MATCH(J73,Printer!H:H,0)),"PRINTER LIST없음")</f>
        <v>oscar.hwang@stryker.com</v>
      </c>
    </row>
    <row r="74" spans="1:13" ht="17">
      <c r="A74" s="59">
        <v>72</v>
      </c>
      <c r="B74" s="121" t="s">
        <v>1926</v>
      </c>
      <c r="C74" s="142" t="s">
        <v>1929</v>
      </c>
      <c r="D74" s="122">
        <v>45474</v>
      </c>
      <c r="E74" s="121" t="s">
        <v>1930</v>
      </c>
      <c r="F74" s="59">
        <v>1</v>
      </c>
      <c r="G74" s="72" t="s">
        <v>854</v>
      </c>
      <c r="H74" s="72" t="s">
        <v>541</v>
      </c>
      <c r="I74" s="130" t="s">
        <v>417</v>
      </c>
      <c r="J74" s="72" t="s">
        <v>419</v>
      </c>
      <c r="K74" s="72"/>
      <c r="L74" s="129"/>
      <c r="M74" s="72" t="str">
        <f t="array" ref="M74">IFERROR(INDEX(sales!C:C,MATCH(J74,sales!C:C,0)),"LIST없음")</f>
        <v>james.kim@stryker.com</v>
      </c>
    </row>
    <row r="75" spans="1:13" ht="17">
      <c r="A75" s="59">
        <v>73</v>
      </c>
      <c r="B75" s="121" t="s">
        <v>1926</v>
      </c>
      <c r="C75" s="142" t="s">
        <v>1931</v>
      </c>
      <c r="D75" s="122">
        <v>45474</v>
      </c>
      <c r="E75" s="121" t="s">
        <v>1932</v>
      </c>
      <c r="F75" s="59">
        <v>1</v>
      </c>
      <c r="G75" s="72" t="s">
        <v>833</v>
      </c>
      <c r="H75" s="72" t="s">
        <v>541</v>
      </c>
      <c r="I75" s="130" t="s">
        <v>143</v>
      </c>
      <c r="J75" s="72" t="s">
        <v>145</v>
      </c>
      <c r="K75" s="72"/>
      <c r="L75" s="129"/>
      <c r="M75" s="72" t="str">
        <f t="array" ref="M75">IFERROR(INDEX(sales!C:C,MATCH(J75,sales!C:C,0)),"LIST없음")</f>
        <v>Nathan.Eom@stryker.com</v>
      </c>
    </row>
    <row r="76" spans="1:13" ht="17">
      <c r="A76" s="59">
        <v>74</v>
      </c>
      <c r="B76" s="121" t="s">
        <v>1926</v>
      </c>
      <c r="C76" s="121" t="s">
        <v>1933</v>
      </c>
      <c r="D76" s="122">
        <v>45474</v>
      </c>
      <c r="E76" s="121" t="s">
        <v>1934</v>
      </c>
      <c r="F76" s="59">
        <v>1</v>
      </c>
      <c r="G76" s="72" t="s">
        <v>790</v>
      </c>
      <c r="H76" s="72" t="s">
        <v>1031</v>
      </c>
      <c r="I76" s="121" t="s">
        <v>1935</v>
      </c>
      <c r="J76" s="134" t="s">
        <v>1936</v>
      </c>
      <c r="K76" s="133"/>
      <c r="L76" s="129"/>
      <c r="M76" s="72"/>
    </row>
    <row r="77" spans="1:13" ht="17">
      <c r="A77" s="59">
        <v>75</v>
      </c>
      <c r="B77" s="121" t="s">
        <v>1926</v>
      </c>
      <c r="C77" s="142" t="s">
        <v>1937</v>
      </c>
      <c r="D77" s="122">
        <v>45474</v>
      </c>
      <c r="E77" s="121" t="s">
        <v>1938</v>
      </c>
      <c r="F77" s="59">
        <v>1</v>
      </c>
      <c r="G77" s="72" t="s">
        <v>833</v>
      </c>
      <c r="H77" s="72" t="s">
        <v>541</v>
      </c>
      <c r="I77" s="126" t="s">
        <v>598</v>
      </c>
      <c r="J77" s="72" t="s">
        <v>600</v>
      </c>
      <c r="K77" s="72"/>
      <c r="L77" s="129"/>
      <c r="M77" s="72" t="str">
        <f t="array" ref="M77">IFERROR(INDEX(sales!C:C,MATCH(J77,sales!C:C,0)),"LIST없음")</f>
        <v>jin.park@stryker.com</v>
      </c>
    </row>
    <row r="78" spans="1:13" ht="17">
      <c r="A78" s="59">
        <v>76</v>
      </c>
      <c r="B78" s="121" t="s">
        <v>1926</v>
      </c>
      <c r="C78" s="142" t="s">
        <v>1939</v>
      </c>
      <c r="D78" s="122">
        <v>45474</v>
      </c>
      <c r="E78" s="121" t="s">
        <v>1940</v>
      </c>
      <c r="F78" s="59">
        <v>1</v>
      </c>
      <c r="G78" s="72" t="s">
        <v>850</v>
      </c>
      <c r="H78" s="72" t="s">
        <v>541</v>
      </c>
      <c r="I78" s="130" t="s">
        <v>228</v>
      </c>
      <c r="J78" s="72" t="s">
        <v>230</v>
      </c>
      <c r="K78" s="72"/>
      <c r="L78" s="129"/>
      <c r="M78" s="72" t="str">
        <f t="array" ref="M78">IFERROR(INDEX(sales!C:C,MATCH(J78,sales!C:C,0)),"LIST없음")</f>
        <v>lucas.jeon@stryker.com</v>
      </c>
    </row>
    <row r="79" spans="1:13" ht="17">
      <c r="A79" s="59">
        <v>77</v>
      </c>
      <c r="B79" s="121" t="s">
        <v>1926</v>
      </c>
      <c r="C79" s="142" t="s">
        <v>1941</v>
      </c>
      <c r="D79" s="122">
        <v>45474</v>
      </c>
      <c r="E79" s="121" t="s">
        <v>1942</v>
      </c>
      <c r="F79" s="59">
        <v>1</v>
      </c>
      <c r="G79" s="72" t="s">
        <v>790</v>
      </c>
      <c r="H79" s="72" t="s">
        <v>1031</v>
      </c>
      <c r="I79" s="142" t="s">
        <v>112</v>
      </c>
      <c r="J79" s="72" t="s">
        <v>114</v>
      </c>
      <c r="K79" s="72"/>
      <c r="L79" s="129"/>
      <c r="M79" s="72"/>
    </row>
    <row r="80" spans="1:13" ht="17">
      <c r="A80" s="59">
        <v>78</v>
      </c>
      <c r="B80" s="121" t="s">
        <v>1926</v>
      </c>
      <c r="C80" s="142" t="s">
        <v>1943</v>
      </c>
      <c r="D80" s="122">
        <v>45474</v>
      </c>
      <c r="E80" s="121" t="s">
        <v>1944</v>
      </c>
      <c r="F80" s="59">
        <v>1</v>
      </c>
      <c r="G80" s="72" t="s">
        <v>388</v>
      </c>
      <c r="H80" s="72" t="s">
        <v>1767</v>
      </c>
      <c r="I80" s="142" t="s">
        <v>384</v>
      </c>
      <c r="J80" s="72" t="s">
        <v>386</v>
      </c>
      <c r="K80" s="72"/>
      <c r="L80" s="129"/>
      <c r="M80" s="72"/>
    </row>
    <row r="81" spans="1:13" ht="17">
      <c r="A81" s="59">
        <v>79</v>
      </c>
      <c r="B81" s="121" t="s">
        <v>1926</v>
      </c>
      <c r="C81" s="142" t="s">
        <v>1945</v>
      </c>
      <c r="D81" s="122">
        <v>45474</v>
      </c>
      <c r="E81" s="121" t="s">
        <v>1946</v>
      </c>
      <c r="F81" s="59">
        <v>1</v>
      </c>
      <c r="G81" s="72" t="s">
        <v>790</v>
      </c>
      <c r="H81" s="72" t="s">
        <v>1031</v>
      </c>
      <c r="I81" s="142" t="s">
        <v>396</v>
      </c>
      <c r="J81" s="72" t="s">
        <v>398</v>
      </c>
      <c r="K81" s="72"/>
      <c r="L81" s="129"/>
      <c r="M81" s="72"/>
    </row>
    <row r="82" spans="1:13" ht="17">
      <c r="A82" s="59">
        <v>80</v>
      </c>
      <c r="B82" s="121" t="s">
        <v>1926</v>
      </c>
      <c r="C82" s="142" t="s">
        <v>1947</v>
      </c>
      <c r="D82" s="122">
        <v>45565</v>
      </c>
      <c r="E82" s="121" t="s">
        <v>1948</v>
      </c>
      <c r="F82" s="59"/>
      <c r="G82" s="72" t="s">
        <v>833</v>
      </c>
      <c r="H82" s="72" t="s">
        <v>541</v>
      </c>
      <c r="I82" s="142" t="s">
        <v>661</v>
      </c>
      <c r="J82" s="72" t="s">
        <v>663</v>
      </c>
      <c r="K82" s="72"/>
      <c r="L82" s="129"/>
      <c r="M82" s="72" t="str">
        <f t="array" ref="M82">IFERROR(INDEX(sales!C:C,MATCH(J82,sales!C:C,0)),"LIST없음")</f>
        <v>dana.shin@stryker.com</v>
      </c>
    </row>
    <row r="83" spans="1:13" ht="17">
      <c r="A83" s="59">
        <v>81</v>
      </c>
      <c r="B83" s="121" t="s">
        <v>1926</v>
      </c>
      <c r="C83" s="142" t="s">
        <v>1949</v>
      </c>
      <c r="D83" s="122">
        <v>45565</v>
      </c>
      <c r="E83" s="121" t="s">
        <v>1950</v>
      </c>
      <c r="F83" s="59">
        <v>1</v>
      </c>
      <c r="G83" s="72" t="s">
        <v>833</v>
      </c>
      <c r="H83" s="72" t="s">
        <v>541</v>
      </c>
      <c r="I83" s="142" t="s">
        <v>103</v>
      </c>
      <c r="J83" s="72" t="s">
        <v>105</v>
      </c>
      <c r="K83" s="72"/>
      <c r="L83" s="129"/>
      <c r="M83" s="72" t="str">
        <f t="array" ref="M83">IFERROR(INDEX(sales!C:C,MATCH(J83,sales!C:C,0)),"LIST없음")</f>
        <v>martin.cho@stryker.com</v>
      </c>
    </row>
    <row r="84" spans="1:13" ht="17">
      <c r="A84" s="59">
        <v>82</v>
      </c>
      <c r="B84" s="121" t="s">
        <v>1926</v>
      </c>
      <c r="C84" s="142" t="s">
        <v>1951</v>
      </c>
      <c r="D84" s="122">
        <v>45565</v>
      </c>
      <c r="E84" s="121" t="s">
        <v>1952</v>
      </c>
      <c r="F84" s="59">
        <v>1</v>
      </c>
      <c r="G84" s="72" t="s">
        <v>932</v>
      </c>
      <c r="H84" s="72" t="s">
        <v>541</v>
      </c>
      <c r="I84" s="59" t="s">
        <v>1953</v>
      </c>
      <c r="J84" s="72" t="s">
        <v>73</v>
      </c>
      <c r="K84" s="72"/>
      <c r="L84" s="129"/>
      <c r="M84" s="72" t="str">
        <f t="array" ref="M84">IFERROR(INDEX(sales!C:C,MATCH(J84,sales!C:C,0)),"LIST없음")</f>
        <v>sunghoon.bang@stryker.com</v>
      </c>
    </row>
    <row r="85" spans="1:13" ht="17">
      <c r="A85" s="59">
        <v>83</v>
      </c>
      <c r="B85" s="121" t="s">
        <v>1926</v>
      </c>
      <c r="C85" s="121" t="s">
        <v>1954</v>
      </c>
      <c r="D85" s="122">
        <v>45600</v>
      </c>
      <c r="E85" s="121" t="s">
        <v>1955</v>
      </c>
      <c r="F85" s="59">
        <v>1</v>
      </c>
      <c r="G85" s="72" t="s">
        <v>854</v>
      </c>
      <c r="H85" s="72" t="s">
        <v>541</v>
      </c>
      <c r="I85" s="59" t="s">
        <v>1956</v>
      </c>
      <c r="J85" s="72" t="s">
        <v>219</v>
      </c>
      <c r="K85" s="72"/>
      <c r="L85" s="129"/>
      <c r="M85" s="72" t="str">
        <f t="array" ref="M85">IFERROR(INDEX(sales!C:C,MATCH(J85,sales!C:C,0)),"LIST없음")</f>
        <v>daniel.jang@stryker.com</v>
      </c>
    </row>
    <row r="86" spans="1:13" ht="17">
      <c r="A86" s="59">
        <v>84</v>
      </c>
      <c r="B86" s="121" t="s">
        <v>1926</v>
      </c>
      <c r="C86" s="142" t="s">
        <v>1957</v>
      </c>
      <c r="D86" s="122">
        <v>45600</v>
      </c>
      <c r="E86" s="121" t="s">
        <v>1958</v>
      </c>
      <c r="F86" s="59">
        <v>1</v>
      </c>
      <c r="G86" s="72" t="s">
        <v>833</v>
      </c>
      <c r="H86" s="72" t="s">
        <v>541</v>
      </c>
      <c r="I86" s="121" t="s">
        <v>530</v>
      </c>
      <c r="J86" s="72" t="s">
        <v>532</v>
      </c>
      <c r="K86" s="72"/>
      <c r="L86" s="129"/>
      <c r="M86" s="72" t="str">
        <f t="array" ref="M86">IFERROR(INDEX(sales!C:C,MATCH(J86,sales!C:C,0)),"LIST없음")</f>
        <v>ethan.na@stryker.com</v>
      </c>
    </row>
    <row r="87" spans="1:13" ht="17">
      <c r="A87" s="59">
        <v>85</v>
      </c>
      <c r="B87" s="121" t="s">
        <v>1926</v>
      </c>
      <c r="C87" s="142" t="s">
        <v>1959</v>
      </c>
      <c r="D87" s="122">
        <v>45600</v>
      </c>
      <c r="E87" s="121" t="s">
        <v>1960</v>
      </c>
      <c r="F87" s="59">
        <v>1</v>
      </c>
      <c r="G87" s="72" t="s">
        <v>790</v>
      </c>
      <c r="H87" s="72" t="s">
        <v>1767</v>
      </c>
      <c r="I87" s="121" t="s">
        <v>453</v>
      </c>
      <c r="J87" s="72" t="s">
        <v>455</v>
      </c>
      <c r="K87" s="72"/>
      <c r="L87" s="129"/>
      <c r="M87" s="72"/>
    </row>
    <row r="88" spans="1:13" ht="17">
      <c r="A88" s="59">
        <v>86</v>
      </c>
      <c r="B88" s="121" t="s">
        <v>1926</v>
      </c>
      <c r="C88" s="144" t="s">
        <v>1961</v>
      </c>
      <c r="D88" s="127">
        <v>45600</v>
      </c>
      <c r="E88" s="126" t="s">
        <v>1962</v>
      </c>
      <c r="F88" s="59">
        <v>1</v>
      </c>
      <c r="G88" s="128" t="s">
        <v>540</v>
      </c>
      <c r="H88" s="128" t="s">
        <v>1093</v>
      </c>
      <c r="I88" s="126" t="s">
        <v>380</v>
      </c>
      <c r="J88" s="72" t="s">
        <v>382</v>
      </c>
      <c r="K88" s="72"/>
      <c r="L88" s="129"/>
      <c r="M88" s="72" t="str">
        <f t="array" ref="M88">IFERROR(INDEX(Printer!H:H,MATCH(J88,Printer!H:H,0)),"PRINTER LIST없음")</f>
        <v>PRINTER LIST없음</v>
      </c>
    </row>
    <row r="89" spans="1:13" ht="17">
      <c r="A89" s="59">
        <v>87</v>
      </c>
      <c r="B89" s="121" t="s">
        <v>1926</v>
      </c>
      <c r="C89" s="145" t="s">
        <v>1963</v>
      </c>
      <c r="D89" s="146">
        <v>45600</v>
      </c>
      <c r="E89" s="130" t="s">
        <v>1964</v>
      </c>
      <c r="F89" s="58"/>
      <c r="G89" s="147" t="s">
        <v>846</v>
      </c>
      <c r="H89" s="147" t="s">
        <v>1767</v>
      </c>
      <c r="I89" s="130" t="s">
        <v>291</v>
      </c>
      <c r="J89" s="72" t="s">
        <v>292</v>
      </c>
      <c r="K89" s="72"/>
      <c r="L89" s="129"/>
      <c r="M89" s="72"/>
    </row>
    <row r="90" spans="1:13" ht="17">
      <c r="A90" s="59">
        <v>88</v>
      </c>
      <c r="B90" s="121" t="s">
        <v>1926</v>
      </c>
      <c r="C90" s="145" t="s">
        <v>1965</v>
      </c>
      <c r="D90" s="146">
        <v>45600</v>
      </c>
      <c r="E90" s="130" t="s">
        <v>1966</v>
      </c>
      <c r="F90" s="59">
        <v>1</v>
      </c>
      <c r="G90" s="147" t="s">
        <v>909</v>
      </c>
      <c r="H90" s="147" t="s">
        <v>909</v>
      </c>
      <c r="I90" s="130" t="s">
        <v>693</v>
      </c>
      <c r="J90" s="72" t="s">
        <v>695</v>
      </c>
      <c r="K90" s="72"/>
      <c r="L90" s="129"/>
      <c r="M90" s="72" t="str">
        <f t="array" ref="M90">IFERROR(INDEX(Printer!H:H,MATCH(J90,Printer!H:H,0)),"PRINTER LIST없음")</f>
        <v>PRINTER LIST없음</v>
      </c>
    </row>
    <row r="91" spans="1:13" ht="17">
      <c r="A91" s="59">
        <v>89</v>
      </c>
      <c r="B91" s="121" t="s">
        <v>1926</v>
      </c>
      <c r="C91" s="142" t="s">
        <v>1967</v>
      </c>
      <c r="D91" s="122">
        <v>45600</v>
      </c>
      <c r="E91" s="121" t="s">
        <v>1968</v>
      </c>
      <c r="F91" s="59">
        <v>1</v>
      </c>
      <c r="G91" s="72" t="s">
        <v>540</v>
      </c>
      <c r="H91" s="72" t="s">
        <v>541</v>
      </c>
      <c r="I91" s="121" t="s">
        <v>326</v>
      </c>
      <c r="J91" s="72" t="s">
        <v>328</v>
      </c>
      <c r="K91" s="72"/>
      <c r="L91" s="129"/>
      <c r="M91" s="72" t="str">
        <f t="array" ref="M91">IFERROR(INDEX(sales!C:C,MATCH(J91,sales!C:C,0)),"LIST없음")</f>
        <v>Suhyun.Kim@stryker.com</v>
      </c>
    </row>
    <row r="92" spans="1:13" ht="17">
      <c r="A92" s="99">
        <v>90</v>
      </c>
      <c r="B92" s="148" t="s">
        <v>1926</v>
      </c>
      <c r="C92" s="148" t="s">
        <v>1969</v>
      </c>
      <c r="D92" s="149">
        <v>45600</v>
      </c>
      <c r="E92" s="148" t="s">
        <v>1970</v>
      </c>
      <c r="F92" s="58">
        <v>1</v>
      </c>
      <c r="G92" s="77" t="s">
        <v>850</v>
      </c>
      <c r="H92" s="77" t="s">
        <v>541</v>
      </c>
      <c r="I92" s="58" t="s">
        <v>847</v>
      </c>
      <c r="J92" s="150" t="s">
        <v>849</v>
      </c>
      <c r="K92" s="121" t="s">
        <v>1971</v>
      </c>
      <c r="L92" s="129"/>
      <c r="M92" s="72" t="str">
        <f t="array" ref="M92">IFERROR(INDEX(Printer!H:H,MATCH(J92,Printer!H:H,0)),"PRINTER LIST없음")</f>
        <v>ian.hwang@stryker.com</v>
      </c>
    </row>
    <row r="93" spans="1:13" ht="17">
      <c r="A93" s="59">
        <v>91</v>
      </c>
      <c r="B93" s="121" t="s">
        <v>1926</v>
      </c>
      <c r="C93" s="142" t="s">
        <v>1972</v>
      </c>
      <c r="D93" s="122">
        <v>45600</v>
      </c>
      <c r="E93" s="121" t="s">
        <v>1973</v>
      </c>
      <c r="F93" s="59">
        <v>1</v>
      </c>
      <c r="G93" s="72" t="s">
        <v>850</v>
      </c>
      <c r="H93" s="72" t="s">
        <v>541</v>
      </c>
      <c r="I93" s="121" t="s">
        <v>208</v>
      </c>
      <c r="J93" s="72" t="s">
        <v>210</v>
      </c>
      <c r="K93" s="72"/>
      <c r="L93" s="129"/>
      <c r="M93" s="72" t="str">
        <f t="array" ref="M93">IFERROR(INDEX(sales!C:C,MATCH(J93,sales!C:C,0)),"LIST없음")</f>
        <v>young.hwang@stryker.com</v>
      </c>
    </row>
    <row r="94" spans="1:13" ht="17">
      <c r="A94" s="59">
        <v>92</v>
      </c>
      <c r="B94" s="121" t="s">
        <v>1926</v>
      </c>
      <c r="C94" s="142" t="s">
        <v>1974</v>
      </c>
      <c r="D94" s="122">
        <v>45600</v>
      </c>
      <c r="E94" s="121" t="s">
        <v>1975</v>
      </c>
      <c r="F94" s="59"/>
      <c r="G94" s="72" t="s">
        <v>833</v>
      </c>
      <c r="H94" s="72" t="s">
        <v>541</v>
      </c>
      <c r="I94" s="121" t="s">
        <v>670</v>
      </c>
      <c r="J94" s="72" t="s">
        <v>672</v>
      </c>
      <c r="K94" s="72"/>
      <c r="L94" s="129"/>
      <c r="M94" s="72" t="str">
        <f t="array" ref="M94">IFERROR(INDEX(sales!C:C,MATCH(J94,sales!C:C,0)),"LIST없음")</f>
        <v>Simon.sin@stryker.com</v>
      </c>
    </row>
    <row r="95" spans="1:13" ht="17">
      <c r="A95" s="59">
        <v>93</v>
      </c>
      <c r="B95" s="121" t="s">
        <v>1926</v>
      </c>
      <c r="C95" s="142" t="s">
        <v>1976</v>
      </c>
      <c r="D95" s="122">
        <v>45600</v>
      </c>
      <c r="E95" s="121" t="s">
        <v>1977</v>
      </c>
      <c r="F95" s="59">
        <v>1</v>
      </c>
      <c r="G95" s="72" t="s">
        <v>909</v>
      </c>
      <c r="H95" s="72" t="s">
        <v>909</v>
      </c>
      <c r="I95" s="121" t="s">
        <v>479</v>
      </c>
      <c r="J95" s="72" t="s">
        <v>481</v>
      </c>
      <c r="K95" s="72"/>
      <c r="L95" s="129"/>
      <c r="M95" s="72" t="str">
        <f t="array" ref="M95">IFERROR(INDEX(Printer!H:H,MATCH(J95,Printer!H:H,0)),"PRINTER LIST없음")</f>
        <v>daniel.lee1@stryker.com</v>
      </c>
    </row>
    <row r="96" spans="1:13" ht="17">
      <c r="A96" s="59">
        <v>94</v>
      </c>
      <c r="B96" s="121" t="s">
        <v>1926</v>
      </c>
      <c r="C96" s="142" t="s">
        <v>1978</v>
      </c>
      <c r="D96" s="122">
        <v>45600</v>
      </c>
      <c r="E96" s="121" t="s">
        <v>1979</v>
      </c>
      <c r="F96" s="59">
        <v>1</v>
      </c>
      <c r="G96" s="72" t="s">
        <v>833</v>
      </c>
      <c r="H96" s="72" t="s">
        <v>541</v>
      </c>
      <c r="I96" s="121" t="s">
        <v>608</v>
      </c>
      <c r="J96" s="72" t="s">
        <v>610</v>
      </c>
      <c r="K96" s="72"/>
      <c r="L96" s="129"/>
      <c r="M96" s="72" t="str">
        <f t="array" ref="M96">IFERROR(INDEX(sales!C:C,MATCH(J96,sales!C:C,0)),"LIST없음")</f>
        <v>daniel.park@stryker.com</v>
      </c>
    </row>
    <row r="97" spans="1:13" ht="17">
      <c r="A97" s="59">
        <v>95</v>
      </c>
      <c r="B97" s="121" t="s">
        <v>1926</v>
      </c>
      <c r="C97" s="142" t="s">
        <v>1980</v>
      </c>
      <c r="D97" s="122">
        <v>45600</v>
      </c>
      <c r="E97" s="121" t="s">
        <v>1981</v>
      </c>
      <c r="F97" s="59"/>
      <c r="G97" s="72" t="s">
        <v>850</v>
      </c>
      <c r="H97" s="72" t="s">
        <v>541</v>
      </c>
      <c r="I97" s="142" t="s">
        <v>1982</v>
      </c>
      <c r="J97" s="72" t="s">
        <v>125</v>
      </c>
      <c r="K97" s="72"/>
      <c r="L97" s="129"/>
      <c r="M97" s="72" t="str">
        <f t="array" ref="M97">IFERROR(INDEX(sales!C:C,MATCH(J97,sales!C:C,0)),"LIST없음")</f>
        <v>kyu.choi@stryker.com</v>
      </c>
    </row>
    <row r="98" spans="1:13" ht="17">
      <c r="A98" s="59">
        <v>96</v>
      </c>
      <c r="B98" s="121" t="s">
        <v>1926</v>
      </c>
      <c r="C98" s="142" t="s">
        <v>1983</v>
      </c>
      <c r="D98" s="122">
        <v>45600</v>
      </c>
      <c r="E98" s="121" t="s">
        <v>1984</v>
      </c>
      <c r="F98" s="59">
        <v>1</v>
      </c>
      <c r="G98" s="72" t="s">
        <v>790</v>
      </c>
      <c r="H98" s="72" t="s">
        <v>541</v>
      </c>
      <c r="I98" s="121" t="s">
        <v>310</v>
      </c>
      <c r="J98" s="72" t="s">
        <v>312</v>
      </c>
      <c r="K98" s="72"/>
      <c r="L98" s="129"/>
      <c r="M98" s="72" t="str">
        <f t="array" ref="M98">IFERROR(INDEX(sales!C:C,MATCH(J98,sales!C:C,0)),"LIST없음")</f>
        <v>Justin.Kim@stryker.com</v>
      </c>
    </row>
    <row r="99" spans="1:13" ht="17">
      <c r="A99" s="59">
        <v>97</v>
      </c>
      <c r="B99" s="121" t="s">
        <v>1926</v>
      </c>
      <c r="C99" s="142" t="s">
        <v>1985</v>
      </c>
      <c r="D99" s="122">
        <v>45600</v>
      </c>
      <c r="E99" s="121" t="s">
        <v>1986</v>
      </c>
      <c r="F99" s="59">
        <v>1</v>
      </c>
      <c r="G99" s="72" t="s">
        <v>790</v>
      </c>
      <c r="H99" s="72" t="s">
        <v>1031</v>
      </c>
      <c r="I99" s="59" t="s">
        <v>1254</v>
      </c>
      <c r="J99" s="134" t="s">
        <v>1987</v>
      </c>
      <c r="K99" s="72" t="s">
        <v>1988</v>
      </c>
      <c r="L99" s="129"/>
      <c r="M99" s="72"/>
    </row>
    <row r="100" spans="1:13" ht="17">
      <c r="A100" s="59">
        <v>98</v>
      </c>
      <c r="B100" s="121" t="s">
        <v>1926</v>
      </c>
      <c r="C100" s="142" t="s">
        <v>1989</v>
      </c>
      <c r="D100" s="122">
        <v>45600</v>
      </c>
      <c r="E100" s="121" t="s">
        <v>1990</v>
      </c>
      <c r="F100" s="59"/>
      <c r="G100" s="72" t="s">
        <v>790</v>
      </c>
      <c r="H100" s="72" t="s">
        <v>1031</v>
      </c>
      <c r="I100" s="142" t="s">
        <v>1002</v>
      </c>
      <c r="J100" s="124" t="s">
        <v>25</v>
      </c>
      <c r="K100" s="72"/>
      <c r="L100" s="129"/>
      <c r="M100" s="72"/>
    </row>
    <row r="101" spans="1:13" ht="17">
      <c r="A101" s="59">
        <v>99</v>
      </c>
      <c r="B101" s="121" t="s">
        <v>1926</v>
      </c>
      <c r="C101" s="142" t="s">
        <v>1991</v>
      </c>
      <c r="D101" s="122">
        <v>45600</v>
      </c>
      <c r="E101" s="121" t="s">
        <v>1992</v>
      </c>
      <c r="F101" s="59"/>
      <c r="G101" s="72" t="s">
        <v>909</v>
      </c>
      <c r="H101" s="72" t="s">
        <v>909</v>
      </c>
      <c r="I101" s="142" t="s">
        <v>665</v>
      </c>
      <c r="J101" s="72" t="s">
        <v>667</v>
      </c>
      <c r="K101" s="72"/>
      <c r="L101" s="129"/>
      <c r="M101" s="72" t="str">
        <f t="array" ref="M101">IFERROR(INDEX(Printer!H:H,MATCH(J101,Printer!H:H,0)),"PRINTER LIST없음")</f>
        <v>Huey.Sim@stryker.com</v>
      </c>
    </row>
    <row r="102" spans="1:13" ht="17">
      <c r="A102" s="59">
        <v>100</v>
      </c>
      <c r="B102" s="121" t="s">
        <v>1926</v>
      </c>
      <c r="C102" s="142" t="s">
        <v>1993</v>
      </c>
      <c r="D102" s="122">
        <v>45600</v>
      </c>
      <c r="E102" s="121" t="s">
        <v>1994</v>
      </c>
      <c r="F102" s="59">
        <v>1</v>
      </c>
      <c r="G102" s="72" t="s">
        <v>833</v>
      </c>
      <c r="H102" s="72" t="s">
        <v>1093</v>
      </c>
      <c r="I102" s="142" t="s">
        <v>130</v>
      </c>
      <c r="J102" s="72" t="s">
        <v>132</v>
      </c>
      <c r="K102" s="72"/>
      <c r="L102" s="129"/>
      <c r="M102" s="72" t="str">
        <f t="array" ref="M102">IFERROR(INDEX(Printer!H:H,MATCH(J102,Printer!H:H,0)),"PRINTER LIST없음")</f>
        <v>jae.chung@stryker.com</v>
      </c>
    </row>
    <row r="103" spans="1:13" ht="17">
      <c r="A103" s="59">
        <v>101</v>
      </c>
      <c r="B103" s="121" t="s">
        <v>1926</v>
      </c>
      <c r="C103" s="142" t="s">
        <v>1995</v>
      </c>
      <c r="D103" s="122">
        <v>45600</v>
      </c>
      <c r="E103" s="121" t="s">
        <v>1996</v>
      </c>
      <c r="F103" s="59"/>
      <c r="G103" s="72" t="s">
        <v>932</v>
      </c>
      <c r="H103" s="72" t="s">
        <v>541</v>
      </c>
      <c r="I103" s="142" t="s">
        <v>751</v>
      </c>
      <c r="J103" s="72" t="s">
        <v>753</v>
      </c>
      <c r="K103" s="72"/>
      <c r="L103" s="129"/>
      <c r="M103" s="72" t="str">
        <f t="array" ref="M103">IFERROR(INDEX(sales!C:C,MATCH(J103,sales!C:C,0)),"LIST없음")</f>
        <v>jw.yoon@stryker.com</v>
      </c>
    </row>
    <row r="104" spans="1:13" ht="17">
      <c r="A104" s="59">
        <v>102</v>
      </c>
      <c r="B104" s="121" t="s">
        <v>1926</v>
      </c>
      <c r="C104" s="142" t="s">
        <v>1997</v>
      </c>
      <c r="D104" s="122">
        <v>45600</v>
      </c>
      <c r="E104" s="121" t="s">
        <v>1998</v>
      </c>
      <c r="F104" s="59">
        <v>1</v>
      </c>
      <c r="G104" s="72" t="s">
        <v>850</v>
      </c>
      <c r="H104" s="72" t="s">
        <v>541</v>
      </c>
      <c r="I104" s="142" t="s">
        <v>561</v>
      </c>
      <c r="J104" s="72" t="s">
        <v>563</v>
      </c>
      <c r="K104" s="72"/>
      <c r="L104" s="129"/>
      <c r="M104" s="72" t="str">
        <f t="array" ref="M104">IFERROR(INDEX(sales!C:C,MATCH(J104,sales!C:C,0)),"LIST없음")</f>
        <v>tyler.park@stryker.com</v>
      </c>
    </row>
    <row r="105" spans="1:13" ht="17">
      <c r="A105" s="59">
        <v>103</v>
      </c>
      <c r="B105" s="121" t="s">
        <v>1926</v>
      </c>
      <c r="C105" s="142" t="s">
        <v>1999</v>
      </c>
      <c r="D105" s="122">
        <v>45600</v>
      </c>
      <c r="E105" s="121" t="s">
        <v>2000</v>
      </c>
      <c r="F105" s="58"/>
      <c r="G105" s="72" t="s">
        <v>850</v>
      </c>
      <c r="H105" s="72" t="s">
        <v>1767</v>
      </c>
      <c r="I105" s="142" t="s">
        <v>314</v>
      </c>
      <c r="J105" s="72" t="s">
        <v>316</v>
      </c>
      <c r="K105" s="72"/>
      <c r="L105" s="129"/>
      <c r="M105" s="72"/>
    </row>
    <row r="106" spans="1:13" ht="17">
      <c r="A106" s="59">
        <v>104</v>
      </c>
      <c r="B106" s="151" t="s">
        <v>1926</v>
      </c>
      <c r="C106" s="151" t="s">
        <v>2001</v>
      </c>
      <c r="D106" s="152">
        <v>45600</v>
      </c>
      <c r="E106" s="151" t="s">
        <v>2002</v>
      </c>
      <c r="F106" s="153"/>
      <c r="G106" s="154" t="s">
        <v>932</v>
      </c>
      <c r="H106" s="154" t="s">
        <v>541</v>
      </c>
      <c r="I106" s="151" t="s">
        <v>147</v>
      </c>
      <c r="J106" s="154" t="s">
        <v>149</v>
      </c>
      <c r="K106" s="155" t="s">
        <v>2003</v>
      </c>
      <c r="L106" s="156"/>
      <c r="M106" s="72" t="str">
        <f t="array" ref="M106">IFERROR(INDEX(sales!C:C,MATCH(J106,sales!C:C,0)),"LIST없음")</f>
        <v>jack.eum@stryker.com</v>
      </c>
    </row>
    <row r="107" spans="1:13" ht="17">
      <c r="A107" s="59">
        <v>105</v>
      </c>
      <c r="B107" s="121" t="s">
        <v>1926</v>
      </c>
      <c r="C107" s="142" t="s">
        <v>2004</v>
      </c>
      <c r="D107" s="122">
        <v>45600</v>
      </c>
      <c r="E107" s="121" t="s">
        <v>2005</v>
      </c>
      <c r="F107" s="59">
        <v>1</v>
      </c>
      <c r="G107" s="72" t="s">
        <v>790</v>
      </c>
      <c r="H107" s="72" t="s">
        <v>1031</v>
      </c>
      <c r="I107" s="142" t="s">
        <v>2006</v>
      </c>
      <c r="J107" s="72" t="s">
        <v>243</v>
      </c>
      <c r="K107" s="72"/>
      <c r="L107" s="129"/>
      <c r="M107" s="72"/>
    </row>
    <row r="108" spans="1:13" ht="17">
      <c r="A108" s="59">
        <v>106</v>
      </c>
      <c r="B108" s="121" t="s">
        <v>1926</v>
      </c>
      <c r="C108" s="144" t="s">
        <v>2007</v>
      </c>
      <c r="D108" s="127">
        <v>45600</v>
      </c>
      <c r="E108" s="126" t="s">
        <v>2008</v>
      </c>
      <c r="F108" s="59">
        <v>1</v>
      </c>
      <c r="G108" s="128" t="s">
        <v>850</v>
      </c>
      <c r="H108" s="128" t="s">
        <v>541</v>
      </c>
      <c r="I108" s="142" t="s">
        <v>353</v>
      </c>
      <c r="J108" s="72" t="s">
        <v>355</v>
      </c>
      <c r="K108" s="72"/>
      <c r="L108" s="129"/>
      <c r="M108" s="72" t="str">
        <f t="array" ref="M108">IFERROR(INDEX(sales!C:C,MATCH(J108,sales!C:C,0)),"LIST없음")</f>
        <v>henry.kim1@stryker.com</v>
      </c>
    </row>
    <row r="109" spans="1:13" ht="17">
      <c r="A109" s="59">
        <v>107</v>
      </c>
      <c r="B109" s="121" t="s">
        <v>1926</v>
      </c>
      <c r="C109" s="121" t="s">
        <v>2009</v>
      </c>
      <c r="D109" s="122">
        <v>45726</v>
      </c>
      <c r="E109" s="121" t="s">
        <v>2010</v>
      </c>
      <c r="F109" s="59">
        <v>1</v>
      </c>
      <c r="G109" s="72" t="s">
        <v>790</v>
      </c>
      <c r="H109" s="72" t="s">
        <v>1031</v>
      </c>
      <c r="I109" s="142" t="s">
        <v>2011</v>
      </c>
      <c r="J109" s="134" t="s">
        <v>2012</v>
      </c>
      <c r="K109" s="72"/>
      <c r="L109" s="129"/>
      <c r="M109" s="72"/>
    </row>
    <row r="110" spans="1:13" ht="17">
      <c r="A110" s="59">
        <v>108</v>
      </c>
      <c r="B110" s="121" t="s">
        <v>1926</v>
      </c>
      <c r="C110" s="121" t="s">
        <v>2013</v>
      </c>
      <c r="D110" s="122">
        <v>45726</v>
      </c>
      <c r="E110" s="121" t="s">
        <v>2014</v>
      </c>
      <c r="F110" s="59">
        <v>1</v>
      </c>
      <c r="G110" s="72" t="s">
        <v>790</v>
      </c>
      <c r="H110" s="72" t="s">
        <v>1031</v>
      </c>
      <c r="I110" s="142" t="s">
        <v>700</v>
      </c>
      <c r="J110" s="134" t="s">
        <v>2015</v>
      </c>
      <c r="K110" s="72"/>
      <c r="L110" s="129"/>
      <c r="M110" s="72"/>
    </row>
    <row r="111" spans="1:13" ht="17">
      <c r="A111" s="59">
        <v>109</v>
      </c>
      <c r="B111" s="121" t="s">
        <v>1926</v>
      </c>
      <c r="C111" s="121" t="s">
        <v>2016</v>
      </c>
      <c r="D111" s="122">
        <v>45726</v>
      </c>
      <c r="E111" s="121" t="s">
        <v>2017</v>
      </c>
      <c r="F111" s="59">
        <v>1</v>
      </c>
      <c r="G111" s="72" t="s">
        <v>790</v>
      </c>
      <c r="H111" s="72" t="s">
        <v>541</v>
      </c>
      <c r="I111" s="142" t="s">
        <v>2018</v>
      </c>
      <c r="J111" s="72" t="s">
        <v>95</v>
      </c>
      <c r="K111" s="72"/>
      <c r="L111" s="129"/>
      <c r="M111" s="72" t="str">
        <f t="array" ref="M111">IFERROR(INDEX(sales!C:C,MATCH(J111,sales!C:C,0)),"LIST없음")</f>
        <v>Willy.Chang@stryker.com</v>
      </c>
    </row>
    <row r="112" spans="1:13" ht="17">
      <c r="A112" s="59">
        <v>110</v>
      </c>
      <c r="B112" s="121" t="s">
        <v>1926</v>
      </c>
      <c r="C112" s="121" t="s">
        <v>2019</v>
      </c>
      <c r="D112" s="122">
        <v>45726</v>
      </c>
      <c r="E112" s="121" t="s">
        <v>2020</v>
      </c>
      <c r="F112" s="59">
        <v>1</v>
      </c>
      <c r="G112" s="72" t="s">
        <v>790</v>
      </c>
      <c r="H112" s="72" t="s">
        <v>541</v>
      </c>
      <c r="I112" s="142" t="s">
        <v>711</v>
      </c>
      <c r="J112" s="72" t="s">
        <v>713</v>
      </c>
      <c r="K112" s="72"/>
      <c r="L112" s="129"/>
      <c r="M112" s="72" t="str">
        <f t="array" ref="M112">IFERROR(INDEX(sales!C:C,MATCH(J112,sales!C:C,0)),"LIST없음")</f>
        <v>David.Yang@stryker.com</v>
      </c>
    </row>
    <row r="113" spans="1:13" ht="17">
      <c r="A113" s="59">
        <v>111</v>
      </c>
      <c r="B113" s="121" t="s">
        <v>1926</v>
      </c>
      <c r="C113" s="121" t="s">
        <v>2021</v>
      </c>
      <c r="D113" s="122">
        <v>45726</v>
      </c>
      <c r="E113" s="121" t="s">
        <v>2022</v>
      </c>
      <c r="F113" s="59">
        <v>1</v>
      </c>
      <c r="G113" s="72" t="s">
        <v>790</v>
      </c>
      <c r="H113" s="72" t="s">
        <v>1031</v>
      </c>
      <c r="I113" s="142" t="s">
        <v>2023</v>
      </c>
      <c r="J113" s="72" t="s">
        <v>18</v>
      </c>
      <c r="K113" s="72"/>
      <c r="L113" s="129"/>
      <c r="M113" s="72"/>
    </row>
    <row r="114" spans="1:13" ht="17">
      <c r="A114" s="59">
        <v>112</v>
      </c>
      <c r="B114" s="121" t="s">
        <v>1926</v>
      </c>
      <c r="C114" s="121" t="s">
        <v>2024</v>
      </c>
      <c r="D114" s="122">
        <v>45726</v>
      </c>
      <c r="E114" s="121" t="s">
        <v>2025</v>
      </c>
      <c r="F114" s="59">
        <v>1</v>
      </c>
      <c r="G114" s="72" t="s">
        <v>850</v>
      </c>
      <c r="H114" s="72" t="s">
        <v>1093</v>
      </c>
      <c r="I114" s="142" t="s">
        <v>566</v>
      </c>
      <c r="J114" s="72" t="s">
        <v>568</v>
      </c>
      <c r="K114" s="72"/>
      <c r="L114" s="129"/>
      <c r="M114" s="72" t="str">
        <f t="array" ref="M114">IFERROR(INDEX(Printer!H:H,MATCH(J114,Printer!H:H,0)),"PRINTER LIST없음")</f>
        <v>PRINTER LIST없음</v>
      </c>
    </row>
    <row r="115" spans="1:13" ht="17">
      <c r="A115" s="59">
        <v>113</v>
      </c>
      <c r="B115" s="121" t="s">
        <v>1926</v>
      </c>
      <c r="C115" s="121" t="s">
        <v>2026</v>
      </c>
      <c r="D115" s="122">
        <v>45726</v>
      </c>
      <c r="E115" s="121" t="s">
        <v>2027</v>
      </c>
      <c r="F115" s="59">
        <v>1</v>
      </c>
      <c r="G115" s="72" t="s">
        <v>790</v>
      </c>
      <c r="H115" s="72" t="s">
        <v>541</v>
      </c>
      <c r="I115" s="142" t="s">
        <v>84</v>
      </c>
      <c r="J115" s="72" t="s">
        <v>86</v>
      </c>
      <c r="K115" s="72"/>
      <c r="L115" s="129"/>
      <c r="M115" s="72" t="str">
        <f t="array" ref="M115">IFERROR(INDEX(sales!C:C,MATCH(J115,sales!C:C,0)),"LIST없음")</f>
        <v>Bruce.Cha@stryker.com</v>
      </c>
    </row>
    <row r="116" spans="1:13" ht="17">
      <c r="A116" s="59">
        <v>114</v>
      </c>
      <c r="B116" s="121" t="s">
        <v>1926</v>
      </c>
      <c r="C116" s="121" t="s">
        <v>2028</v>
      </c>
      <c r="D116" s="122">
        <v>45726</v>
      </c>
      <c r="E116" s="121" t="s">
        <v>2029</v>
      </c>
      <c r="F116" s="59">
        <v>1</v>
      </c>
      <c r="G116" s="72" t="s">
        <v>790</v>
      </c>
      <c r="H116" s="72" t="s">
        <v>1031</v>
      </c>
      <c r="I116" s="121" t="s">
        <v>580</v>
      </c>
      <c r="J116" s="72" t="s">
        <v>582</v>
      </c>
      <c r="K116" s="72"/>
      <c r="L116" s="129"/>
      <c r="M116" s="72"/>
    </row>
    <row r="117" spans="1:13" ht="17">
      <c r="A117" s="59">
        <v>115</v>
      </c>
      <c r="B117" s="121" t="s">
        <v>1926</v>
      </c>
      <c r="C117" s="121" t="s">
        <v>2030</v>
      </c>
      <c r="D117" s="122">
        <v>45726</v>
      </c>
      <c r="E117" s="121" t="s">
        <v>2031</v>
      </c>
      <c r="F117" s="59">
        <v>1</v>
      </c>
      <c r="G117" s="72" t="s">
        <v>790</v>
      </c>
      <c r="H117" s="72" t="s">
        <v>1031</v>
      </c>
      <c r="I117" s="121" t="s">
        <v>67</v>
      </c>
      <c r="J117" s="72" t="s">
        <v>69</v>
      </c>
      <c r="K117" s="72"/>
      <c r="L117" s="129"/>
      <c r="M117" s="72"/>
    </row>
    <row r="118" spans="1:13" ht="17">
      <c r="A118" s="59">
        <v>116</v>
      </c>
      <c r="B118" s="121" t="s">
        <v>1926</v>
      </c>
      <c r="C118" s="121" t="s">
        <v>2032</v>
      </c>
      <c r="D118" s="122">
        <v>45726</v>
      </c>
      <c r="E118" s="121" t="s">
        <v>2033</v>
      </c>
      <c r="F118" s="59">
        <v>1</v>
      </c>
      <c r="G118" s="72" t="s">
        <v>790</v>
      </c>
      <c r="H118" s="72" t="s">
        <v>1031</v>
      </c>
      <c r="I118" s="121" t="s">
        <v>697</v>
      </c>
      <c r="J118" s="72" t="s">
        <v>699</v>
      </c>
      <c r="K118" s="72"/>
      <c r="L118" s="129"/>
      <c r="M118" s="72"/>
    </row>
    <row r="119" spans="1:13" ht="17">
      <c r="A119" s="59">
        <v>117</v>
      </c>
      <c r="B119" s="121" t="s">
        <v>1926</v>
      </c>
      <c r="C119" s="121" t="s">
        <v>2034</v>
      </c>
      <c r="D119" s="122">
        <v>45726</v>
      </c>
      <c r="E119" s="121" t="s">
        <v>2035</v>
      </c>
      <c r="F119" s="59">
        <v>1</v>
      </c>
      <c r="G119" s="72" t="s">
        <v>790</v>
      </c>
      <c r="H119" s="72" t="s">
        <v>1031</v>
      </c>
      <c r="I119" s="121" t="s">
        <v>449</v>
      </c>
      <c r="J119" s="72" t="s">
        <v>451</v>
      </c>
      <c r="K119" s="72"/>
      <c r="L119" s="129"/>
      <c r="M119" s="72"/>
    </row>
    <row r="120" spans="1:13" ht="17">
      <c r="A120" s="59">
        <v>118</v>
      </c>
      <c r="B120" s="121" t="s">
        <v>1926</v>
      </c>
      <c r="C120" s="121" t="s">
        <v>2036</v>
      </c>
      <c r="D120" s="122">
        <v>45726</v>
      </c>
      <c r="E120" s="121" t="s">
        <v>2037</v>
      </c>
      <c r="F120" s="59">
        <v>1</v>
      </c>
      <c r="G120" s="72" t="s">
        <v>790</v>
      </c>
      <c r="H120" s="72" t="s">
        <v>1031</v>
      </c>
      <c r="I120" s="121" t="s">
        <v>473</v>
      </c>
      <c r="J120" s="72" t="s">
        <v>475</v>
      </c>
      <c r="K120" s="72"/>
      <c r="L120" s="129"/>
      <c r="M120" s="72"/>
    </row>
    <row r="121" spans="1:13" ht="17">
      <c r="A121" s="59">
        <v>119</v>
      </c>
      <c r="B121" s="121" t="s">
        <v>1926</v>
      </c>
      <c r="C121" s="121" t="s">
        <v>2038</v>
      </c>
      <c r="D121" s="122">
        <v>45726</v>
      </c>
      <c r="E121" s="121" t="s">
        <v>2039</v>
      </c>
      <c r="F121" s="59">
        <v>1</v>
      </c>
      <c r="G121" s="72" t="s">
        <v>790</v>
      </c>
      <c r="H121" s="72" t="s">
        <v>1031</v>
      </c>
      <c r="I121" s="121" t="s">
        <v>81</v>
      </c>
      <c r="J121" s="72" t="s">
        <v>83</v>
      </c>
      <c r="K121" s="72"/>
      <c r="L121" s="129"/>
      <c r="M121" s="72"/>
    </row>
    <row r="122" spans="1:13" ht="17">
      <c r="A122" s="59">
        <v>120</v>
      </c>
      <c r="B122" s="121" t="s">
        <v>1926</v>
      </c>
      <c r="C122" s="121" t="s">
        <v>2040</v>
      </c>
      <c r="D122" s="122">
        <v>45726</v>
      </c>
      <c r="E122" s="121" t="s">
        <v>2041</v>
      </c>
      <c r="F122" s="59">
        <v>1</v>
      </c>
      <c r="G122" s="72" t="s">
        <v>833</v>
      </c>
      <c r="H122" s="72" t="s">
        <v>541</v>
      </c>
      <c r="I122" s="121" t="s">
        <v>231</v>
      </c>
      <c r="J122" s="72" t="s">
        <v>233</v>
      </c>
      <c r="K122" s="72"/>
      <c r="L122" s="129"/>
      <c r="M122" s="72" t="str">
        <f t="array" ref="M122">IFERROR(INDEX(sales!C:C,MATCH(J122,sales!C:C,0)),"LIST없음")</f>
        <v>chan.jeon@stryker.com</v>
      </c>
    </row>
    <row r="123" spans="1:13" ht="17">
      <c r="A123" s="59">
        <v>121</v>
      </c>
      <c r="B123" s="121" t="s">
        <v>1926</v>
      </c>
      <c r="C123" s="121" t="s">
        <v>2042</v>
      </c>
      <c r="D123" s="122">
        <v>45726</v>
      </c>
      <c r="E123" s="121" t="s">
        <v>2043</v>
      </c>
      <c r="F123" s="59">
        <v>1</v>
      </c>
      <c r="G123" s="72" t="s">
        <v>790</v>
      </c>
      <c r="H123" s="72" t="s">
        <v>1031</v>
      </c>
      <c r="I123" s="121" t="s">
        <v>788</v>
      </c>
      <c r="J123" s="134" t="s">
        <v>2044</v>
      </c>
      <c r="K123" s="72"/>
      <c r="L123" s="129"/>
      <c r="M123" s="72"/>
    </row>
    <row r="124" spans="1:13" ht="17">
      <c r="A124" s="59">
        <v>122</v>
      </c>
      <c r="B124" s="121" t="s">
        <v>1926</v>
      </c>
      <c r="C124" s="121" t="s">
        <v>2045</v>
      </c>
      <c r="D124" s="122">
        <v>45726</v>
      </c>
      <c r="E124" s="121" t="s">
        <v>2046</v>
      </c>
      <c r="F124" s="59">
        <v>1</v>
      </c>
      <c r="G124" s="72" t="s">
        <v>909</v>
      </c>
      <c r="H124" s="72" t="s">
        <v>909</v>
      </c>
      <c r="I124" s="121" t="s">
        <v>469</v>
      </c>
      <c r="J124" s="72" t="s">
        <v>471</v>
      </c>
      <c r="K124" s="72"/>
      <c r="L124" s="129"/>
      <c r="M124" s="72" t="str">
        <f t="array" ref="M124">IFERROR(INDEX(Printer!H:H,MATCH(J124,Printer!H:H,0)),"PRINTER LIST없음")</f>
        <v>david.lee4@stryker.com</v>
      </c>
    </row>
    <row r="125" spans="1:13" ht="17">
      <c r="A125" s="157">
        <v>123</v>
      </c>
      <c r="B125" s="158" t="s">
        <v>1926</v>
      </c>
      <c r="C125" s="158" t="s">
        <v>2047</v>
      </c>
      <c r="D125" s="159">
        <v>45726</v>
      </c>
      <c r="E125" s="158" t="s">
        <v>2048</v>
      </c>
      <c r="F125" s="157">
        <v>1</v>
      </c>
      <c r="G125" s="160" t="s">
        <v>884</v>
      </c>
      <c r="H125" s="160" t="s">
        <v>884</v>
      </c>
      <c r="I125" s="161" t="s">
        <v>1787</v>
      </c>
      <c r="J125" s="160" t="s">
        <v>2049</v>
      </c>
      <c r="K125" s="132"/>
      <c r="L125" s="129"/>
      <c r="M125" s="72"/>
    </row>
    <row r="126" spans="1:13" ht="17">
      <c r="A126" s="59">
        <v>124</v>
      </c>
      <c r="B126" s="121" t="s">
        <v>1926</v>
      </c>
      <c r="C126" s="121" t="s">
        <v>2050</v>
      </c>
      <c r="D126" s="122">
        <v>45726</v>
      </c>
      <c r="E126" s="121" t="s">
        <v>2051</v>
      </c>
      <c r="F126" s="59">
        <v>1</v>
      </c>
      <c r="G126" s="72" t="s">
        <v>790</v>
      </c>
      <c r="H126" s="72" t="s">
        <v>541</v>
      </c>
      <c r="I126" s="121" t="s">
        <v>755</v>
      </c>
      <c r="J126" s="72" t="s">
        <v>757</v>
      </c>
      <c r="K126" s="72"/>
      <c r="L126" s="129"/>
      <c r="M126" s="72" t="str">
        <f t="array" ref="M126">IFERROR(INDEX(sales!C:C,MATCH(J126,sales!C:C,0)),"LIST없음")</f>
        <v>aaron.yoon@stryker.com</v>
      </c>
    </row>
    <row r="127" spans="1:13" ht="17">
      <c r="A127" s="59">
        <v>125</v>
      </c>
      <c r="B127" s="121" t="s">
        <v>1926</v>
      </c>
      <c r="C127" s="121" t="s">
        <v>2052</v>
      </c>
      <c r="D127" s="122">
        <v>45726</v>
      </c>
      <c r="E127" s="121" t="s">
        <v>2053</v>
      </c>
      <c r="F127" s="59">
        <v>1</v>
      </c>
      <c r="G127" s="72" t="s">
        <v>909</v>
      </c>
      <c r="H127" s="72" t="s">
        <v>909</v>
      </c>
      <c r="I127" s="121" t="s">
        <v>220</v>
      </c>
      <c r="J127" s="72" t="s">
        <v>222</v>
      </c>
      <c r="K127" s="72"/>
      <c r="L127" s="129"/>
      <c r="M127" s="72" t="str">
        <f t="array" ref="M127">IFERROR(INDEX(Printer!H:H,MATCH(J127,Printer!H:H,0)),"PRINTER LIST없음")</f>
        <v>PRINTER LIST없음</v>
      </c>
    </row>
    <row r="128" spans="1:13" ht="17">
      <c r="A128" s="59">
        <v>126</v>
      </c>
      <c r="B128" s="121" t="s">
        <v>1926</v>
      </c>
      <c r="C128" s="121" t="s">
        <v>2054</v>
      </c>
      <c r="D128" s="122">
        <v>45726</v>
      </c>
      <c r="E128" s="121" t="s">
        <v>2055</v>
      </c>
      <c r="F128" s="59">
        <v>1</v>
      </c>
      <c r="G128" s="72" t="s">
        <v>790</v>
      </c>
      <c r="H128" s="72" t="s">
        <v>541</v>
      </c>
      <c r="I128" s="121" t="s">
        <v>808</v>
      </c>
      <c r="J128" s="134" t="s">
        <v>2056</v>
      </c>
      <c r="K128" s="72"/>
      <c r="L128" s="129"/>
      <c r="M128" s="72" t="str">
        <f t="array" ref="M128">IFERROR(INDEX(sales!C:C,MATCH(J128,sales!C:C,0)),"LIST없음")</f>
        <v>lucas.heo@stryker.com</v>
      </c>
    </row>
    <row r="129" spans="1:13" ht="17">
      <c r="A129" s="59">
        <v>127</v>
      </c>
      <c r="B129" s="121" t="s">
        <v>1926</v>
      </c>
      <c r="C129" s="121" t="s">
        <v>2057</v>
      </c>
      <c r="D129" s="122">
        <v>45726</v>
      </c>
      <c r="E129" s="121" t="s">
        <v>2058</v>
      </c>
      <c r="F129" s="59">
        <v>1</v>
      </c>
      <c r="G129" s="72" t="s">
        <v>790</v>
      </c>
      <c r="H129" s="72" t="s">
        <v>1031</v>
      </c>
      <c r="I129" s="121" t="s">
        <v>135</v>
      </c>
      <c r="J129" s="134" t="s">
        <v>2059</v>
      </c>
      <c r="K129" s="72"/>
      <c r="L129" s="129"/>
      <c r="M129" s="72"/>
    </row>
    <row r="130" spans="1:13" ht="17">
      <c r="A130" s="157">
        <v>128</v>
      </c>
      <c r="B130" s="158" t="s">
        <v>1926</v>
      </c>
      <c r="C130" s="158" t="s">
        <v>2060</v>
      </c>
      <c r="D130" s="159">
        <v>45726</v>
      </c>
      <c r="E130" s="158" t="s">
        <v>2061</v>
      </c>
      <c r="F130" s="157"/>
      <c r="G130" s="160" t="s">
        <v>884</v>
      </c>
      <c r="H130" s="160" t="s">
        <v>884</v>
      </c>
      <c r="I130" s="161" t="s">
        <v>1787</v>
      </c>
      <c r="J130" s="160" t="s">
        <v>2049</v>
      </c>
      <c r="K130" s="132"/>
      <c r="L130" s="129"/>
      <c r="M130" s="72"/>
    </row>
    <row r="131" spans="1:13" ht="17">
      <c r="A131" s="87">
        <v>129</v>
      </c>
      <c r="B131" s="121" t="s">
        <v>2062</v>
      </c>
      <c r="C131" s="121" t="s">
        <v>2063</v>
      </c>
      <c r="D131" s="122"/>
      <c r="E131" s="121"/>
      <c r="F131" s="59"/>
      <c r="G131" s="72" t="s">
        <v>884</v>
      </c>
      <c r="H131" s="72" t="s">
        <v>884</v>
      </c>
      <c r="I131" s="121" t="s">
        <v>2064</v>
      </c>
      <c r="J131" s="162" t="s">
        <v>783</v>
      </c>
      <c r="K131" s="72" t="s">
        <v>2065</v>
      </c>
      <c r="L131" s="59"/>
      <c r="M131" s="72"/>
    </row>
  </sheetData>
  <autoFilter ref="A1:M131" xr:uid="{00000000-0009-0000-0000-000003000000}"/>
  <phoneticPr fontId="72" type="noConversion"/>
  <hyperlinks>
    <hyperlink ref="J8" r:id="rId1" xr:uid="{00000000-0004-0000-0300-000000000000}"/>
    <hyperlink ref="J9" r:id="rId2" xr:uid="{00000000-0004-0000-0300-000001000000}"/>
    <hyperlink ref="J12" r:id="rId3" xr:uid="{00000000-0004-0000-0300-000002000000}"/>
    <hyperlink ref="J17" r:id="rId4" xr:uid="{00000000-0004-0000-0300-000003000000}"/>
    <hyperlink ref="J36" r:id="rId5" xr:uid="{00000000-0004-0000-0300-000004000000}"/>
    <hyperlink ref="J76" r:id="rId6" xr:uid="{00000000-0004-0000-0300-000005000000}"/>
    <hyperlink ref="J99" r:id="rId7" xr:uid="{00000000-0004-0000-0300-000006000000}"/>
    <hyperlink ref="J109" r:id="rId8" xr:uid="{00000000-0004-0000-0300-000007000000}"/>
    <hyperlink ref="J110" r:id="rId9" xr:uid="{00000000-0004-0000-0300-000008000000}"/>
    <hyperlink ref="J123" r:id="rId10" xr:uid="{00000000-0004-0000-0300-000009000000}"/>
    <hyperlink ref="J128" r:id="rId11" xr:uid="{00000000-0004-0000-0300-00000A000000}"/>
    <hyperlink ref="J129" r:id="rId12" xr:uid="{00000000-0004-0000-0300-00000B000000}"/>
    <hyperlink ref="J131" r:id="rId13" xr:uid="{00000000-0004-0000-0300-00000C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997"/>
  <sheetViews>
    <sheetView workbookViewId="0"/>
  </sheetViews>
  <sheetFormatPr baseColWidth="10" defaultColWidth="12.6640625" defaultRowHeight="15.75" customHeight="1"/>
  <cols>
    <col min="2" max="2" width="10.1640625" customWidth="1"/>
    <col min="3" max="3" width="17.6640625" customWidth="1"/>
    <col min="4" max="4" width="22.1640625" customWidth="1"/>
    <col min="7" max="7" width="6.6640625" customWidth="1"/>
    <col min="8" max="8" width="22.1640625" customWidth="1"/>
    <col min="9" max="9" width="16.5" customWidth="1"/>
    <col min="10" max="10" width="22.1640625" customWidth="1"/>
  </cols>
  <sheetData>
    <row r="1" spans="1:12">
      <c r="A1" s="163"/>
      <c r="B1" s="164" t="s">
        <v>874</v>
      </c>
      <c r="C1" s="165" t="s">
        <v>2066</v>
      </c>
      <c r="D1" s="165" t="s">
        <v>2067</v>
      </c>
      <c r="E1" s="166" t="s">
        <v>879</v>
      </c>
      <c r="F1" s="166" t="s">
        <v>5</v>
      </c>
      <c r="G1" s="167" t="s">
        <v>6</v>
      </c>
      <c r="H1" s="165" t="s">
        <v>3</v>
      </c>
      <c r="I1" s="165" t="s">
        <v>2068</v>
      </c>
    </row>
    <row r="2" spans="1:12">
      <c r="A2" s="168">
        <v>1</v>
      </c>
      <c r="B2" s="121" t="s">
        <v>2069</v>
      </c>
      <c r="C2" s="121"/>
      <c r="D2" s="169" t="s">
        <v>2070</v>
      </c>
      <c r="E2" s="170" t="s">
        <v>2071</v>
      </c>
      <c r="F2" s="170" t="s">
        <v>863</v>
      </c>
      <c r="G2" s="170" t="s">
        <v>2072</v>
      </c>
      <c r="H2" s="171"/>
    </row>
    <row r="3" spans="1:12">
      <c r="A3" s="168">
        <v>2</v>
      </c>
      <c r="B3" s="121" t="s">
        <v>2069</v>
      </c>
      <c r="C3" s="121"/>
      <c r="D3" s="121" t="s">
        <v>2073</v>
      </c>
      <c r="E3" s="170" t="s">
        <v>349</v>
      </c>
      <c r="F3" s="170" t="s">
        <v>540</v>
      </c>
      <c r="G3" s="170" t="s">
        <v>541</v>
      </c>
      <c r="H3" s="171" t="s">
        <v>351</v>
      </c>
      <c r="J3" s="40" t="str">
        <f t="array" ref="J3">IFERROR(INDEX(All_User!D:D,MATCH(H3,All_User!D:D,0)),"없음")</f>
        <v>jason.kim1@stryker.com</v>
      </c>
      <c r="L3" s="40" t="str">
        <f t="array" ref="L3">IFERROR(INDEX(sales!G:G,MATCH(H3,sales!C:C,0)),"없음")</f>
        <v>2차 조사 정보 없음</v>
      </c>
    </row>
    <row r="4" spans="1:12">
      <c r="A4" s="168">
        <v>3</v>
      </c>
      <c r="B4" s="121" t="s">
        <v>2070</v>
      </c>
      <c r="C4" s="172">
        <v>45597</v>
      </c>
      <c r="D4" s="169" t="s">
        <v>2070</v>
      </c>
      <c r="E4" s="170" t="s">
        <v>326</v>
      </c>
      <c r="F4" s="170" t="s">
        <v>540</v>
      </c>
      <c r="G4" s="170" t="s">
        <v>541</v>
      </c>
      <c r="H4" s="171" t="s">
        <v>328</v>
      </c>
      <c r="J4" s="40" t="str">
        <f t="array" ref="J4">IFERROR(INDEX(All_User!D:D,MATCH(H4,All_User!D:D,0)),"없음")</f>
        <v>Suhyun.Kim@stryker.com</v>
      </c>
      <c r="L4" s="40" t="str">
        <f t="array" ref="L4">IFERROR(INDEX(sales!G:G,MATCH(H4,sales!C:C,0)),"없음")</f>
        <v>SL-C486FW</v>
      </c>
    </row>
    <row r="5" spans="1:12">
      <c r="A5" s="168">
        <v>4</v>
      </c>
      <c r="B5" s="121"/>
      <c r="C5" s="121"/>
      <c r="D5" s="121" t="s">
        <v>2074</v>
      </c>
      <c r="E5" s="170" t="s">
        <v>345</v>
      </c>
      <c r="F5" s="170" t="s">
        <v>540</v>
      </c>
      <c r="G5" s="170" t="s">
        <v>541</v>
      </c>
      <c r="H5" s="171" t="s">
        <v>347</v>
      </c>
      <c r="J5" s="40" t="str">
        <f t="array" ref="J5">IFERROR(INDEX(All_User!D:D,MATCH(H5,All_User!D:D,0)),"없음")</f>
        <v>genie.kim@stryker.com</v>
      </c>
      <c r="L5" s="40" t="str">
        <f t="array" ref="L5">IFERROR(INDEX(sales!G:G,MATCH(H5,sales!C:C,0)),"없음")</f>
        <v>반납</v>
      </c>
    </row>
    <row r="6" spans="1:12">
      <c r="A6" s="168">
        <v>5</v>
      </c>
      <c r="B6" s="121" t="s">
        <v>2075</v>
      </c>
      <c r="C6" s="172">
        <v>45108</v>
      </c>
      <c r="D6" s="121" t="s">
        <v>2075</v>
      </c>
      <c r="E6" s="170" t="s">
        <v>486</v>
      </c>
      <c r="F6" s="170" t="s">
        <v>540</v>
      </c>
      <c r="G6" s="170" t="s">
        <v>541</v>
      </c>
      <c r="H6" s="171" t="s">
        <v>488</v>
      </c>
      <c r="J6" s="40" t="str">
        <f t="array" ref="J6">IFERROR(INDEX(All_User!D:D,MATCH(H6,All_User!D:D,0)),"없음")</f>
        <v>ayaan.lee@stryker.com</v>
      </c>
      <c r="L6" s="40" t="str">
        <f t="array" ref="L6">IFERROR(INDEX(sales!G:G,MATCH(H6,sales!C:C,0)),"없음")</f>
        <v>SL-C563W</v>
      </c>
    </row>
    <row r="7" spans="1:12">
      <c r="A7" s="168">
        <v>6</v>
      </c>
      <c r="B7" s="121" t="s">
        <v>2075</v>
      </c>
      <c r="C7" s="172">
        <v>45108</v>
      </c>
      <c r="D7" s="121" t="s">
        <v>2075</v>
      </c>
      <c r="E7" s="170" t="s">
        <v>103</v>
      </c>
      <c r="F7" s="170" t="s">
        <v>540</v>
      </c>
      <c r="G7" s="170" t="s">
        <v>541</v>
      </c>
      <c r="H7" s="171" t="s">
        <v>105</v>
      </c>
      <c r="I7" s="40" t="s">
        <v>2076</v>
      </c>
      <c r="J7" s="40" t="str">
        <f t="array" ref="J7">IFERROR(INDEX(All_User!D:D,MATCH(H7,All_User!D:D,0)),"없음")</f>
        <v>martin.cho@stryker.com</v>
      </c>
      <c r="L7" s="40" t="str">
        <f t="array" ref="L7">IFERROR(INDEX(sales!G:G,MATCH(H7,sales!C:C,0)),"없음")</f>
        <v>SL-C563W</v>
      </c>
    </row>
    <row r="8" spans="1:12">
      <c r="A8" s="168">
        <v>8</v>
      </c>
      <c r="B8" s="121" t="s">
        <v>2069</v>
      </c>
      <c r="C8" s="121" t="s">
        <v>2077</v>
      </c>
      <c r="D8" s="173" t="s">
        <v>2078</v>
      </c>
      <c r="E8" s="174" t="s">
        <v>590</v>
      </c>
      <c r="F8" s="174" t="s">
        <v>854</v>
      </c>
      <c r="G8" s="170" t="s">
        <v>541</v>
      </c>
      <c r="H8" s="171" t="s">
        <v>592</v>
      </c>
      <c r="J8" s="40" t="str">
        <f t="array" ref="J8">IFERROR(INDEX(All_User!D:D,MATCH(H8,All_User!D:D,0)),"없음")</f>
        <v>peter.park@stryker.com</v>
      </c>
      <c r="L8" s="40" t="str">
        <f t="array" ref="L8">IFERROR(INDEX(sales!G:G,MATCH(H8,sales!C:C,0)),"없음")</f>
        <v>SL-C438W</v>
      </c>
    </row>
    <row r="9" spans="1:12">
      <c r="A9" s="168">
        <v>9</v>
      </c>
      <c r="B9" s="121" t="s">
        <v>2069</v>
      </c>
      <c r="C9" s="121"/>
      <c r="D9" s="121" t="s">
        <v>2073</v>
      </c>
      <c r="E9" s="174" t="s">
        <v>542</v>
      </c>
      <c r="F9" s="174" t="s">
        <v>854</v>
      </c>
      <c r="G9" s="170" t="s">
        <v>541</v>
      </c>
      <c r="H9" s="171" t="s">
        <v>544</v>
      </c>
      <c r="J9" s="40" t="str">
        <f t="array" ref="J9">IFERROR(INDEX(All_User!D:D,MATCH(H9,All_User!D:D,0)),"없음")</f>
        <v>mason.oh@stryker.com</v>
      </c>
      <c r="L9" s="40" t="str">
        <f t="array" ref="L9">IFERROR(INDEX(sales!G:G,MATCH(H9,sales!C:C,0)),"없음")</f>
        <v>2차 조사 정보 없음</v>
      </c>
    </row>
    <row r="10" spans="1:12" ht="15.75" customHeight="1">
      <c r="A10" s="168">
        <v>10</v>
      </c>
      <c r="B10" s="121"/>
      <c r="C10" s="121"/>
      <c r="D10" s="175" t="s">
        <v>2070</v>
      </c>
      <c r="E10" s="174" t="s">
        <v>417</v>
      </c>
      <c r="F10" s="174" t="s">
        <v>854</v>
      </c>
      <c r="G10" s="170" t="s">
        <v>541</v>
      </c>
      <c r="H10" s="134" t="s">
        <v>2079</v>
      </c>
      <c r="J10" s="40" t="str">
        <f t="array" ref="J10">IFERROR(INDEX(All_User!D:D,MATCH(H10,All_User!D:D,0)),"없음")</f>
        <v>james.kim@stryker.com</v>
      </c>
      <c r="L10" s="40" t="str">
        <f t="array" ref="L10">IFERROR(INDEX(sales!G:G,MATCH(H10,sales!C:C,0)),"없음")</f>
        <v>SL-C486FW</v>
      </c>
    </row>
    <row r="11" spans="1:12">
      <c r="A11" s="168">
        <v>11</v>
      </c>
      <c r="B11" s="121" t="s">
        <v>2069</v>
      </c>
      <c r="C11" s="121"/>
      <c r="D11" s="121" t="s">
        <v>2080</v>
      </c>
      <c r="E11" s="176" t="s">
        <v>453</v>
      </c>
      <c r="F11" s="176" t="s">
        <v>790</v>
      </c>
      <c r="G11" s="170" t="s">
        <v>541</v>
      </c>
      <c r="H11" s="171" t="s">
        <v>455</v>
      </c>
      <c r="J11" s="40" t="str">
        <f t="array" ref="J11">IFERROR(INDEX(All_User!D:D,MATCH(H11,All_User!D:D,0)),"없음")</f>
        <v>Jeff.Lee@stryker.com</v>
      </c>
      <c r="L11" s="40" t="str">
        <f t="array" ref="L11">IFERROR(INDEX(sales!G:G,MATCH(H11,sales!C:C,0)),"없음")</f>
        <v>확인중</v>
      </c>
    </row>
    <row r="12" spans="1:12">
      <c r="A12" s="168">
        <v>12</v>
      </c>
      <c r="B12" s="121" t="s">
        <v>2069</v>
      </c>
      <c r="C12" s="121"/>
      <c r="D12" s="169" t="s">
        <v>2081</v>
      </c>
      <c r="E12" s="176" t="s">
        <v>711</v>
      </c>
      <c r="F12" s="176" t="s">
        <v>790</v>
      </c>
      <c r="G12" s="170" t="s">
        <v>541</v>
      </c>
      <c r="H12" s="171" t="s">
        <v>713</v>
      </c>
      <c r="J12" s="40" t="str">
        <f t="array" ref="J12">IFERROR(INDEX(All_User!D:D,MATCH(H12,All_User!D:D,0)),"없음")</f>
        <v>David.Yang@stryker.com</v>
      </c>
      <c r="L12" s="40" t="str">
        <f t="array" ref="L12">IFERROR(INDEX(sales!G:G,MATCH(H12,sales!C:C,0)),"없음")</f>
        <v>SL-C483FW</v>
      </c>
    </row>
    <row r="13" spans="1:12">
      <c r="A13" s="168">
        <v>13</v>
      </c>
      <c r="B13" s="121" t="s">
        <v>2069</v>
      </c>
      <c r="C13" s="121" t="s">
        <v>2082</v>
      </c>
      <c r="D13" s="177" t="s">
        <v>2083</v>
      </c>
      <c r="E13" s="176" t="s">
        <v>310</v>
      </c>
      <c r="F13" s="176" t="s">
        <v>790</v>
      </c>
      <c r="G13" s="170" t="s">
        <v>541</v>
      </c>
      <c r="H13" s="171" t="s">
        <v>312</v>
      </c>
      <c r="J13" s="40" t="str">
        <f t="array" ref="J13">IFERROR(INDEX(All_User!D:D,MATCH(H13,All_User!D:D,0)),"없음")</f>
        <v>Justin.Kim@stryker.com</v>
      </c>
      <c r="L13" s="40" t="str">
        <f t="array" ref="L13">IFERROR(INDEX(sales!G:G,MATCH(H13,sales!C:C,0)),"없음")</f>
        <v>SL-C565W</v>
      </c>
    </row>
    <row r="14" spans="1:12">
      <c r="A14" s="168">
        <v>14</v>
      </c>
      <c r="B14" s="121" t="s">
        <v>2069</v>
      </c>
      <c r="C14" s="121"/>
      <c r="D14" s="121" t="s">
        <v>2084</v>
      </c>
      <c r="E14" s="176" t="s">
        <v>93</v>
      </c>
      <c r="F14" s="176" t="s">
        <v>790</v>
      </c>
      <c r="G14" s="170" t="s">
        <v>541</v>
      </c>
      <c r="H14" s="171" t="s">
        <v>95</v>
      </c>
      <c r="J14" s="40" t="str">
        <f t="array" ref="J14">IFERROR(INDEX(All_User!D:D,MATCH(H14,All_User!D:D,0)),"없음")</f>
        <v>Willy.Chang@stryker.com</v>
      </c>
      <c r="L14" s="40" t="str">
        <f t="array" ref="L14">IFERROR(INDEX(sales!G:G,MATCH(H14,sales!C:C,0)),"없음")</f>
        <v>SL-C565FW</v>
      </c>
    </row>
    <row r="15" spans="1:12" ht="15.75" customHeight="1">
      <c r="A15" s="168">
        <v>15</v>
      </c>
      <c r="B15" s="121" t="s">
        <v>2069</v>
      </c>
      <c r="C15" s="121"/>
      <c r="D15" s="121" t="s">
        <v>2070</v>
      </c>
      <c r="E15" s="176" t="s">
        <v>2085</v>
      </c>
      <c r="F15" s="176" t="s">
        <v>790</v>
      </c>
      <c r="G15" s="170" t="s">
        <v>541</v>
      </c>
      <c r="H15" s="134" t="s">
        <v>2086</v>
      </c>
      <c r="J15" s="40" t="str">
        <f t="array" ref="J15">IFERROR(INDEX(All_User!D:D,MATCH(H15,All_User!D:D,0)),"없음")</f>
        <v>david.oh@stryker.com</v>
      </c>
      <c r="L15" s="40" t="str">
        <f t="array" ref="L15">IFERROR(INDEX(sales!G:G,MATCH(H15,sales!C:C,0)),"없음")</f>
        <v>SL-C486FW</v>
      </c>
    </row>
    <row r="16" spans="1:12" ht="15.75" customHeight="1">
      <c r="A16" s="168">
        <v>16</v>
      </c>
      <c r="B16" s="121" t="s">
        <v>2069</v>
      </c>
      <c r="C16" s="121"/>
      <c r="D16" s="121" t="s">
        <v>2080</v>
      </c>
      <c r="E16" s="176" t="s">
        <v>1002</v>
      </c>
      <c r="F16" s="176" t="s">
        <v>790</v>
      </c>
      <c r="G16" s="170" t="s">
        <v>541</v>
      </c>
      <c r="H16" s="134" t="s">
        <v>2087</v>
      </c>
      <c r="J16" s="40" t="str">
        <f t="array" ref="J16">IFERROR(INDEX(All_User!D:D,MATCH(H16,All_User!D:D,0)),"없음")</f>
        <v>gd.ahn@stryker.com</v>
      </c>
      <c r="L16" s="40" t="str">
        <f t="array" ref="L16">IFERROR(INDEX(sales!G:G,MATCH(H16,sales!C:C,0)),"없음")</f>
        <v>확인중</v>
      </c>
    </row>
    <row r="17" spans="1:12">
      <c r="A17" s="168">
        <v>17</v>
      </c>
      <c r="B17" s="121" t="s">
        <v>2069</v>
      </c>
      <c r="C17" s="121"/>
      <c r="D17" s="121" t="s">
        <v>2088</v>
      </c>
      <c r="E17" s="176" t="s">
        <v>112</v>
      </c>
      <c r="F17" s="176" t="s">
        <v>790</v>
      </c>
      <c r="G17" s="170" t="s">
        <v>541</v>
      </c>
      <c r="H17" s="171" t="s">
        <v>114</v>
      </c>
      <c r="J17" s="40" t="str">
        <f t="array" ref="J17">IFERROR(INDEX(All_User!D:D,MATCH(H17,All_User!D:D,0)),"없음")</f>
        <v>roy.choi@stryker.com</v>
      </c>
      <c r="L17" s="40" t="str">
        <f t="array" ref="L17">IFERROR(INDEX(sales!G:G,MATCH(H17,sales!C:C,0)),"없음")</f>
        <v>폐기</v>
      </c>
    </row>
    <row r="18" spans="1:12">
      <c r="A18" s="168">
        <v>18</v>
      </c>
      <c r="B18" s="121" t="s">
        <v>2075</v>
      </c>
      <c r="C18" s="172">
        <v>45261</v>
      </c>
      <c r="D18" s="121" t="s">
        <v>2075</v>
      </c>
      <c r="E18" s="176" t="s">
        <v>356</v>
      </c>
      <c r="F18" s="176" t="s">
        <v>790</v>
      </c>
      <c r="G18" s="170" t="s">
        <v>541</v>
      </c>
      <c r="H18" s="171" t="s">
        <v>358</v>
      </c>
      <c r="J18" s="40" t="str">
        <f t="array" ref="J18">IFERROR(INDEX(All_User!D:D,MATCH(H18,All_User!D:D,0)),"없음")</f>
        <v>yeonjoo.kim@stryker.com</v>
      </c>
      <c r="L18" s="40" t="str">
        <f t="array" ref="L18">IFERROR(INDEX(sales!G:G,MATCH(H18,sales!C:C,0)),"없음")</f>
        <v>SL-C563W</v>
      </c>
    </row>
    <row r="19" spans="1:12">
      <c r="A19" s="168">
        <v>19</v>
      </c>
      <c r="B19" s="121" t="s">
        <v>2075</v>
      </c>
      <c r="C19" s="172">
        <v>45292</v>
      </c>
      <c r="D19" s="121" t="s">
        <v>2075</v>
      </c>
      <c r="E19" s="176" t="s">
        <v>234</v>
      </c>
      <c r="F19" s="176" t="s">
        <v>790</v>
      </c>
      <c r="G19" s="170" t="s">
        <v>541</v>
      </c>
      <c r="H19" s="171" t="s">
        <v>236</v>
      </c>
      <c r="J19" s="40" t="str">
        <f t="array" ref="J19">IFERROR(INDEX(All_User!D:D,MATCH(H19,All_User!D:D,0)),"없음")</f>
        <v>yoonbee.jeong@stryker.com</v>
      </c>
      <c r="L19" s="40" t="str">
        <f t="array" ref="L19">IFERROR(INDEX(sales!G:G,MATCH(H19,sales!C:C,0)),"없음")</f>
        <v>SL-C563W</v>
      </c>
    </row>
    <row r="20" spans="1:12">
      <c r="A20" s="168">
        <v>20</v>
      </c>
      <c r="B20" s="121" t="s">
        <v>2075</v>
      </c>
      <c r="C20" s="172">
        <v>45292</v>
      </c>
      <c r="D20" s="121" t="s">
        <v>2075</v>
      </c>
      <c r="E20" s="176" t="s">
        <v>163</v>
      </c>
      <c r="F20" s="176" t="s">
        <v>790</v>
      </c>
      <c r="G20" s="170" t="s">
        <v>541</v>
      </c>
      <c r="H20" s="171" t="s">
        <v>165</v>
      </c>
      <c r="J20" s="40" t="str">
        <f t="array" ref="J20">IFERROR(INDEX(All_User!D:D,MATCH(H20,All_User!D:D,0)),"없음")</f>
        <v>leo.han@stryker.com</v>
      </c>
      <c r="L20" s="40" t="str">
        <f t="array" ref="L20">IFERROR(INDEX(sales!G:G,MATCH(H20,sales!C:C,0)),"없음")</f>
        <v>SL-C563W</v>
      </c>
    </row>
    <row r="21" spans="1:12">
      <c r="A21" s="168">
        <v>21</v>
      </c>
      <c r="B21" s="121" t="s">
        <v>2075</v>
      </c>
      <c r="C21" s="172">
        <v>45292</v>
      </c>
      <c r="D21" s="121" t="s">
        <v>2075</v>
      </c>
      <c r="E21" s="176" t="s">
        <v>116</v>
      </c>
      <c r="F21" s="176" t="s">
        <v>790</v>
      </c>
      <c r="G21" s="170" t="s">
        <v>541</v>
      </c>
      <c r="H21" s="171" t="s">
        <v>117</v>
      </c>
      <c r="J21" s="40" t="str">
        <f t="array" ref="J21">IFERROR(INDEX(All_User!D:D,MATCH(H21,All_User!D:D,0)),"없음")</f>
        <v>claire.choi@stryker.com</v>
      </c>
      <c r="L21" s="40" t="str">
        <f t="array" ref="L21">IFERROR(INDEX(sales!G:G,MATCH(H21,sales!C:C,0)),"없음")</f>
        <v>SL-C563W</v>
      </c>
    </row>
    <row r="22" spans="1:12">
      <c r="A22" s="168">
        <v>22</v>
      </c>
      <c r="B22" s="121" t="s">
        <v>2075</v>
      </c>
      <c r="C22" s="172">
        <v>45689</v>
      </c>
      <c r="D22" s="121" t="s">
        <v>2075</v>
      </c>
      <c r="E22" s="176" t="s">
        <v>374</v>
      </c>
      <c r="F22" s="176" t="s">
        <v>790</v>
      </c>
      <c r="G22" s="170" t="s">
        <v>541</v>
      </c>
      <c r="H22" s="171" t="s">
        <v>376</v>
      </c>
      <c r="J22" s="40" t="str">
        <f t="array" ref="J22">IFERROR(INDEX(All_User!D:D,MATCH(H22,All_User!D:D,0)),"없음")</f>
        <v>jayden.kim@stryker.com</v>
      </c>
      <c r="L22" s="40" t="str">
        <f t="array" ref="L22">IFERROR(INDEX(sales!G:G,MATCH(H22,sales!C:C,0)),"없음")</f>
        <v>SL-C563W</v>
      </c>
    </row>
    <row r="23" spans="1:12">
      <c r="A23" s="168">
        <v>23</v>
      </c>
      <c r="B23" s="121" t="s">
        <v>2069</v>
      </c>
      <c r="C23" s="172"/>
      <c r="D23" s="121" t="s">
        <v>2073</v>
      </c>
      <c r="E23" s="178" t="s">
        <v>751</v>
      </c>
      <c r="F23" s="178" t="s">
        <v>932</v>
      </c>
      <c r="G23" s="170" t="s">
        <v>541</v>
      </c>
      <c r="H23" s="171" t="s">
        <v>753</v>
      </c>
      <c r="J23" s="40" t="str">
        <f t="array" ref="J23">IFERROR(INDEX(All_User!D:D,MATCH(H23,All_User!D:D,0)),"없음")</f>
        <v>jw.yoon@stryker.com</v>
      </c>
      <c r="L23" s="40" t="str">
        <f t="array" ref="L23">IFERROR(INDEX(sales!G:G,MATCH(H23,sales!C:C,0)),"없음")</f>
        <v>2차 조사 정보 없음</v>
      </c>
    </row>
    <row r="24" spans="1:12">
      <c r="A24" s="168">
        <v>24</v>
      </c>
      <c r="B24" s="121" t="s">
        <v>2069</v>
      </c>
      <c r="C24" s="172"/>
      <c r="D24" s="121" t="s">
        <v>2070</v>
      </c>
      <c r="E24" s="178" t="s">
        <v>737</v>
      </c>
      <c r="F24" s="178" t="s">
        <v>932</v>
      </c>
      <c r="G24" s="170" t="s">
        <v>541</v>
      </c>
      <c r="H24" s="171" t="s">
        <v>739</v>
      </c>
      <c r="J24" s="40" t="str">
        <f t="array" ref="J24">IFERROR(INDEX(All_User!D:D,MATCH(H24,All_User!D:D,0)),"없음")</f>
        <v>jiho.yoo@stryker.com</v>
      </c>
      <c r="L24" s="40" t="str">
        <f t="array" ref="L24">IFERROR(INDEX(sales!G:G,MATCH(H24,sales!C:C,0)),"없음")</f>
        <v>SL-C486FW</v>
      </c>
    </row>
    <row r="25" spans="1:12">
      <c r="A25" s="168">
        <v>25</v>
      </c>
      <c r="B25" s="141" t="s">
        <v>2075</v>
      </c>
      <c r="C25" s="172">
        <v>45352</v>
      </c>
      <c r="D25" s="121" t="s">
        <v>2075</v>
      </c>
      <c r="E25" s="178" t="s">
        <v>295</v>
      </c>
      <c r="F25" s="178" t="s">
        <v>932</v>
      </c>
      <c r="G25" s="170" t="s">
        <v>541</v>
      </c>
      <c r="H25" s="171" t="s">
        <v>297</v>
      </c>
      <c r="J25" s="40" t="str">
        <f t="array" ref="J25">IFERROR(INDEX(All_User!D:D,MATCH(H25,All_User!D:D,0)),"없음")</f>
        <v>louis.kang@stryker.com</v>
      </c>
      <c r="L25" s="40" t="str">
        <f t="array" ref="L25">IFERROR(INDEX(sales!G:G,MATCH(H25,sales!C:C,0)),"없음")</f>
        <v>SL-C563W</v>
      </c>
    </row>
    <row r="26" spans="1:12">
      <c r="A26" s="168">
        <v>26</v>
      </c>
      <c r="B26" s="121" t="s">
        <v>2069</v>
      </c>
      <c r="C26" s="172">
        <v>45474</v>
      </c>
      <c r="D26" s="121" t="s">
        <v>2075</v>
      </c>
      <c r="E26" s="178" t="s">
        <v>213</v>
      </c>
      <c r="F26" s="178" t="s">
        <v>932</v>
      </c>
      <c r="G26" s="170" t="s">
        <v>541</v>
      </c>
      <c r="H26" s="171" t="s">
        <v>215</v>
      </c>
      <c r="J26" s="40" t="str">
        <f t="array" ref="J26">IFERROR(INDEX(All_User!D:D,MATCH(H26,All_User!D:D,0)),"없음")</f>
        <v>theo.hwang@stryker.com</v>
      </c>
      <c r="L26" s="40" t="str">
        <f t="array" ref="L26">IFERROR(INDEX(sales!G:G,MATCH(H26,sales!C:C,0)),"없음")</f>
        <v>SL-C563W</v>
      </c>
    </row>
    <row r="27" spans="1:12">
      <c r="A27" s="168">
        <v>27</v>
      </c>
      <c r="B27" s="121" t="s">
        <v>2069</v>
      </c>
      <c r="C27" s="121"/>
      <c r="D27" s="121" t="s">
        <v>2073</v>
      </c>
      <c r="E27" s="178" t="s">
        <v>147</v>
      </c>
      <c r="F27" s="178" t="s">
        <v>932</v>
      </c>
      <c r="G27" s="170" t="s">
        <v>541</v>
      </c>
      <c r="H27" s="171" t="s">
        <v>149</v>
      </c>
      <c r="J27" s="40" t="str">
        <f t="array" ref="J27">IFERROR(INDEX(All_User!D:D,MATCH(H27,All_User!D:D,0)),"없음")</f>
        <v>jack.eum@stryker.com</v>
      </c>
      <c r="L27" s="40" t="str">
        <f t="array" ref="L27">IFERROR(INDEX(sales!G:G,MATCH(H27,sales!C:C,0)),"없음")</f>
        <v>2차 조사 정보 없음</v>
      </c>
    </row>
    <row r="28" spans="1:12">
      <c r="A28" s="168">
        <v>28</v>
      </c>
      <c r="B28" s="121" t="s">
        <v>2069</v>
      </c>
      <c r="C28" s="172"/>
      <c r="D28" s="121" t="s">
        <v>2073</v>
      </c>
      <c r="E28" s="179" t="s">
        <v>598</v>
      </c>
      <c r="F28" s="179" t="s">
        <v>1021</v>
      </c>
      <c r="G28" s="170" t="s">
        <v>541</v>
      </c>
      <c r="H28" s="171" t="s">
        <v>600</v>
      </c>
      <c r="J28" s="40" t="str">
        <f t="array" ref="J28">IFERROR(INDEX(All_User!D:D,MATCH(H28,All_User!D:D,0)),"없음")</f>
        <v>jin.park@stryker.com</v>
      </c>
      <c r="L28" s="40" t="str">
        <f t="array" ref="L28">IFERROR(INDEX(sales!G:G,MATCH(H28,sales!C:C,0)),"없음")</f>
        <v>2차 조사 정보 없음</v>
      </c>
    </row>
    <row r="29" spans="1:12">
      <c r="A29" s="168">
        <v>29</v>
      </c>
      <c r="B29" s="121" t="s">
        <v>2069</v>
      </c>
      <c r="C29" s="172"/>
      <c r="D29" s="175" t="s">
        <v>2089</v>
      </c>
      <c r="E29" s="179" t="s">
        <v>130</v>
      </c>
      <c r="F29" s="179" t="s">
        <v>1021</v>
      </c>
      <c r="G29" s="170" t="s">
        <v>541</v>
      </c>
      <c r="H29" s="171" t="s">
        <v>132</v>
      </c>
      <c r="J29" s="40" t="str">
        <f t="array" ref="J29">IFERROR(INDEX(All_User!D:D,MATCH(H29,All_User!D:D,0)),"없음")</f>
        <v>jae.chung@stryker.com</v>
      </c>
      <c r="L29" s="40" t="str">
        <f t="array" ref="L29">IFERROR(INDEX(sales!G:G,MATCH(H29,sales!C:C,0)),"없음")</f>
        <v>SL-C483W</v>
      </c>
    </row>
    <row r="30" spans="1:12">
      <c r="A30" s="168">
        <v>30</v>
      </c>
      <c r="B30" s="121" t="s">
        <v>2069</v>
      </c>
      <c r="C30" s="121"/>
      <c r="D30" s="169" t="s">
        <v>2070</v>
      </c>
      <c r="E30" s="179" t="s">
        <v>483</v>
      </c>
      <c r="F30" s="179" t="s">
        <v>1021</v>
      </c>
      <c r="G30" s="170" t="s">
        <v>541</v>
      </c>
      <c r="H30" s="171" t="s">
        <v>485</v>
      </c>
      <c r="J30" s="40" t="str">
        <f t="array" ref="J30">IFERROR(INDEX(All_User!D:D,MATCH(H30,All_User!D:D,0)),"없음")</f>
        <v>henry.lee@stryker.com</v>
      </c>
      <c r="L30" s="40" t="str">
        <f t="array" ref="L30">IFERROR(INDEX(sales!G:G,MATCH(H30,sales!C:C,0)),"없음")</f>
        <v>SL-C486FW</v>
      </c>
    </row>
    <row r="31" spans="1:12">
      <c r="A31" s="168">
        <v>31</v>
      </c>
      <c r="B31" s="121" t="s">
        <v>2069</v>
      </c>
      <c r="C31" s="121"/>
      <c r="D31" s="175" t="s">
        <v>2070</v>
      </c>
      <c r="E31" s="179" t="s">
        <v>143</v>
      </c>
      <c r="F31" s="179" t="s">
        <v>1021</v>
      </c>
      <c r="G31" s="170" t="s">
        <v>541</v>
      </c>
      <c r="H31" s="171" t="s">
        <v>145</v>
      </c>
      <c r="J31" s="40" t="str">
        <f t="array" ref="J31">IFERROR(INDEX(All_User!D:D,MATCH(H31,All_User!D:D,0)),"없음")</f>
        <v>Nathan.Eom@stryker.com</v>
      </c>
      <c r="L31" s="40" t="str">
        <f t="array" ref="L31">IFERROR(INDEX(sales!G:G,MATCH(H31,sales!C:C,0)),"없음")</f>
        <v>SL-C486FW</v>
      </c>
    </row>
    <row r="32" spans="1:12">
      <c r="A32" s="168">
        <v>32</v>
      </c>
      <c r="B32" s="141" t="s">
        <v>2075</v>
      </c>
      <c r="C32" s="172">
        <v>45413</v>
      </c>
      <c r="D32" s="121" t="s">
        <v>2075</v>
      </c>
      <c r="E32" s="179" t="s">
        <v>530</v>
      </c>
      <c r="F32" s="179" t="s">
        <v>1021</v>
      </c>
      <c r="G32" s="170" t="s">
        <v>541</v>
      </c>
      <c r="H32" s="171" t="s">
        <v>532</v>
      </c>
      <c r="I32" s="40" t="s">
        <v>2090</v>
      </c>
      <c r="J32" s="40" t="str">
        <f t="array" ref="J32">IFERROR(INDEX(All_User!D:D,MATCH(H32,All_User!D:D,0)),"없음")</f>
        <v>ethan.na@stryker.com</v>
      </c>
      <c r="L32" s="40" t="str">
        <f t="array" ref="L32">IFERROR(INDEX(sales!G:G,MATCH(H32,sales!C:C,0)),"없음")</f>
        <v>SL-C563W</v>
      </c>
    </row>
    <row r="33" spans="1:12">
      <c r="A33" s="168">
        <v>33</v>
      </c>
      <c r="B33" s="141" t="s">
        <v>2075</v>
      </c>
      <c r="C33" s="172">
        <v>45444</v>
      </c>
      <c r="D33" s="121" t="s">
        <v>2075</v>
      </c>
      <c r="E33" s="179" t="s">
        <v>457</v>
      </c>
      <c r="F33" s="179" t="s">
        <v>1021</v>
      </c>
      <c r="G33" s="170" t="s">
        <v>541</v>
      </c>
      <c r="H33" s="171" t="s">
        <v>459</v>
      </c>
      <c r="J33" s="40" t="str">
        <f t="array" ref="J33">IFERROR(INDEX(All_User!D:D,MATCH(H33,All_User!D:D,0)),"없음")</f>
        <v>joy.lee@stryker.com</v>
      </c>
      <c r="L33" s="40" t="str">
        <f t="array" ref="L33">IFERROR(INDEX(sales!G:G,MATCH(H33,sales!C:C,0)),"없음")</f>
        <v>SL-C563W</v>
      </c>
    </row>
    <row r="34" spans="1:12">
      <c r="A34" s="168">
        <v>34</v>
      </c>
      <c r="B34" s="141" t="s">
        <v>2075</v>
      </c>
      <c r="C34" s="172">
        <v>45139</v>
      </c>
      <c r="D34" s="121" t="s">
        <v>2075</v>
      </c>
      <c r="E34" s="179" t="s">
        <v>318</v>
      </c>
      <c r="F34" s="179" t="s">
        <v>1021</v>
      </c>
      <c r="G34" s="170" t="s">
        <v>541</v>
      </c>
      <c r="H34" s="171" t="s">
        <v>320</v>
      </c>
      <c r="J34" s="40" t="str">
        <f t="array" ref="J34">IFERROR(INDEX(All_User!D:D,MATCH(H34,All_User!D:D,0)),"없음")</f>
        <v>danny.kim@stryker.com</v>
      </c>
      <c r="L34" s="40" t="str">
        <f t="array" ref="L34">IFERROR(INDEX(sales!G:G,MATCH(H34,sales!C:C,0)),"없음")</f>
        <v>SL-C563W</v>
      </c>
    </row>
    <row r="35" spans="1:12">
      <c r="A35" s="168">
        <v>35</v>
      </c>
      <c r="B35" s="123" t="s">
        <v>2069</v>
      </c>
      <c r="C35" s="123"/>
      <c r="D35" s="123" t="s">
        <v>2091</v>
      </c>
      <c r="E35" s="123" t="s">
        <v>2092</v>
      </c>
      <c r="F35" s="123" t="s">
        <v>1021</v>
      </c>
      <c r="G35" s="123" t="s">
        <v>541</v>
      </c>
      <c r="H35" s="180" t="s">
        <v>2093</v>
      </c>
      <c r="I35" s="181"/>
      <c r="J35" s="181" t="str">
        <f t="array" ref="J35">IFERROR(INDEX(All_User!D:D,MATCH(H35,All_User!D:D,0)),"없음")</f>
        <v>없음</v>
      </c>
      <c r="L35" s="40" t="str">
        <f t="array" ref="L35">IFERROR(INDEX(sales!G:G,MATCH(H35,sales!C:C,0)),"없음")</f>
        <v>없음</v>
      </c>
    </row>
    <row r="36" spans="1:12" ht="15.75" customHeight="1">
      <c r="A36" s="168">
        <v>36</v>
      </c>
      <c r="B36" s="123" t="s">
        <v>2069</v>
      </c>
      <c r="C36" s="182"/>
      <c r="D36" s="123" t="s">
        <v>2094</v>
      </c>
      <c r="E36" s="123" t="s">
        <v>2095</v>
      </c>
      <c r="F36" s="123" t="s">
        <v>1027</v>
      </c>
      <c r="G36" s="123" t="s">
        <v>1027</v>
      </c>
      <c r="H36" s="183" t="s">
        <v>2096</v>
      </c>
      <c r="I36" s="181"/>
      <c r="J36" s="181" t="str">
        <f t="array" ref="J36">IFERROR(INDEX(All_User!D:D,MATCH(H36,All_User!D:D,0)),"없음")</f>
        <v>없음</v>
      </c>
      <c r="L36" s="40" t="str">
        <f t="array" ref="L36">IFERROR(INDEX(sales!G:G,MATCH(H36,sales!C:C,0)),"없음")</f>
        <v>없음</v>
      </c>
    </row>
    <row r="37" spans="1:12">
      <c r="A37" s="168">
        <v>37</v>
      </c>
      <c r="B37" s="121" t="s">
        <v>2069</v>
      </c>
      <c r="C37" s="172"/>
      <c r="D37" s="184" t="s">
        <v>2070</v>
      </c>
      <c r="E37" s="179" t="s">
        <v>661</v>
      </c>
      <c r="F37" s="179" t="s">
        <v>1021</v>
      </c>
      <c r="G37" s="170" t="s">
        <v>541</v>
      </c>
      <c r="H37" s="171" t="s">
        <v>663</v>
      </c>
      <c r="J37" s="40" t="str">
        <f t="array" ref="J37">IFERROR(INDEX(All_User!D:D,MATCH(H37,All_User!D:D,0)),"없음")</f>
        <v>dana.shin@stryker.com</v>
      </c>
      <c r="L37" s="40" t="str">
        <f t="array" ref="L37">IFERROR(INDEX(sales!G:G,MATCH(H37,sales!C:C,0)),"없음")</f>
        <v>SL-C486FW</v>
      </c>
    </row>
    <row r="38" spans="1:12">
      <c r="A38" s="168">
        <v>38</v>
      </c>
      <c r="B38" s="121" t="s">
        <v>2069</v>
      </c>
      <c r="C38" s="172"/>
      <c r="D38" s="121" t="s">
        <v>2070</v>
      </c>
      <c r="E38" s="179" t="s">
        <v>670</v>
      </c>
      <c r="F38" s="179" t="s">
        <v>1021</v>
      </c>
      <c r="G38" s="170" t="s">
        <v>541</v>
      </c>
      <c r="H38" s="171" t="s">
        <v>672</v>
      </c>
      <c r="J38" s="40" t="str">
        <f t="array" ref="J38">IFERROR(INDEX(All_User!D:D,MATCH(H38,All_User!D:D,0)),"없음")</f>
        <v>Simon.sin@stryker.com</v>
      </c>
      <c r="L38" s="40" t="str">
        <f t="array" ref="L38">IFERROR(INDEX(sales!G:G,MATCH(H38,sales!C:C,0)),"없음")</f>
        <v>SL-C486FW</v>
      </c>
    </row>
    <row r="39" spans="1:12">
      <c r="A39" s="168">
        <v>39</v>
      </c>
      <c r="B39" s="121" t="s">
        <v>2097</v>
      </c>
      <c r="C39" s="121"/>
      <c r="D39" s="121" t="s">
        <v>2075</v>
      </c>
      <c r="E39" s="179" t="s">
        <v>613</v>
      </c>
      <c r="F39" s="179" t="s">
        <v>833</v>
      </c>
      <c r="G39" s="170" t="s">
        <v>541</v>
      </c>
      <c r="H39" s="171" t="s">
        <v>615</v>
      </c>
      <c r="J39" s="40" t="str">
        <f t="array" ref="J39">IFERROR(INDEX(All_User!D:D,MATCH(H39,All_User!D:D,0)),"없음")</f>
        <v>hyoseon.park@stryker.com</v>
      </c>
      <c r="L39" s="40" t="str">
        <f t="array" ref="L39">IFERROR(INDEX(sales!G:G,MATCH(H39,sales!C:C,0)),"없음")</f>
        <v>SL-C563W</v>
      </c>
    </row>
    <row r="40" spans="1:12">
      <c r="A40" s="168">
        <v>41</v>
      </c>
      <c r="B40" s="121" t="s">
        <v>2075</v>
      </c>
      <c r="C40" s="172">
        <v>45108</v>
      </c>
      <c r="D40" s="121" t="s">
        <v>2075</v>
      </c>
      <c r="E40" s="179" t="s">
        <v>608</v>
      </c>
      <c r="F40" s="179" t="s">
        <v>1021</v>
      </c>
      <c r="G40" s="170" t="s">
        <v>541</v>
      </c>
      <c r="H40" s="171" t="s">
        <v>610</v>
      </c>
      <c r="J40" s="40" t="str">
        <f t="array" ref="J40">IFERROR(INDEX(All_User!D:D,MATCH(H40,All_User!D:D,0)),"없음")</f>
        <v>daniel.park@stryker.com</v>
      </c>
      <c r="L40" s="40" t="str">
        <f t="array" ref="L40">IFERROR(INDEX(sales!G:G,MATCH(H40,sales!C:C,0)),"없음")</f>
        <v>SL-C563W</v>
      </c>
    </row>
    <row r="41" spans="1:12">
      <c r="A41" s="168">
        <v>42</v>
      </c>
      <c r="B41" s="121" t="s">
        <v>2075</v>
      </c>
      <c r="C41" s="172">
        <v>45627</v>
      </c>
      <c r="D41" s="121" t="s">
        <v>2075</v>
      </c>
      <c r="E41" s="179" t="s">
        <v>119</v>
      </c>
      <c r="F41" s="179" t="s">
        <v>1021</v>
      </c>
      <c r="G41" s="170" t="s">
        <v>541</v>
      </c>
      <c r="H41" s="171" t="s">
        <v>121</v>
      </c>
      <c r="J41" s="40" t="str">
        <f t="array" ref="J41">IFERROR(INDEX(All_User!D:D,MATCH(H41,All_User!D:D,0)),"없음")</f>
        <v>brad.choi@stryker.com</v>
      </c>
      <c r="L41" s="40" t="str">
        <f t="array" ref="L41">IFERROR(INDEX(sales!G:G,MATCH(H41,sales!C:C,0)),"없음")</f>
        <v>SL-C563W</v>
      </c>
    </row>
    <row r="42" spans="1:12">
      <c r="A42" s="168">
        <v>43</v>
      </c>
      <c r="B42" s="121" t="s">
        <v>2075</v>
      </c>
      <c r="C42" s="172">
        <v>45383</v>
      </c>
      <c r="D42" s="121" t="s">
        <v>2083</v>
      </c>
      <c r="E42" s="179" t="s">
        <v>231</v>
      </c>
      <c r="F42" s="179" t="s">
        <v>1021</v>
      </c>
      <c r="G42" s="170" t="s">
        <v>541</v>
      </c>
      <c r="H42" s="171" t="s">
        <v>233</v>
      </c>
      <c r="J42" s="40" t="str">
        <f t="array" ref="J42">IFERROR(INDEX(All_User!D:D,MATCH(H42,All_User!D:D,0)),"없음")</f>
        <v>chan.jeon@stryker.com</v>
      </c>
      <c r="L42" s="40" t="str">
        <f t="array" ref="L42">IFERROR(INDEX(sales!G:G,MATCH(H42,sales!C:C,0)),"없음")</f>
        <v>SL-C565W</v>
      </c>
    </row>
    <row r="43" spans="1:12">
      <c r="A43" s="168">
        <v>44</v>
      </c>
      <c r="B43" s="121"/>
      <c r="C43" s="121" t="s">
        <v>2759</v>
      </c>
      <c r="D43" s="121" t="s">
        <v>2080</v>
      </c>
      <c r="E43" s="121" t="s">
        <v>314</v>
      </c>
      <c r="F43" s="121" t="s">
        <v>850</v>
      </c>
      <c r="G43" s="170" t="s">
        <v>541</v>
      </c>
      <c r="H43" s="171" t="s">
        <v>316</v>
      </c>
      <c r="J43" s="40" t="str">
        <f t="array" ref="J43">IFERROR(INDEX(All_User!D:D,MATCH(H43,All_User!D:D,0)),"없음")</f>
        <v>Sue.Kim@stryker.com</v>
      </c>
      <c r="L43" s="40" t="str">
        <f t="array" ref="L43">IFERROR(INDEX(sales!G:G,MATCH(H43,sales!C:C,0)),"없음")</f>
        <v>확인중</v>
      </c>
    </row>
    <row r="44" spans="1:12">
      <c r="A44" s="168">
        <v>45</v>
      </c>
      <c r="B44" s="121" t="s">
        <v>2069</v>
      </c>
      <c r="C44" s="172"/>
      <c r="D44" s="121" t="s">
        <v>2080</v>
      </c>
      <c r="E44" s="121" t="s">
        <v>340</v>
      </c>
      <c r="F44" s="121" t="s">
        <v>850</v>
      </c>
      <c r="G44" s="170" t="s">
        <v>541</v>
      </c>
      <c r="H44" s="171" t="s">
        <v>342</v>
      </c>
      <c r="J44" s="40" t="str">
        <f t="array" ref="J44">IFERROR(INDEX(All_User!D:D,MATCH(H44,All_User!D:D,0)),"없음")</f>
        <v>jackson.kim@stryker.com</v>
      </c>
      <c r="L44" s="40" t="str">
        <f t="array" ref="L44">IFERROR(INDEX(sales!G:G,MATCH(H44,sales!C:C,0)),"없음")</f>
        <v>확인중</v>
      </c>
    </row>
    <row r="45" spans="1:12">
      <c r="A45" s="168">
        <v>46</v>
      </c>
      <c r="B45" s="121" t="s">
        <v>2069</v>
      </c>
      <c r="C45" s="172"/>
      <c r="D45" s="175" t="s">
        <v>2070</v>
      </c>
      <c r="E45" s="121" t="s">
        <v>353</v>
      </c>
      <c r="F45" s="121" t="s">
        <v>850</v>
      </c>
      <c r="G45" s="170" t="s">
        <v>541</v>
      </c>
      <c r="H45" s="171" t="s">
        <v>355</v>
      </c>
      <c r="J45" s="40" t="str">
        <f t="array" ref="J45">IFERROR(INDEX(All_User!D:D,MATCH(H45,All_User!D:D,0)),"없음")</f>
        <v>henry.kim1@stryker.com</v>
      </c>
      <c r="L45" s="40" t="str">
        <f t="array" ref="L45">IFERROR(INDEX(sales!G:G,MATCH(H45,sales!C:C,0)),"없음")</f>
        <v>SL-C486FW</v>
      </c>
    </row>
    <row r="46" spans="1:12">
      <c r="A46" s="168">
        <v>47</v>
      </c>
      <c r="B46" s="121" t="s">
        <v>2069</v>
      </c>
      <c r="C46" s="172"/>
      <c r="D46" s="121" t="s">
        <v>2074</v>
      </c>
      <c r="E46" s="121" t="s">
        <v>561</v>
      </c>
      <c r="F46" s="121" t="s">
        <v>850</v>
      </c>
      <c r="G46" s="170" t="s">
        <v>541</v>
      </c>
      <c r="H46" s="171" t="s">
        <v>563</v>
      </c>
      <c r="J46" s="40" t="str">
        <f t="array" ref="J46">IFERROR(INDEX(All_User!D:D,MATCH(H46,All_User!D:D,0)),"없음")</f>
        <v>tyler.park@stryker.com</v>
      </c>
      <c r="L46" s="40" t="str">
        <f t="array" ref="L46">IFERROR(INDEX(sales!G:G,MATCH(H46,sales!C:C,0)),"없음")</f>
        <v>반납</v>
      </c>
    </row>
    <row r="47" spans="1:12">
      <c r="A47" s="168">
        <v>48</v>
      </c>
      <c r="B47" s="121" t="s">
        <v>2069</v>
      </c>
      <c r="C47" s="172"/>
      <c r="D47" s="121" t="s">
        <v>2073</v>
      </c>
      <c r="E47" s="121" t="s">
        <v>182</v>
      </c>
      <c r="F47" s="121" t="s">
        <v>850</v>
      </c>
      <c r="G47" s="170" t="s">
        <v>541</v>
      </c>
      <c r="H47" s="171" t="s">
        <v>184</v>
      </c>
      <c r="J47" s="40" t="str">
        <f t="array" ref="J47">IFERROR(INDEX(All_User!D:D,MATCH(H47,All_User!D:D,0)),"없음")</f>
        <v>yejin.heo@stryker.com</v>
      </c>
      <c r="L47" s="40" t="str">
        <f t="array" ref="L47">IFERROR(INDEX(sales!G:G,MATCH(H47,sales!C:C,0)),"없음")</f>
        <v>2차 조사 정보 없음</v>
      </c>
    </row>
    <row r="48" spans="1:12">
      <c r="A48" s="168">
        <v>49</v>
      </c>
      <c r="B48" s="121" t="s">
        <v>2075</v>
      </c>
      <c r="C48" s="172">
        <v>45597</v>
      </c>
      <c r="D48" s="121" t="s">
        <v>2075</v>
      </c>
      <c r="E48" s="121" t="s">
        <v>633</v>
      </c>
      <c r="F48" s="121" t="s">
        <v>850</v>
      </c>
      <c r="G48" s="170" t="s">
        <v>541</v>
      </c>
      <c r="H48" s="171" t="s">
        <v>635</v>
      </c>
      <c r="J48" s="40" t="str">
        <f t="array" ref="J48">IFERROR(INDEX(All_User!D:D,MATCH(H48,All_User!D:D,0)),"없음")</f>
        <v>Gregory.Seo@stryker.com</v>
      </c>
      <c r="L48" s="40" t="str">
        <f t="array" ref="L48">IFERROR(INDEX(sales!G:G,MATCH(H48,sales!C:C,0)),"없음")</f>
        <v>SL-C563W</v>
      </c>
    </row>
    <row r="49" spans="1:12">
      <c r="A49" s="168">
        <v>50</v>
      </c>
      <c r="B49" s="121" t="s">
        <v>2075</v>
      </c>
      <c r="C49" s="172">
        <v>45597</v>
      </c>
      <c r="D49" s="121" t="s">
        <v>2075</v>
      </c>
      <c r="E49" s="121" t="s">
        <v>2098</v>
      </c>
      <c r="F49" s="121" t="s">
        <v>850</v>
      </c>
      <c r="G49" s="170" t="s">
        <v>541</v>
      </c>
      <c r="H49" s="171" t="s">
        <v>18</v>
      </c>
      <c r="J49" s="40" t="str">
        <f t="array" ref="J49">IFERROR(INDEX(All_User!D:D,MATCH(H49,All_User!D:D,0)),"없음")</f>
        <v>dj.ahn@stryker.com</v>
      </c>
      <c r="L49" s="40" t="str">
        <f t="array" ref="L49">IFERROR(INDEX(sales!G:G,MATCH(H49,sales!C:C,0)),"없음")</f>
        <v>SL-C563W</v>
      </c>
    </row>
    <row r="50" spans="1:12" ht="15">
      <c r="A50" s="168">
        <v>51</v>
      </c>
      <c r="B50" s="121" t="s">
        <v>2069</v>
      </c>
      <c r="C50" s="121"/>
      <c r="D50" s="121" t="s">
        <v>2073</v>
      </c>
      <c r="E50" s="121" t="s">
        <v>208</v>
      </c>
      <c r="F50" s="121" t="s">
        <v>850</v>
      </c>
      <c r="G50" s="170" t="s">
        <v>541</v>
      </c>
      <c r="H50" s="171" t="s">
        <v>210</v>
      </c>
      <c r="J50" s="40" t="str">
        <f t="array" ref="J50">IFERROR(INDEX(All_User!D:D,MATCH(H50,All_User!D:D,0)),"없음")</f>
        <v>young.hwang@stryker.com</v>
      </c>
      <c r="L50" s="40" t="str">
        <f t="array" ref="L50">IFERROR(INDEX(sales!G:G,MATCH(H50,sales!C:C,0)),"없음")</f>
        <v>2차 조사 정보 없음</v>
      </c>
    </row>
    <row r="51" spans="1:12" ht="15">
      <c r="A51" s="168">
        <v>52</v>
      </c>
      <c r="B51" s="121" t="s">
        <v>2084</v>
      </c>
      <c r="C51" s="121" t="s">
        <v>2099</v>
      </c>
      <c r="D51" s="121" t="s">
        <v>2084</v>
      </c>
      <c r="E51" s="121" t="s">
        <v>123</v>
      </c>
      <c r="F51" s="121" t="s">
        <v>850</v>
      </c>
      <c r="G51" s="170" t="s">
        <v>541</v>
      </c>
      <c r="H51" s="171" t="s">
        <v>125</v>
      </c>
      <c r="J51" s="40" t="str">
        <f t="array" ref="J51">IFERROR(INDEX(All_User!D:D,MATCH(H51,All_User!D:D,0)),"없음")</f>
        <v>kyu.choi@stryker.com</v>
      </c>
      <c r="L51" s="40" t="str">
        <f t="array" ref="L51">IFERROR(INDEX(sales!G:G,MATCH(H51,sales!C:C,0)),"없음")</f>
        <v>SL-C565FW</v>
      </c>
    </row>
    <row r="52" spans="1:12" ht="15">
      <c r="A52" s="168">
        <v>53</v>
      </c>
      <c r="B52" s="121"/>
      <c r="C52" s="121" t="s">
        <v>2100</v>
      </c>
      <c r="D52" s="175" t="s">
        <v>2070</v>
      </c>
      <c r="E52" s="121" t="s">
        <v>228</v>
      </c>
      <c r="F52" s="121" t="s">
        <v>850</v>
      </c>
      <c r="G52" s="170" t="s">
        <v>541</v>
      </c>
      <c r="H52" s="171" t="s">
        <v>230</v>
      </c>
      <c r="J52" s="40" t="str">
        <f t="array" ref="J52">IFERROR(INDEX(All_User!D:D,MATCH(H52,All_User!D:D,0)),"없음")</f>
        <v>lucas.jeon@stryker.com</v>
      </c>
      <c r="L52" s="40" t="str">
        <f t="array" ref="L52">IFERROR(INDEX(sales!G:G,MATCH(H52,sales!C:C,0)),"없음")</f>
        <v>SL-C486FW</v>
      </c>
    </row>
    <row r="53" spans="1:12" ht="15">
      <c r="A53" s="168">
        <v>54</v>
      </c>
      <c r="B53" s="185" t="s">
        <v>2069</v>
      </c>
      <c r="C53" s="172"/>
      <c r="D53" s="121" t="s">
        <v>2080</v>
      </c>
      <c r="E53" s="185" t="s">
        <v>638</v>
      </c>
      <c r="F53" s="185" t="s">
        <v>2101</v>
      </c>
      <c r="G53" s="170" t="s">
        <v>1287</v>
      </c>
      <c r="H53" s="171" t="s">
        <v>640</v>
      </c>
      <c r="J53" s="40" t="str">
        <f t="array" ref="J53">IFERROR(INDEX(All_User!D:D,MATCH(H53,All_User!D:D,0)),"없음")</f>
        <v>junghoon.seo@stryker.com</v>
      </c>
      <c r="L53" s="40" t="str">
        <f t="array" ref="L53">IFERROR(INDEX(sales!G:G,MATCH(H53,sales!C:C,0)),"없음")</f>
        <v>확인중</v>
      </c>
    </row>
    <row r="54" spans="1:12" ht="15">
      <c r="A54" s="168">
        <v>55</v>
      </c>
      <c r="B54" s="185" t="s">
        <v>2069</v>
      </c>
      <c r="C54" s="172"/>
      <c r="D54" s="121" t="s">
        <v>2073</v>
      </c>
      <c r="E54" s="185" t="s">
        <v>594</v>
      </c>
      <c r="F54" s="185" t="s">
        <v>1027</v>
      </c>
      <c r="G54" s="170" t="s">
        <v>1027</v>
      </c>
      <c r="H54" s="171" t="s">
        <v>596</v>
      </c>
      <c r="J54" s="40" t="str">
        <f t="array" ref="J54">IFERROR(INDEX(All_User!D:D,MATCH(H54,All_User!D:D,0)),"없음")</f>
        <v>michelle.park@stryker.com</v>
      </c>
      <c r="L54" s="40" t="str">
        <f t="array" ref="L54">IFERROR(INDEX(sales!G:G,MATCH(H54,sales!C:C,0)),"없음")</f>
        <v>2차 조사 정보 없음</v>
      </c>
    </row>
    <row r="55" spans="1:12" ht="17">
      <c r="A55" s="168">
        <v>56</v>
      </c>
      <c r="B55" s="186" t="s">
        <v>2069</v>
      </c>
      <c r="C55" s="121" t="s">
        <v>2102</v>
      </c>
      <c r="D55" s="87" t="s">
        <v>2075</v>
      </c>
      <c r="E55" s="186" t="s">
        <v>665</v>
      </c>
      <c r="F55" s="186" t="s">
        <v>2103</v>
      </c>
      <c r="G55" s="170" t="s">
        <v>909</v>
      </c>
      <c r="H55" s="171" t="s">
        <v>667</v>
      </c>
      <c r="J55" s="40" t="str">
        <f t="array" ref="J55">IFERROR(INDEX(All_User!D:D,MATCH(H55,All_User!D:D,0)),"없음")</f>
        <v>Huey.Sim@stryker.com</v>
      </c>
      <c r="L55" s="40" t="str">
        <f t="array" ref="L55">IFERROR(INDEX(sales!G:G,MATCH(H55,sales!C:C,0)),"없음")</f>
        <v>SL-C563W</v>
      </c>
    </row>
    <row r="56" spans="1:12" ht="15">
      <c r="A56" s="168">
        <v>57</v>
      </c>
      <c r="B56" s="186" t="s">
        <v>2069</v>
      </c>
      <c r="C56" s="172">
        <v>45292</v>
      </c>
      <c r="D56" s="121" t="s">
        <v>2075</v>
      </c>
      <c r="E56" s="186" t="s">
        <v>479</v>
      </c>
      <c r="F56" s="186" t="s">
        <v>2103</v>
      </c>
      <c r="G56" s="170" t="s">
        <v>909</v>
      </c>
      <c r="H56" s="171" t="s">
        <v>481</v>
      </c>
      <c r="J56" s="40" t="str">
        <f t="array" ref="J56">IFERROR(INDEX(All_User!D:D,MATCH(H56,All_User!D:D,0)),"없음")</f>
        <v>daniel.lee1@stryker.com</v>
      </c>
      <c r="L56" s="40" t="str">
        <f t="array" ref="L56">IFERROR(INDEX(sales!G:G,MATCH(H56,sales!C:C,0)),"없음")</f>
        <v>SL-C563W</v>
      </c>
    </row>
    <row r="57" spans="1:12" ht="15">
      <c r="A57" s="168">
        <v>58</v>
      </c>
      <c r="B57" s="186" t="s">
        <v>2069</v>
      </c>
      <c r="C57" s="121"/>
      <c r="D57" s="121" t="s">
        <v>2080</v>
      </c>
      <c r="E57" s="186" t="s">
        <v>204</v>
      </c>
      <c r="F57" s="186" t="s">
        <v>2103</v>
      </c>
      <c r="G57" s="170" t="s">
        <v>909</v>
      </c>
      <c r="H57" s="171" t="s">
        <v>206</v>
      </c>
      <c r="J57" s="40" t="str">
        <f t="array" ref="J57">IFERROR(INDEX(All_User!D:D,MATCH(H57,All_User!D:D,0)),"없음")</f>
        <v>oscar.hwang@stryker.com</v>
      </c>
      <c r="L57" s="40" t="str">
        <f t="array" ref="L57">IFERROR(INDEX(sales!G:G,MATCH(H57,sales!C:C,0)),"없음")</f>
        <v>확인중</v>
      </c>
    </row>
    <row r="58" spans="1:12" ht="15">
      <c r="A58" s="168">
        <v>59</v>
      </c>
      <c r="B58" s="186" t="s">
        <v>2069</v>
      </c>
      <c r="C58" s="172">
        <v>45352</v>
      </c>
      <c r="D58" s="121" t="s">
        <v>2075</v>
      </c>
      <c r="E58" s="186" t="s">
        <v>469</v>
      </c>
      <c r="F58" s="186" t="s">
        <v>2103</v>
      </c>
      <c r="G58" s="170" t="s">
        <v>909</v>
      </c>
      <c r="H58" s="171" t="s">
        <v>471</v>
      </c>
      <c r="J58" s="40" t="str">
        <f t="array" ref="J58">IFERROR(INDEX(All_User!D:D,MATCH(H58,All_User!D:D,0)),"없음")</f>
        <v>david.lee4@stryker.com</v>
      </c>
      <c r="L58" s="40" t="str">
        <f t="array" ref="L58">IFERROR(INDEX(sales!G:G,MATCH(H58,sales!C:C,0)),"없음")</f>
        <v>SL-C563W</v>
      </c>
    </row>
    <row r="59" spans="1:12" ht="17">
      <c r="A59" s="168">
        <v>60</v>
      </c>
      <c r="B59" s="121" t="s">
        <v>2070</v>
      </c>
      <c r="C59" s="121"/>
      <c r="D59" s="121" t="s">
        <v>2075</v>
      </c>
      <c r="E59" s="121" t="s">
        <v>2104</v>
      </c>
      <c r="F59" s="121" t="s">
        <v>790</v>
      </c>
      <c r="G59" s="170" t="s">
        <v>541</v>
      </c>
      <c r="H59" s="134" t="s">
        <v>2105</v>
      </c>
      <c r="J59" s="40" t="str">
        <f t="array" ref="J59">IFERROR(INDEX(All_User!D:D,MATCH(H59,All_User!D:D,0)),"없음")</f>
        <v>rosey.song@stryker.com</v>
      </c>
      <c r="L59" s="40" t="str">
        <f t="array" ref="L59">IFERROR(INDEX(sales!G:G,MATCH(H59,sales!C:C,0)),"없음")</f>
        <v>SL-C563W</v>
      </c>
    </row>
    <row r="60" spans="1:12" ht="17">
      <c r="A60" s="168">
        <v>61</v>
      </c>
      <c r="B60" s="121" t="s">
        <v>2075</v>
      </c>
      <c r="C60" s="121"/>
      <c r="D60" s="121" t="s">
        <v>2075</v>
      </c>
      <c r="E60" s="121" t="s">
        <v>2106</v>
      </c>
      <c r="F60" s="121" t="s">
        <v>790</v>
      </c>
      <c r="G60" s="170" t="s">
        <v>541</v>
      </c>
      <c r="H60" s="134" t="s">
        <v>2107</v>
      </c>
      <c r="J60" s="40" t="str">
        <f t="array" ref="J60">IFERROR(INDEX(All_User!D:D,MATCH(H60,All_User!D:D,0)),"없음")</f>
        <v>Bruce.Cha@stryker.com</v>
      </c>
      <c r="L60" s="40" t="str">
        <f t="array" ref="L60">IFERROR(INDEX(sales!G:G,MATCH(H60,sales!C:C,0)),"없음")</f>
        <v>SL-C563W</v>
      </c>
    </row>
    <row r="61" spans="1:12" ht="17">
      <c r="A61" s="168">
        <v>62</v>
      </c>
      <c r="B61" s="121" t="s">
        <v>2075</v>
      </c>
      <c r="C61" s="172"/>
      <c r="D61" s="187" t="s">
        <v>2075</v>
      </c>
      <c r="E61" s="121" t="s">
        <v>2108</v>
      </c>
      <c r="F61" s="121" t="s">
        <v>790</v>
      </c>
      <c r="G61" s="170" t="s">
        <v>541</v>
      </c>
      <c r="H61" s="134" t="s">
        <v>2109</v>
      </c>
      <c r="J61" s="40" t="str">
        <f t="array" ref="J61">IFERROR(INDEX(All_User!D:D,MATCH(H61,All_User!D:D,0)),"없음")</f>
        <v>neal.kim@stryker.com</v>
      </c>
      <c r="L61" s="40" t="str">
        <f t="array" ref="L61">IFERROR(INDEX(sales!G:G,MATCH(H61,sales!C:C,0)),"없음")</f>
        <v>SL-C563W</v>
      </c>
    </row>
    <row r="62" spans="1:12" ht="15">
      <c r="A62" s="168">
        <v>63</v>
      </c>
      <c r="B62" s="121" t="s">
        <v>2070</v>
      </c>
      <c r="C62" s="172">
        <v>45839</v>
      </c>
      <c r="D62" s="121" t="s">
        <v>2070</v>
      </c>
      <c r="E62" s="121" t="s">
        <v>909</v>
      </c>
      <c r="F62" s="121" t="s">
        <v>2103</v>
      </c>
      <c r="G62" s="170" t="s">
        <v>909</v>
      </c>
      <c r="H62" s="171" t="s">
        <v>2110</v>
      </c>
      <c r="J62" s="40" t="str">
        <f t="array" ref="J62">IFERROR(INDEX(All_User!D:D,MATCH(H62,All_User!D:D,0)),"없음")</f>
        <v>없음</v>
      </c>
      <c r="L62" s="40" t="str">
        <f t="array" ref="L62">IFERROR(INDEX(sales!G:G,MATCH(H62,sales!C:C,0)),"없음")</f>
        <v>없음</v>
      </c>
    </row>
    <row r="63" spans="1:12" ht="15">
      <c r="A63" s="168">
        <v>64</v>
      </c>
      <c r="B63" s="121"/>
      <c r="C63" s="172">
        <v>45870</v>
      </c>
      <c r="D63" s="187" t="s">
        <v>2075</v>
      </c>
      <c r="E63" s="121" t="s">
        <v>909</v>
      </c>
      <c r="F63" s="121" t="s">
        <v>2103</v>
      </c>
      <c r="G63" s="170" t="s">
        <v>909</v>
      </c>
      <c r="H63" s="171" t="s">
        <v>2110</v>
      </c>
      <c r="J63" s="40" t="str">
        <f t="array" ref="J63">IFERROR(INDEX(All_User!D:D,MATCH(H63,All_User!D:D,0)),"없음")</f>
        <v>없음</v>
      </c>
      <c r="L63" s="40" t="str">
        <f t="array" ref="L63">IFERROR(INDEX(sales!G:G,MATCH(H63,sales!C:C,0)),"없음")</f>
        <v>없음</v>
      </c>
    </row>
    <row r="64" spans="1:12" ht="15">
      <c r="A64" s="168">
        <v>65</v>
      </c>
      <c r="B64" s="121" t="s">
        <v>2070</v>
      </c>
      <c r="C64" s="121"/>
      <c r="D64" s="121" t="s">
        <v>2094</v>
      </c>
      <c r="E64" s="171"/>
      <c r="F64" s="171"/>
      <c r="G64" s="121" t="s">
        <v>2111</v>
      </c>
      <c r="H64" s="171" t="s">
        <v>2112</v>
      </c>
      <c r="J64" s="40" t="str">
        <f t="array" ref="J64">IFERROR(INDEX(All_User!D:D,MATCH(H64,All_User!D:D,0)),"없음")</f>
        <v>없음</v>
      </c>
      <c r="L64" s="40" t="str">
        <f t="array" ref="L64">IFERROR(INDEX(sales!G:G,MATCH(H64,sales!C:C,0)),"없음")</f>
        <v>없음</v>
      </c>
    </row>
    <row r="65" spans="1:12" ht="15">
      <c r="A65" s="168">
        <v>66</v>
      </c>
      <c r="B65" s="121" t="s">
        <v>2075</v>
      </c>
      <c r="C65" s="121"/>
      <c r="D65" s="121" t="s">
        <v>2094</v>
      </c>
      <c r="E65" s="171"/>
      <c r="F65" s="171"/>
      <c r="G65" s="121" t="s">
        <v>2111</v>
      </c>
      <c r="H65" s="171" t="s">
        <v>2112</v>
      </c>
      <c r="J65" s="40" t="str">
        <f t="array" ref="J65">IFERROR(INDEX(All_User!D:D,MATCH(H65,All_User!D:D,0)),"없음")</f>
        <v>없음</v>
      </c>
      <c r="L65" s="40" t="str">
        <f t="array" ref="L65">IFERROR(INDEX(sales!G:G,MATCH(H65,sales!C:C,0)),"없음")</f>
        <v>없음</v>
      </c>
    </row>
    <row r="66" spans="1:12" ht="15">
      <c r="A66" s="168">
        <v>67</v>
      </c>
      <c r="B66" s="121" t="s">
        <v>2075</v>
      </c>
      <c r="C66" s="121"/>
      <c r="D66" s="121" t="s">
        <v>2094</v>
      </c>
      <c r="E66" s="171"/>
      <c r="F66" s="171"/>
      <c r="G66" s="121" t="s">
        <v>2111</v>
      </c>
      <c r="H66" s="180" t="s">
        <v>2113</v>
      </c>
      <c r="J66" s="40" t="str">
        <f t="array" ref="J66">IFERROR(INDEX(All_User!D:D,MATCH(H66,All_User!D:D,0)),"없음")</f>
        <v>없음</v>
      </c>
      <c r="L66" s="40" t="str">
        <f t="array" ref="L66">IFERROR(INDEX(sales!G:G,MATCH(H66,sales!C:C,0)),"없음")</f>
        <v>없음</v>
      </c>
    </row>
    <row r="67" spans="1:12" ht="15">
      <c r="A67" s="168">
        <v>63</v>
      </c>
      <c r="B67" s="186" t="s">
        <v>2069</v>
      </c>
      <c r="C67" s="38"/>
      <c r="D67" s="187" t="s">
        <v>2070</v>
      </c>
      <c r="E67" s="38"/>
      <c r="F67" s="38" t="s">
        <v>2103</v>
      </c>
      <c r="G67" s="38"/>
      <c r="H67" s="38" t="s">
        <v>2114</v>
      </c>
      <c r="J67" s="40" t="str">
        <f t="array" ref="J67">IFERROR(INDEX(All_User!D:D,MATCH(H67,All_User!D:D,0)),"없음")</f>
        <v>없음</v>
      </c>
      <c r="L67" s="40" t="str">
        <f t="array" ref="L67">IFERROR(INDEX(sales!G:G,MATCH(H67,sales!C:C,0)),"없음")</f>
        <v>SL-C486FW</v>
      </c>
    </row>
    <row r="68" spans="1:12" ht="15">
      <c r="A68" s="168">
        <v>64</v>
      </c>
      <c r="B68" s="186" t="s">
        <v>2069</v>
      </c>
      <c r="C68" s="38"/>
      <c r="D68" s="188" t="s">
        <v>2075</v>
      </c>
      <c r="E68" s="38"/>
      <c r="F68" s="38" t="s">
        <v>2103</v>
      </c>
      <c r="G68" s="38"/>
      <c r="H68" s="38" t="s">
        <v>2115</v>
      </c>
      <c r="J68" s="40" t="str">
        <f t="array" ref="J68">IFERROR(INDEX(All_User!D:D,MATCH(H68,All_User!D:D,0)),"없음")</f>
        <v>없음</v>
      </c>
      <c r="L68" s="40" t="str">
        <f t="array" ref="L68">IFERROR(INDEX(sales!G:G,MATCH(H68,sales!C:C,0)),"없음")</f>
        <v>SL-C563W</v>
      </c>
    </row>
    <row r="69" spans="1:12" ht="15">
      <c r="A69" s="168">
        <v>65</v>
      </c>
      <c r="B69" s="186" t="s">
        <v>2069</v>
      </c>
      <c r="C69" s="38"/>
      <c r="D69" s="189" t="s">
        <v>2081</v>
      </c>
      <c r="E69" s="38"/>
      <c r="F69" s="38" t="s">
        <v>2103</v>
      </c>
      <c r="G69" s="38"/>
      <c r="H69" s="38" t="s">
        <v>2116</v>
      </c>
      <c r="J69" s="40" t="str">
        <f t="array" ref="J69">IFERROR(INDEX(All_User!D:D,MATCH(H69,All_User!D:D,0)),"없음")</f>
        <v>없음</v>
      </c>
      <c r="L69" s="40" t="str">
        <f t="array" ref="L69">IFERROR(INDEX(sales!G:G,MATCH(H69,sales!C:C,0)),"없음")</f>
        <v>SL-C483FW</v>
      </c>
    </row>
    <row r="70" spans="1:12" ht="15">
      <c r="A70" s="168">
        <v>66</v>
      </c>
      <c r="B70" s="148" t="s">
        <v>2069</v>
      </c>
      <c r="C70" s="38"/>
      <c r="D70" s="188" t="s">
        <v>2075</v>
      </c>
      <c r="E70" s="38" t="s">
        <v>1168</v>
      </c>
      <c r="F70" s="121" t="s">
        <v>850</v>
      </c>
      <c r="G70" s="170" t="s">
        <v>541</v>
      </c>
      <c r="H70" s="38" t="s">
        <v>849</v>
      </c>
      <c r="J70" s="40" t="str">
        <f t="array" ref="J70">IFERROR(INDEX(All_User!D:D,MATCH(H70,All_User!D:D,0)),"없음")</f>
        <v>ian.hwang@stryker.com</v>
      </c>
      <c r="L70" s="40" t="str">
        <f t="array" ref="L70">IFERROR(INDEX(sales!G:G,MATCH(H70,sales!C:C,0)),"없음")</f>
        <v>SL-C563W</v>
      </c>
    </row>
    <row r="71" spans="1:12" ht="13">
      <c r="D71" s="175"/>
    </row>
    <row r="72" spans="1:12" ht="13">
      <c r="D72" s="175"/>
    </row>
    <row r="73" spans="1:12" ht="13">
      <c r="D73" s="175"/>
    </row>
    <row r="74" spans="1:12" ht="13">
      <c r="D74" s="175"/>
    </row>
    <row r="75" spans="1:12" ht="13">
      <c r="D75" s="175"/>
    </row>
    <row r="76" spans="1:12" ht="13">
      <c r="D76" s="175"/>
    </row>
    <row r="77" spans="1:12" ht="13">
      <c r="D77" s="175"/>
    </row>
    <row r="78" spans="1:12" ht="13">
      <c r="D78" s="175"/>
    </row>
    <row r="79" spans="1:12" ht="13">
      <c r="D79" s="175"/>
    </row>
    <row r="80" spans="1:12" ht="13">
      <c r="D80" s="175"/>
    </row>
    <row r="81" spans="4:4" ht="13">
      <c r="D81" s="175"/>
    </row>
    <row r="82" spans="4:4" ht="13">
      <c r="D82" s="175"/>
    </row>
    <row r="83" spans="4:4" ht="13">
      <c r="D83" s="175"/>
    </row>
    <row r="84" spans="4:4" ht="13">
      <c r="D84" s="175"/>
    </row>
    <row r="85" spans="4:4" ht="13">
      <c r="D85" s="175"/>
    </row>
    <row r="86" spans="4:4" ht="13">
      <c r="D86" s="175"/>
    </row>
    <row r="87" spans="4:4" ht="13">
      <c r="D87" s="175"/>
    </row>
    <row r="88" spans="4:4" ht="13">
      <c r="D88" s="175"/>
    </row>
    <row r="89" spans="4:4" ht="13">
      <c r="D89" s="175"/>
    </row>
    <row r="90" spans="4:4" ht="13">
      <c r="D90" s="175"/>
    </row>
    <row r="91" spans="4:4" ht="13">
      <c r="D91" s="175"/>
    </row>
    <row r="92" spans="4:4" ht="13">
      <c r="D92" s="175"/>
    </row>
    <row r="93" spans="4:4" ht="13">
      <c r="D93" s="175"/>
    </row>
    <row r="94" spans="4:4" ht="13">
      <c r="D94" s="175"/>
    </row>
    <row r="95" spans="4:4" ht="13">
      <c r="D95" s="175"/>
    </row>
    <row r="96" spans="4:4" ht="13">
      <c r="D96" s="175"/>
    </row>
    <row r="97" spans="4:4" ht="13">
      <c r="D97" s="175"/>
    </row>
    <row r="98" spans="4:4" ht="13">
      <c r="D98" s="175"/>
    </row>
    <row r="99" spans="4:4" ht="13">
      <c r="D99" s="175"/>
    </row>
    <row r="100" spans="4:4" ht="13">
      <c r="D100" s="175"/>
    </row>
    <row r="101" spans="4:4" ht="13">
      <c r="D101" s="175"/>
    </row>
    <row r="102" spans="4:4" ht="13">
      <c r="D102" s="175"/>
    </row>
    <row r="103" spans="4:4" ht="13">
      <c r="D103" s="175"/>
    </row>
    <row r="104" spans="4:4" ht="13">
      <c r="D104" s="175"/>
    </row>
    <row r="105" spans="4:4" ht="13">
      <c r="D105" s="175"/>
    </row>
    <row r="106" spans="4:4" ht="13">
      <c r="D106" s="175"/>
    </row>
    <row r="107" spans="4:4" ht="13">
      <c r="D107" s="175"/>
    </row>
    <row r="108" spans="4:4" ht="13">
      <c r="D108" s="175"/>
    </row>
    <row r="109" spans="4:4" ht="13">
      <c r="D109" s="175"/>
    </row>
    <row r="110" spans="4:4" ht="13">
      <c r="D110" s="175"/>
    </row>
    <row r="111" spans="4:4" ht="13">
      <c r="D111" s="175"/>
    </row>
    <row r="112" spans="4:4" ht="13">
      <c r="D112" s="175"/>
    </row>
    <row r="113" spans="4:4" ht="13">
      <c r="D113" s="175"/>
    </row>
    <row r="114" spans="4:4" ht="13">
      <c r="D114" s="175"/>
    </row>
    <row r="115" spans="4:4" ht="13">
      <c r="D115" s="175"/>
    </row>
    <row r="116" spans="4:4" ht="13">
      <c r="D116" s="175"/>
    </row>
    <row r="117" spans="4:4" ht="13">
      <c r="D117" s="175"/>
    </row>
    <row r="118" spans="4:4" ht="13">
      <c r="D118" s="175"/>
    </row>
    <row r="119" spans="4:4" ht="13">
      <c r="D119" s="175"/>
    </row>
    <row r="120" spans="4:4" ht="13">
      <c r="D120" s="175"/>
    </row>
    <row r="121" spans="4:4" ht="13">
      <c r="D121" s="175"/>
    </row>
    <row r="122" spans="4:4" ht="13">
      <c r="D122" s="175"/>
    </row>
    <row r="123" spans="4:4" ht="13">
      <c r="D123" s="175"/>
    </row>
    <row r="124" spans="4:4" ht="13">
      <c r="D124" s="175"/>
    </row>
    <row r="125" spans="4:4" ht="13">
      <c r="D125" s="175"/>
    </row>
    <row r="126" spans="4:4" ht="13">
      <c r="D126" s="175"/>
    </row>
    <row r="127" spans="4:4" ht="13">
      <c r="D127" s="175"/>
    </row>
    <row r="128" spans="4:4" ht="13">
      <c r="D128" s="175"/>
    </row>
    <row r="129" spans="4:4" ht="13">
      <c r="D129" s="175"/>
    </row>
    <row r="130" spans="4:4" ht="13">
      <c r="D130" s="175"/>
    </row>
    <row r="131" spans="4:4" ht="13">
      <c r="D131" s="175"/>
    </row>
    <row r="132" spans="4:4" ht="13">
      <c r="D132" s="175"/>
    </row>
    <row r="133" spans="4:4" ht="13">
      <c r="D133" s="175"/>
    </row>
    <row r="134" spans="4:4" ht="13">
      <c r="D134" s="175"/>
    </row>
    <row r="135" spans="4:4" ht="13">
      <c r="D135" s="175"/>
    </row>
    <row r="136" spans="4:4" ht="13">
      <c r="D136" s="175"/>
    </row>
    <row r="137" spans="4:4" ht="13">
      <c r="D137" s="175"/>
    </row>
    <row r="138" spans="4:4" ht="13">
      <c r="D138" s="175"/>
    </row>
    <row r="139" spans="4:4" ht="13">
      <c r="D139" s="175"/>
    </row>
    <row r="140" spans="4:4" ht="13">
      <c r="D140" s="175"/>
    </row>
    <row r="141" spans="4:4" ht="13">
      <c r="D141" s="175"/>
    </row>
    <row r="142" spans="4:4" ht="13">
      <c r="D142" s="175"/>
    </row>
    <row r="143" spans="4:4" ht="13">
      <c r="D143" s="175"/>
    </row>
    <row r="144" spans="4:4" ht="13">
      <c r="D144" s="175"/>
    </row>
    <row r="145" spans="4:4" ht="13">
      <c r="D145" s="175"/>
    </row>
    <row r="146" spans="4:4" ht="13">
      <c r="D146" s="175"/>
    </row>
    <row r="147" spans="4:4" ht="13">
      <c r="D147" s="175"/>
    </row>
    <row r="148" spans="4:4" ht="13">
      <c r="D148" s="175"/>
    </row>
    <row r="149" spans="4:4" ht="13">
      <c r="D149" s="175"/>
    </row>
    <row r="150" spans="4:4" ht="13">
      <c r="D150" s="175"/>
    </row>
    <row r="151" spans="4:4" ht="13">
      <c r="D151" s="175"/>
    </row>
    <row r="152" spans="4:4" ht="13">
      <c r="D152" s="175"/>
    </row>
    <row r="153" spans="4:4" ht="13">
      <c r="D153" s="175"/>
    </row>
    <row r="154" spans="4:4" ht="13">
      <c r="D154" s="175"/>
    </row>
    <row r="155" spans="4:4" ht="13">
      <c r="D155" s="175"/>
    </row>
    <row r="156" spans="4:4" ht="13">
      <c r="D156" s="175"/>
    </row>
    <row r="157" spans="4:4" ht="13">
      <c r="D157" s="175"/>
    </row>
    <row r="158" spans="4:4" ht="13">
      <c r="D158" s="175"/>
    </row>
    <row r="159" spans="4:4" ht="13">
      <c r="D159" s="175"/>
    </row>
    <row r="160" spans="4:4" ht="13">
      <c r="D160" s="175"/>
    </row>
    <row r="161" spans="4:4" ht="13">
      <c r="D161" s="175"/>
    </row>
    <row r="162" spans="4:4" ht="13">
      <c r="D162" s="175"/>
    </row>
    <row r="163" spans="4:4" ht="13">
      <c r="D163" s="175"/>
    </row>
    <row r="164" spans="4:4" ht="13">
      <c r="D164" s="175"/>
    </row>
    <row r="165" spans="4:4" ht="13">
      <c r="D165" s="175"/>
    </row>
    <row r="166" spans="4:4" ht="13">
      <c r="D166" s="175"/>
    </row>
    <row r="167" spans="4:4" ht="13">
      <c r="D167" s="175"/>
    </row>
    <row r="168" spans="4:4" ht="13">
      <c r="D168" s="175"/>
    </row>
    <row r="169" spans="4:4" ht="13">
      <c r="D169" s="175"/>
    </row>
    <row r="170" spans="4:4" ht="13">
      <c r="D170" s="175"/>
    </row>
    <row r="171" spans="4:4" ht="13">
      <c r="D171" s="175"/>
    </row>
    <row r="172" spans="4:4" ht="13">
      <c r="D172" s="175"/>
    </row>
    <row r="173" spans="4:4" ht="13">
      <c r="D173" s="175"/>
    </row>
    <row r="174" spans="4:4" ht="13">
      <c r="D174" s="175"/>
    </row>
    <row r="175" spans="4:4" ht="13">
      <c r="D175" s="175"/>
    </row>
    <row r="176" spans="4:4" ht="13">
      <c r="D176" s="175"/>
    </row>
    <row r="177" spans="4:4" ht="13">
      <c r="D177" s="175"/>
    </row>
    <row r="178" spans="4:4" ht="13">
      <c r="D178" s="175"/>
    </row>
    <row r="179" spans="4:4" ht="13">
      <c r="D179" s="175"/>
    </row>
    <row r="180" spans="4:4" ht="13">
      <c r="D180" s="175"/>
    </row>
    <row r="181" spans="4:4" ht="13">
      <c r="D181" s="175"/>
    </row>
    <row r="182" spans="4:4" ht="13">
      <c r="D182" s="175"/>
    </row>
    <row r="183" spans="4:4" ht="13">
      <c r="D183" s="175"/>
    </row>
    <row r="184" spans="4:4" ht="13">
      <c r="D184" s="175"/>
    </row>
    <row r="185" spans="4:4" ht="13">
      <c r="D185" s="175"/>
    </row>
    <row r="186" spans="4:4" ht="13">
      <c r="D186" s="175"/>
    </row>
    <row r="187" spans="4:4" ht="13">
      <c r="D187" s="175"/>
    </row>
    <row r="188" spans="4:4" ht="13">
      <c r="D188" s="175"/>
    </row>
    <row r="189" spans="4:4" ht="13">
      <c r="D189" s="175"/>
    </row>
    <row r="190" spans="4:4" ht="13">
      <c r="D190" s="175"/>
    </row>
    <row r="191" spans="4:4" ht="13">
      <c r="D191" s="175"/>
    </row>
    <row r="192" spans="4:4" ht="13">
      <c r="D192" s="175"/>
    </row>
    <row r="193" spans="4:4" ht="13">
      <c r="D193" s="175"/>
    </row>
    <row r="194" spans="4:4" ht="13">
      <c r="D194" s="175"/>
    </row>
    <row r="195" spans="4:4" ht="13">
      <c r="D195" s="175"/>
    </row>
    <row r="196" spans="4:4" ht="13">
      <c r="D196" s="175"/>
    </row>
    <row r="197" spans="4:4" ht="13">
      <c r="D197" s="175"/>
    </row>
    <row r="198" spans="4:4" ht="13">
      <c r="D198" s="175"/>
    </row>
    <row r="199" spans="4:4" ht="13">
      <c r="D199" s="175"/>
    </row>
    <row r="200" spans="4:4" ht="13">
      <c r="D200" s="175"/>
    </row>
    <row r="201" spans="4:4" ht="13">
      <c r="D201" s="175"/>
    </row>
    <row r="202" spans="4:4" ht="13">
      <c r="D202" s="175"/>
    </row>
    <row r="203" spans="4:4" ht="13">
      <c r="D203" s="175"/>
    </row>
    <row r="204" spans="4:4" ht="13">
      <c r="D204" s="175"/>
    </row>
    <row r="205" spans="4:4" ht="13">
      <c r="D205" s="175"/>
    </row>
    <row r="206" spans="4:4" ht="13">
      <c r="D206" s="175"/>
    </row>
    <row r="207" spans="4:4" ht="13">
      <c r="D207" s="175"/>
    </row>
    <row r="208" spans="4:4" ht="13">
      <c r="D208" s="175"/>
    </row>
    <row r="209" spans="4:4" ht="13">
      <c r="D209" s="175"/>
    </row>
    <row r="210" spans="4:4" ht="13">
      <c r="D210" s="175"/>
    </row>
    <row r="211" spans="4:4" ht="13">
      <c r="D211" s="175"/>
    </row>
    <row r="212" spans="4:4" ht="13">
      <c r="D212" s="175"/>
    </row>
    <row r="213" spans="4:4" ht="13">
      <c r="D213" s="175"/>
    </row>
    <row r="214" spans="4:4" ht="13">
      <c r="D214" s="175"/>
    </row>
    <row r="215" spans="4:4" ht="13">
      <c r="D215" s="175"/>
    </row>
    <row r="216" spans="4:4" ht="13">
      <c r="D216" s="175"/>
    </row>
    <row r="217" spans="4:4" ht="13">
      <c r="D217" s="175"/>
    </row>
    <row r="218" spans="4:4" ht="13">
      <c r="D218" s="175"/>
    </row>
    <row r="219" spans="4:4" ht="13">
      <c r="D219" s="175"/>
    </row>
    <row r="220" spans="4:4" ht="13">
      <c r="D220" s="175"/>
    </row>
    <row r="221" spans="4:4" ht="13">
      <c r="D221" s="175"/>
    </row>
    <row r="222" spans="4:4" ht="13">
      <c r="D222" s="175"/>
    </row>
    <row r="223" spans="4:4" ht="13">
      <c r="D223" s="175"/>
    </row>
    <row r="224" spans="4:4" ht="13">
      <c r="D224" s="175"/>
    </row>
    <row r="225" spans="4:4" ht="13">
      <c r="D225" s="175"/>
    </row>
    <row r="226" spans="4:4" ht="13">
      <c r="D226" s="175"/>
    </row>
    <row r="227" spans="4:4" ht="13">
      <c r="D227" s="175"/>
    </row>
    <row r="228" spans="4:4" ht="13">
      <c r="D228" s="175"/>
    </row>
    <row r="229" spans="4:4" ht="13">
      <c r="D229" s="175"/>
    </row>
    <row r="230" spans="4:4" ht="13">
      <c r="D230" s="175"/>
    </row>
    <row r="231" spans="4:4" ht="13">
      <c r="D231" s="175"/>
    </row>
    <row r="232" spans="4:4" ht="13">
      <c r="D232" s="175"/>
    </row>
    <row r="233" spans="4:4" ht="13">
      <c r="D233" s="175"/>
    </row>
    <row r="234" spans="4:4" ht="13">
      <c r="D234" s="175"/>
    </row>
    <row r="235" spans="4:4" ht="13">
      <c r="D235" s="175"/>
    </row>
    <row r="236" spans="4:4" ht="13">
      <c r="D236" s="175"/>
    </row>
    <row r="237" spans="4:4" ht="13">
      <c r="D237" s="175"/>
    </row>
    <row r="238" spans="4:4" ht="13">
      <c r="D238" s="175"/>
    </row>
    <row r="239" spans="4:4" ht="13">
      <c r="D239" s="175"/>
    </row>
    <row r="240" spans="4:4" ht="13">
      <c r="D240" s="175"/>
    </row>
    <row r="241" spans="4:4" ht="13">
      <c r="D241" s="175"/>
    </row>
    <row r="242" spans="4:4" ht="13">
      <c r="D242" s="175"/>
    </row>
    <row r="243" spans="4:4" ht="13">
      <c r="D243" s="175"/>
    </row>
    <row r="244" spans="4:4" ht="13">
      <c r="D244" s="175"/>
    </row>
    <row r="245" spans="4:4" ht="13">
      <c r="D245" s="175"/>
    </row>
    <row r="246" spans="4:4" ht="13">
      <c r="D246" s="175"/>
    </row>
    <row r="247" spans="4:4" ht="13">
      <c r="D247" s="175"/>
    </row>
    <row r="248" spans="4:4" ht="13">
      <c r="D248" s="175"/>
    </row>
    <row r="249" spans="4:4" ht="13">
      <c r="D249" s="175"/>
    </row>
    <row r="250" spans="4:4" ht="13">
      <c r="D250" s="175"/>
    </row>
    <row r="251" spans="4:4" ht="13">
      <c r="D251" s="175"/>
    </row>
    <row r="252" spans="4:4" ht="13">
      <c r="D252" s="175"/>
    </row>
    <row r="253" spans="4:4" ht="13">
      <c r="D253" s="175"/>
    </row>
    <row r="254" spans="4:4" ht="13">
      <c r="D254" s="175"/>
    </row>
    <row r="255" spans="4:4" ht="13">
      <c r="D255" s="175"/>
    </row>
    <row r="256" spans="4:4" ht="13">
      <c r="D256" s="175"/>
    </row>
    <row r="257" spans="4:4" ht="13">
      <c r="D257" s="175"/>
    </row>
    <row r="258" spans="4:4" ht="13">
      <c r="D258" s="175"/>
    </row>
    <row r="259" spans="4:4" ht="13">
      <c r="D259" s="175"/>
    </row>
    <row r="260" spans="4:4" ht="13">
      <c r="D260" s="175"/>
    </row>
    <row r="261" spans="4:4" ht="13">
      <c r="D261" s="175"/>
    </row>
    <row r="262" spans="4:4" ht="13">
      <c r="D262" s="175"/>
    </row>
    <row r="263" spans="4:4" ht="13">
      <c r="D263" s="175"/>
    </row>
    <row r="264" spans="4:4" ht="13">
      <c r="D264" s="175"/>
    </row>
    <row r="265" spans="4:4" ht="13">
      <c r="D265" s="175"/>
    </row>
    <row r="266" spans="4:4" ht="13">
      <c r="D266" s="175"/>
    </row>
    <row r="267" spans="4:4" ht="13">
      <c r="D267" s="175"/>
    </row>
    <row r="268" spans="4:4" ht="13">
      <c r="D268" s="175"/>
    </row>
    <row r="269" spans="4:4" ht="13">
      <c r="D269" s="175"/>
    </row>
    <row r="270" spans="4:4" ht="13">
      <c r="D270" s="175"/>
    </row>
    <row r="271" spans="4:4" ht="13">
      <c r="D271" s="175"/>
    </row>
    <row r="272" spans="4:4" ht="13">
      <c r="D272" s="175"/>
    </row>
    <row r="273" spans="4:4" ht="13">
      <c r="D273" s="175"/>
    </row>
    <row r="274" spans="4:4" ht="13">
      <c r="D274" s="175"/>
    </row>
    <row r="275" spans="4:4" ht="13">
      <c r="D275" s="175"/>
    </row>
    <row r="276" spans="4:4" ht="13">
      <c r="D276" s="175"/>
    </row>
    <row r="277" spans="4:4" ht="13">
      <c r="D277" s="175"/>
    </row>
    <row r="278" spans="4:4" ht="13">
      <c r="D278" s="175"/>
    </row>
    <row r="279" spans="4:4" ht="13">
      <c r="D279" s="175"/>
    </row>
    <row r="280" spans="4:4" ht="13">
      <c r="D280" s="175"/>
    </row>
    <row r="281" spans="4:4" ht="13">
      <c r="D281" s="175"/>
    </row>
    <row r="282" spans="4:4" ht="13">
      <c r="D282" s="175"/>
    </row>
    <row r="283" spans="4:4" ht="13">
      <c r="D283" s="175"/>
    </row>
    <row r="284" spans="4:4" ht="13">
      <c r="D284" s="175"/>
    </row>
    <row r="285" spans="4:4" ht="13">
      <c r="D285" s="175"/>
    </row>
    <row r="286" spans="4:4" ht="13">
      <c r="D286" s="175"/>
    </row>
    <row r="287" spans="4:4" ht="13">
      <c r="D287" s="175"/>
    </row>
    <row r="288" spans="4:4" ht="13">
      <c r="D288" s="175"/>
    </row>
    <row r="289" spans="4:4" ht="13">
      <c r="D289" s="175"/>
    </row>
    <row r="290" spans="4:4" ht="13">
      <c r="D290" s="175"/>
    </row>
    <row r="291" spans="4:4" ht="13">
      <c r="D291" s="175"/>
    </row>
    <row r="292" spans="4:4" ht="13">
      <c r="D292" s="175"/>
    </row>
    <row r="293" spans="4:4" ht="13">
      <c r="D293" s="175"/>
    </row>
    <row r="294" spans="4:4" ht="13">
      <c r="D294" s="175"/>
    </row>
    <row r="295" spans="4:4" ht="13">
      <c r="D295" s="175"/>
    </row>
    <row r="296" spans="4:4" ht="13">
      <c r="D296" s="175"/>
    </row>
    <row r="297" spans="4:4" ht="13">
      <c r="D297" s="175"/>
    </row>
    <row r="298" spans="4:4" ht="13">
      <c r="D298" s="175"/>
    </row>
    <row r="299" spans="4:4" ht="13">
      <c r="D299" s="175"/>
    </row>
    <row r="300" spans="4:4" ht="13">
      <c r="D300" s="175"/>
    </row>
    <row r="301" spans="4:4" ht="13">
      <c r="D301" s="175"/>
    </row>
    <row r="302" spans="4:4" ht="13">
      <c r="D302" s="175"/>
    </row>
    <row r="303" spans="4:4" ht="13">
      <c r="D303" s="175"/>
    </row>
    <row r="304" spans="4:4" ht="13">
      <c r="D304" s="175"/>
    </row>
    <row r="305" spans="4:4" ht="13">
      <c r="D305" s="175"/>
    </row>
    <row r="306" spans="4:4" ht="13">
      <c r="D306" s="175"/>
    </row>
    <row r="307" spans="4:4" ht="13">
      <c r="D307" s="175"/>
    </row>
    <row r="308" spans="4:4" ht="13">
      <c r="D308" s="175"/>
    </row>
    <row r="309" spans="4:4" ht="13">
      <c r="D309" s="175"/>
    </row>
    <row r="310" spans="4:4" ht="13">
      <c r="D310" s="175"/>
    </row>
    <row r="311" spans="4:4" ht="13">
      <c r="D311" s="175"/>
    </row>
    <row r="312" spans="4:4" ht="13">
      <c r="D312" s="175"/>
    </row>
    <row r="313" spans="4:4" ht="13">
      <c r="D313" s="175"/>
    </row>
    <row r="314" spans="4:4" ht="13">
      <c r="D314" s="175"/>
    </row>
    <row r="315" spans="4:4" ht="13">
      <c r="D315" s="175"/>
    </row>
    <row r="316" spans="4:4" ht="13">
      <c r="D316" s="175"/>
    </row>
    <row r="317" spans="4:4" ht="13">
      <c r="D317" s="175"/>
    </row>
    <row r="318" spans="4:4" ht="13">
      <c r="D318" s="175"/>
    </row>
    <row r="319" spans="4:4" ht="13">
      <c r="D319" s="175"/>
    </row>
    <row r="320" spans="4:4" ht="13">
      <c r="D320" s="175"/>
    </row>
    <row r="321" spans="4:4" ht="13">
      <c r="D321" s="175"/>
    </row>
    <row r="322" spans="4:4" ht="13">
      <c r="D322" s="175"/>
    </row>
    <row r="323" spans="4:4" ht="13">
      <c r="D323" s="175"/>
    </row>
    <row r="324" spans="4:4" ht="13">
      <c r="D324" s="175"/>
    </row>
    <row r="325" spans="4:4" ht="13">
      <c r="D325" s="175"/>
    </row>
    <row r="326" spans="4:4" ht="13">
      <c r="D326" s="175"/>
    </row>
    <row r="327" spans="4:4" ht="13">
      <c r="D327" s="175"/>
    </row>
    <row r="328" spans="4:4" ht="13">
      <c r="D328" s="175"/>
    </row>
    <row r="329" spans="4:4" ht="13">
      <c r="D329" s="175"/>
    </row>
    <row r="330" spans="4:4" ht="13">
      <c r="D330" s="175"/>
    </row>
    <row r="331" spans="4:4" ht="13">
      <c r="D331" s="175"/>
    </row>
    <row r="332" spans="4:4" ht="13">
      <c r="D332" s="175"/>
    </row>
    <row r="333" spans="4:4" ht="13">
      <c r="D333" s="175"/>
    </row>
    <row r="334" spans="4:4" ht="13">
      <c r="D334" s="175"/>
    </row>
    <row r="335" spans="4:4" ht="13">
      <c r="D335" s="175"/>
    </row>
    <row r="336" spans="4:4" ht="13">
      <c r="D336" s="175"/>
    </row>
    <row r="337" spans="4:4" ht="13">
      <c r="D337" s="175"/>
    </row>
    <row r="338" spans="4:4" ht="13">
      <c r="D338" s="175"/>
    </row>
    <row r="339" spans="4:4" ht="13">
      <c r="D339" s="175"/>
    </row>
    <row r="340" spans="4:4" ht="13">
      <c r="D340" s="175"/>
    </row>
    <row r="341" spans="4:4" ht="13">
      <c r="D341" s="175"/>
    </row>
    <row r="342" spans="4:4" ht="13">
      <c r="D342" s="175"/>
    </row>
    <row r="343" spans="4:4" ht="13">
      <c r="D343" s="175"/>
    </row>
    <row r="344" spans="4:4" ht="13">
      <c r="D344" s="175"/>
    </row>
    <row r="345" spans="4:4" ht="13">
      <c r="D345" s="175"/>
    </row>
    <row r="346" spans="4:4" ht="13">
      <c r="D346" s="175"/>
    </row>
    <row r="347" spans="4:4" ht="13">
      <c r="D347" s="175"/>
    </row>
    <row r="348" spans="4:4" ht="13">
      <c r="D348" s="175"/>
    </row>
    <row r="349" spans="4:4" ht="13">
      <c r="D349" s="175"/>
    </row>
    <row r="350" spans="4:4" ht="13">
      <c r="D350" s="175"/>
    </row>
    <row r="351" spans="4:4" ht="13">
      <c r="D351" s="175"/>
    </row>
    <row r="352" spans="4:4" ht="13">
      <c r="D352" s="175"/>
    </row>
    <row r="353" spans="4:4" ht="13">
      <c r="D353" s="175"/>
    </row>
    <row r="354" spans="4:4" ht="13">
      <c r="D354" s="175"/>
    </row>
    <row r="355" spans="4:4" ht="13">
      <c r="D355" s="175"/>
    </row>
    <row r="356" spans="4:4" ht="13">
      <c r="D356" s="175"/>
    </row>
    <row r="357" spans="4:4" ht="13">
      <c r="D357" s="175"/>
    </row>
    <row r="358" spans="4:4" ht="13">
      <c r="D358" s="175"/>
    </row>
    <row r="359" spans="4:4" ht="13">
      <c r="D359" s="175"/>
    </row>
    <row r="360" spans="4:4" ht="13">
      <c r="D360" s="175"/>
    </row>
    <row r="361" spans="4:4" ht="13">
      <c r="D361" s="175"/>
    </row>
    <row r="362" spans="4:4" ht="13">
      <c r="D362" s="175"/>
    </row>
    <row r="363" spans="4:4" ht="13">
      <c r="D363" s="175"/>
    </row>
    <row r="364" spans="4:4" ht="13">
      <c r="D364" s="175"/>
    </row>
    <row r="365" spans="4:4" ht="13">
      <c r="D365" s="175"/>
    </row>
    <row r="366" spans="4:4" ht="13">
      <c r="D366" s="175"/>
    </row>
    <row r="367" spans="4:4" ht="13">
      <c r="D367" s="175"/>
    </row>
    <row r="368" spans="4:4" ht="13">
      <c r="D368" s="175"/>
    </row>
    <row r="369" spans="4:4" ht="13">
      <c r="D369" s="175"/>
    </row>
    <row r="370" spans="4:4" ht="13">
      <c r="D370" s="175"/>
    </row>
    <row r="371" spans="4:4" ht="13">
      <c r="D371" s="175"/>
    </row>
    <row r="372" spans="4:4" ht="13">
      <c r="D372" s="175"/>
    </row>
    <row r="373" spans="4:4" ht="13">
      <c r="D373" s="175"/>
    </row>
    <row r="374" spans="4:4" ht="13">
      <c r="D374" s="175"/>
    </row>
    <row r="375" spans="4:4" ht="13">
      <c r="D375" s="175"/>
    </row>
    <row r="376" spans="4:4" ht="13">
      <c r="D376" s="175"/>
    </row>
    <row r="377" spans="4:4" ht="13">
      <c r="D377" s="175"/>
    </row>
    <row r="378" spans="4:4" ht="13">
      <c r="D378" s="175"/>
    </row>
    <row r="379" spans="4:4" ht="13">
      <c r="D379" s="175"/>
    </row>
    <row r="380" spans="4:4" ht="13">
      <c r="D380" s="175"/>
    </row>
    <row r="381" spans="4:4" ht="13">
      <c r="D381" s="175"/>
    </row>
    <row r="382" spans="4:4" ht="13">
      <c r="D382" s="175"/>
    </row>
    <row r="383" spans="4:4" ht="13">
      <c r="D383" s="175"/>
    </row>
    <row r="384" spans="4:4" ht="13">
      <c r="D384" s="175"/>
    </row>
    <row r="385" spans="4:4" ht="13">
      <c r="D385" s="175"/>
    </row>
    <row r="386" spans="4:4" ht="13">
      <c r="D386" s="175"/>
    </row>
    <row r="387" spans="4:4" ht="13">
      <c r="D387" s="175"/>
    </row>
    <row r="388" spans="4:4" ht="13">
      <c r="D388" s="175"/>
    </row>
    <row r="389" spans="4:4" ht="13">
      <c r="D389" s="175"/>
    </row>
    <row r="390" spans="4:4" ht="13">
      <c r="D390" s="175"/>
    </row>
    <row r="391" spans="4:4" ht="13">
      <c r="D391" s="175"/>
    </row>
    <row r="392" spans="4:4" ht="13">
      <c r="D392" s="175"/>
    </row>
    <row r="393" spans="4:4" ht="13">
      <c r="D393" s="175"/>
    </row>
    <row r="394" spans="4:4" ht="13">
      <c r="D394" s="175"/>
    </row>
    <row r="395" spans="4:4" ht="13">
      <c r="D395" s="175"/>
    </row>
    <row r="396" spans="4:4" ht="13">
      <c r="D396" s="175"/>
    </row>
    <row r="397" spans="4:4" ht="13">
      <c r="D397" s="175"/>
    </row>
    <row r="398" spans="4:4" ht="13">
      <c r="D398" s="175"/>
    </row>
    <row r="399" spans="4:4" ht="13">
      <c r="D399" s="175"/>
    </row>
    <row r="400" spans="4:4" ht="13">
      <c r="D400" s="175"/>
    </row>
    <row r="401" spans="4:4" ht="13">
      <c r="D401" s="175"/>
    </row>
    <row r="402" spans="4:4" ht="13">
      <c r="D402" s="175"/>
    </row>
    <row r="403" spans="4:4" ht="13">
      <c r="D403" s="175"/>
    </row>
    <row r="404" spans="4:4" ht="13">
      <c r="D404" s="175"/>
    </row>
    <row r="405" spans="4:4" ht="13">
      <c r="D405" s="175"/>
    </row>
    <row r="406" spans="4:4" ht="13">
      <c r="D406" s="175"/>
    </row>
    <row r="407" spans="4:4" ht="13">
      <c r="D407" s="175"/>
    </row>
    <row r="408" spans="4:4" ht="13">
      <c r="D408" s="175"/>
    </row>
    <row r="409" spans="4:4" ht="13">
      <c r="D409" s="175"/>
    </row>
    <row r="410" spans="4:4" ht="13">
      <c r="D410" s="175"/>
    </row>
    <row r="411" spans="4:4" ht="13">
      <c r="D411" s="175"/>
    </row>
    <row r="412" spans="4:4" ht="13">
      <c r="D412" s="175"/>
    </row>
    <row r="413" spans="4:4" ht="13">
      <c r="D413" s="175"/>
    </row>
    <row r="414" spans="4:4" ht="13">
      <c r="D414" s="175"/>
    </row>
    <row r="415" spans="4:4" ht="13">
      <c r="D415" s="175"/>
    </row>
    <row r="416" spans="4:4" ht="13">
      <c r="D416" s="175"/>
    </row>
    <row r="417" spans="4:4" ht="13">
      <c r="D417" s="175"/>
    </row>
    <row r="418" spans="4:4" ht="13">
      <c r="D418" s="175"/>
    </row>
    <row r="419" spans="4:4" ht="13">
      <c r="D419" s="175"/>
    </row>
    <row r="420" spans="4:4" ht="13">
      <c r="D420" s="175"/>
    </row>
    <row r="421" spans="4:4" ht="13">
      <c r="D421" s="175"/>
    </row>
    <row r="422" spans="4:4" ht="13">
      <c r="D422" s="175"/>
    </row>
    <row r="423" spans="4:4" ht="13">
      <c r="D423" s="175"/>
    </row>
    <row r="424" spans="4:4" ht="13">
      <c r="D424" s="175"/>
    </row>
    <row r="425" spans="4:4" ht="13">
      <c r="D425" s="175"/>
    </row>
    <row r="426" spans="4:4" ht="13">
      <c r="D426" s="175"/>
    </row>
    <row r="427" spans="4:4" ht="13">
      <c r="D427" s="175"/>
    </row>
    <row r="428" spans="4:4" ht="13">
      <c r="D428" s="175"/>
    </row>
    <row r="429" spans="4:4" ht="13">
      <c r="D429" s="175"/>
    </row>
    <row r="430" spans="4:4" ht="13">
      <c r="D430" s="175"/>
    </row>
    <row r="431" spans="4:4" ht="13">
      <c r="D431" s="175"/>
    </row>
    <row r="432" spans="4:4" ht="13">
      <c r="D432" s="175"/>
    </row>
    <row r="433" spans="4:4" ht="13">
      <c r="D433" s="175"/>
    </row>
    <row r="434" spans="4:4" ht="13">
      <c r="D434" s="175"/>
    </row>
    <row r="435" spans="4:4" ht="13">
      <c r="D435" s="175"/>
    </row>
    <row r="436" spans="4:4" ht="13">
      <c r="D436" s="175"/>
    </row>
    <row r="437" spans="4:4" ht="13">
      <c r="D437" s="175"/>
    </row>
    <row r="438" spans="4:4" ht="13">
      <c r="D438" s="175"/>
    </row>
    <row r="439" spans="4:4" ht="13">
      <c r="D439" s="175"/>
    </row>
    <row r="440" spans="4:4" ht="13">
      <c r="D440" s="175"/>
    </row>
    <row r="441" spans="4:4" ht="13">
      <c r="D441" s="175"/>
    </row>
    <row r="442" spans="4:4" ht="13">
      <c r="D442" s="175"/>
    </row>
    <row r="443" spans="4:4" ht="13">
      <c r="D443" s="175"/>
    </row>
    <row r="444" spans="4:4" ht="13">
      <c r="D444" s="175"/>
    </row>
    <row r="445" spans="4:4" ht="13">
      <c r="D445" s="175"/>
    </row>
    <row r="446" spans="4:4" ht="13">
      <c r="D446" s="175"/>
    </row>
    <row r="447" spans="4:4" ht="13">
      <c r="D447" s="175"/>
    </row>
    <row r="448" spans="4:4" ht="13">
      <c r="D448" s="175"/>
    </row>
    <row r="449" spans="4:4" ht="13">
      <c r="D449" s="175"/>
    </row>
    <row r="450" spans="4:4" ht="13">
      <c r="D450" s="175"/>
    </row>
    <row r="451" spans="4:4" ht="13">
      <c r="D451" s="175"/>
    </row>
    <row r="452" spans="4:4" ht="13">
      <c r="D452" s="175"/>
    </row>
    <row r="453" spans="4:4" ht="13">
      <c r="D453" s="175"/>
    </row>
    <row r="454" spans="4:4" ht="13">
      <c r="D454" s="175"/>
    </row>
    <row r="455" spans="4:4" ht="13">
      <c r="D455" s="175"/>
    </row>
    <row r="456" spans="4:4" ht="13">
      <c r="D456" s="175"/>
    </row>
    <row r="457" spans="4:4" ht="13">
      <c r="D457" s="175"/>
    </row>
    <row r="458" spans="4:4" ht="13">
      <c r="D458" s="175"/>
    </row>
    <row r="459" spans="4:4" ht="13">
      <c r="D459" s="175"/>
    </row>
    <row r="460" spans="4:4" ht="13">
      <c r="D460" s="175"/>
    </row>
    <row r="461" spans="4:4" ht="13">
      <c r="D461" s="175"/>
    </row>
    <row r="462" spans="4:4" ht="13">
      <c r="D462" s="175"/>
    </row>
    <row r="463" spans="4:4" ht="13">
      <c r="D463" s="175"/>
    </row>
    <row r="464" spans="4:4" ht="13">
      <c r="D464" s="175"/>
    </row>
    <row r="465" spans="4:4" ht="13">
      <c r="D465" s="175"/>
    </row>
    <row r="466" spans="4:4" ht="13">
      <c r="D466" s="175"/>
    </row>
    <row r="467" spans="4:4" ht="13">
      <c r="D467" s="175"/>
    </row>
    <row r="468" spans="4:4" ht="13">
      <c r="D468" s="175"/>
    </row>
    <row r="469" spans="4:4" ht="13">
      <c r="D469" s="175"/>
    </row>
    <row r="470" spans="4:4" ht="13">
      <c r="D470" s="175"/>
    </row>
    <row r="471" spans="4:4" ht="13">
      <c r="D471" s="175"/>
    </row>
    <row r="472" spans="4:4" ht="13">
      <c r="D472" s="175"/>
    </row>
    <row r="473" spans="4:4" ht="13">
      <c r="D473" s="175"/>
    </row>
    <row r="474" spans="4:4" ht="13">
      <c r="D474" s="175"/>
    </row>
    <row r="475" spans="4:4" ht="13">
      <c r="D475" s="175"/>
    </row>
    <row r="476" spans="4:4" ht="13">
      <c r="D476" s="175"/>
    </row>
    <row r="477" spans="4:4" ht="13">
      <c r="D477" s="175"/>
    </row>
    <row r="478" spans="4:4" ht="13">
      <c r="D478" s="175"/>
    </row>
    <row r="479" spans="4:4" ht="13">
      <c r="D479" s="175"/>
    </row>
    <row r="480" spans="4:4" ht="13">
      <c r="D480" s="175"/>
    </row>
    <row r="481" spans="4:4" ht="13">
      <c r="D481" s="175"/>
    </row>
    <row r="482" spans="4:4" ht="13">
      <c r="D482" s="175"/>
    </row>
    <row r="483" spans="4:4" ht="13">
      <c r="D483" s="175"/>
    </row>
    <row r="484" spans="4:4" ht="13">
      <c r="D484" s="175"/>
    </row>
    <row r="485" spans="4:4" ht="13">
      <c r="D485" s="175"/>
    </row>
    <row r="486" spans="4:4" ht="13">
      <c r="D486" s="175"/>
    </row>
    <row r="487" spans="4:4" ht="13">
      <c r="D487" s="175"/>
    </row>
    <row r="488" spans="4:4" ht="13">
      <c r="D488" s="175"/>
    </row>
    <row r="489" spans="4:4" ht="13">
      <c r="D489" s="175"/>
    </row>
    <row r="490" spans="4:4" ht="13">
      <c r="D490" s="175"/>
    </row>
    <row r="491" spans="4:4" ht="13">
      <c r="D491" s="175"/>
    </row>
    <row r="492" spans="4:4" ht="13">
      <c r="D492" s="175"/>
    </row>
    <row r="493" spans="4:4" ht="13">
      <c r="D493" s="175"/>
    </row>
    <row r="494" spans="4:4" ht="13">
      <c r="D494" s="175"/>
    </row>
    <row r="495" spans="4:4" ht="13">
      <c r="D495" s="175"/>
    </row>
    <row r="496" spans="4:4" ht="13">
      <c r="D496" s="175"/>
    </row>
    <row r="497" spans="4:4" ht="13">
      <c r="D497" s="175"/>
    </row>
    <row r="498" spans="4:4" ht="13">
      <c r="D498" s="175"/>
    </row>
    <row r="499" spans="4:4" ht="13">
      <c r="D499" s="175"/>
    </row>
    <row r="500" spans="4:4" ht="13">
      <c r="D500" s="175"/>
    </row>
    <row r="501" spans="4:4" ht="13">
      <c r="D501" s="175"/>
    </row>
    <row r="502" spans="4:4" ht="13">
      <c r="D502" s="175"/>
    </row>
    <row r="503" spans="4:4" ht="13">
      <c r="D503" s="175"/>
    </row>
    <row r="504" spans="4:4" ht="13">
      <c r="D504" s="175"/>
    </row>
    <row r="505" spans="4:4" ht="13">
      <c r="D505" s="175"/>
    </row>
    <row r="506" spans="4:4" ht="13">
      <c r="D506" s="175"/>
    </row>
    <row r="507" spans="4:4" ht="13">
      <c r="D507" s="175"/>
    </row>
    <row r="508" spans="4:4" ht="13">
      <c r="D508" s="175"/>
    </row>
    <row r="509" spans="4:4" ht="13">
      <c r="D509" s="175"/>
    </row>
    <row r="510" spans="4:4" ht="13">
      <c r="D510" s="175"/>
    </row>
    <row r="511" spans="4:4" ht="13">
      <c r="D511" s="175"/>
    </row>
    <row r="512" spans="4:4" ht="13">
      <c r="D512" s="175"/>
    </row>
    <row r="513" spans="4:4" ht="13">
      <c r="D513" s="175"/>
    </row>
    <row r="514" spans="4:4" ht="13">
      <c r="D514" s="175"/>
    </row>
    <row r="515" spans="4:4" ht="13">
      <c r="D515" s="175"/>
    </row>
    <row r="516" spans="4:4" ht="13">
      <c r="D516" s="175"/>
    </row>
    <row r="517" spans="4:4" ht="13">
      <c r="D517" s="175"/>
    </row>
    <row r="518" spans="4:4" ht="13">
      <c r="D518" s="175"/>
    </row>
    <row r="519" spans="4:4" ht="13">
      <c r="D519" s="175"/>
    </row>
    <row r="520" spans="4:4" ht="13">
      <c r="D520" s="175"/>
    </row>
    <row r="521" spans="4:4" ht="13">
      <c r="D521" s="175"/>
    </row>
    <row r="522" spans="4:4" ht="13">
      <c r="D522" s="175"/>
    </row>
    <row r="523" spans="4:4" ht="13">
      <c r="D523" s="175"/>
    </row>
    <row r="524" spans="4:4" ht="13">
      <c r="D524" s="175"/>
    </row>
    <row r="525" spans="4:4" ht="13">
      <c r="D525" s="175"/>
    </row>
    <row r="526" spans="4:4" ht="13">
      <c r="D526" s="175"/>
    </row>
    <row r="527" spans="4:4" ht="13">
      <c r="D527" s="175"/>
    </row>
    <row r="528" spans="4:4" ht="13">
      <c r="D528" s="175"/>
    </row>
    <row r="529" spans="4:4" ht="13">
      <c r="D529" s="175"/>
    </row>
    <row r="530" spans="4:4" ht="13">
      <c r="D530" s="175"/>
    </row>
    <row r="531" spans="4:4" ht="13">
      <c r="D531" s="175"/>
    </row>
    <row r="532" spans="4:4" ht="13">
      <c r="D532" s="175"/>
    </row>
    <row r="533" spans="4:4" ht="13">
      <c r="D533" s="175"/>
    </row>
    <row r="534" spans="4:4" ht="13">
      <c r="D534" s="175"/>
    </row>
    <row r="535" spans="4:4" ht="13">
      <c r="D535" s="175"/>
    </row>
    <row r="536" spans="4:4" ht="13">
      <c r="D536" s="175"/>
    </row>
    <row r="537" spans="4:4" ht="13">
      <c r="D537" s="175"/>
    </row>
    <row r="538" spans="4:4" ht="13">
      <c r="D538" s="175"/>
    </row>
    <row r="539" spans="4:4" ht="13">
      <c r="D539" s="175"/>
    </row>
    <row r="540" spans="4:4" ht="13">
      <c r="D540" s="175"/>
    </row>
    <row r="541" spans="4:4" ht="13">
      <c r="D541" s="175"/>
    </row>
    <row r="542" spans="4:4" ht="13">
      <c r="D542" s="175"/>
    </row>
    <row r="543" spans="4:4" ht="13">
      <c r="D543" s="175"/>
    </row>
    <row r="544" spans="4:4" ht="13">
      <c r="D544" s="175"/>
    </row>
    <row r="545" spans="4:4" ht="13">
      <c r="D545" s="175"/>
    </row>
    <row r="546" spans="4:4" ht="13">
      <c r="D546" s="175"/>
    </row>
    <row r="547" spans="4:4" ht="13">
      <c r="D547" s="175"/>
    </row>
    <row r="548" spans="4:4" ht="13">
      <c r="D548" s="175"/>
    </row>
    <row r="549" spans="4:4" ht="13">
      <c r="D549" s="175"/>
    </row>
    <row r="550" spans="4:4" ht="13">
      <c r="D550" s="175"/>
    </row>
    <row r="551" spans="4:4" ht="13">
      <c r="D551" s="175"/>
    </row>
    <row r="552" spans="4:4" ht="13">
      <c r="D552" s="175"/>
    </row>
    <row r="553" spans="4:4" ht="13">
      <c r="D553" s="175"/>
    </row>
    <row r="554" spans="4:4" ht="13">
      <c r="D554" s="175"/>
    </row>
    <row r="555" spans="4:4" ht="13">
      <c r="D555" s="175"/>
    </row>
    <row r="556" spans="4:4" ht="13">
      <c r="D556" s="175"/>
    </row>
    <row r="557" spans="4:4" ht="13">
      <c r="D557" s="175"/>
    </row>
    <row r="558" spans="4:4" ht="13">
      <c r="D558" s="175"/>
    </row>
    <row r="559" spans="4:4" ht="13">
      <c r="D559" s="175"/>
    </row>
    <row r="560" spans="4:4" ht="13">
      <c r="D560" s="175"/>
    </row>
    <row r="561" spans="4:4" ht="13">
      <c r="D561" s="175"/>
    </row>
    <row r="562" spans="4:4" ht="13">
      <c r="D562" s="175"/>
    </row>
    <row r="563" spans="4:4" ht="13">
      <c r="D563" s="175"/>
    </row>
    <row r="564" spans="4:4" ht="13">
      <c r="D564" s="175"/>
    </row>
    <row r="565" spans="4:4" ht="13">
      <c r="D565" s="175"/>
    </row>
    <row r="566" spans="4:4" ht="13">
      <c r="D566" s="175"/>
    </row>
    <row r="567" spans="4:4" ht="13">
      <c r="D567" s="175"/>
    </row>
    <row r="568" spans="4:4" ht="13">
      <c r="D568" s="175"/>
    </row>
    <row r="569" spans="4:4" ht="13">
      <c r="D569" s="175"/>
    </row>
    <row r="570" spans="4:4" ht="13">
      <c r="D570" s="175"/>
    </row>
    <row r="571" spans="4:4" ht="13">
      <c r="D571" s="175"/>
    </row>
    <row r="572" spans="4:4" ht="13">
      <c r="D572" s="175"/>
    </row>
    <row r="573" spans="4:4" ht="13">
      <c r="D573" s="175"/>
    </row>
    <row r="574" spans="4:4" ht="13">
      <c r="D574" s="175"/>
    </row>
    <row r="575" spans="4:4" ht="13">
      <c r="D575" s="175"/>
    </row>
    <row r="576" spans="4:4" ht="13">
      <c r="D576" s="175"/>
    </row>
    <row r="577" spans="4:4" ht="13">
      <c r="D577" s="175"/>
    </row>
    <row r="578" spans="4:4" ht="13">
      <c r="D578" s="175"/>
    </row>
    <row r="579" spans="4:4" ht="13">
      <c r="D579" s="175"/>
    </row>
    <row r="580" spans="4:4" ht="13">
      <c r="D580" s="175"/>
    </row>
    <row r="581" spans="4:4" ht="13">
      <c r="D581" s="175"/>
    </row>
    <row r="582" spans="4:4" ht="13">
      <c r="D582" s="175"/>
    </row>
    <row r="583" spans="4:4" ht="13">
      <c r="D583" s="175"/>
    </row>
    <row r="584" spans="4:4" ht="13">
      <c r="D584" s="175"/>
    </row>
    <row r="585" spans="4:4" ht="13">
      <c r="D585" s="175"/>
    </row>
    <row r="586" spans="4:4" ht="13">
      <c r="D586" s="175"/>
    </row>
    <row r="587" spans="4:4" ht="13">
      <c r="D587" s="175"/>
    </row>
    <row r="588" spans="4:4" ht="13">
      <c r="D588" s="175"/>
    </row>
    <row r="589" spans="4:4" ht="13">
      <c r="D589" s="175"/>
    </row>
    <row r="590" spans="4:4" ht="13">
      <c r="D590" s="175"/>
    </row>
    <row r="591" spans="4:4" ht="13">
      <c r="D591" s="175"/>
    </row>
    <row r="592" spans="4:4" ht="13">
      <c r="D592" s="175"/>
    </row>
    <row r="593" spans="4:4" ht="13">
      <c r="D593" s="175"/>
    </row>
    <row r="594" spans="4:4" ht="13">
      <c r="D594" s="175"/>
    </row>
    <row r="595" spans="4:4" ht="13">
      <c r="D595" s="175"/>
    </row>
    <row r="596" spans="4:4" ht="13">
      <c r="D596" s="175"/>
    </row>
    <row r="597" spans="4:4" ht="13">
      <c r="D597" s="175"/>
    </row>
    <row r="598" spans="4:4" ht="13">
      <c r="D598" s="175"/>
    </row>
    <row r="599" spans="4:4" ht="13">
      <c r="D599" s="175"/>
    </row>
    <row r="600" spans="4:4" ht="13">
      <c r="D600" s="175"/>
    </row>
    <row r="601" spans="4:4" ht="13">
      <c r="D601" s="175"/>
    </row>
    <row r="602" spans="4:4" ht="13">
      <c r="D602" s="175"/>
    </row>
    <row r="603" spans="4:4" ht="13">
      <c r="D603" s="175"/>
    </row>
    <row r="604" spans="4:4" ht="13">
      <c r="D604" s="175"/>
    </row>
    <row r="605" spans="4:4" ht="13">
      <c r="D605" s="175"/>
    </row>
    <row r="606" spans="4:4" ht="13">
      <c r="D606" s="175"/>
    </row>
    <row r="607" spans="4:4" ht="13">
      <c r="D607" s="175"/>
    </row>
    <row r="608" spans="4:4" ht="13">
      <c r="D608" s="175"/>
    </row>
    <row r="609" spans="4:4" ht="13">
      <c r="D609" s="175"/>
    </row>
    <row r="610" spans="4:4" ht="13">
      <c r="D610" s="175"/>
    </row>
    <row r="611" spans="4:4" ht="13">
      <c r="D611" s="175"/>
    </row>
    <row r="612" spans="4:4" ht="13">
      <c r="D612" s="175"/>
    </row>
    <row r="613" spans="4:4" ht="13">
      <c r="D613" s="175"/>
    </row>
    <row r="614" spans="4:4" ht="13">
      <c r="D614" s="175"/>
    </row>
    <row r="615" spans="4:4" ht="13">
      <c r="D615" s="175"/>
    </row>
    <row r="616" spans="4:4" ht="13">
      <c r="D616" s="175"/>
    </row>
    <row r="617" spans="4:4" ht="13">
      <c r="D617" s="175"/>
    </row>
    <row r="618" spans="4:4" ht="13">
      <c r="D618" s="175"/>
    </row>
    <row r="619" spans="4:4" ht="13">
      <c r="D619" s="175"/>
    </row>
    <row r="620" spans="4:4" ht="13">
      <c r="D620" s="175"/>
    </row>
    <row r="621" spans="4:4" ht="13">
      <c r="D621" s="175"/>
    </row>
    <row r="622" spans="4:4" ht="13">
      <c r="D622" s="175"/>
    </row>
    <row r="623" spans="4:4" ht="13">
      <c r="D623" s="175"/>
    </row>
    <row r="624" spans="4:4" ht="13">
      <c r="D624" s="175"/>
    </row>
    <row r="625" spans="4:4" ht="13">
      <c r="D625" s="175"/>
    </row>
    <row r="626" spans="4:4" ht="13">
      <c r="D626" s="175"/>
    </row>
    <row r="627" spans="4:4" ht="13">
      <c r="D627" s="175"/>
    </row>
    <row r="628" spans="4:4" ht="13">
      <c r="D628" s="175"/>
    </row>
    <row r="629" spans="4:4" ht="13">
      <c r="D629" s="175"/>
    </row>
    <row r="630" spans="4:4" ht="13">
      <c r="D630" s="175"/>
    </row>
    <row r="631" spans="4:4" ht="13">
      <c r="D631" s="175"/>
    </row>
    <row r="632" spans="4:4" ht="13">
      <c r="D632" s="175"/>
    </row>
    <row r="633" spans="4:4" ht="13">
      <c r="D633" s="175"/>
    </row>
    <row r="634" spans="4:4" ht="13">
      <c r="D634" s="175"/>
    </row>
    <row r="635" spans="4:4" ht="13">
      <c r="D635" s="175"/>
    </row>
    <row r="636" spans="4:4" ht="13">
      <c r="D636" s="175"/>
    </row>
    <row r="637" spans="4:4" ht="13">
      <c r="D637" s="175"/>
    </row>
    <row r="638" spans="4:4" ht="13">
      <c r="D638" s="175"/>
    </row>
    <row r="639" spans="4:4" ht="13">
      <c r="D639" s="175"/>
    </row>
    <row r="640" spans="4:4" ht="13">
      <c r="D640" s="175"/>
    </row>
    <row r="641" spans="4:4" ht="13">
      <c r="D641" s="175"/>
    </row>
    <row r="642" spans="4:4" ht="13">
      <c r="D642" s="175"/>
    </row>
    <row r="643" spans="4:4" ht="13">
      <c r="D643" s="175"/>
    </row>
    <row r="644" spans="4:4" ht="13">
      <c r="D644" s="175"/>
    </row>
    <row r="645" spans="4:4" ht="13">
      <c r="D645" s="175"/>
    </row>
    <row r="646" spans="4:4" ht="13">
      <c r="D646" s="175"/>
    </row>
    <row r="647" spans="4:4" ht="13">
      <c r="D647" s="175"/>
    </row>
    <row r="648" spans="4:4" ht="13">
      <c r="D648" s="175"/>
    </row>
    <row r="649" spans="4:4" ht="13">
      <c r="D649" s="175"/>
    </row>
    <row r="650" spans="4:4" ht="13">
      <c r="D650" s="175"/>
    </row>
    <row r="651" spans="4:4" ht="13">
      <c r="D651" s="175"/>
    </row>
    <row r="652" spans="4:4" ht="13">
      <c r="D652" s="175"/>
    </row>
    <row r="653" spans="4:4" ht="13">
      <c r="D653" s="175"/>
    </row>
    <row r="654" spans="4:4" ht="13">
      <c r="D654" s="175"/>
    </row>
    <row r="655" spans="4:4" ht="13">
      <c r="D655" s="175"/>
    </row>
    <row r="656" spans="4:4" ht="13">
      <c r="D656" s="175"/>
    </row>
    <row r="657" spans="4:4" ht="13">
      <c r="D657" s="175"/>
    </row>
    <row r="658" spans="4:4" ht="13">
      <c r="D658" s="175"/>
    </row>
    <row r="659" spans="4:4" ht="13">
      <c r="D659" s="175"/>
    </row>
    <row r="660" spans="4:4" ht="13">
      <c r="D660" s="175"/>
    </row>
    <row r="661" spans="4:4" ht="13">
      <c r="D661" s="175"/>
    </row>
    <row r="662" spans="4:4" ht="13">
      <c r="D662" s="175"/>
    </row>
    <row r="663" spans="4:4" ht="13">
      <c r="D663" s="175"/>
    </row>
    <row r="664" spans="4:4" ht="13">
      <c r="D664" s="175"/>
    </row>
    <row r="665" spans="4:4" ht="13">
      <c r="D665" s="175"/>
    </row>
    <row r="666" spans="4:4" ht="13">
      <c r="D666" s="175"/>
    </row>
    <row r="667" spans="4:4" ht="13">
      <c r="D667" s="175"/>
    </row>
    <row r="668" spans="4:4" ht="13">
      <c r="D668" s="175"/>
    </row>
    <row r="669" spans="4:4" ht="13">
      <c r="D669" s="175"/>
    </row>
    <row r="670" spans="4:4" ht="13">
      <c r="D670" s="175"/>
    </row>
    <row r="671" spans="4:4" ht="13">
      <c r="D671" s="175"/>
    </row>
    <row r="672" spans="4:4" ht="13">
      <c r="D672" s="175"/>
    </row>
    <row r="673" spans="4:4" ht="13">
      <c r="D673" s="175"/>
    </row>
    <row r="674" spans="4:4" ht="13">
      <c r="D674" s="175"/>
    </row>
    <row r="675" spans="4:4" ht="13">
      <c r="D675" s="175"/>
    </row>
    <row r="676" spans="4:4" ht="13">
      <c r="D676" s="175"/>
    </row>
    <row r="677" spans="4:4" ht="13">
      <c r="D677" s="175"/>
    </row>
    <row r="678" spans="4:4" ht="13">
      <c r="D678" s="175"/>
    </row>
    <row r="679" spans="4:4" ht="13">
      <c r="D679" s="175"/>
    </row>
    <row r="680" spans="4:4" ht="13">
      <c r="D680" s="175"/>
    </row>
    <row r="681" spans="4:4" ht="13">
      <c r="D681" s="175"/>
    </row>
    <row r="682" spans="4:4" ht="13">
      <c r="D682" s="175"/>
    </row>
    <row r="683" spans="4:4" ht="13">
      <c r="D683" s="175"/>
    </row>
    <row r="684" spans="4:4" ht="13">
      <c r="D684" s="175"/>
    </row>
    <row r="685" spans="4:4" ht="13">
      <c r="D685" s="175"/>
    </row>
    <row r="686" spans="4:4" ht="13">
      <c r="D686" s="175"/>
    </row>
    <row r="687" spans="4:4" ht="13">
      <c r="D687" s="175"/>
    </row>
    <row r="688" spans="4:4" ht="13">
      <c r="D688" s="175"/>
    </row>
    <row r="689" spans="4:4" ht="13">
      <c r="D689" s="175"/>
    </row>
    <row r="690" spans="4:4" ht="13">
      <c r="D690" s="175"/>
    </row>
    <row r="691" spans="4:4" ht="13">
      <c r="D691" s="175"/>
    </row>
    <row r="692" spans="4:4" ht="13">
      <c r="D692" s="175"/>
    </row>
    <row r="693" spans="4:4" ht="13">
      <c r="D693" s="175"/>
    </row>
    <row r="694" spans="4:4" ht="13">
      <c r="D694" s="175"/>
    </row>
    <row r="695" spans="4:4" ht="13">
      <c r="D695" s="175"/>
    </row>
    <row r="696" spans="4:4" ht="13">
      <c r="D696" s="175"/>
    </row>
    <row r="697" spans="4:4" ht="13">
      <c r="D697" s="175"/>
    </row>
    <row r="698" spans="4:4" ht="13">
      <c r="D698" s="175"/>
    </row>
    <row r="699" spans="4:4" ht="13">
      <c r="D699" s="175"/>
    </row>
    <row r="700" spans="4:4" ht="13">
      <c r="D700" s="175"/>
    </row>
    <row r="701" spans="4:4" ht="13">
      <c r="D701" s="175"/>
    </row>
    <row r="702" spans="4:4" ht="13">
      <c r="D702" s="175"/>
    </row>
    <row r="703" spans="4:4" ht="13">
      <c r="D703" s="175"/>
    </row>
    <row r="704" spans="4:4" ht="13">
      <c r="D704" s="175"/>
    </row>
    <row r="705" spans="4:4" ht="13">
      <c r="D705" s="175"/>
    </row>
    <row r="706" spans="4:4" ht="13">
      <c r="D706" s="175"/>
    </row>
    <row r="707" spans="4:4" ht="13">
      <c r="D707" s="175"/>
    </row>
    <row r="708" spans="4:4" ht="13">
      <c r="D708" s="175"/>
    </row>
    <row r="709" spans="4:4" ht="13">
      <c r="D709" s="175"/>
    </row>
    <row r="710" spans="4:4" ht="13">
      <c r="D710" s="175"/>
    </row>
    <row r="711" spans="4:4" ht="13">
      <c r="D711" s="175"/>
    </row>
    <row r="712" spans="4:4" ht="13">
      <c r="D712" s="175"/>
    </row>
    <row r="713" spans="4:4" ht="13">
      <c r="D713" s="175"/>
    </row>
    <row r="714" spans="4:4" ht="13">
      <c r="D714" s="175"/>
    </row>
    <row r="715" spans="4:4" ht="13">
      <c r="D715" s="175"/>
    </row>
    <row r="716" spans="4:4" ht="13">
      <c r="D716" s="175"/>
    </row>
    <row r="717" spans="4:4" ht="13">
      <c r="D717" s="175"/>
    </row>
    <row r="718" spans="4:4" ht="13">
      <c r="D718" s="175"/>
    </row>
    <row r="719" spans="4:4" ht="13">
      <c r="D719" s="175"/>
    </row>
    <row r="720" spans="4:4" ht="13">
      <c r="D720" s="175"/>
    </row>
    <row r="721" spans="4:4" ht="13">
      <c r="D721" s="175"/>
    </row>
    <row r="722" spans="4:4" ht="13">
      <c r="D722" s="175"/>
    </row>
    <row r="723" spans="4:4" ht="13">
      <c r="D723" s="175"/>
    </row>
    <row r="724" spans="4:4" ht="13">
      <c r="D724" s="175"/>
    </row>
    <row r="725" spans="4:4" ht="13">
      <c r="D725" s="175"/>
    </row>
    <row r="726" spans="4:4" ht="13">
      <c r="D726" s="175"/>
    </row>
    <row r="727" spans="4:4" ht="13">
      <c r="D727" s="175"/>
    </row>
    <row r="728" spans="4:4" ht="13">
      <c r="D728" s="175"/>
    </row>
    <row r="729" spans="4:4" ht="13">
      <c r="D729" s="175"/>
    </row>
    <row r="730" spans="4:4" ht="13">
      <c r="D730" s="175"/>
    </row>
    <row r="731" spans="4:4" ht="13">
      <c r="D731" s="175"/>
    </row>
    <row r="732" spans="4:4" ht="13">
      <c r="D732" s="175"/>
    </row>
    <row r="733" spans="4:4" ht="13">
      <c r="D733" s="175"/>
    </row>
    <row r="734" spans="4:4" ht="13">
      <c r="D734" s="175"/>
    </row>
    <row r="735" spans="4:4" ht="13">
      <c r="D735" s="175"/>
    </row>
    <row r="736" spans="4:4" ht="13">
      <c r="D736" s="175"/>
    </row>
    <row r="737" spans="4:4" ht="13">
      <c r="D737" s="175"/>
    </row>
    <row r="738" spans="4:4" ht="13">
      <c r="D738" s="175"/>
    </row>
    <row r="739" spans="4:4" ht="13">
      <c r="D739" s="175"/>
    </row>
    <row r="740" spans="4:4" ht="13">
      <c r="D740" s="175"/>
    </row>
    <row r="741" spans="4:4" ht="13">
      <c r="D741" s="175"/>
    </row>
    <row r="742" spans="4:4" ht="13">
      <c r="D742" s="175"/>
    </row>
    <row r="743" spans="4:4" ht="13">
      <c r="D743" s="175"/>
    </row>
    <row r="744" spans="4:4" ht="13">
      <c r="D744" s="175"/>
    </row>
    <row r="745" spans="4:4" ht="13">
      <c r="D745" s="175"/>
    </row>
    <row r="746" spans="4:4" ht="13">
      <c r="D746" s="175"/>
    </row>
    <row r="747" spans="4:4" ht="13">
      <c r="D747" s="175"/>
    </row>
    <row r="748" spans="4:4" ht="13">
      <c r="D748" s="175"/>
    </row>
    <row r="749" spans="4:4" ht="13">
      <c r="D749" s="175"/>
    </row>
    <row r="750" spans="4:4" ht="13">
      <c r="D750" s="175"/>
    </row>
    <row r="751" spans="4:4" ht="13">
      <c r="D751" s="175"/>
    </row>
    <row r="752" spans="4:4" ht="13">
      <c r="D752" s="175"/>
    </row>
    <row r="753" spans="4:4" ht="13">
      <c r="D753" s="175"/>
    </row>
    <row r="754" spans="4:4" ht="13">
      <c r="D754" s="175"/>
    </row>
    <row r="755" spans="4:4" ht="13">
      <c r="D755" s="175"/>
    </row>
    <row r="756" spans="4:4" ht="13">
      <c r="D756" s="175"/>
    </row>
    <row r="757" spans="4:4" ht="13">
      <c r="D757" s="175"/>
    </row>
    <row r="758" spans="4:4" ht="13">
      <c r="D758" s="175"/>
    </row>
    <row r="759" spans="4:4" ht="13">
      <c r="D759" s="175"/>
    </row>
    <row r="760" spans="4:4" ht="13">
      <c r="D760" s="175"/>
    </row>
    <row r="761" spans="4:4" ht="13">
      <c r="D761" s="175"/>
    </row>
    <row r="762" spans="4:4" ht="13">
      <c r="D762" s="175"/>
    </row>
    <row r="763" spans="4:4" ht="13">
      <c r="D763" s="175"/>
    </row>
    <row r="764" spans="4:4" ht="13">
      <c r="D764" s="175"/>
    </row>
    <row r="765" spans="4:4" ht="13">
      <c r="D765" s="175"/>
    </row>
    <row r="766" spans="4:4" ht="13">
      <c r="D766" s="175"/>
    </row>
    <row r="767" spans="4:4" ht="13">
      <c r="D767" s="175"/>
    </row>
    <row r="768" spans="4:4" ht="13">
      <c r="D768" s="175"/>
    </row>
    <row r="769" spans="4:4" ht="13">
      <c r="D769" s="175"/>
    </row>
    <row r="770" spans="4:4" ht="13">
      <c r="D770" s="175"/>
    </row>
    <row r="771" spans="4:4" ht="13">
      <c r="D771" s="175"/>
    </row>
    <row r="772" spans="4:4" ht="13">
      <c r="D772" s="175"/>
    </row>
    <row r="773" spans="4:4" ht="13">
      <c r="D773" s="175"/>
    </row>
    <row r="774" spans="4:4" ht="13">
      <c r="D774" s="175"/>
    </row>
    <row r="775" spans="4:4" ht="13">
      <c r="D775" s="175"/>
    </row>
    <row r="776" spans="4:4" ht="13">
      <c r="D776" s="175"/>
    </row>
    <row r="777" spans="4:4" ht="13">
      <c r="D777" s="175"/>
    </row>
    <row r="778" spans="4:4" ht="13">
      <c r="D778" s="175"/>
    </row>
    <row r="779" spans="4:4" ht="13">
      <c r="D779" s="175"/>
    </row>
    <row r="780" spans="4:4" ht="13">
      <c r="D780" s="175"/>
    </row>
    <row r="781" spans="4:4" ht="13">
      <c r="D781" s="175"/>
    </row>
    <row r="782" spans="4:4" ht="13">
      <c r="D782" s="175"/>
    </row>
    <row r="783" spans="4:4" ht="13">
      <c r="D783" s="175"/>
    </row>
    <row r="784" spans="4:4" ht="13">
      <c r="D784" s="175"/>
    </row>
    <row r="785" spans="4:4" ht="13">
      <c r="D785" s="175"/>
    </row>
    <row r="786" spans="4:4" ht="13">
      <c r="D786" s="175"/>
    </row>
    <row r="787" spans="4:4" ht="13">
      <c r="D787" s="175"/>
    </row>
    <row r="788" spans="4:4" ht="13">
      <c r="D788" s="175"/>
    </row>
    <row r="789" spans="4:4" ht="13">
      <c r="D789" s="175"/>
    </row>
    <row r="790" spans="4:4" ht="13">
      <c r="D790" s="175"/>
    </row>
    <row r="791" spans="4:4" ht="13">
      <c r="D791" s="175"/>
    </row>
    <row r="792" spans="4:4" ht="13">
      <c r="D792" s="175"/>
    </row>
    <row r="793" spans="4:4" ht="13">
      <c r="D793" s="175"/>
    </row>
    <row r="794" spans="4:4" ht="13">
      <c r="D794" s="175"/>
    </row>
    <row r="795" spans="4:4" ht="13">
      <c r="D795" s="175"/>
    </row>
    <row r="796" spans="4:4" ht="13">
      <c r="D796" s="175"/>
    </row>
    <row r="797" spans="4:4" ht="13">
      <c r="D797" s="175"/>
    </row>
    <row r="798" spans="4:4" ht="13">
      <c r="D798" s="175"/>
    </row>
    <row r="799" spans="4:4" ht="13">
      <c r="D799" s="175"/>
    </row>
    <row r="800" spans="4:4" ht="13">
      <c r="D800" s="175"/>
    </row>
    <row r="801" spans="4:4" ht="13">
      <c r="D801" s="175"/>
    </row>
    <row r="802" spans="4:4" ht="13">
      <c r="D802" s="175"/>
    </row>
    <row r="803" spans="4:4" ht="13">
      <c r="D803" s="175"/>
    </row>
    <row r="804" spans="4:4" ht="13">
      <c r="D804" s="175"/>
    </row>
    <row r="805" spans="4:4" ht="13">
      <c r="D805" s="175"/>
    </row>
    <row r="806" spans="4:4" ht="13">
      <c r="D806" s="175"/>
    </row>
    <row r="807" spans="4:4" ht="13">
      <c r="D807" s="175"/>
    </row>
    <row r="808" spans="4:4" ht="13">
      <c r="D808" s="175"/>
    </row>
    <row r="809" spans="4:4" ht="13">
      <c r="D809" s="175"/>
    </row>
    <row r="810" spans="4:4" ht="13">
      <c r="D810" s="175"/>
    </row>
    <row r="811" spans="4:4" ht="13">
      <c r="D811" s="175"/>
    </row>
    <row r="812" spans="4:4" ht="13">
      <c r="D812" s="175"/>
    </row>
    <row r="813" spans="4:4" ht="13">
      <c r="D813" s="175"/>
    </row>
    <row r="814" spans="4:4" ht="13">
      <c r="D814" s="175"/>
    </row>
    <row r="815" spans="4:4" ht="13">
      <c r="D815" s="175"/>
    </row>
    <row r="816" spans="4:4" ht="13">
      <c r="D816" s="175"/>
    </row>
    <row r="817" spans="4:4" ht="13">
      <c r="D817" s="175"/>
    </row>
    <row r="818" spans="4:4" ht="13">
      <c r="D818" s="175"/>
    </row>
    <row r="819" spans="4:4" ht="13">
      <c r="D819" s="175"/>
    </row>
    <row r="820" spans="4:4" ht="13">
      <c r="D820" s="175"/>
    </row>
    <row r="821" spans="4:4" ht="13">
      <c r="D821" s="175"/>
    </row>
    <row r="822" spans="4:4" ht="13">
      <c r="D822" s="175"/>
    </row>
    <row r="823" spans="4:4" ht="13">
      <c r="D823" s="175"/>
    </row>
    <row r="824" spans="4:4" ht="13">
      <c r="D824" s="175"/>
    </row>
    <row r="825" spans="4:4" ht="13">
      <c r="D825" s="175"/>
    </row>
    <row r="826" spans="4:4" ht="13">
      <c r="D826" s="175"/>
    </row>
    <row r="827" spans="4:4" ht="13">
      <c r="D827" s="175"/>
    </row>
    <row r="828" spans="4:4" ht="13">
      <c r="D828" s="175"/>
    </row>
    <row r="829" spans="4:4" ht="13">
      <c r="D829" s="175"/>
    </row>
    <row r="830" spans="4:4" ht="13">
      <c r="D830" s="175"/>
    </row>
    <row r="831" spans="4:4" ht="13">
      <c r="D831" s="175"/>
    </row>
    <row r="832" spans="4:4" ht="13">
      <c r="D832" s="175"/>
    </row>
    <row r="833" spans="4:4" ht="13">
      <c r="D833" s="175"/>
    </row>
    <row r="834" spans="4:4" ht="13">
      <c r="D834" s="175"/>
    </row>
    <row r="835" spans="4:4" ht="13">
      <c r="D835" s="175"/>
    </row>
    <row r="836" spans="4:4" ht="13">
      <c r="D836" s="175"/>
    </row>
    <row r="837" spans="4:4" ht="13">
      <c r="D837" s="175"/>
    </row>
    <row r="838" spans="4:4" ht="13">
      <c r="D838" s="175"/>
    </row>
    <row r="839" spans="4:4" ht="13">
      <c r="D839" s="175"/>
    </row>
    <row r="840" spans="4:4" ht="13">
      <c r="D840" s="175"/>
    </row>
    <row r="841" spans="4:4" ht="13">
      <c r="D841" s="175"/>
    </row>
    <row r="842" spans="4:4" ht="13">
      <c r="D842" s="175"/>
    </row>
    <row r="843" spans="4:4" ht="13">
      <c r="D843" s="175"/>
    </row>
    <row r="844" spans="4:4" ht="13">
      <c r="D844" s="175"/>
    </row>
    <row r="845" spans="4:4" ht="13">
      <c r="D845" s="175"/>
    </row>
    <row r="846" spans="4:4" ht="13">
      <c r="D846" s="175"/>
    </row>
    <row r="847" spans="4:4" ht="13">
      <c r="D847" s="175"/>
    </row>
    <row r="848" spans="4:4" ht="13">
      <c r="D848" s="175"/>
    </row>
    <row r="849" spans="4:4" ht="13">
      <c r="D849" s="175"/>
    </row>
    <row r="850" spans="4:4" ht="13">
      <c r="D850" s="175"/>
    </row>
    <row r="851" spans="4:4" ht="13">
      <c r="D851" s="175"/>
    </row>
    <row r="852" spans="4:4" ht="13">
      <c r="D852" s="175"/>
    </row>
    <row r="853" spans="4:4" ht="13">
      <c r="D853" s="175"/>
    </row>
    <row r="854" spans="4:4" ht="13">
      <c r="D854" s="175"/>
    </row>
    <row r="855" spans="4:4" ht="13">
      <c r="D855" s="175"/>
    </row>
    <row r="856" spans="4:4" ht="13">
      <c r="D856" s="175"/>
    </row>
    <row r="857" spans="4:4" ht="13">
      <c r="D857" s="175"/>
    </row>
    <row r="858" spans="4:4" ht="13">
      <c r="D858" s="175"/>
    </row>
    <row r="859" spans="4:4" ht="13">
      <c r="D859" s="175"/>
    </row>
    <row r="860" spans="4:4" ht="13">
      <c r="D860" s="175"/>
    </row>
    <row r="861" spans="4:4" ht="13">
      <c r="D861" s="175"/>
    </row>
    <row r="862" spans="4:4" ht="13">
      <c r="D862" s="175"/>
    </row>
    <row r="863" spans="4:4" ht="13">
      <c r="D863" s="175"/>
    </row>
    <row r="864" spans="4:4" ht="13">
      <c r="D864" s="175"/>
    </row>
    <row r="865" spans="4:4" ht="13">
      <c r="D865" s="175"/>
    </row>
    <row r="866" spans="4:4" ht="13">
      <c r="D866" s="175"/>
    </row>
    <row r="867" spans="4:4" ht="13">
      <c r="D867" s="175"/>
    </row>
    <row r="868" spans="4:4" ht="13">
      <c r="D868" s="175"/>
    </row>
    <row r="869" spans="4:4" ht="13">
      <c r="D869" s="175"/>
    </row>
    <row r="870" spans="4:4" ht="13">
      <c r="D870" s="175"/>
    </row>
    <row r="871" spans="4:4" ht="13">
      <c r="D871" s="175"/>
    </row>
    <row r="872" spans="4:4" ht="13">
      <c r="D872" s="175"/>
    </row>
    <row r="873" spans="4:4" ht="13">
      <c r="D873" s="175"/>
    </row>
    <row r="874" spans="4:4" ht="13">
      <c r="D874" s="175"/>
    </row>
    <row r="875" spans="4:4" ht="13">
      <c r="D875" s="175"/>
    </row>
    <row r="876" spans="4:4" ht="13">
      <c r="D876" s="175"/>
    </row>
    <row r="877" spans="4:4" ht="13">
      <c r="D877" s="175"/>
    </row>
    <row r="878" spans="4:4" ht="13">
      <c r="D878" s="175"/>
    </row>
    <row r="879" spans="4:4" ht="13">
      <c r="D879" s="175"/>
    </row>
    <row r="880" spans="4:4" ht="13">
      <c r="D880" s="175"/>
    </row>
    <row r="881" spans="4:4" ht="13">
      <c r="D881" s="175"/>
    </row>
    <row r="882" spans="4:4" ht="13">
      <c r="D882" s="175"/>
    </row>
    <row r="883" spans="4:4" ht="13">
      <c r="D883" s="175"/>
    </row>
    <row r="884" spans="4:4" ht="13">
      <c r="D884" s="175"/>
    </row>
    <row r="885" spans="4:4" ht="13">
      <c r="D885" s="175"/>
    </row>
    <row r="886" spans="4:4" ht="13">
      <c r="D886" s="175"/>
    </row>
    <row r="887" spans="4:4" ht="13">
      <c r="D887" s="175"/>
    </row>
    <row r="888" spans="4:4" ht="13">
      <c r="D888" s="175"/>
    </row>
    <row r="889" spans="4:4" ht="13">
      <c r="D889" s="175"/>
    </row>
    <row r="890" spans="4:4" ht="13">
      <c r="D890" s="175"/>
    </row>
    <row r="891" spans="4:4" ht="13">
      <c r="D891" s="175"/>
    </row>
    <row r="892" spans="4:4" ht="13">
      <c r="D892" s="175"/>
    </row>
    <row r="893" spans="4:4" ht="13">
      <c r="D893" s="175"/>
    </row>
    <row r="894" spans="4:4" ht="13">
      <c r="D894" s="175"/>
    </row>
    <row r="895" spans="4:4" ht="13">
      <c r="D895" s="175"/>
    </row>
    <row r="896" spans="4:4" ht="13">
      <c r="D896" s="175"/>
    </row>
    <row r="897" spans="4:4" ht="13">
      <c r="D897" s="175"/>
    </row>
    <row r="898" spans="4:4" ht="13">
      <c r="D898" s="175"/>
    </row>
    <row r="899" spans="4:4" ht="13">
      <c r="D899" s="175"/>
    </row>
    <row r="900" spans="4:4" ht="13">
      <c r="D900" s="175"/>
    </row>
    <row r="901" spans="4:4" ht="13">
      <c r="D901" s="175"/>
    </row>
    <row r="902" spans="4:4" ht="13">
      <c r="D902" s="175"/>
    </row>
    <row r="903" spans="4:4" ht="13">
      <c r="D903" s="175"/>
    </row>
    <row r="904" spans="4:4" ht="13">
      <c r="D904" s="175"/>
    </row>
    <row r="905" spans="4:4" ht="13">
      <c r="D905" s="175"/>
    </row>
    <row r="906" spans="4:4" ht="13">
      <c r="D906" s="175"/>
    </row>
    <row r="907" spans="4:4" ht="13">
      <c r="D907" s="175"/>
    </row>
    <row r="908" spans="4:4" ht="13">
      <c r="D908" s="175"/>
    </row>
    <row r="909" spans="4:4" ht="13">
      <c r="D909" s="175"/>
    </row>
    <row r="910" spans="4:4" ht="13">
      <c r="D910" s="175"/>
    </row>
    <row r="911" spans="4:4" ht="13">
      <c r="D911" s="175"/>
    </row>
    <row r="912" spans="4:4" ht="13">
      <c r="D912" s="175"/>
    </row>
    <row r="913" spans="4:4" ht="13">
      <c r="D913" s="175"/>
    </row>
    <row r="914" spans="4:4" ht="13">
      <c r="D914" s="175"/>
    </row>
    <row r="915" spans="4:4" ht="13">
      <c r="D915" s="175"/>
    </row>
    <row r="916" spans="4:4" ht="13">
      <c r="D916" s="175"/>
    </row>
    <row r="917" spans="4:4" ht="13">
      <c r="D917" s="175"/>
    </row>
    <row r="918" spans="4:4" ht="13">
      <c r="D918" s="175"/>
    </row>
    <row r="919" spans="4:4" ht="13">
      <c r="D919" s="175"/>
    </row>
    <row r="920" spans="4:4" ht="13">
      <c r="D920" s="175"/>
    </row>
    <row r="921" spans="4:4" ht="13">
      <c r="D921" s="175"/>
    </row>
    <row r="922" spans="4:4" ht="13">
      <c r="D922" s="175"/>
    </row>
    <row r="923" spans="4:4" ht="13">
      <c r="D923" s="175"/>
    </row>
    <row r="924" spans="4:4" ht="13">
      <c r="D924" s="175"/>
    </row>
    <row r="925" spans="4:4" ht="13">
      <c r="D925" s="175"/>
    </row>
    <row r="926" spans="4:4" ht="13">
      <c r="D926" s="175"/>
    </row>
    <row r="927" spans="4:4" ht="13">
      <c r="D927" s="175"/>
    </row>
    <row r="928" spans="4:4" ht="13">
      <c r="D928" s="175"/>
    </row>
    <row r="929" spans="4:4" ht="13">
      <c r="D929" s="175"/>
    </row>
    <row r="930" spans="4:4" ht="13">
      <c r="D930" s="175"/>
    </row>
    <row r="931" spans="4:4" ht="13">
      <c r="D931" s="175"/>
    </row>
    <row r="932" spans="4:4" ht="13">
      <c r="D932" s="175"/>
    </row>
    <row r="933" spans="4:4" ht="13">
      <c r="D933" s="175"/>
    </row>
    <row r="934" spans="4:4" ht="13">
      <c r="D934" s="175"/>
    </row>
    <row r="935" spans="4:4" ht="13">
      <c r="D935" s="175"/>
    </row>
    <row r="936" spans="4:4" ht="13">
      <c r="D936" s="175"/>
    </row>
    <row r="937" spans="4:4" ht="13">
      <c r="D937" s="175"/>
    </row>
    <row r="938" spans="4:4" ht="13">
      <c r="D938" s="175"/>
    </row>
    <row r="939" spans="4:4" ht="13">
      <c r="D939" s="175"/>
    </row>
    <row r="940" spans="4:4" ht="13">
      <c r="D940" s="175"/>
    </row>
    <row r="941" spans="4:4" ht="13">
      <c r="D941" s="175"/>
    </row>
    <row r="942" spans="4:4" ht="13">
      <c r="D942" s="175"/>
    </row>
    <row r="943" spans="4:4" ht="13">
      <c r="D943" s="175"/>
    </row>
    <row r="944" spans="4:4" ht="13">
      <c r="D944" s="175"/>
    </row>
    <row r="945" spans="4:4" ht="13">
      <c r="D945" s="175"/>
    </row>
    <row r="946" spans="4:4" ht="13">
      <c r="D946" s="175"/>
    </row>
    <row r="947" spans="4:4" ht="13">
      <c r="D947" s="175"/>
    </row>
    <row r="948" spans="4:4" ht="13">
      <c r="D948" s="175"/>
    </row>
    <row r="949" spans="4:4" ht="13">
      <c r="D949" s="175"/>
    </row>
    <row r="950" spans="4:4" ht="13">
      <c r="D950" s="175"/>
    </row>
    <row r="951" spans="4:4" ht="13">
      <c r="D951" s="175"/>
    </row>
    <row r="952" spans="4:4" ht="13">
      <c r="D952" s="175"/>
    </row>
    <row r="953" spans="4:4" ht="13">
      <c r="D953" s="175"/>
    </row>
    <row r="954" spans="4:4" ht="13">
      <c r="D954" s="175"/>
    </row>
    <row r="955" spans="4:4" ht="13">
      <c r="D955" s="175"/>
    </row>
    <row r="956" spans="4:4" ht="13">
      <c r="D956" s="175"/>
    </row>
    <row r="957" spans="4:4" ht="13">
      <c r="D957" s="175"/>
    </row>
    <row r="958" spans="4:4" ht="13">
      <c r="D958" s="175"/>
    </row>
    <row r="959" spans="4:4" ht="13">
      <c r="D959" s="175"/>
    </row>
    <row r="960" spans="4:4" ht="13">
      <c r="D960" s="175"/>
    </row>
    <row r="961" spans="4:4" ht="13">
      <c r="D961" s="175"/>
    </row>
    <row r="962" spans="4:4" ht="13">
      <c r="D962" s="175"/>
    </row>
    <row r="963" spans="4:4" ht="13">
      <c r="D963" s="175"/>
    </row>
    <row r="964" spans="4:4" ht="13">
      <c r="D964" s="175"/>
    </row>
    <row r="965" spans="4:4" ht="13">
      <c r="D965" s="175"/>
    </row>
    <row r="966" spans="4:4" ht="13">
      <c r="D966" s="175"/>
    </row>
    <row r="967" spans="4:4" ht="13">
      <c r="D967" s="175"/>
    </row>
    <row r="968" spans="4:4" ht="13">
      <c r="D968" s="175"/>
    </row>
    <row r="969" spans="4:4" ht="13">
      <c r="D969" s="175"/>
    </row>
    <row r="970" spans="4:4" ht="13">
      <c r="D970" s="175"/>
    </row>
    <row r="971" spans="4:4" ht="13">
      <c r="D971" s="175"/>
    </row>
    <row r="972" spans="4:4" ht="13">
      <c r="D972" s="175"/>
    </row>
    <row r="973" spans="4:4" ht="13">
      <c r="D973" s="175"/>
    </row>
    <row r="974" spans="4:4" ht="13">
      <c r="D974" s="175"/>
    </row>
    <row r="975" spans="4:4" ht="13">
      <c r="D975" s="175"/>
    </row>
    <row r="976" spans="4:4" ht="13">
      <c r="D976" s="175"/>
    </row>
    <row r="977" spans="4:4" ht="13">
      <c r="D977" s="175"/>
    </row>
    <row r="978" spans="4:4" ht="13">
      <c r="D978" s="175"/>
    </row>
    <row r="979" spans="4:4" ht="13">
      <c r="D979" s="175"/>
    </row>
    <row r="980" spans="4:4" ht="13">
      <c r="D980" s="175"/>
    </row>
    <row r="981" spans="4:4" ht="13">
      <c r="D981" s="175"/>
    </row>
    <row r="982" spans="4:4" ht="13">
      <c r="D982" s="175"/>
    </row>
    <row r="983" spans="4:4" ht="13">
      <c r="D983" s="175"/>
    </row>
    <row r="984" spans="4:4" ht="13">
      <c r="D984" s="175"/>
    </row>
    <row r="985" spans="4:4" ht="13">
      <c r="D985" s="175"/>
    </row>
    <row r="986" spans="4:4" ht="13">
      <c r="D986" s="175"/>
    </row>
    <row r="987" spans="4:4" ht="13">
      <c r="D987" s="175"/>
    </row>
    <row r="988" spans="4:4" ht="13">
      <c r="D988" s="175"/>
    </row>
    <row r="989" spans="4:4" ht="13">
      <c r="D989" s="175"/>
    </row>
    <row r="990" spans="4:4" ht="13">
      <c r="D990" s="175"/>
    </row>
    <row r="991" spans="4:4" ht="13">
      <c r="D991" s="175"/>
    </row>
    <row r="992" spans="4:4" ht="13">
      <c r="D992" s="175"/>
    </row>
    <row r="993" spans="4:4" ht="13">
      <c r="D993" s="175"/>
    </row>
    <row r="994" spans="4:4" ht="13">
      <c r="D994" s="175"/>
    </row>
    <row r="995" spans="4:4" ht="13">
      <c r="D995" s="175"/>
    </row>
    <row r="996" spans="4:4" ht="13">
      <c r="D996" s="175"/>
    </row>
    <row r="997" spans="4:4" ht="13">
      <c r="D997" s="175"/>
    </row>
  </sheetData>
  <autoFilter ref="A1:Z997" xr:uid="{00000000-0009-0000-0000-000004000000}"/>
  <phoneticPr fontId="72" type="noConversion"/>
  <hyperlinks>
    <hyperlink ref="H10" r:id="rId1" xr:uid="{00000000-0004-0000-0400-000000000000}"/>
    <hyperlink ref="H15" r:id="rId2" xr:uid="{00000000-0004-0000-0400-000001000000}"/>
    <hyperlink ref="H16" r:id="rId3" xr:uid="{00000000-0004-0000-0400-000002000000}"/>
    <hyperlink ref="H59" r:id="rId4" xr:uid="{00000000-0004-0000-0400-000003000000}"/>
    <hyperlink ref="H60" r:id="rId5" xr:uid="{00000000-0004-0000-0400-000004000000}"/>
    <hyperlink ref="H61" r:id="rId6" xr:uid="{00000000-0004-0000-0400-000005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44"/>
  <sheetViews>
    <sheetView workbookViewId="0"/>
  </sheetViews>
  <sheetFormatPr baseColWidth="10" defaultColWidth="12.6640625" defaultRowHeight="15.75" customHeight="1"/>
  <cols>
    <col min="4" max="4" width="22.33203125" customWidth="1"/>
  </cols>
  <sheetData>
    <row r="1" spans="1:5">
      <c r="A1" s="113" t="s">
        <v>874</v>
      </c>
      <c r="B1" s="111" t="s">
        <v>1752</v>
      </c>
      <c r="C1" s="111" t="s">
        <v>879</v>
      </c>
      <c r="D1" s="111" t="s">
        <v>3</v>
      </c>
      <c r="E1" s="111" t="s">
        <v>880</v>
      </c>
    </row>
    <row r="2" spans="1:5">
      <c r="A2" s="51" t="s">
        <v>2117</v>
      </c>
      <c r="B2" s="51"/>
      <c r="C2" s="51" t="s">
        <v>61</v>
      </c>
      <c r="D2" s="51" t="s">
        <v>63</v>
      </c>
      <c r="E2" s="51"/>
    </row>
    <row r="3" spans="1:5">
      <c r="A3" s="51" t="s">
        <v>2117</v>
      </c>
      <c r="B3" s="51"/>
      <c r="C3" s="51" t="s">
        <v>159</v>
      </c>
      <c r="D3" s="51" t="s">
        <v>161</v>
      </c>
      <c r="E3" s="51"/>
    </row>
    <row r="4" spans="1:5">
      <c r="A4" s="51" t="s">
        <v>2117</v>
      </c>
      <c r="B4" s="51"/>
      <c r="C4" s="51" t="s">
        <v>365</v>
      </c>
      <c r="D4" s="51" t="s">
        <v>367</v>
      </c>
      <c r="E4" s="51"/>
    </row>
    <row r="5" spans="1:5">
      <c r="A5" s="51" t="s">
        <v>2117</v>
      </c>
      <c r="B5" s="51"/>
      <c r="C5" s="51" t="s">
        <v>556</v>
      </c>
      <c r="D5" s="51" t="s">
        <v>558</v>
      </c>
      <c r="E5" s="51"/>
    </row>
    <row r="6" spans="1:5">
      <c r="A6" s="51" t="s">
        <v>2117</v>
      </c>
      <c r="B6" s="51"/>
      <c r="C6" s="51" t="s">
        <v>453</v>
      </c>
      <c r="D6" s="51" t="s">
        <v>455</v>
      </c>
      <c r="E6" s="51"/>
    </row>
    <row r="7" spans="1:5">
      <c r="A7" s="51" t="s">
        <v>2117</v>
      </c>
      <c r="B7" s="51"/>
      <c r="C7" s="51" t="s">
        <v>574</v>
      </c>
      <c r="D7" s="51" t="s">
        <v>576</v>
      </c>
      <c r="E7" s="51"/>
    </row>
    <row r="8" spans="1:5">
      <c r="A8" s="51" t="s">
        <v>2117</v>
      </c>
      <c r="B8" s="51"/>
      <c r="C8" s="51" t="s">
        <v>885</v>
      </c>
      <c r="D8" s="51"/>
      <c r="E8" s="51" t="s">
        <v>2118</v>
      </c>
    </row>
    <row r="9" spans="1:5">
      <c r="A9" s="51" t="s">
        <v>2117</v>
      </c>
      <c r="B9" s="51"/>
      <c r="C9" s="51" t="s">
        <v>745</v>
      </c>
      <c r="D9" s="51" t="s">
        <v>747</v>
      </c>
      <c r="E9" s="51"/>
    </row>
    <row r="10" spans="1:5">
      <c r="A10" s="51" t="s">
        <v>2117</v>
      </c>
      <c r="B10" s="51"/>
      <c r="C10" s="51" t="s">
        <v>299</v>
      </c>
      <c r="D10" s="51" t="s">
        <v>301</v>
      </c>
      <c r="E10" s="51"/>
    </row>
    <row r="11" spans="1:5">
      <c r="A11" s="51" t="s">
        <v>2117</v>
      </c>
      <c r="B11" s="51"/>
      <c r="C11" s="51" t="s">
        <v>305</v>
      </c>
      <c r="D11" s="51" t="s">
        <v>307</v>
      </c>
      <c r="E11" s="51"/>
    </row>
    <row r="12" spans="1:5">
      <c r="A12" s="51" t="s">
        <v>2117</v>
      </c>
      <c r="B12" s="51"/>
      <c r="C12" s="51" t="s">
        <v>885</v>
      </c>
      <c r="D12" s="51"/>
      <c r="E12" s="51"/>
    </row>
    <row r="13" spans="1:5">
      <c r="A13" s="51" t="s">
        <v>2117</v>
      </c>
      <c r="B13" s="51"/>
      <c r="C13" s="51" t="s">
        <v>2119</v>
      </c>
      <c r="D13" s="51"/>
      <c r="E13" s="51" t="s">
        <v>2120</v>
      </c>
    </row>
    <row r="14" spans="1:5">
      <c r="A14" s="51" t="s">
        <v>2117</v>
      </c>
      <c r="B14" s="51"/>
      <c r="C14" s="51" t="s">
        <v>460</v>
      </c>
      <c r="D14" s="51" t="s">
        <v>462</v>
      </c>
      <c r="E14" s="51"/>
    </row>
    <row r="15" spans="1:5">
      <c r="A15" s="51" t="s">
        <v>2117</v>
      </c>
      <c r="B15" s="51"/>
      <c r="C15" s="51" t="s">
        <v>273</v>
      </c>
      <c r="D15" s="51" t="s">
        <v>275</v>
      </c>
      <c r="E15" s="51"/>
    </row>
    <row r="16" spans="1:5">
      <c r="A16" s="51" t="s">
        <v>2117</v>
      </c>
      <c r="B16" s="51"/>
      <c r="C16" s="51" t="s">
        <v>2121</v>
      </c>
      <c r="D16" s="51"/>
      <c r="E16" s="51" t="s">
        <v>2120</v>
      </c>
    </row>
    <row r="17" spans="1:5">
      <c r="A17" s="51" t="s">
        <v>2117</v>
      </c>
      <c r="B17" s="51"/>
      <c r="C17" s="51" t="s">
        <v>465</v>
      </c>
      <c r="D17" s="51" t="s">
        <v>467</v>
      </c>
      <c r="E17" s="51"/>
    </row>
    <row r="18" spans="1:5">
      <c r="A18" s="51" t="s">
        <v>2117</v>
      </c>
      <c r="B18" s="51"/>
      <c r="C18" s="51" t="s">
        <v>194</v>
      </c>
      <c r="D18" s="51" t="s">
        <v>196</v>
      </c>
      <c r="E18" s="51"/>
    </row>
    <row r="19" spans="1:5">
      <c r="A19" s="51" t="s">
        <v>2117</v>
      </c>
      <c r="B19" s="51"/>
      <c r="C19" s="51" t="s">
        <v>586</v>
      </c>
      <c r="D19" s="51" t="s">
        <v>588</v>
      </c>
      <c r="E19" s="51"/>
    </row>
    <row r="20" spans="1:5">
      <c r="A20" s="51" t="s">
        <v>2117</v>
      </c>
      <c r="B20" s="51"/>
      <c r="C20" s="51" t="s">
        <v>2122</v>
      </c>
      <c r="D20" s="51" t="s">
        <v>2123</v>
      </c>
      <c r="E20" s="51" t="s">
        <v>2120</v>
      </c>
    </row>
    <row r="21" spans="1:5">
      <c r="A21" s="51" t="s">
        <v>2117</v>
      </c>
      <c r="B21" s="51"/>
      <c r="C21" s="51" t="s">
        <v>2124</v>
      </c>
      <c r="D21" s="51"/>
      <c r="E21" s="51" t="s">
        <v>2120</v>
      </c>
    </row>
    <row r="22" spans="1:5">
      <c r="A22" s="51" t="s">
        <v>2117</v>
      </c>
      <c r="B22" s="51"/>
      <c r="C22" s="51" t="s">
        <v>365</v>
      </c>
      <c r="D22" s="51" t="s">
        <v>367</v>
      </c>
      <c r="E22" s="51"/>
    </row>
    <row r="23" spans="1:5">
      <c r="A23" s="51" t="s">
        <v>2117</v>
      </c>
      <c r="B23" s="51"/>
      <c r="C23" s="51" t="s">
        <v>729</v>
      </c>
      <c r="D23" s="51" t="s">
        <v>731</v>
      </c>
      <c r="E23" s="51"/>
    </row>
    <row r="24" spans="1:5">
      <c r="A24" s="51" t="s">
        <v>2125</v>
      </c>
      <c r="B24" s="51"/>
      <c r="C24" s="51" t="s">
        <v>720</v>
      </c>
      <c r="D24" s="51" t="s">
        <v>722</v>
      </c>
      <c r="E24" s="51" t="s">
        <v>2125</v>
      </c>
    </row>
    <row r="25" spans="1:5">
      <c r="A25" s="51" t="s">
        <v>2117</v>
      </c>
      <c r="B25" s="190">
        <v>45689</v>
      </c>
      <c r="C25" s="51" t="s">
        <v>2126</v>
      </c>
      <c r="D25" s="51"/>
      <c r="E25" s="51"/>
    </row>
    <row r="26" spans="1:5">
      <c r="A26" s="51" t="s">
        <v>2117</v>
      </c>
      <c r="B26" s="190">
        <v>45323</v>
      </c>
      <c r="C26" s="51" t="s">
        <v>291</v>
      </c>
      <c r="D26" s="51" t="s">
        <v>292</v>
      </c>
      <c r="E26" s="51"/>
    </row>
    <row r="27" spans="1:5">
      <c r="A27" s="51" t="s">
        <v>2117</v>
      </c>
      <c r="B27" s="190">
        <v>45352</v>
      </c>
      <c r="C27" s="51" t="s">
        <v>130</v>
      </c>
      <c r="D27" s="51" t="s">
        <v>132</v>
      </c>
      <c r="E27" s="51"/>
    </row>
    <row r="28" spans="1:5">
      <c r="A28" s="51" t="s">
        <v>2117</v>
      </c>
      <c r="B28" s="190">
        <v>45413</v>
      </c>
      <c r="C28" s="51" t="s">
        <v>97</v>
      </c>
      <c r="D28" s="51" t="s">
        <v>99</v>
      </c>
      <c r="E28" s="51"/>
    </row>
    <row r="29" spans="1:5">
      <c r="A29" s="51" t="s">
        <v>2117</v>
      </c>
      <c r="B29" s="190">
        <v>45474</v>
      </c>
      <c r="C29" s="51" t="s">
        <v>2126</v>
      </c>
      <c r="D29" s="51"/>
      <c r="E29" s="51"/>
    </row>
    <row r="30" spans="1:5">
      <c r="A30" s="51" t="s">
        <v>2125</v>
      </c>
      <c r="B30" s="190">
        <v>45474</v>
      </c>
      <c r="C30" s="51" t="s">
        <v>623</v>
      </c>
      <c r="D30" s="51" t="s">
        <v>625</v>
      </c>
      <c r="E30" s="51" t="s">
        <v>2125</v>
      </c>
    </row>
    <row r="31" spans="1:5">
      <c r="A31" s="51" t="s">
        <v>2125</v>
      </c>
      <c r="B31" s="51">
        <v>45517</v>
      </c>
      <c r="C31" s="51" t="s">
        <v>2127</v>
      </c>
      <c r="D31" s="51" t="s">
        <v>2128</v>
      </c>
      <c r="E31" s="51" t="s">
        <v>2125</v>
      </c>
    </row>
    <row r="32" spans="1:5">
      <c r="A32" s="51" t="s">
        <v>2117</v>
      </c>
      <c r="B32" s="51">
        <v>45635</v>
      </c>
      <c r="C32" s="51" t="s">
        <v>893</v>
      </c>
      <c r="D32" s="51"/>
      <c r="E32" s="51"/>
    </row>
    <row r="33" spans="1:6">
      <c r="A33" s="51" t="s">
        <v>2117</v>
      </c>
      <c r="B33" s="190">
        <v>45717</v>
      </c>
      <c r="C33" s="51" t="s">
        <v>2129</v>
      </c>
      <c r="D33" s="51" t="s">
        <v>261</v>
      </c>
      <c r="E33" s="51"/>
    </row>
    <row r="34" spans="1:6" ht="15.75" customHeight="1">
      <c r="A34" s="51" t="s">
        <v>2117</v>
      </c>
      <c r="B34" s="191">
        <v>45754</v>
      </c>
      <c r="C34" s="51" t="s">
        <v>2130</v>
      </c>
      <c r="D34" s="79" t="s">
        <v>2131</v>
      </c>
      <c r="E34" s="51"/>
    </row>
    <row r="35" spans="1:6" ht="15.75" customHeight="1">
      <c r="A35" s="51" t="s">
        <v>2117</v>
      </c>
      <c r="B35" s="191">
        <v>45805</v>
      </c>
      <c r="C35" s="51" t="s">
        <v>2132</v>
      </c>
      <c r="D35" s="79" t="s">
        <v>2133</v>
      </c>
      <c r="E35" s="51"/>
    </row>
    <row r="36" spans="1:6" ht="15.75" customHeight="1">
      <c r="A36" s="51" t="s">
        <v>2117</v>
      </c>
      <c r="B36" s="191">
        <v>45889</v>
      </c>
      <c r="C36" s="72" t="s">
        <v>2134</v>
      </c>
      <c r="D36" s="134" t="s">
        <v>2135</v>
      </c>
      <c r="E36" s="72"/>
    </row>
    <row r="37" spans="1:6">
      <c r="A37" s="40" t="s">
        <v>2136</v>
      </c>
      <c r="B37" s="191">
        <v>45943</v>
      </c>
      <c r="C37" s="38" t="s">
        <v>2137</v>
      </c>
      <c r="D37" s="38" t="s">
        <v>796</v>
      </c>
      <c r="E37" s="38" t="s">
        <v>2138</v>
      </c>
      <c r="F37" s="40" t="s">
        <v>2136</v>
      </c>
    </row>
    <row r="38" spans="1:6">
      <c r="A38" s="40" t="s">
        <v>2139</v>
      </c>
      <c r="B38" s="191">
        <v>45945</v>
      </c>
      <c r="C38" s="38" t="s">
        <v>2126</v>
      </c>
      <c r="D38" s="38"/>
      <c r="E38" s="38"/>
      <c r="F38" s="40" t="s">
        <v>2139</v>
      </c>
    </row>
    <row r="39" spans="1:6">
      <c r="A39" s="40" t="s">
        <v>2139</v>
      </c>
      <c r="B39" s="191">
        <v>45945</v>
      </c>
      <c r="C39" s="38" t="s">
        <v>2126</v>
      </c>
      <c r="D39" s="38"/>
      <c r="E39" s="38"/>
      <c r="F39" s="40" t="s">
        <v>2139</v>
      </c>
    </row>
    <row r="40" spans="1:6">
      <c r="A40" s="40" t="s">
        <v>2139</v>
      </c>
      <c r="B40" s="191">
        <v>45945</v>
      </c>
      <c r="C40" s="38" t="s">
        <v>2126</v>
      </c>
      <c r="D40" s="38"/>
      <c r="E40" s="38"/>
      <c r="F40" s="40" t="s">
        <v>2139</v>
      </c>
    </row>
    <row r="41" spans="1:6">
      <c r="A41" s="40" t="s">
        <v>2139</v>
      </c>
      <c r="B41" s="191">
        <v>45952</v>
      </c>
      <c r="C41" s="38" t="s">
        <v>2140</v>
      </c>
      <c r="D41" s="38" t="s">
        <v>845</v>
      </c>
      <c r="E41" s="38"/>
      <c r="F41" s="40" t="s">
        <v>2139</v>
      </c>
    </row>
    <row r="42" spans="1:6">
      <c r="A42" s="40" t="s">
        <v>2139</v>
      </c>
      <c r="B42" s="191">
        <v>45953</v>
      </c>
      <c r="C42" s="38" t="s">
        <v>2137</v>
      </c>
      <c r="D42" s="38" t="s">
        <v>796</v>
      </c>
      <c r="E42" s="38" t="s">
        <v>2141</v>
      </c>
      <c r="F42" s="40" t="s">
        <v>2139</v>
      </c>
    </row>
    <row r="43" spans="1:6" ht="15.75" customHeight="1">
      <c r="A43" s="40" t="s">
        <v>2136</v>
      </c>
      <c r="B43" s="192">
        <v>45973</v>
      </c>
      <c r="C43" s="187" t="s">
        <v>2142</v>
      </c>
      <c r="D43" s="187" t="s">
        <v>2143</v>
      </c>
      <c r="E43" s="187"/>
      <c r="F43" s="40" t="s">
        <v>2136</v>
      </c>
    </row>
    <row r="44" spans="1:6">
      <c r="A44" s="51" t="s">
        <v>2117</v>
      </c>
      <c r="B44" s="192">
        <v>45987</v>
      </c>
      <c r="C44" s="187" t="s">
        <v>2144</v>
      </c>
      <c r="D44" s="187" t="s">
        <v>618</v>
      </c>
      <c r="E44" s="187"/>
    </row>
  </sheetData>
  <phoneticPr fontId="72" type="noConversion"/>
  <hyperlinks>
    <hyperlink ref="D34" r:id="rId1" xr:uid="{00000000-0004-0000-0500-000000000000}"/>
    <hyperlink ref="D35" r:id="rId2" xr:uid="{00000000-0004-0000-0500-000001000000}"/>
    <hyperlink ref="D36" r:id="rId3" xr:uid="{00000000-0004-0000-0500-000002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28"/>
  <sheetViews>
    <sheetView workbookViewId="0"/>
  </sheetViews>
  <sheetFormatPr baseColWidth="10" defaultColWidth="12.6640625" defaultRowHeight="15.75" customHeight="1"/>
  <cols>
    <col min="2" max="2" width="17.33203125" customWidth="1"/>
    <col min="9" max="9" width="22.5" customWidth="1"/>
  </cols>
  <sheetData>
    <row r="1" spans="1:18">
      <c r="A1" s="193" t="s">
        <v>0</v>
      </c>
      <c r="B1" s="193" t="s">
        <v>874</v>
      </c>
      <c r="C1" s="193" t="s">
        <v>875</v>
      </c>
      <c r="D1" s="193" t="s">
        <v>876</v>
      </c>
      <c r="E1" s="193" t="s">
        <v>877</v>
      </c>
      <c r="F1" s="193" t="s">
        <v>878</v>
      </c>
      <c r="G1" s="193" t="s">
        <v>2145</v>
      </c>
      <c r="H1" s="193" t="s">
        <v>879</v>
      </c>
      <c r="I1" s="193" t="s">
        <v>2146</v>
      </c>
      <c r="J1" s="193" t="s">
        <v>2147</v>
      </c>
      <c r="K1" s="193" t="s">
        <v>2148</v>
      </c>
      <c r="L1" s="193" t="s">
        <v>2149</v>
      </c>
      <c r="M1" s="193" t="s">
        <v>2150</v>
      </c>
      <c r="N1" s="193" t="s">
        <v>2151</v>
      </c>
      <c r="O1" s="193" t="s">
        <v>2152</v>
      </c>
      <c r="P1" s="193" t="s">
        <v>2153</v>
      </c>
      <c r="Q1" s="193" t="s">
        <v>2154</v>
      </c>
      <c r="R1" s="193" t="s">
        <v>2155</v>
      </c>
    </row>
    <row r="2" spans="1:18">
      <c r="A2" s="121">
        <v>1</v>
      </c>
      <c r="B2" s="121" t="s">
        <v>1090</v>
      </c>
      <c r="C2" s="121"/>
      <c r="D2" s="121"/>
      <c r="E2" s="121"/>
      <c r="F2" s="194"/>
      <c r="G2" s="194"/>
      <c r="H2" s="121" t="s">
        <v>633</v>
      </c>
      <c r="I2" s="195" t="s">
        <v>2156</v>
      </c>
      <c r="J2" s="121" t="s">
        <v>2157</v>
      </c>
      <c r="K2" s="121"/>
      <c r="L2" s="121"/>
      <c r="M2" s="121"/>
      <c r="N2" s="121"/>
      <c r="O2" s="121"/>
      <c r="P2" s="121"/>
      <c r="Q2" s="121"/>
      <c r="R2" s="121"/>
    </row>
    <row r="3" spans="1:18">
      <c r="A3" s="121">
        <v>2</v>
      </c>
      <c r="B3" s="121" t="s">
        <v>1090</v>
      </c>
      <c r="C3" s="121" t="s">
        <v>882</v>
      </c>
      <c r="D3" s="121">
        <v>465320</v>
      </c>
      <c r="E3" s="121" t="s">
        <v>1202</v>
      </c>
      <c r="F3" s="194" t="s">
        <v>1190</v>
      </c>
      <c r="G3" s="194" t="s">
        <v>977</v>
      </c>
      <c r="H3" s="121" t="s">
        <v>93</v>
      </c>
      <c r="I3" s="121" t="s">
        <v>95</v>
      </c>
      <c r="J3" s="121" t="s">
        <v>2158</v>
      </c>
      <c r="K3" s="121" t="s">
        <v>2158</v>
      </c>
      <c r="L3" s="121" t="s">
        <v>2158</v>
      </c>
      <c r="M3" s="121" t="s">
        <v>2159</v>
      </c>
      <c r="N3" s="121" t="s">
        <v>2160</v>
      </c>
      <c r="O3" s="121" t="s">
        <v>2161</v>
      </c>
      <c r="P3" s="121"/>
      <c r="Q3" s="121"/>
      <c r="R3" s="121"/>
    </row>
    <row r="4" spans="1:18">
      <c r="A4" s="121">
        <v>3</v>
      </c>
      <c r="B4" s="121" t="s">
        <v>1090</v>
      </c>
      <c r="C4" s="121" t="s">
        <v>882</v>
      </c>
      <c r="D4" s="121">
        <v>465332</v>
      </c>
      <c r="E4" s="121" t="s">
        <v>1203</v>
      </c>
      <c r="F4" s="194" t="s">
        <v>1190</v>
      </c>
      <c r="G4" s="194" t="s">
        <v>977</v>
      </c>
      <c r="H4" s="121" t="s">
        <v>711</v>
      </c>
      <c r="I4" s="121" t="s">
        <v>713</v>
      </c>
      <c r="J4" s="121" t="s">
        <v>2158</v>
      </c>
      <c r="K4" s="121" t="s">
        <v>2158</v>
      </c>
      <c r="L4" s="121" t="s">
        <v>2158</v>
      </c>
      <c r="M4" s="196" t="s">
        <v>2162</v>
      </c>
      <c r="N4" s="121" t="s">
        <v>2160</v>
      </c>
      <c r="O4" s="121" t="s">
        <v>2163</v>
      </c>
      <c r="P4" s="121"/>
      <c r="Q4" s="121"/>
      <c r="R4" s="121"/>
    </row>
    <row r="5" spans="1:18" ht="15.75" customHeight="1">
      <c r="A5" s="121">
        <v>5</v>
      </c>
      <c r="B5" s="121" t="s">
        <v>1090</v>
      </c>
      <c r="C5" s="121" t="s">
        <v>882</v>
      </c>
      <c r="D5" s="121"/>
      <c r="E5" s="121" t="s">
        <v>1206</v>
      </c>
      <c r="F5" s="194" t="s">
        <v>1190</v>
      </c>
      <c r="G5" s="194" t="s">
        <v>932</v>
      </c>
      <c r="H5" s="121" t="s">
        <v>737</v>
      </c>
      <c r="I5" s="121" t="s">
        <v>739</v>
      </c>
      <c r="J5" s="121" t="s">
        <v>2158</v>
      </c>
      <c r="K5" s="121" t="s">
        <v>2158</v>
      </c>
      <c r="L5" s="121" t="s">
        <v>2158</v>
      </c>
      <c r="M5" s="121" t="s">
        <v>2164</v>
      </c>
      <c r="N5" s="121" t="s">
        <v>0</v>
      </c>
      <c r="O5" s="121" t="s">
        <v>2165</v>
      </c>
      <c r="P5" s="72"/>
      <c r="Q5" s="121"/>
      <c r="R5" s="121"/>
    </row>
    <row r="6" spans="1:18">
      <c r="A6" s="121">
        <v>6</v>
      </c>
      <c r="B6" s="121" t="s">
        <v>1090</v>
      </c>
      <c r="C6" s="121" t="s">
        <v>882</v>
      </c>
      <c r="D6" s="121">
        <v>465312</v>
      </c>
      <c r="E6" s="121" t="s">
        <v>1207</v>
      </c>
      <c r="F6" s="194" t="s">
        <v>1190</v>
      </c>
      <c r="G6" s="194" t="s">
        <v>932</v>
      </c>
      <c r="H6" s="121" t="s">
        <v>295</v>
      </c>
      <c r="I6" s="121" t="s">
        <v>297</v>
      </c>
      <c r="J6" s="121" t="s">
        <v>2158</v>
      </c>
      <c r="K6" s="121" t="s">
        <v>2158</v>
      </c>
      <c r="L6" s="121" t="s">
        <v>2158</v>
      </c>
      <c r="M6" s="121" t="s">
        <v>2166</v>
      </c>
      <c r="N6" s="121" t="s">
        <v>2160</v>
      </c>
      <c r="O6" s="121" t="s">
        <v>2167</v>
      </c>
      <c r="P6" s="121"/>
      <c r="Q6" s="121"/>
      <c r="R6" s="121"/>
    </row>
    <row r="7" spans="1:18">
      <c r="A7" s="121">
        <v>7</v>
      </c>
      <c r="B7" s="121" t="s">
        <v>1090</v>
      </c>
      <c r="C7" s="121" t="s">
        <v>882</v>
      </c>
      <c r="D7" s="121"/>
      <c r="E7" s="121" t="s">
        <v>1208</v>
      </c>
      <c r="F7" s="194" t="s">
        <v>1190</v>
      </c>
      <c r="G7" s="194" t="s">
        <v>850</v>
      </c>
      <c r="H7" s="121" t="s">
        <v>208</v>
      </c>
      <c r="I7" s="121" t="s">
        <v>210</v>
      </c>
      <c r="J7" s="121" t="s">
        <v>2158</v>
      </c>
      <c r="K7" s="121" t="s">
        <v>2158</v>
      </c>
      <c r="L7" s="121" t="s">
        <v>2158</v>
      </c>
      <c r="M7" s="121" t="s">
        <v>2168</v>
      </c>
      <c r="N7" s="121" t="s">
        <v>2160</v>
      </c>
      <c r="O7" s="121" t="s">
        <v>2169</v>
      </c>
      <c r="P7" s="121"/>
      <c r="Q7" s="121"/>
      <c r="R7" s="121"/>
    </row>
    <row r="8" spans="1:18">
      <c r="A8" s="121">
        <v>8</v>
      </c>
      <c r="B8" s="121"/>
      <c r="C8" s="121"/>
      <c r="D8" s="121"/>
      <c r="E8" s="121"/>
      <c r="F8" s="194"/>
      <c r="G8" s="194"/>
      <c r="H8" s="121" t="s">
        <v>598</v>
      </c>
      <c r="I8" s="121" t="s">
        <v>600</v>
      </c>
      <c r="J8" s="121"/>
      <c r="K8" s="121"/>
      <c r="L8" s="121"/>
      <c r="M8" s="121"/>
      <c r="N8" s="121"/>
      <c r="O8" s="121"/>
      <c r="P8" s="121"/>
      <c r="Q8" s="121"/>
      <c r="R8" s="121"/>
    </row>
    <row r="9" spans="1:18">
      <c r="A9" s="121">
        <v>9</v>
      </c>
      <c r="B9" s="121" t="s">
        <v>1090</v>
      </c>
      <c r="C9" s="121" t="s">
        <v>882</v>
      </c>
      <c r="D9" s="121"/>
      <c r="E9" s="121" t="s">
        <v>1220</v>
      </c>
      <c r="F9" s="194" t="s">
        <v>1190</v>
      </c>
      <c r="G9" s="194" t="s">
        <v>932</v>
      </c>
      <c r="H9" s="121" t="s">
        <v>171</v>
      </c>
      <c r="I9" s="121" t="s">
        <v>173</v>
      </c>
      <c r="J9" s="121" t="s">
        <v>2158</v>
      </c>
      <c r="K9" s="121" t="s">
        <v>2158</v>
      </c>
      <c r="L9" s="121" t="s">
        <v>2158</v>
      </c>
      <c r="M9" s="121" t="s">
        <v>2170</v>
      </c>
      <c r="N9" s="121" t="s">
        <v>2160</v>
      </c>
      <c r="O9" s="121" t="s">
        <v>2171</v>
      </c>
      <c r="P9" s="121"/>
      <c r="Q9" s="121"/>
      <c r="R9" s="121"/>
    </row>
    <row r="10" spans="1:18">
      <c r="A10" s="121">
        <v>10</v>
      </c>
      <c r="B10" s="121" t="s">
        <v>1090</v>
      </c>
      <c r="C10" s="121" t="s">
        <v>882</v>
      </c>
      <c r="D10" s="121"/>
      <c r="E10" s="121" t="s">
        <v>1221</v>
      </c>
      <c r="F10" s="194" t="s">
        <v>1190</v>
      </c>
      <c r="G10" s="121" t="s">
        <v>388</v>
      </c>
      <c r="H10" s="121" t="s">
        <v>384</v>
      </c>
      <c r="I10" s="121" t="s">
        <v>386</v>
      </c>
      <c r="J10" s="121" t="s">
        <v>2158</v>
      </c>
      <c r="K10" s="121" t="s">
        <v>2158</v>
      </c>
      <c r="L10" s="121" t="s">
        <v>2158</v>
      </c>
      <c r="M10" s="121" t="s">
        <v>2172</v>
      </c>
      <c r="N10" s="121" t="s">
        <v>2160</v>
      </c>
      <c r="O10" s="121" t="s">
        <v>2173</v>
      </c>
      <c r="P10" s="121"/>
      <c r="Q10" s="121"/>
      <c r="R10" s="121"/>
    </row>
    <row r="11" spans="1:18">
      <c r="A11" s="121">
        <v>12</v>
      </c>
      <c r="B11" s="121" t="s">
        <v>1090</v>
      </c>
      <c r="C11" s="121" t="s">
        <v>882</v>
      </c>
      <c r="D11" s="121"/>
      <c r="E11" s="121" t="s">
        <v>1225</v>
      </c>
      <c r="F11" s="194" t="s">
        <v>1190</v>
      </c>
      <c r="G11" s="194" t="s">
        <v>2174</v>
      </c>
      <c r="H11" s="121" t="s">
        <v>103</v>
      </c>
      <c r="I11" s="121" t="s">
        <v>105</v>
      </c>
      <c r="J11" s="121" t="s">
        <v>2158</v>
      </c>
      <c r="K11" s="121" t="s">
        <v>2158</v>
      </c>
      <c r="L11" s="121" t="s">
        <v>2158</v>
      </c>
      <c r="M11" s="121" t="s">
        <v>2175</v>
      </c>
      <c r="N11" s="121" t="s">
        <v>2160</v>
      </c>
      <c r="O11" s="121" t="s">
        <v>2176</v>
      </c>
      <c r="P11" s="121"/>
      <c r="Q11" s="121"/>
      <c r="R11" s="121"/>
    </row>
    <row r="12" spans="1:18">
      <c r="A12" s="121">
        <v>13</v>
      </c>
      <c r="B12" s="121" t="s">
        <v>1090</v>
      </c>
      <c r="C12" s="121" t="s">
        <v>882</v>
      </c>
      <c r="D12" s="121">
        <v>465302</v>
      </c>
      <c r="E12" s="121" t="s">
        <v>1226</v>
      </c>
      <c r="F12" s="194" t="s">
        <v>1190</v>
      </c>
      <c r="G12" s="194"/>
      <c r="H12" s="121" t="s">
        <v>661</v>
      </c>
      <c r="I12" s="121" t="s">
        <v>663</v>
      </c>
      <c r="J12" s="121" t="s">
        <v>2158</v>
      </c>
      <c r="K12" s="121" t="s">
        <v>2158</v>
      </c>
      <c r="L12" s="121" t="s">
        <v>2158</v>
      </c>
      <c r="M12" s="121" t="s">
        <v>2177</v>
      </c>
      <c r="N12" s="121" t="s">
        <v>2160</v>
      </c>
      <c r="O12" s="121" t="s">
        <v>2178</v>
      </c>
      <c r="P12" s="121"/>
      <c r="Q12" s="121"/>
      <c r="R12" s="121"/>
    </row>
    <row r="13" spans="1:18">
      <c r="A13" s="121">
        <v>14</v>
      </c>
      <c r="B13" s="121" t="s">
        <v>1090</v>
      </c>
      <c r="C13" s="121" t="s">
        <v>882</v>
      </c>
      <c r="D13" s="121">
        <v>465329</v>
      </c>
      <c r="E13" s="121" t="s">
        <v>1227</v>
      </c>
      <c r="F13" s="194" t="s">
        <v>1190</v>
      </c>
      <c r="G13" s="194"/>
      <c r="H13" s="121" t="s">
        <v>679</v>
      </c>
      <c r="I13" s="121" t="s">
        <v>681</v>
      </c>
      <c r="J13" s="121" t="s">
        <v>2157</v>
      </c>
      <c r="K13" s="121"/>
      <c r="L13" s="121"/>
      <c r="M13" s="121"/>
      <c r="N13" s="121"/>
      <c r="O13" s="121"/>
      <c r="P13" s="121"/>
      <c r="Q13" s="313"/>
      <c r="R13" s="314"/>
    </row>
    <row r="14" spans="1:18">
      <c r="A14" s="121">
        <v>15</v>
      </c>
      <c r="B14" s="121" t="s">
        <v>1090</v>
      </c>
      <c r="C14" s="121" t="s">
        <v>882</v>
      </c>
      <c r="D14" s="121">
        <v>465299</v>
      </c>
      <c r="E14" s="121" t="s">
        <v>1238</v>
      </c>
      <c r="F14" s="194" t="s">
        <v>1190</v>
      </c>
      <c r="G14" s="194" t="s">
        <v>388</v>
      </c>
      <c r="H14" s="121" t="s">
        <v>642</v>
      </c>
      <c r="I14" s="121" t="s">
        <v>644</v>
      </c>
      <c r="J14" s="121" t="s">
        <v>2158</v>
      </c>
      <c r="K14" s="121" t="s">
        <v>2158</v>
      </c>
      <c r="L14" s="121"/>
      <c r="M14" s="197" t="s">
        <v>2179</v>
      </c>
      <c r="N14" s="121" t="s">
        <v>2160</v>
      </c>
      <c r="O14" s="121" t="s">
        <v>2180</v>
      </c>
      <c r="P14" s="121"/>
      <c r="Q14" s="315"/>
      <c r="R14" s="316"/>
    </row>
    <row r="15" spans="1:18">
      <c r="A15" s="121">
        <v>16</v>
      </c>
      <c r="B15" s="121" t="s">
        <v>1090</v>
      </c>
      <c r="C15" s="121" t="s">
        <v>882</v>
      </c>
      <c r="D15" s="121">
        <v>465330</v>
      </c>
      <c r="E15" s="121" t="s">
        <v>1242</v>
      </c>
      <c r="F15" s="194" t="s">
        <v>1190</v>
      </c>
      <c r="G15" s="194" t="s">
        <v>846</v>
      </c>
      <c r="H15" s="121" t="s">
        <v>291</v>
      </c>
      <c r="I15" s="121" t="s">
        <v>292</v>
      </c>
      <c r="J15" s="121" t="s">
        <v>2158</v>
      </c>
      <c r="K15" s="121" t="s">
        <v>2158</v>
      </c>
      <c r="L15" s="121" t="s">
        <v>2158</v>
      </c>
      <c r="M15" s="121" t="s">
        <v>2181</v>
      </c>
      <c r="N15" s="121" t="s">
        <v>0</v>
      </c>
      <c r="O15" s="121" t="s">
        <v>2182</v>
      </c>
      <c r="P15" s="121"/>
      <c r="Q15" s="121"/>
      <c r="R15" s="121"/>
    </row>
    <row r="16" spans="1:18" ht="15.75" customHeight="1">
      <c r="A16" s="121">
        <v>17</v>
      </c>
      <c r="B16" s="121" t="s">
        <v>1090</v>
      </c>
      <c r="C16" s="121" t="s">
        <v>882</v>
      </c>
      <c r="D16" s="121"/>
      <c r="E16" s="121" t="s">
        <v>1243</v>
      </c>
      <c r="F16" s="194" t="s">
        <v>1190</v>
      </c>
      <c r="G16" s="194" t="s">
        <v>1021</v>
      </c>
      <c r="H16" s="121" t="s">
        <v>483</v>
      </c>
      <c r="I16" s="105" t="s">
        <v>2183</v>
      </c>
      <c r="J16" s="121" t="s">
        <v>2158</v>
      </c>
      <c r="K16" s="121" t="s">
        <v>2158</v>
      </c>
      <c r="L16" s="121" t="s">
        <v>2158</v>
      </c>
      <c r="M16" s="121" t="s">
        <v>2184</v>
      </c>
      <c r="N16" s="121" t="s">
        <v>2160</v>
      </c>
      <c r="O16" s="121" t="s">
        <v>2185</v>
      </c>
      <c r="P16" s="121"/>
      <c r="Q16" s="121"/>
      <c r="R16" s="121"/>
    </row>
    <row r="17" spans="1:26">
      <c r="A17" s="121">
        <v>18</v>
      </c>
      <c r="B17" s="121" t="s">
        <v>1090</v>
      </c>
      <c r="C17" s="121" t="s">
        <v>882</v>
      </c>
      <c r="D17" s="121">
        <v>465315</v>
      </c>
      <c r="E17" s="121" t="s">
        <v>1244</v>
      </c>
      <c r="F17" s="194" t="s">
        <v>1190</v>
      </c>
      <c r="G17" s="194" t="s">
        <v>909</v>
      </c>
      <c r="H17" s="121" t="s">
        <v>29</v>
      </c>
      <c r="I17" s="121" t="s">
        <v>31</v>
      </c>
      <c r="J17" s="121" t="s">
        <v>2158</v>
      </c>
      <c r="K17" s="121" t="s">
        <v>2158</v>
      </c>
      <c r="L17" s="121" t="s">
        <v>2158</v>
      </c>
      <c r="M17" s="121" t="s">
        <v>2186</v>
      </c>
      <c r="N17" s="121" t="s">
        <v>0</v>
      </c>
      <c r="O17" s="121"/>
      <c r="P17" s="121"/>
      <c r="Q17" s="121"/>
      <c r="R17" s="121"/>
    </row>
    <row r="18" spans="1:26">
      <c r="A18" s="198">
        <v>19</v>
      </c>
      <c r="B18" s="198" t="s">
        <v>1090</v>
      </c>
      <c r="C18" s="198" t="s">
        <v>882</v>
      </c>
      <c r="D18" s="198">
        <v>465304</v>
      </c>
      <c r="E18" s="198" t="s">
        <v>1267</v>
      </c>
      <c r="F18" s="198" t="s">
        <v>1190</v>
      </c>
      <c r="G18" s="198" t="s">
        <v>921</v>
      </c>
      <c r="H18" s="198" t="s">
        <v>299</v>
      </c>
      <c r="I18" s="198" t="s">
        <v>301</v>
      </c>
      <c r="J18" s="198" t="s">
        <v>2158</v>
      </c>
      <c r="K18" s="198" t="s">
        <v>2158</v>
      </c>
      <c r="L18" s="198" t="s">
        <v>2158</v>
      </c>
      <c r="M18" s="198" t="s">
        <v>2187</v>
      </c>
      <c r="N18" s="198" t="s">
        <v>2160</v>
      </c>
      <c r="O18" s="198"/>
      <c r="P18" s="198"/>
      <c r="Q18" s="198"/>
      <c r="R18" s="198"/>
    </row>
    <row r="19" spans="1:26">
      <c r="A19" s="198">
        <v>20</v>
      </c>
      <c r="B19" s="198" t="s">
        <v>1090</v>
      </c>
      <c r="C19" s="198" t="s">
        <v>882</v>
      </c>
      <c r="D19" s="198">
        <v>465296</v>
      </c>
      <c r="E19" s="198" t="s">
        <v>1252</v>
      </c>
      <c r="F19" s="199" t="s">
        <v>1190</v>
      </c>
      <c r="G19" s="198" t="s">
        <v>829</v>
      </c>
      <c r="H19" s="200" t="s">
        <v>628</v>
      </c>
      <c r="I19" s="200" t="s">
        <v>630</v>
      </c>
      <c r="J19" s="198" t="s">
        <v>2158</v>
      </c>
      <c r="K19" s="198" t="s">
        <v>2158</v>
      </c>
      <c r="L19" s="198" t="s">
        <v>2158</v>
      </c>
      <c r="M19" s="198" t="s">
        <v>2188</v>
      </c>
      <c r="N19" s="198" t="s">
        <v>2160</v>
      </c>
      <c r="O19" s="198" t="s">
        <v>2189</v>
      </c>
      <c r="P19" s="198"/>
      <c r="Q19" s="198"/>
      <c r="R19" s="198"/>
    </row>
    <row r="20" spans="1:26">
      <c r="A20" s="198">
        <v>21</v>
      </c>
      <c r="B20" s="198" t="s">
        <v>1090</v>
      </c>
      <c r="C20" s="198" t="s">
        <v>882</v>
      </c>
      <c r="D20" s="198">
        <v>465295</v>
      </c>
      <c r="E20" s="198" t="s">
        <v>1264</v>
      </c>
      <c r="F20" s="199" t="s">
        <v>1190</v>
      </c>
      <c r="G20" s="198" t="s">
        <v>909</v>
      </c>
      <c r="H20" s="200" t="s">
        <v>1265</v>
      </c>
      <c r="I20" s="198" t="s">
        <v>1680</v>
      </c>
      <c r="J20" s="198" t="s">
        <v>2158</v>
      </c>
      <c r="K20" s="198" t="s">
        <v>2158</v>
      </c>
      <c r="L20" s="198" t="s">
        <v>2158</v>
      </c>
      <c r="M20" s="198" t="s">
        <v>2187</v>
      </c>
      <c r="N20" s="198" t="s">
        <v>2160</v>
      </c>
      <c r="O20" s="198" t="s">
        <v>2190</v>
      </c>
      <c r="P20" s="198"/>
      <c r="Q20" s="198"/>
      <c r="R20" s="198"/>
    </row>
    <row r="21" spans="1:26" ht="15.75" customHeight="1">
      <c r="A21" s="198">
        <v>22</v>
      </c>
      <c r="B21" s="198" t="s">
        <v>1090</v>
      </c>
      <c r="C21" s="198" t="s">
        <v>882</v>
      </c>
      <c r="D21" s="198">
        <v>465310</v>
      </c>
      <c r="E21" s="198" t="s">
        <v>1248</v>
      </c>
      <c r="F21" s="199" t="s">
        <v>1190</v>
      </c>
      <c r="G21" s="198" t="s">
        <v>854</v>
      </c>
      <c r="H21" s="198" t="s">
        <v>417</v>
      </c>
      <c r="I21" s="198" t="s">
        <v>419</v>
      </c>
      <c r="J21" s="198" t="s">
        <v>2158</v>
      </c>
      <c r="K21" s="198" t="s">
        <v>2158</v>
      </c>
      <c r="L21" s="198" t="s">
        <v>2158</v>
      </c>
      <c r="M21" s="201" t="s">
        <v>2191</v>
      </c>
      <c r="N21" s="198" t="s">
        <v>2160</v>
      </c>
      <c r="O21" s="198" t="s">
        <v>2192</v>
      </c>
      <c r="P21" s="202"/>
      <c r="Q21" s="198"/>
      <c r="R21" s="198"/>
    </row>
    <row r="22" spans="1:26" ht="15.75" customHeight="1">
      <c r="A22" s="203">
        <v>23</v>
      </c>
      <c r="B22" s="204" t="s">
        <v>1090</v>
      </c>
      <c r="C22" s="204" t="s">
        <v>882</v>
      </c>
      <c r="D22" s="205">
        <v>465310</v>
      </c>
      <c r="E22" s="204" t="s">
        <v>1248</v>
      </c>
      <c r="F22" s="206" t="s">
        <v>1190</v>
      </c>
      <c r="G22" s="203" t="s">
        <v>850</v>
      </c>
      <c r="H22" s="203" t="s">
        <v>1247</v>
      </c>
      <c r="I22" s="207" t="s">
        <v>2193</v>
      </c>
      <c r="J22" s="203" t="s">
        <v>2158</v>
      </c>
      <c r="K22" s="203" t="s">
        <v>2158</v>
      </c>
      <c r="L22" s="203" t="s">
        <v>2158</v>
      </c>
      <c r="M22" s="203" t="s">
        <v>2194</v>
      </c>
      <c r="N22" s="203" t="s">
        <v>2160</v>
      </c>
      <c r="O22" s="203" t="s">
        <v>2195</v>
      </c>
      <c r="P22" s="203"/>
      <c r="Q22" s="203" t="s">
        <v>2196</v>
      </c>
      <c r="R22" s="203"/>
      <c r="S22" s="208"/>
      <c r="T22" s="208"/>
      <c r="U22" s="208"/>
      <c r="V22" s="208"/>
      <c r="W22" s="208"/>
      <c r="X22" s="208"/>
      <c r="Y22" s="208"/>
      <c r="Z22" s="208"/>
    </row>
    <row r="23" spans="1:26" ht="15.75" customHeight="1">
      <c r="A23" s="142">
        <v>24</v>
      </c>
      <c r="B23" s="51" t="s">
        <v>881</v>
      </c>
      <c r="C23" s="51" t="s">
        <v>882</v>
      </c>
      <c r="D23" s="77"/>
      <c r="E23" s="51" t="s">
        <v>976</v>
      </c>
      <c r="F23" s="90" t="s">
        <v>970</v>
      </c>
      <c r="G23" s="194" t="s">
        <v>790</v>
      </c>
      <c r="H23" s="121" t="s">
        <v>2197</v>
      </c>
      <c r="I23" s="59" t="s">
        <v>358</v>
      </c>
      <c r="J23" s="121" t="s">
        <v>2158</v>
      </c>
      <c r="K23" s="121" t="s">
        <v>2158</v>
      </c>
      <c r="L23" s="121" t="s">
        <v>2158</v>
      </c>
      <c r="M23" s="121" t="s">
        <v>2198</v>
      </c>
      <c r="N23" s="121" t="s">
        <v>2160</v>
      </c>
      <c r="O23" s="121" t="s">
        <v>2199</v>
      </c>
      <c r="P23" s="121"/>
      <c r="Q23" s="121"/>
      <c r="R23" s="121"/>
    </row>
    <row r="24" spans="1:26" ht="15.75" customHeight="1">
      <c r="A24" s="142">
        <v>25</v>
      </c>
      <c r="B24" s="51" t="s">
        <v>881</v>
      </c>
      <c r="C24" s="51" t="s">
        <v>882</v>
      </c>
      <c r="D24" s="77"/>
      <c r="E24" s="65" t="s">
        <v>905</v>
      </c>
      <c r="F24" s="73">
        <v>40931</v>
      </c>
      <c r="G24" s="194" t="s">
        <v>102</v>
      </c>
      <c r="H24" s="121" t="s">
        <v>2200</v>
      </c>
      <c r="I24" s="79" t="s">
        <v>2201</v>
      </c>
      <c r="J24" s="121" t="s">
        <v>2158</v>
      </c>
      <c r="K24" s="121" t="s">
        <v>2158</v>
      </c>
      <c r="L24" s="121" t="s">
        <v>2158</v>
      </c>
      <c r="M24" s="121" t="s">
        <v>2202</v>
      </c>
      <c r="N24" s="121" t="s">
        <v>2160</v>
      </c>
      <c r="O24" s="121" t="s">
        <v>2203</v>
      </c>
      <c r="P24" s="121"/>
      <c r="Q24" s="121"/>
      <c r="R24" s="121"/>
    </row>
    <row r="25" spans="1:26" ht="15.75" customHeight="1">
      <c r="A25" s="142">
        <v>26</v>
      </c>
      <c r="B25" s="16" t="s">
        <v>1090</v>
      </c>
      <c r="C25" s="51" t="s">
        <v>882</v>
      </c>
      <c r="D25" s="38"/>
      <c r="E25" s="38" t="s">
        <v>1092</v>
      </c>
      <c r="F25" s="38"/>
      <c r="G25" s="38"/>
      <c r="H25" s="38" t="s">
        <v>1094</v>
      </c>
      <c r="I25" s="79" t="s">
        <v>2204</v>
      </c>
      <c r="J25" s="121" t="s">
        <v>2158</v>
      </c>
      <c r="K25" s="121" t="s">
        <v>2158</v>
      </c>
      <c r="L25" s="38"/>
      <c r="M25" s="38"/>
      <c r="N25" s="38"/>
      <c r="O25" s="38"/>
      <c r="P25" s="38"/>
      <c r="Q25" s="38"/>
      <c r="R25" s="38"/>
    </row>
    <row r="26" spans="1:26">
      <c r="A26" s="142">
        <v>27</v>
      </c>
      <c r="B26" s="65" t="s">
        <v>1268</v>
      </c>
      <c r="C26" s="51" t="s">
        <v>882</v>
      </c>
      <c r="D26" s="38"/>
      <c r="E26" s="65" t="s">
        <v>1274</v>
      </c>
      <c r="F26" s="38"/>
      <c r="G26" s="51" t="s">
        <v>899</v>
      </c>
      <c r="H26" s="38"/>
      <c r="I26" s="65" t="s">
        <v>63</v>
      </c>
      <c r="J26" s="121" t="s">
        <v>2158</v>
      </c>
      <c r="K26" s="121" t="s">
        <v>2158</v>
      </c>
      <c r="L26" s="38"/>
      <c r="M26" s="38" t="s">
        <v>2205</v>
      </c>
      <c r="N26" s="121" t="s">
        <v>2160</v>
      </c>
      <c r="O26" s="38" t="s">
        <v>2206</v>
      </c>
      <c r="P26" s="38"/>
      <c r="Q26" s="38"/>
      <c r="R26" s="38"/>
    </row>
    <row r="28" spans="1:26">
      <c r="A28" s="40" t="s">
        <v>2207</v>
      </c>
      <c r="B28" s="40" t="s">
        <v>2208</v>
      </c>
      <c r="C28" s="40" t="s">
        <v>882</v>
      </c>
      <c r="E28" s="94" t="s">
        <v>1299</v>
      </c>
      <c r="G28" s="40" t="s">
        <v>909</v>
      </c>
      <c r="H28" s="40" t="s">
        <v>784</v>
      </c>
      <c r="I28" s="108" t="s">
        <v>785</v>
      </c>
      <c r="M28" s="40" t="s">
        <v>2186</v>
      </c>
      <c r="O28" s="40" t="s">
        <v>2209</v>
      </c>
    </row>
  </sheetData>
  <autoFilter ref="A1:Z998" xr:uid="{00000000-0009-0000-0000-000006000000}"/>
  <mergeCells count="1">
    <mergeCell ref="Q13:R14"/>
  </mergeCells>
  <phoneticPr fontId="72" type="noConversion"/>
  <hyperlinks>
    <hyperlink ref="I2" r:id="rId1" xr:uid="{00000000-0004-0000-0600-000000000000}"/>
    <hyperlink ref="I16" r:id="rId2" xr:uid="{00000000-0004-0000-0600-000001000000}"/>
    <hyperlink ref="I22" r:id="rId3" xr:uid="{00000000-0004-0000-0600-000002000000}"/>
    <hyperlink ref="I24" r:id="rId4" xr:uid="{00000000-0004-0000-0600-000003000000}"/>
    <hyperlink ref="I25" r:id="rId5" xr:uid="{00000000-0004-0000-0600-000004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S26"/>
  <sheetViews>
    <sheetView workbookViewId="0"/>
  </sheetViews>
  <sheetFormatPr baseColWidth="10" defaultColWidth="12.6640625" defaultRowHeight="15.75" customHeight="1"/>
  <cols>
    <col min="5" max="5" width="23.5" customWidth="1"/>
    <col min="13" max="13" width="19.6640625" customWidth="1"/>
  </cols>
  <sheetData>
    <row r="1" spans="1:19" ht="15.75" customHeight="1">
      <c r="A1" s="209" t="s">
        <v>2210</v>
      </c>
      <c r="B1" s="209" t="s">
        <v>2211</v>
      </c>
      <c r="C1" s="209" t="s">
        <v>2</v>
      </c>
      <c r="D1" s="68" t="s">
        <v>1</v>
      </c>
      <c r="E1" s="68" t="s">
        <v>3</v>
      </c>
      <c r="F1" s="209" t="s">
        <v>2212</v>
      </c>
      <c r="G1" s="210" t="s">
        <v>6</v>
      </c>
      <c r="H1" s="209" t="s">
        <v>5</v>
      </c>
      <c r="I1" s="209" t="s">
        <v>2213</v>
      </c>
      <c r="J1" s="209" t="s">
        <v>2214</v>
      </c>
      <c r="K1" s="209" t="s">
        <v>2215</v>
      </c>
      <c r="L1" s="209" t="s">
        <v>2216</v>
      </c>
      <c r="M1" s="209" t="s">
        <v>2217</v>
      </c>
      <c r="N1" s="209" t="s">
        <v>2154</v>
      </c>
      <c r="O1" s="71"/>
      <c r="P1" s="71"/>
      <c r="Q1" s="71"/>
      <c r="R1" s="71"/>
      <c r="S1" s="71"/>
    </row>
    <row r="2" spans="1:19" ht="15.75" customHeight="1">
      <c r="A2" s="211">
        <v>0</v>
      </c>
      <c r="B2" s="211">
        <v>0</v>
      </c>
      <c r="C2" s="211"/>
      <c r="D2" s="211" t="s">
        <v>763</v>
      </c>
      <c r="E2" s="79" t="s">
        <v>2218</v>
      </c>
      <c r="F2" s="211" t="s">
        <v>2219</v>
      </c>
      <c r="G2" s="211"/>
      <c r="H2" s="211"/>
      <c r="I2" s="211" t="s">
        <v>889</v>
      </c>
      <c r="J2" s="211" t="s">
        <v>1782</v>
      </c>
      <c r="K2" s="211" t="s">
        <v>28</v>
      </c>
      <c r="L2" s="211" t="s">
        <v>28</v>
      </c>
      <c r="M2" s="211" t="s">
        <v>2759</v>
      </c>
      <c r="N2" s="211"/>
      <c r="O2" s="71"/>
      <c r="P2" s="71"/>
      <c r="Q2" s="71"/>
      <c r="R2" s="71"/>
      <c r="S2" s="71"/>
    </row>
    <row r="3" spans="1:19" ht="15.75" customHeight="1">
      <c r="A3" s="211">
        <v>5</v>
      </c>
      <c r="B3" s="211">
        <v>2</v>
      </c>
      <c r="C3" s="211" t="s">
        <v>2220</v>
      </c>
      <c r="D3" s="211" t="s">
        <v>2221</v>
      </c>
      <c r="E3" s="79" t="s">
        <v>2222</v>
      </c>
      <c r="F3" s="211" t="s">
        <v>2223</v>
      </c>
      <c r="G3" s="211"/>
      <c r="H3" s="211" t="s">
        <v>790</v>
      </c>
      <c r="I3" s="211" t="s">
        <v>963</v>
      </c>
      <c r="J3" s="211" t="s">
        <v>28</v>
      </c>
      <c r="K3" s="211" t="s">
        <v>28</v>
      </c>
      <c r="L3" s="211" t="s">
        <v>28</v>
      </c>
      <c r="M3" s="211" t="s">
        <v>28</v>
      </c>
      <c r="N3" s="211"/>
      <c r="O3" s="71"/>
      <c r="P3" s="71"/>
      <c r="Q3" s="71"/>
      <c r="R3" s="71"/>
      <c r="S3" s="71"/>
    </row>
    <row r="4" spans="1:19" ht="15.75" customHeight="1">
      <c r="A4" s="211">
        <v>5</v>
      </c>
      <c r="B4" s="211">
        <v>7</v>
      </c>
      <c r="C4" s="211" t="s">
        <v>507</v>
      </c>
      <c r="D4" s="211" t="s">
        <v>2224</v>
      </c>
      <c r="E4" s="79" t="s">
        <v>2225</v>
      </c>
      <c r="F4" s="211" t="s">
        <v>2226</v>
      </c>
      <c r="G4" s="211"/>
      <c r="H4" s="211" t="s">
        <v>829</v>
      </c>
      <c r="I4" s="211" t="s">
        <v>1118</v>
      </c>
      <c r="J4" s="211" t="s">
        <v>28</v>
      </c>
      <c r="K4" s="211" t="s">
        <v>28</v>
      </c>
      <c r="L4" s="211" t="s">
        <v>28</v>
      </c>
      <c r="M4" s="211" t="s">
        <v>2759</v>
      </c>
      <c r="N4" s="211"/>
      <c r="O4" s="71"/>
      <c r="P4" s="71"/>
      <c r="Q4" s="71"/>
      <c r="R4" s="71"/>
      <c r="S4" s="71"/>
    </row>
    <row r="5" spans="1:19" ht="15.75" customHeight="1">
      <c r="A5" s="211">
        <v>5</v>
      </c>
      <c r="B5" s="211">
        <v>19</v>
      </c>
      <c r="C5" s="211" t="s">
        <v>2227</v>
      </c>
      <c r="D5" s="211" t="s">
        <v>2228</v>
      </c>
      <c r="E5" s="79" t="s">
        <v>2229</v>
      </c>
      <c r="F5" s="211" t="s">
        <v>2226</v>
      </c>
      <c r="G5" s="211" t="s">
        <v>541</v>
      </c>
      <c r="H5" s="211" t="s">
        <v>790</v>
      </c>
      <c r="I5" s="211" t="s">
        <v>1134</v>
      </c>
      <c r="J5" s="211" t="s">
        <v>2042</v>
      </c>
      <c r="K5" s="211" t="s">
        <v>28</v>
      </c>
      <c r="L5" s="211" t="s">
        <v>28</v>
      </c>
      <c r="M5" s="211" t="s">
        <v>28</v>
      </c>
      <c r="N5" s="211"/>
      <c r="O5" s="71"/>
      <c r="P5" s="71"/>
      <c r="Q5" s="71"/>
      <c r="R5" s="71"/>
      <c r="S5" s="71"/>
    </row>
    <row r="6" spans="1:19" ht="15.75" customHeight="1">
      <c r="A6" s="211">
        <v>5</v>
      </c>
      <c r="B6" s="211">
        <v>26</v>
      </c>
      <c r="C6" s="211" t="s">
        <v>2230</v>
      </c>
      <c r="D6" s="211" t="s">
        <v>2231</v>
      </c>
      <c r="E6" s="79" t="s">
        <v>2232</v>
      </c>
      <c r="F6" s="211" t="s">
        <v>2226</v>
      </c>
      <c r="G6" s="211" t="s">
        <v>1031</v>
      </c>
      <c r="H6" s="211" t="s">
        <v>790</v>
      </c>
      <c r="I6" s="211" t="s">
        <v>1187</v>
      </c>
      <c r="J6" s="211" t="s">
        <v>2054</v>
      </c>
      <c r="K6" s="211" t="s">
        <v>28</v>
      </c>
      <c r="L6" s="211" t="s">
        <v>28</v>
      </c>
      <c r="M6" s="211" t="s">
        <v>28</v>
      </c>
      <c r="N6" s="211"/>
      <c r="O6" s="71"/>
      <c r="P6" s="71"/>
      <c r="Q6" s="71"/>
      <c r="R6" s="71"/>
      <c r="S6" s="71"/>
    </row>
    <row r="7" spans="1:19" ht="15.75" customHeight="1">
      <c r="A7" s="211">
        <v>6</v>
      </c>
      <c r="B7" s="211">
        <v>2</v>
      </c>
      <c r="C7" s="211" t="s">
        <v>2233</v>
      </c>
      <c r="D7" s="211" t="s">
        <v>2234</v>
      </c>
      <c r="E7" s="79" t="s">
        <v>2235</v>
      </c>
      <c r="F7" s="211" t="s">
        <v>2236</v>
      </c>
      <c r="G7" s="211" t="s">
        <v>541</v>
      </c>
      <c r="H7" s="212" t="s">
        <v>833</v>
      </c>
      <c r="I7" s="211" t="s">
        <v>1165</v>
      </c>
      <c r="J7" s="211" t="s">
        <v>28</v>
      </c>
      <c r="K7" s="211" t="s">
        <v>2117</v>
      </c>
      <c r="L7" s="211" t="s">
        <v>28</v>
      </c>
      <c r="M7" s="211" t="s">
        <v>28</v>
      </c>
      <c r="N7" s="211"/>
      <c r="O7" s="71"/>
      <c r="P7" s="71"/>
      <c r="Q7" s="71"/>
      <c r="R7" s="71"/>
      <c r="S7" s="71"/>
    </row>
    <row r="8" spans="1:19" ht="15.75" customHeight="1">
      <c r="A8" s="211">
        <v>6</v>
      </c>
      <c r="B8" s="211">
        <v>30</v>
      </c>
      <c r="C8" s="211" t="s">
        <v>827</v>
      </c>
      <c r="D8" s="211" t="s">
        <v>826</v>
      </c>
      <c r="E8" s="134" t="s">
        <v>2237</v>
      </c>
      <c r="F8" s="211" t="s">
        <v>2238</v>
      </c>
      <c r="G8" s="213"/>
      <c r="H8" s="211" t="s">
        <v>829</v>
      </c>
      <c r="I8" s="211" t="s">
        <v>1169</v>
      </c>
      <c r="J8" s="211" t="s">
        <v>28</v>
      </c>
      <c r="K8" s="211" t="s">
        <v>28</v>
      </c>
      <c r="L8" s="211" t="s">
        <v>28</v>
      </c>
      <c r="M8" s="211" t="s">
        <v>28</v>
      </c>
      <c r="N8" s="211"/>
      <c r="O8" s="71"/>
      <c r="P8" s="71"/>
      <c r="Q8" s="71"/>
      <c r="R8" s="71"/>
      <c r="S8" s="71"/>
    </row>
    <row r="9" spans="1:19" ht="15.75" customHeight="1">
      <c r="A9" s="211">
        <v>7</v>
      </c>
      <c r="B9" s="211">
        <v>7</v>
      </c>
      <c r="C9" s="211" t="s">
        <v>839</v>
      </c>
      <c r="D9" s="211" t="s">
        <v>841</v>
      </c>
      <c r="E9" s="134" t="s">
        <v>2239</v>
      </c>
      <c r="F9" s="211" t="s">
        <v>2240</v>
      </c>
      <c r="G9" s="213"/>
      <c r="H9" s="211" t="s">
        <v>540</v>
      </c>
      <c r="I9" s="213" t="s">
        <v>2074</v>
      </c>
      <c r="J9" s="211" t="s">
        <v>28</v>
      </c>
      <c r="K9" s="211" t="s">
        <v>28</v>
      </c>
      <c r="L9" s="211" t="s">
        <v>28</v>
      </c>
      <c r="M9" s="211" t="s">
        <v>28</v>
      </c>
      <c r="N9" s="211"/>
      <c r="O9" s="71"/>
      <c r="P9" s="71"/>
      <c r="Q9" s="71"/>
      <c r="R9" s="71"/>
      <c r="S9" s="71"/>
    </row>
    <row r="10" spans="1:19" ht="15.75" customHeight="1">
      <c r="A10" s="211">
        <v>7</v>
      </c>
      <c r="B10" s="211">
        <v>28</v>
      </c>
      <c r="C10" s="211" t="s">
        <v>831</v>
      </c>
      <c r="D10" s="211" t="s">
        <v>1205</v>
      </c>
      <c r="E10" s="162" t="s">
        <v>832</v>
      </c>
      <c r="F10" s="211" t="s">
        <v>2226</v>
      </c>
      <c r="G10" s="213"/>
      <c r="H10" s="212" t="s">
        <v>833</v>
      </c>
      <c r="I10" s="211" t="s">
        <v>1204</v>
      </c>
      <c r="J10" s="211" t="s">
        <v>28</v>
      </c>
      <c r="K10" s="211" t="s">
        <v>28</v>
      </c>
      <c r="L10" s="211" t="s">
        <v>28</v>
      </c>
      <c r="M10" s="211" t="s">
        <v>2759</v>
      </c>
      <c r="N10" s="211"/>
      <c r="O10" s="71"/>
      <c r="P10" s="71"/>
      <c r="Q10" s="71"/>
      <c r="R10" s="71"/>
      <c r="S10" s="71"/>
    </row>
    <row r="11" spans="1:19" ht="15.75" customHeight="1">
      <c r="A11" s="214">
        <v>8</v>
      </c>
      <c r="B11" s="215">
        <v>4</v>
      </c>
      <c r="C11" s="215" t="s">
        <v>835</v>
      </c>
      <c r="D11" s="215" t="s">
        <v>1254</v>
      </c>
      <c r="E11" s="216" t="s">
        <v>836</v>
      </c>
      <c r="F11" s="214" t="s">
        <v>2226</v>
      </c>
      <c r="G11" s="215" t="s">
        <v>1031</v>
      </c>
      <c r="H11" s="215" t="s">
        <v>790</v>
      </c>
      <c r="I11" s="215" t="s">
        <v>1253</v>
      </c>
      <c r="J11" s="215" t="s">
        <v>1985</v>
      </c>
      <c r="K11" s="215" t="s">
        <v>28</v>
      </c>
      <c r="L11" s="215" t="s">
        <v>28</v>
      </c>
      <c r="M11" s="215" t="s">
        <v>28</v>
      </c>
      <c r="N11" s="215"/>
      <c r="O11" s="71"/>
      <c r="P11" s="71"/>
      <c r="Q11" s="71"/>
      <c r="R11" s="71"/>
      <c r="S11" s="71"/>
    </row>
    <row r="12" spans="1:19" ht="15.75" customHeight="1">
      <c r="A12" s="211">
        <v>8</v>
      </c>
      <c r="B12" s="211">
        <v>11</v>
      </c>
      <c r="C12" s="211" t="s">
        <v>839</v>
      </c>
      <c r="D12" s="211" t="s">
        <v>838</v>
      </c>
      <c r="E12" s="134" t="s">
        <v>2241</v>
      </c>
      <c r="F12" s="215" t="s">
        <v>2226</v>
      </c>
      <c r="G12" s="213"/>
      <c r="H12" s="211" t="s">
        <v>833</v>
      </c>
      <c r="I12" s="215" t="s">
        <v>1222</v>
      </c>
      <c r="J12" s="215" t="s">
        <v>28</v>
      </c>
      <c r="K12" s="215" t="s">
        <v>28</v>
      </c>
      <c r="L12" s="215" t="s">
        <v>28</v>
      </c>
      <c r="M12" s="215" t="s">
        <v>2759</v>
      </c>
      <c r="N12" s="211"/>
      <c r="O12" s="71"/>
      <c r="P12" s="71"/>
      <c r="Q12" s="71"/>
      <c r="R12" s="71"/>
      <c r="S12" s="71"/>
    </row>
    <row r="13" spans="1:19" ht="15.75" customHeight="1">
      <c r="A13" s="59">
        <v>9</v>
      </c>
      <c r="B13" s="59">
        <v>1</v>
      </c>
      <c r="C13" s="59" t="s">
        <v>844</v>
      </c>
      <c r="D13" s="59" t="s">
        <v>843</v>
      </c>
      <c r="E13" s="134" t="s">
        <v>2242</v>
      </c>
      <c r="F13" s="59" t="s">
        <v>2226</v>
      </c>
      <c r="G13" s="72"/>
      <c r="H13" s="59" t="s">
        <v>846</v>
      </c>
      <c r="I13" s="217" t="s">
        <v>1250</v>
      </c>
      <c r="J13" s="217" t="s">
        <v>28</v>
      </c>
      <c r="K13" s="217" t="s">
        <v>28</v>
      </c>
      <c r="L13" s="217" t="s">
        <v>28</v>
      </c>
      <c r="M13" s="217" t="s">
        <v>2759</v>
      </c>
      <c r="N13" s="59" t="s">
        <v>2243</v>
      </c>
      <c r="O13" s="71"/>
      <c r="P13" s="71"/>
      <c r="Q13" s="71"/>
      <c r="R13" s="71"/>
      <c r="S13" s="71"/>
    </row>
    <row r="14" spans="1:19" ht="15.75" customHeight="1">
      <c r="A14" s="59">
        <v>9</v>
      </c>
      <c r="B14" s="59">
        <v>1</v>
      </c>
      <c r="C14" s="59" t="s">
        <v>848</v>
      </c>
      <c r="D14" s="59" t="s">
        <v>847</v>
      </c>
      <c r="E14" s="162" t="s">
        <v>849</v>
      </c>
      <c r="F14" s="59" t="s">
        <v>1025</v>
      </c>
      <c r="G14" s="72"/>
      <c r="H14" s="59" t="s">
        <v>850</v>
      </c>
      <c r="I14" s="217" t="s">
        <v>918</v>
      </c>
      <c r="J14" s="217" t="s">
        <v>28</v>
      </c>
      <c r="K14" s="217" t="s">
        <v>28</v>
      </c>
      <c r="L14" s="217" t="s">
        <v>28</v>
      </c>
      <c r="M14" s="217" t="s">
        <v>28</v>
      </c>
      <c r="N14" s="59" t="s">
        <v>2244</v>
      </c>
      <c r="O14" s="71"/>
      <c r="P14" s="71"/>
      <c r="Q14" s="71"/>
      <c r="R14" s="71"/>
      <c r="S14" s="71"/>
    </row>
    <row r="15" spans="1:19" ht="15.75" customHeight="1">
      <c r="A15" s="59">
        <v>9</v>
      </c>
      <c r="B15" s="59">
        <v>1</v>
      </c>
      <c r="C15" s="59" t="s">
        <v>852</v>
      </c>
      <c r="D15" s="59" t="s">
        <v>851</v>
      </c>
      <c r="E15" s="134" t="s">
        <v>2245</v>
      </c>
      <c r="F15" s="59" t="s">
        <v>1025</v>
      </c>
      <c r="G15" s="72"/>
      <c r="H15" s="59" t="s">
        <v>854</v>
      </c>
      <c r="I15" s="217" t="s">
        <v>1064</v>
      </c>
      <c r="J15" s="217" t="s">
        <v>28</v>
      </c>
      <c r="K15" s="217" t="s">
        <v>28</v>
      </c>
      <c r="L15" s="217" t="s">
        <v>28</v>
      </c>
      <c r="M15" s="217" t="s">
        <v>28</v>
      </c>
      <c r="N15" s="59" t="s">
        <v>2246</v>
      </c>
      <c r="O15" s="71"/>
      <c r="P15" s="71"/>
      <c r="Q15" s="71"/>
      <c r="R15" s="71"/>
      <c r="S15" s="71"/>
    </row>
    <row r="16" spans="1:19" ht="15.75" customHeight="1">
      <c r="A16" s="59">
        <v>9</v>
      </c>
      <c r="B16" s="59">
        <v>1</v>
      </c>
      <c r="C16" s="59" t="s">
        <v>856</v>
      </c>
      <c r="D16" s="59" t="s">
        <v>855</v>
      </c>
      <c r="E16" s="134" t="s">
        <v>2247</v>
      </c>
      <c r="F16" s="59" t="s">
        <v>1025</v>
      </c>
      <c r="G16" s="72"/>
      <c r="H16" s="59" t="s">
        <v>309</v>
      </c>
      <c r="I16" s="217" t="s">
        <v>1023</v>
      </c>
      <c r="J16" s="217" t="s">
        <v>28</v>
      </c>
      <c r="K16" s="217" t="s">
        <v>28</v>
      </c>
      <c r="L16" s="217" t="s">
        <v>28</v>
      </c>
      <c r="M16" s="217" t="s">
        <v>28</v>
      </c>
      <c r="N16" s="59" t="s">
        <v>2248</v>
      </c>
      <c r="O16" s="71"/>
      <c r="P16" s="71"/>
      <c r="Q16" s="71"/>
      <c r="R16" s="71"/>
      <c r="S16" s="71"/>
    </row>
    <row r="17" spans="1:19" ht="15.75" customHeight="1">
      <c r="A17" s="59">
        <v>10</v>
      </c>
      <c r="B17" s="59">
        <v>13</v>
      </c>
      <c r="C17" s="59" t="s">
        <v>861</v>
      </c>
      <c r="D17" s="59" t="s">
        <v>2249</v>
      </c>
      <c r="E17" s="59" t="s">
        <v>862</v>
      </c>
      <c r="F17" s="59" t="s">
        <v>2226</v>
      </c>
      <c r="G17" s="59" t="s">
        <v>1031</v>
      </c>
      <c r="H17" s="59" t="s">
        <v>977</v>
      </c>
      <c r="I17" s="217" t="s">
        <v>1023</v>
      </c>
      <c r="J17" s="217" t="s">
        <v>28</v>
      </c>
      <c r="K17" s="59"/>
      <c r="L17" s="59"/>
      <c r="M17" s="59"/>
      <c r="N17" s="59"/>
      <c r="O17" s="71"/>
      <c r="P17" s="71"/>
      <c r="Q17" s="71"/>
      <c r="R17" s="71"/>
      <c r="S17" s="71"/>
    </row>
    <row r="18" spans="1:19" ht="15.75" customHeight="1">
      <c r="A18" s="59">
        <v>10</v>
      </c>
      <c r="B18" s="59">
        <v>26</v>
      </c>
      <c r="C18" s="59" t="s">
        <v>848</v>
      </c>
      <c r="D18" s="59" t="s">
        <v>847</v>
      </c>
      <c r="E18" s="162" t="s">
        <v>849</v>
      </c>
      <c r="F18" s="59" t="s">
        <v>2226</v>
      </c>
      <c r="G18" s="59" t="s">
        <v>541</v>
      </c>
      <c r="H18" s="59" t="s">
        <v>850</v>
      </c>
      <c r="I18" s="217" t="s">
        <v>918</v>
      </c>
      <c r="J18" s="142" t="s">
        <v>1785</v>
      </c>
      <c r="K18" s="217" t="s">
        <v>28</v>
      </c>
      <c r="L18" s="217" t="s">
        <v>28</v>
      </c>
      <c r="M18" s="217" t="s">
        <v>28</v>
      </c>
      <c r="N18" s="59" t="s">
        <v>2244</v>
      </c>
      <c r="O18" s="71"/>
      <c r="P18" s="71"/>
      <c r="Q18" s="71"/>
      <c r="R18" s="71"/>
      <c r="S18" s="71"/>
    </row>
    <row r="19" spans="1:19" ht="15.75" customHeight="1">
      <c r="A19" s="59">
        <v>11</v>
      </c>
      <c r="B19" s="59">
        <v>3</v>
      </c>
      <c r="C19" s="59" t="s">
        <v>872</v>
      </c>
      <c r="D19" s="59" t="s">
        <v>871</v>
      </c>
      <c r="E19" s="59" t="s">
        <v>873</v>
      </c>
      <c r="F19" s="59" t="s">
        <v>2250</v>
      </c>
      <c r="G19" s="59"/>
      <c r="H19" s="59" t="s">
        <v>309</v>
      </c>
      <c r="I19" s="65" t="s">
        <v>1161</v>
      </c>
      <c r="J19" s="59"/>
      <c r="K19" s="59"/>
      <c r="L19" s="59"/>
      <c r="M19" s="59"/>
      <c r="N19" s="59"/>
      <c r="O19" s="71"/>
      <c r="P19" s="71"/>
      <c r="Q19" s="71"/>
      <c r="R19" s="71"/>
      <c r="S19" s="71"/>
    </row>
    <row r="20" spans="1:19" ht="15.75" customHeight="1">
      <c r="A20" s="59">
        <v>11</v>
      </c>
      <c r="B20" s="59">
        <v>10</v>
      </c>
      <c r="C20" s="59" t="s">
        <v>2251</v>
      </c>
      <c r="D20" s="59" t="s">
        <v>1231</v>
      </c>
      <c r="E20" s="59" t="s">
        <v>1232</v>
      </c>
      <c r="F20" s="59" t="s">
        <v>2250</v>
      </c>
      <c r="G20" s="59"/>
      <c r="H20" s="59" t="s">
        <v>1021</v>
      </c>
      <c r="I20" s="59"/>
      <c r="J20" s="59"/>
      <c r="K20" s="59"/>
      <c r="L20" s="59"/>
      <c r="M20" s="59"/>
      <c r="N20" s="59"/>
      <c r="O20" s="71"/>
      <c r="P20" s="71"/>
      <c r="Q20" s="71"/>
      <c r="R20" s="71"/>
      <c r="S20" s="71"/>
    </row>
    <row r="21" spans="1:19" ht="15.75" customHeight="1">
      <c r="A21" s="59">
        <v>11</v>
      </c>
      <c r="B21" s="59">
        <v>26</v>
      </c>
      <c r="C21" s="59" t="s">
        <v>2252</v>
      </c>
      <c r="D21" s="59" t="s">
        <v>2253</v>
      </c>
      <c r="E21" s="59" t="s">
        <v>2254</v>
      </c>
      <c r="F21" s="59" t="s">
        <v>2250</v>
      </c>
      <c r="G21" s="59"/>
      <c r="H21" s="59" t="s">
        <v>932</v>
      </c>
      <c r="I21" s="59"/>
      <c r="J21" s="59"/>
      <c r="K21" s="59"/>
      <c r="L21" s="59"/>
      <c r="M21" s="59"/>
      <c r="N21" s="59"/>
      <c r="O21" s="71"/>
      <c r="P21" s="71"/>
      <c r="Q21" s="71"/>
      <c r="R21" s="71"/>
      <c r="S21" s="71"/>
    </row>
    <row r="22" spans="1:19" ht="15.75" customHeight="1">
      <c r="A22" s="71"/>
      <c r="B22" s="71"/>
      <c r="C22" s="71"/>
      <c r="D22" s="87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</row>
    <row r="23" spans="1:19" ht="15.75" customHeight="1">
      <c r="A23" s="71"/>
      <c r="B23" s="71"/>
      <c r="C23" s="71"/>
      <c r="D23" s="87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</row>
    <row r="24" spans="1:19" ht="15.75" customHeight="1">
      <c r="A24" s="71"/>
      <c r="B24" s="71"/>
      <c r="C24" s="71"/>
      <c r="D24" s="87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</row>
    <row r="25" spans="1:19" ht="15.75" customHeight="1">
      <c r="A25" s="71"/>
      <c r="B25" s="71"/>
      <c r="C25" s="71"/>
      <c r="D25" s="87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</row>
    <row r="26" spans="1:19" ht="15.75" customHeight="1">
      <c r="A26" s="71"/>
      <c r="B26" s="71"/>
      <c r="C26" s="71"/>
      <c r="D26" s="87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</row>
  </sheetData>
  <phoneticPr fontId="72" type="noConversion"/>
  <hyperlinks>
    <hyperlink ref="E2" r:id="rId1" xr:uid="{00000000-0004-0000-0700-000000000000}"/>
    <hyperlink ref="E3" r:id="rId2" xr:uid="{00000000-0004-0000-0700-000001000000}"/>
    <hyperlink ref="E4" r:id="rId3" xr:uid="{00000000-0004-0000-0700-000002000000}"/>
    <hyperlink ref="E5" r:id="rId4" xr:uid="{00000000-0004-0000-0700-000003000000}"/>
    <hyperlink ref="E6" r:id="rId5" xr:uid="{00000000-0004-0000-0700-000004000000}"/>
    <hyperlink ref="E7" r:id="rId6" xr:uid="{00000000-0004-0000-0700-000005000000}"/>
    <hyperlink ref="E8" r:id="rId7" xr:uid="{00000000-0004-0000-0700-000006000000}"/>
    <hyperlink ref="E9" r:id="rId8" xr:uid="{00000000-0004-0000-0700-000007000000}"/>
    <hyperlink ref="E10" r:id="rId9" xr:uid="{00000000-0004-0000-0700-000008000000}"/>
    <hyperlink ref="E11" r:id="rId10" xr:uid="{00000000-0004-0000-0700-000009000000}"/>
    <hyperlink ref="E12" r:id="rId11" xr:uid="{00000000-0004-0000-0700-00000A000000}"/>
    <hyperlink ref="E13" r:id="rId12" xr:uid="{00000000-0004-0000-0700-00000B000000}"/>
    <hyperlink ref="E14" r:id="rId13" xr:uid="{00000000-0004-0000-0700-00000C000000}"/>
    <hyperlink ref="E15" r:id="rId14" xr:uid="{00000000-0004-0000-0700-00000D000000}"/>
    <hyperlink ref="E16" r:id="rId15" xr:uid="{00000000-0004-0000-0700-00000E000000}"/>
    <hyperlink ref="E18" r:id="rId16" xr:uid="{00000000-0004-0000-0700-00000F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59"/>
  <sheetViews>
    <sheetView workbookViewId="0"/>
  </sheetViews>
  <sheetFormatPr baseColWidth="10" defaultColWidth="12.6640625" defaultRowHeight="15.75" customHeight="1"/>
  <cols>
    <col min="1" max="1" width="2.5" customWidth="1"/>
    <col min="2" max="2" width="10.5" customWidth="1"/>
    <col min="3" max="3" width="19.5" customWidth="1"/>
    <col min="4" max="4" width="16" customWidth="1"/>
  </cols>
  <sheetData>
    <row r="1" spans="1:8">
      <c r="A1" s="218"/>
      <c r="B1" s="218" t="s">
        <v>2255</v>
      </c>
      <c r="C1" s="219" t="s">
        <v>3</v>
      </c>
      <c r="D1" s="218" t="s">
        <v>2256</v>
      </c>
      <c r="H1" s="220" t="s">
        <v>2257</v>
      </c>
    </row>
    <row r="2" spans="1:8">
      <c r="A2" s="218">
        <v>1</v>
      </c>
      <c r="B2" s="218" t="s">
        <v>633</v>
      </c>
      <c r="C2" s="221" t="s">
        <v>635</v>
      </c>
      <c r="D2" s="218" t="s">
        <v>2258</v>
      </c>
      <c r="E2" s="40" t="s">
        <v>28</v>
      </c>
      <c r="F2" s="40">
        <f t="array" ref="F2">IFERROR(INDEX(All_User!R:R,MATCH(C2,All_User!D:D,0)),"퇴사자아님")</f>
        <v>0</v>
      </c>
      <c r="H2" s="222" t="s">
        <v>850</v>
      </c>
    </row>
    <row r="3" spans="1:8">
      <c r="A3" s="218">
        <v>2</v>
      </c>
      <c r="B3" s="218" t="s">
        <v>598</v>
      </c>
      <c r="C3" s="221" t="s">
        <v>600</v>
      </c>
      <c r="D3" s="218" t="s">
        <v>2258</v>
      </c>
      <c r="E3" s="40" t="s">
        <v>28</v>
      </c>
      <c r="F3" s="40">
        <f t="array" ref="F3">IFERROR(INDEX(All_User!R:R,MATCH(C3,All_User!D:D,0)),"퇴사자아님")</f>
        <v>0</v>
      </c>
      <c r="H3" s="222" t="s">
        <v>833</v>
      </c>
    </row>
    <row r="4" spans="1:8">
      <c r="A4" s="218">
        <v>3</v>
      </c>
      <c r="B4" s="218" t="s">
        <v>679</v>
      </c>
      <c r="C4" s="221" t="s">
        <v>681</v>
      </c>
      <c r="D4" s="218" t="s">
        <v>2258</v>
      </c>
      <c r="E4" s="40" t="s">
        <v>28</v>
      </c>
      <c r="F4" s="40">
        <f t="array" ref="F4">IFERROR(INDEX(All_User!R:R,MATCH(C4,All_User!D:D,0)),"퇴사자아님")</f>
        <v>0</v>
      </c>
      <c r="H4" s="222" t="s">
        <v>850</v>
      </c>
    </row>
    <row r="5" spans="1:8">
      <c r="A5" s="218">
        <v>4</v>
      </c>
      <c r="B5" s="218" t="s">
        <v>603</v>
      </c>
      <c r="C5" s="221" t="s">
        <v>605</v>
      </c>
      <c r="D5" s="218" t="s">
        <v>2258</v>
      </c>
      <c r="E5" s="40" t="s">
        <v>28</v>
      </c>
      <c r="F5" s="40">
        <f t="array" ref="F5">IFERROR(INDEX(All_User!R:R,MATCH(C5,All_User!D:D,0)),"퇴사자아님")</f>
        <v>0</v>
      </c>
      <c r="H5" s="65" t="s">
        <v>309</v>
      </c>
    </row>
    <row r="6" spans="1:8">
      <c r="A6" s="218">
        <v>5</v>
      </c>
      <c r="B6" s="218" t="s">
        <v>147</v>
      </c>
      <c r="C6" s="221" t="s">
        <v>149</v>
      </c>
      <c r="D6" s="218" t="s">
        <v>2258</v>
      </c>
      <c r="E6" s="40" t="s">
        <v>28</v>
      </c>
      <c r="F6" s="40">
        <f t="array" ref="F6">IFERROR(INDEX(All_User!R:R,MATCH(C6,All_User!D:D,0)),"퇴사자아님")</f>
        <v>0</v>
      </c>
      <c r="H6" s="65" t="s">
        <v>932</v>
      </c>
    </row>
    <row r="7" spans="1:8">
      <c r="A7" s="218">
        <v>6</v>
      </c>
      <c r="B7" s="218" t="s">
        <v>486</v>
      </c>
      <c r="C7" s="221" t="s">
        <v>488</v>
      </c>
      <c r="D7" s="218" t="s">
        <v>2259</v>
      </c>
      <c r="E7" s="40" t="s">
        <v>28</v>
      </c>
      <c r="F7" s="40">
        <f t="array" ref="F7">IFERROR(INDEX(All_User!R:R,MATCH(C7,All_User!D:D,0)),"퇴사자아님")</f>
        <v>0</v>
      </c>
      <c r="H7" s="65" t="s">
        <v>540</v>
      </c>
    </row>
    <row r="8" spans="1:8">
      <c r="A8" s="218">
        <v>7</v>
      </c>
      <c r="B8" s="218" t="s">
        <v>547</v>
      </c>
      <c r="C8" s="221" t="s">
        <v>549</v>
      </c>
      <c r="D8" s="218" t="s">
        <v>2259</v>
      </c>
      <c r="E8" s="40" t="s">
        <v>28</v>
      </c>
      <c r="F8" s="40">
        <f t="array" ref="F8">IFERROR(INDEX(All_User!R:R,MATCH(C8,All_User!D:D,0)),"퇴사자아님")</f>
        <v>0</v>
      </c>
      <c r="H8" s="65" t="s">
        <v>932</v>
      </c>
    </row>
    <row r="9" spans="1:8">
      <c r="A9" s="218">
        <v>8</v>
      </c>
      <c r="B9" s="218" t="s">
        <v>182</v>
      </c>
      <c r="C9" s="221" t="s">
        <v>184</v>
      </c>
      <c r="D9" s="218" t="s">
        <v>2259</v>
      </c>
      <c r="E9" s="40" t="s">
        <v>28</v>
      </c>
      <c r="F9" s="40">
        <f t="array" ref="F9">IFERROR(INDEX(All_User!R:R,MATCH(C9,All_User!D:D,0)),"퇴사자아님")</f>
        <v>0</v>
      </c>
      <c r="H9" s="65" t="s">
        <v>850</v>
      </c>
    </row>
    <row r="10" spans="1:8">
      <c r="A10" s="218">
        <v>9</v>
      </c>
      <c r="B10" s="218" t="s">
        <v>490</v>
      </c>
      <c r="C10" s="221" t="s">
        <v>492</v>
      </c>
      <c r="D10" s="218" t="s">
        <v>2259</v>
      </c>
      <c r="E10" s="40" t="s">
        <v>28</v>
      </c>
      <c r="F10" s="40">
        <f t="array" ref="F10">IFERROR(INDEX(All_User!R:R,MATCH(C10,All_User!D:D,0)),"퇴사자아님")</f>
        <v>0</v>
      </c>
      <c r="H10" s="65" t="s">
        <v>1062</v>
      </c>
    </row>
    <row r="11" spans="1:8">
      <c r="A11" s="218">
        <v>10</v>
      </c>
      <c r="B11" s="218" t="s">
        <v>112</v>
      </c>
      <c r="C11" s="221" t="s">
        <v>114</v>
      </c>
      <c r="D11" s="218" t="s">
        <v>2259</v>
      </c>
      <c r="E11" s="40" t="s">
        <v>28</v>
      </c>
      <c r="F11" s="40">
        <f t="array" ref="F11">IFERROR(INDEX(All_User!R:R,MATCH(C11,All_User!D:D,0)),"퇴사자아님")</f>
        <v>0</v>
      </c>
      <c r="H11" s="65" t="s">
        <v>790</v>
      </c>
    </row>
    <row r="12" spans="1:8">
      <c r="A12" s="218">
        <v>11</v>
      </c>
      <c r="B12" s="218" t="s">
        <v>228</v>
      </c>
      <c r="C12" s="221" t="s">
        <v>230</v>
      </c>
      <c r="D12" s="218" t="s">
        <v>2259</v>
      </c>
      <c r="E12" s="40" t="s">
        <v>28</v>
      </c>
      <c r="F12" s="40">
        <f t="array" ref="F12">IFERROR(INDEX(All_User!R:R,MATCH(C12,All_User!D:D,0)),"퇴사자아님")</f>
        <v>0</v>
      </c>
      <c r="H12" s="65" t="s">
        <v>850</v>
      </c>
    </row>
    <row r="13" spans="1:8">
      <c r="A13" s="218">
        <v>12</v>
      </c>
      <c r="B13" s="218" t="s">
        <v>414</v>
      </c>
      <c r="C13" s="221" t="s">
        <v>416</v>
      </c>
      <c r="D13" s="218" t="s">
        <v>2259</v>
      </c>
      <c r="E13" s="40" t="s">
        <v>28</v>
      </c>
      <c r="F13" s="40">
        <f t="array" ref="F13">IFERROR(INDEX(All_User!R:R,MATCH(C13,All_User!D:D,0)),"퇴사자아님")</f>
        <v>0</v>
      </c>
      <c r="H13" s="65" t="s">
        <v>833</v>
      </c>
    </row>
    <row r="14" spans="1:8">
      <c r="A14" s="218">
        <v>13</v>
      </c>
      <c r="B14" s="218" t="s">
        <v>151</v>
      </c>
      <c r="C14" s="221" t="s">
        <v>153</v>
      </c>
      <c r="D14" s="218" t="s">
        <v>2259</v>
      </c>
      <c r="E14" s="40" t="s">
        <v>28</v>
      </c>
      <c r="F14" s="40">
        <f t="array" ref="F14">IFERROR(INDEX(All_User!R:R,MATCH(C14,All_User!D:D,0)),"퇴사자아님")</f>
        <v>0</v>
      </c>
      <c r="H14" s="65" t="s">
        <v>850</v>
      </c>
    </row>
    <row r="15" spans="1:8">
      <c r="A15" s="218">
        <v>14</v>
      </c>
      <c r="B15" s="218" t="s">
        <v>518</v>
      </c>
      <c r="C15" s="221" t="s">
        <v>520</v>
      </c>
      <c r="D15" s="218" t="s">
        <v>2259</v>
      </c>
      <c r="E15" s="40" t="s">
        <v>28</v>
      </c>
      <c r="F15" s="40">
        <f t="array" ref="F15">IFERROR(INDEX(All_User!R:R,MATCH(C15,All_User!D:D,0)),"퇴사자아님")</f>
        <v>0</v>
      </c>
      <c r="H15" s="65" t="s">
        <v>884</v>
      </c>
    </row>
    <row r="16" spans="1:8">
      <c r="A16" s="218">
        <v>15</v>
      </c>
      <c r="B16" s="218" t="s">
        <v>231</v>
      </c>
      <c r="C16" s="221" t="s">
        <v>233</v>
      </c>
      <c r="D16" s="218" t="s">
        <v>2259</v>
      </c>
      <c r="E16" s="40" t="s">
        <v>28</v>
      </c>
      <c r="F16" s="40">
        <f t="array" ref="F16">IFERROR(INDEX(All_User!R:R,MATCH(C16,All_User!D:D,0)),"퇴사자아님")</f>
        <v>0</v>
      </c>
      <c r="H16" s="65" t="s">
        <v>833</v>
      </c>
    </row>
    <row r="17" spans="1:8" ht="15.75" customHeight="1">
      <c r="A17" s="218">
        <v>16</v>
      </c>
      <c r="B17" s="219" t="s">
        <v>16</v>
      </c>
      <c r="C17" s="223" t="s">
        <v>18</v>
      </c>
      <c r="D17" s="219" t="s">
        <v>2260</v>
      </c>
      <c r="E17" s="40" t="s">
        <v>28</v>
      </c>
      <c r="F17" s="40">
        <f t="array" ref="F17">IFERROR(INDEX(All_User!R:R,MATCH(C17,All_User!D:D,0)),"퇴사자아님")</f>
        <v>0</v>
      </c>
      <c r="H17" s="38"/>
    </row>
    <row r="18" spans="1:8" ht="15.75" customHeight="1">
      <c r="A18" s="218">
        <v>17</v>
      </c>
      <c r="B18" s="219" t="s">
        <v>88</v>
      </c>
      <c r="C18" s="224" t="s">
        <v>90</v>
      </c>
      <c r="D18" s="219" t="s">
        <v>2260</v>
      </c>
      <c r="E18" s="40" t="s">
        <v>28</v>
      </c>
      <c r="F18" s="40">
        <f t="array" ref="F18">IFERROR(INDEX(All_User!R:R,MATCH(C18,All_User!D:D,0)),"퇴사자아님")</f>
        <v>0</v>
      </c>
      <c r="H18" s="38"/>
    </row>
    <row r="19" spans="1:8" ht="15.75" customHeight="1">
      <c r="A19" s="218">
        <v>18</v>
      </c>
      <c r="B19" s="219" t="s">
        <v>116</v>
      </c>
      <c r="C19" s="224" t="s">
        <v>117</v>
      </c>
      <c r="D19" s="219" t="s">
        <v>2260</v>
      </c>
      <c r="E19" s="40" t="s">
        <v>28</v>
      </c>
      <c r="F19" s="40">
        <f t="array" ref="F19">IFERROR(INDEX(All_User!R:R,MATCH(C19,All_User!D:D,0)),"퇴사자아님")</f>
        <v>0</v>
      </c>
      <c r="H19" s="38"/>
    </row>
    <row r="20" spans="1:8" ht="15.75" customHeight="1">
      <c r="A20" s="218">
        <v>19</v>
      </c>
      <c r="B20" s="219" t="s">
        <v>194</v>
      </c>
      <c r="C20" s="224" t="s">
        <v>196</v>
      </c>
      <c r="D20" s="219" t="s">
        <v>2260</v>
      </c>
      <c r="E20" s="40" t="s">
        <v>28</v>
      </c>
      <c r="F20" s="40">
        <f t="array" ref="F20">IFERROR(INDEX(All_User!R:R,MATCH(C20,All_User!D:D,0)),"퇴사자아님")</f>
        <v>0</v>
      </c>
      <c r="H20" s="38"/>
    </row>
    <row r="21" spans="1:8" ht="15.75" customHeight="1">
      <c r="A21" s="218">
        <v>20</v>
      </c>
      <c r="B21" s="219" t="s">
        <v>400</v>
      </c>
      <c r="C21" s="224" t="s">
        <v>402</v>
      </c>
      <c r="D21" s="219" t="s">
        <v>2260</v>
      </c>
      <c r="E21" s="40" t="s">
        <v>28</v>
      </c>
      <c r="F21" s="40">
        <f t="array" ref="F21">IFERROR(INDEX(All_User!R:R,MATCH(C21,All_User!D:D,0)),"퇴사자아님")</f>
        <v>0</v>
      </c>
      <c r="H21" s="38"/>
    </row>
    <row r="22" spans="1:8" ht="15.75" customHeight="1">
      <c r="A22" s="218">
        <v>21</v>
      </c>
      <c r="B22" s="219" t="s">
        <v>404</v>
      </c>
      <c r="C22" s="224" t="s">
        <v>406</v>
      </c>
      <c r="D22" s="219" t="s">
        <v>2260</v>
      </c>
      <c r="E22" s="40" t="s">
        <v>28</v>
      </c>
      <c r="F22" s="40">
        <f t="array" ref="F22">IFERROR(INDEX(All_User!R:R,MATCH(C22,All_User!D:D,0)),"퇴사자아님")</f>
        <v>0</v>
      </c>
      <c r="H22" s="38"/>
    </row>
    <row r="23" spans="1:8" ht="15.75" customHeight="1">
      <c r="A23" s="218">
        <v>22</v>
      </c>
      <c r="B23" s="219" t="s">
        <v>449</v>
      </c>
      <c r="C23" s="224" t="s">
        <v>451</v>
      </c>
      <c r="D23" s="219" t="s">
        <v>2260</v>
      </c>
      <c r="E23" s="40" t="s">
        <v>28</v>
      </c>
      <c r="F23" s="40">
        <f t="array" ref="F23">IFERROR(INDEX(All_User!R:R,MATCH(C23,All_User!D:D,0)),"퇴사자아님")</f>
        <v>0</v>
      </c>
      <c r="H23" s="38"/>
    </row>
    <row r="24" spans="1:8" ht="15.75" customHeight="1">
      <c r="A24" s="218">
        <v>23</v>
      </c>
      <c r="B24" s="219" t="s">
        <v>513</v>
      </c>
      <c r="C24" s="224" t="s">
        <v>515</v>
      </c>
      <c r="D24" s="219" t="s">
        <v>2260</v>
      </c>
      <c r="E24" s="40" t="s">
        <v>28</v>
      </c>
      <c r="F24" s="40">
        <f t="array" ref="F24">IFERROR(INDEX(All_User!R:R,MATCH(C24,All_User!D:D,0)),"퇴사자아님")</f>
        <v>0</v>
      </c>
      <c r="H24" s="38"/>
    </row>
    <row r="25" spans="1:8" ht="15.75" customHeight="1">
      <c r="A25" s="218">
        <v>24</v>
      </c>
      <c r="B25" s="219" t="s">
        <v>556</v>
      </c>
      <c r="C25" s="224" t="s">
        <v>558</v>
      </c>
      <c r="D25" s="219" t="s">
        <v>2260</v>
      </c>
      <c r="E25" s="40" t="s">
        <v>28</v>
      </c>
      <c r="F25" s="40">
        <f t="array" ref="F25">IFERROR(INDEX(All_User!R:R,MATCH(C25,All_User!D:D,0)),"퇴사자아님")</f>
        <v>0</v>
      </c>
      <c r="H25" s="38"/>
    </row>
    <row r="26" spans="1:8" ht="15.75" customHeight="1">
      <c r="A26" s="218">
        <v>25</v>
      </c>
      <c r="B26" s="219" t="s">
        <v>590</v>
      </c>
      <c r="C26" s="224" t="s">
        <v>592</v>
      </c>
      <c r="D26" s="219" t="s">
        <v>2260</v>
      </c>
      <c r="E26" s="40" t="s">
        <v>28</v>
      </c>
      <c r="F26" s="40">
        <f t="array" ref="F26">IFERROR(INDEX(All_User!R:R,MATCH(C26,All_User!D:D,0)),"퇴사자아님")</f>
        <v>0</v>
      </c>
      <c r="H26" s="38"/>
    </row>
    <row r="27" spans="1:8" ht="15.75" customHeight="1">
      <c r="A27" s="218">
        <v>26</v>
      </c>
      <c r="B27" s="219" t="s">
        <v>608</v>
      </c>
      <c r="C27" s="224" t="s">
        <v>610</v>
      </c>
      <c r="D27" s="219" t="s">
        <v>2260</v>
      </c>
      <c r="E27" s="40" t="s">
        <v>28</v>
      </c>
      <c r="F27" s="40">
        <f t="array" ref="F27">IFERROR(INDEX(All_User!R:R,MATCH(C27,All_User!D:D,0)),"퇴사자아님")</f>
        <v>0</v>
      </c>
      <c r="H27" s="38"/>
    </row>
    <row r="28" spans="1:8" ht="15.75" customHeight="1">
      <c r="A28" s="218">
        <v>27</v>
      </c>
      <c r="B28" s="219" t="s">
        <v>653</v>
      </c>
      <c r="C28" s="224" t="s">
        <v>655</v>
      </c>
      <c r="D28" s="219" t="s">
        <v>2260</v>
      </c>
      <c r="E28" s="40" t="s">
        <v>28</v>
      </c>
      <c r="F28" s="40">
        <f t="array" ref="F28">IFERROR(INDEX(All_User!R:R,MATCH(C28,All_User!D:D,0)),"퇴사자아님")</f>
        <v>0</v>
      </c>
      <c r="H28" s="38"/>
    </row>
    <row r="29" spans="1:8" ht="15.75" customHeight="1">
      <c r="A29" s="218">
        <v>28</v>
      </c>
      <c r="B29" s="219" t="s">
        <v>690</v>
      </c>
      <c r="C29" s="224" t="s">
        <v>692</v>
      </c>
      <c r="D29" s="219" t="s">
        <v>2260</v>
      </c>
      <c r="E29" s="40" t="s">
        <v>28</v>
      </c>
      <c r="F29" s="40">
        <f t="array" ref="F29">IFERROR(INDEX(All_User!R:R,MATCH(C29,All_User!D:D,0)),"퇴사자아님")</f>
        <v>0</v>
      </c>
      <c r="H29" s="38"/>
    </row>
    <row r="30" spans="1:8" ht="15.75" customHeight="1">
      <c r="A30" s="218">
        <v>29</v>
      </c>
      <c r="B30" s="219" t="s">
        <v>758</v>
      </c>
      <c r="C30" s="224" t="s">
        <v>760</v>
      </c>
      <c r="D30" s="219" t="s">
        <v>2260</v>
      </c>
      <c r="E30" s="40" t="s">
        <v>28</v>
      </c>
      <c r="F30" s="40">
        <f t="array" ref="F30">IFERROR(INDEX(All_User!R:R,MATCH(C30,All_User!D:D,0)),"퇴사자아님")</f>
        <v>0</v>
      </c>
      <c r="H30" s="38"/>
    </row>
    <row r="31" spans="1:8">
      <c r="A31" s="218">
        <v>30</v>
      </c>
      <c r="B31" s="225" t="s">
        <v>2261</v>
      </c>
      <c r="C31" s="221" t="s">
        <v>2262</v>
      </c>
      <c r="D31" s="218" t="s">
        <v>2263</v>
      </c>
      <c r="E31" s="40" t="str">
        <f t="array" ref="E31">IFERROR(INDEX(All_User!H:H,MATCH(C31,All_User!D:D,0)),"all_user에 없음")</f>
        <v>all_user에 없음</v>
      </c>
      <c r="H31" s="65" t="s">
        <v>884</v>
      </c>
    </row>
    <row r="33" spans="2:4">
      <c r="B33" s="226" t="s">
        <v>715</v>
      </c>
      <c r="C33" s="40" t="str">
        <f t="array" ref="C33">IFERROR(INDEX(All_User!D:D,MATCH(B33,All_User!B:B,0)),"없음")</f>
        <v>owen.yang@stryker.com</v>
      </c>
      <c r="D33" s="40" t="str">
        <f t="array" ref="D33">IFERROR(INDEX(All_User!H:H,MATCH(C33,All_User!D:D,0)),"없음")</f>
        <v>5CD442C07J</v>
      </c>
    </row>
    <row r="34" spans="2:4">
      <c r="B34" s="226" t="s">
        <v>670</v>
      </c>
      <c r="C34" s="40" t="str">
        <f t="array" ref="C34">IFERROR(INDEX(All_User!D:D,MATCH(B34,All_User!B:B,0)),"없음")</f>
        <v>Simon.sin@stryker.com</v>
      </c>
      <c r="D34" s="40" t="str">
        <f t="array" ref="D34">IFERROR(INDEX(All_User!H:H,MATCH(C34,All_User!D:D,0)),"없음")</f>
        <v>5CD5179KH9</v>
      </c>
    </row>
    <row r="35" spans="2:4">
      <c r="B35" s="227" t="s">
        <v>340</v>
      </c>
      <c r="C35" s="40" t="str">
        <f t="array" ref="C35">IFERROR(INDEX(All_User!D:D,MATCH(B35,All_User!B:B,0)),"없음")</f>
        <v>jackson.kim@stryker.com</v>
      </c>
      <c r="D35" s="40" t="str">
        <f t="array" ref="D35">IFERROR(INDEX(All_User!H:H,MATCH(C35,All_User!D:D,0)),"없음")</f>
        <v>5CD5179KJ1</v>
      </c>
    </row>
    <row r="36" spans="2:4">
      <c r="B36" s="226" t="s">
        <v>345</v>
      </c>
      <c r="C36" s="40" t="str">
        <f t="array" ref="C36">IFERROR(INDEX(All_User!D:D,MATCH(B36,All_User!B:B,0)),"없음")</f>
        <v>genie.kim@stryker.com</v>
      </c>
      <c r="D36" s="40" t="str">
        <f t="array" ref="D36">IFERROR(INDEX(All_User!H:H,MATCH(C36,All_User!D:D,0)),"없음")</f>
        <v>5CD5179KHX</v>
      </c>
    </row>
    <row r="37" spans="2:4">
      <c r="B37" s="226" t="s">
        <v>93</v>
      </c>
      <c r="C37" s="40" t="str">
        <f t="array" ref="C37">IFERROR(INDEX(All_User!D:D,MATCH(B37,All_User!B:B,0)),"없음")</f>
        <v>Willy.Chang@stryker.com</v>
      </c>
      <c r="D37" s="40" t="str">
        <f t="array" ref="D37">IFERROR(INDEX(All_User!H:H,MATCH(C37,All_User!D:D,0)),"없음")</f>
        <v>5CD5179KHY</v>
      </c>
    </row>
    <row r="38" spans="2:4">
      <c r="B38" s="226" t="s">
        <v>159</v>
      </c>
      <c r="C38" s="40" t="str">
        <f t="array" ref="C38">IFERROR(INDEX(All_User!D:D,MATCH(B38,All_User!B:B,0)),"없음")</f>
        <v>alice.han@stryker.com</v>
      </c>
      <c r="D38" s="40" t="str">
        <f t="array" ref="D38">IFERROR(INDEX(All_User!H:H,MATCH(C38,All_User!D:D,0)),"없음")</f>
        <v>5CD5179KHR</v>
      </c>
    </row>
    <row r="39" spans="2:4">
      <c r="B39" s="226" t="s">
        <v>711</v>
      </c>
      <c r="C39" s="40" t="str">
        <f t="array" ref="C39">IFERROR(INDEX(All_User!D:D,MATCH(B39,All_User!B:B,0)),"없음")</f>
        <v>David.Yang@stryker.com</v>
      </c>
      <c r="D39" s="40" t="str">
        <f t="array" ref="D39">IFERROR(INDEX(All_User!H:H,MATCH(C39,All_User!D:D,0)),"없음")</f>
        <v>5CD5179KJ3</v>
      </c>
    </row>
    <row r="40" spans="2:4">
      <c r="B40" s="226" t="s">
        <v>349</v>
      </c>
      <c r="C40" s="40" t="str">
        <f t="array" ref="C40">IFERROR(INDEX(All_User!D:D,MATCH(B40,All_User!B:B,0)),"없음")</f>
        <v>jason.kim1@stryker.com</v>
      </c>
      <c r="D40" s="40" t="str">
        <f t="array" ref="D40">IFERROR(INDEX(All_User!H:H,MATCH(C40,All_User!D:D,0)),"없음")</f>
        <v>5CD5062YDG</v>
      </c>
    </row>
    <row r="41" spans="2:4">
      <c r="B41" s="226" t="s">
        <v>561</v>
      </c>
      <c r="C41" s="40" t="str">
        <f t="array" ref="C41">IFERROR(INDEX(All_User!D:D,MATCH(B41,All_User!B:B,0)),"없음")</f>
        <v>tyler.park@stryker.com</v>
      </c>
      <c r="D41" s="40" t="str">
        <f t="array" ref="D41">IFERROR(INDEX(All_User!H:H,MATCH(C41,All_User!D:D,0)),"없음")</f>
        <v>5CD5179KHL</v>
      </c>
    </row>
    <row r="42" spans="2:4">
      <c r="B42" s="226" t="s">
        <v>737</v>
      </c>
      <c r="C42" s="40" t="str">
        <f t="array" ref="C42">IFERROR(INDEX(All_User!D:D,MATCH(B42,All_User!B:B,0)),"없음")</f>
        <v>jiho.yoo@stryker.com</v>
      </c>
      <c r="D42" s="40" t="str">
        <f t="array" ref="D42">IFERROR(INDEX(All_User!H:H,MATCH(C42,All_User!D:D,0)),"없음")</f>
        <v>5CD5179KH6</v>
      </c>
    </row>
    <row r="43" spans="2:4">
      <c r="B43" s="226" t="s">
        <v>390</v>
      </c>
      <c r="C43" s="40" t="str">
        <f t="array" ref="C43">IFERROR(INDEX(All_User!D:D,MATCH(B43,All_User!B:B,0)),"없음")</f>
        <v>hailey.kim@stryker.com</v>
      </c>
      <c r="D43" s="40" t="str">
        <f t="array" ref="D43">IFERROR(INDEX(All_User!H:H,MATCH(C43,All_User!D:D,0)),"없음")</f>
        <v>5CD442C07B</v>
      </c>
    </row>
    <row r="44" spans="2:4">
      <c r="B44" s="226" t="s">
        <v>570</v>
      </c>
      <c r="C44" s="40" t="str">
        <f t="array" ref="C44">IFERROR(INDEX(All_User!D:D,MATCH(B44,All_User!B:B,0)),"없음")</f>
        <v>jinny.park@stryker.com</v>
      </c>
      <c r="D44" s="40" t="str">
        <f t="array" ref="D44">IFERROR(INDEX(All_User!H:H,MATCH(C44,All_User!D:D,0)),"없음")</f>
        <v>5CD5062YDX</v>
      </c>
    </row>
    <row r="45" spans="2:4">
      <c r="B45" s="226" t="s">
        <v>693</v>
      </c>
      <c r="C45" s="40" t="str">
        <f t="array" ref="C45">IFERROR(INDEX(All_User!D:D,MATCH(B45,All_User!B:B,0)),"없음")</f>
        <v>jayden.song@stryker.com</v>
      </c>
      <c r="D45" s="40" t="str">
        <f t="array" ref="D45">IFERROR(INDEX(All_User!H:H,MATCH(C45,All_User!D:D,0)),"없음")</f>
        <v>5CD4232BFS</v>
      </c>
    </row>
    <row r="46" spans="2:4">
      <c r="B46" s="226" t="s">
        <v>295</v>
      </c>
      <c r="C46" s="40" t="str">
        <f t="array" ref="C46">IFERROR(INDEX(All_User!D:D,MATCH(B46,All_User!B:B,0)),"없음")</f>
        <v>louis.kang@stryker.com</v>
      </c>
      <c r="D46" s="40" t="str">
        <f t="array" ref="D46">IFERROR(INDEX(All_User!H:H,MATCH(C46,All_User!D:D,0)),"없음")</f>
        <v>5CD5179KHH</v>
      </c>
    </row>
    <row r="47" spans="2:4">
      <c r="B47" s="226" t="s">
        <v>208</v>
      </c>
      <c r="C47" s="40" t="str">
        <f t="array" ref="C47">IFERROR(INDEX(All_User!D:D,MATCH(B47,All_User!B:B,0)),"없음")</f>
        <v>young.hwang@stryker.com</v>
      </c>
      <c r="D47" s="40" t="str">
        <f t="array" ref="D47">IFERROR(INDEX(All_User!H:H,MATCH(C47,All_User!D:D,0)),"없음")</f>
        <v>5CD5179KHZ</v>
      </c>
    </row>
    <row r="48" spans="2:4">
      <c r="B48" s="226" t="s">
        <v>841</v>
      </c>
      <c r="C48" s="40" t="str">
        <f t="array" ref="C48">IFERROR(INDEX(All_User!D:D,MATCH(B48,All_User!B:B,0)),"없음")</f>
        <v>kmultiuser@stryker.com</v>
      </c>
      <c r="D48" s="40" t="str">
        <f t="array" ref="D48">IFERROR(INDEX(All_User!H:H,MATCH(C48,All_User!D:D,0)),"없음")</f>
        <v>5CD409908N</v>
      </c>
    </row>
    <row r="49" spans="2:4">
      <c r="B49" s="226" t="s">
        <v>171</v>
      </c>
      <c r="C49" s="40" t="str">
        <f t="array" ref="C49">IFERROR(INDEX(All_User!D:D,MATCH(B49,All_User!B:B,0)),"없음")</f>
        <v>jason.han@stryker.com</v>
      </c>
      <c r="D49" s="40" t="str">
        <f t="array" ref="D49">IFERROR(INDEX(All_User!H:H,MATCH(C49,All_User!D:D,0)),"없음")</f>
        <v>5CD5179KGZ</v>
      </c>
    </row>
    <row r="50" spans="2:4" ht="15">
      <c r="B50" s="226" t="s">
        <v>384</v>
      </c>
      <c r="C50" s="40" t="str">
        <f t="array" ref="C50">IFERROR(INDEX(All_User!D:D,MATCH(B50,All_User!B:B,0)),"없음")</f>
        <v>soyoun.kim@stryker.com</v>
      </c>
      <c r="D50" s="40" t="str">
        <f t="array" ref="D50">IFERROR(INDEX(All_User!H:H,MATCH(C50,All_User!D:D,0)),"없음")</f>
        <v>5CD5179KH1</v>
      </c>
    </row>
    <row r="51" spans="2:4" ht="15">
      <c r="B51" s="226" t="s">
        <v>574</v>
      </c>
      <c r="C51" s="40" t="str">
        <f t="array" ref="C51">IFERROR(INDEX(All_User!D:D,MATCH(B51,All_User!B:B,0)),"없음")</f>
        <v>james.park@stryker.com</v>
      </c>
      <c r="D51" s="40" t="str">
        <f t="array" ref="D51">IFERROR(INDEX(All_User!H:H,MATCH(C51,All_User!D:D,0)),"없음")</f>
        <v>5CD4145N3T</v>
      </c>
    </row>
    <row r="52" spans="2:4" ht="15">
      <c r="B52" s="226" t="s">
        <v>103</v>
      </c>
      <c r="C52" s="40" t="str">
        <f t="array" ref="C52">IFERROR(INDEX(All_User!D:D,MATCH(B52,All_User!B:B,0)),"없음")</f>
        <v>martin.cho@stryker.com</v>
      </c>
      <c r="D52" s="40" t="str">
        <f t="array" ref="D52">IFERROR(INDEX(All_User!H:H,MATCH(C52,All_User!D:D,0)),"없음")</f>
        <v>5CD5179KHG</v>
      </c>
    </row>
    <row r="53" spans="2:4" ht="15">
      <c r="B53" s="226" t="s">
        <v>661</v>
      </c>
      <c r="C53" s="40" t="str">
        <f t="array" ref="C53">IFERROR(INDEX(All_User!D:D,MATCH(B53,All_User!B:B,0)),"없음")</f>
        <v>dana.shin@stryker.com</v>
      </c>
      <c r="D53" s="40" t="str">
        <f t="array" ref="D53">IFERROR(INDEX(All_User!H:H,MATCH(C53,All_User!D:D,0)),"없음")</f>
        <v>5CD5179KHC</v>
      </c>
    </row>
    <row r="54" spans="2:4" ht="15">
      <c r="B54" s="226" t="s">
        <v>642</v>
      </c>
      <c r="C54" s="40" t="str">
        <f t="array" ref="C54">IFERROR(INDEX(All_User!D:D,MATCH(B54,All_User!B:B,0)),"없음")</f>
        <v>jaehee.seo@stryker.com</v>
      </c>
      <c r="D54" s="40" t="str">
        <f t="array" ref="D54">IFERROR(INDEX(All_User!H:H,MATCH(C54,All_User!D:D,0)),"없음")</f>
        <v>5CD5179KH0</v>
      </c>
    </row>
    <row r="55" spans="2:4" ht="15">
      <c r="B55" s="226" t="s">
        <v>2264</v>
      </c>
      <c r="C55" s="40" t="s">
        <v>191</v>
      </c>
      <c r="D55" s="40" t="str">
        <f t="array" ref="D55">IFERROR(INDEX(All_User!H:H,MATCH(C55,All_User!D:D,0)),"없음")</f>
        <v>5CD4305D8H</v>
      </c>
    </row>
    <row r="56" spans="2:4" ht="15">
      <c r="B56" s="226" t="s">
        <v>291</v>
      </c>
      <c r="C56" s="40" t="str">
        <f t="array" ref="C56">IFERROR(INDEX(All_User!D:D,MATCH(B56,All_User!B:B,0)),"없음")</f>
        <v>James.Kang@stryker.com</v>
      </c>
      <c r="D56" s="40" t="str">
        <f t="array" ref="D56">IFERROR(INDEX(All_User!H:H,MATCH(C56,All_User!D:D,0)),"없음")</f>
        <v>5CD5179KJ2</v>
      </c>
    </row>
    <row r="57" spans="2:4" ht="15">
      <c r="B57" s="226" t="s">
        <v>321</v>
      </c>
      <c r="C57" s="40" t="str">
        <f t="array" ref="C57">IFERROR(INDEX(All_User!D:D,MATCH(B57,All_User!B:B,0)),"없음")</f>
        <v>Rayna.Kim@stryker.com</v>
      </c>
      <c r="D57" s="40" t="str">
        <f t="array" ref="D57">IFERROR(INDEX(All_User!H:H,MATCH(C57,All_User!D:D,0)),"없음")</f>
        <v>5CD5179KJB</v>
      </c>
    </row>
    <row r="58" spans="2:4" ht="15">
      <c r="B58" s="226" t="s">
        <v>483</v>
      </c>
      <c r="C58" s="40" t="str">
        <f t="array" ref="C58">IFERROR(INDEX(All_User!D:D,MATCH(B58,All_User!B:B,0)),"없음")</f>
        <v>henry.lee@stryker.com</v>
      </c>
      <c r="D58" s="40" t="str">
        <f t="array" ref="D58">IFERROR(INDEX(All_User!H:H,MATCH(C58,All_User!D:D,0)),"없음")</f>
        <v>5CD5179KH2</v>
      </c>
    </row>
    <row r="59" spans="2:4" ht="15">
      <c r="B59" s="226" t="s">
        <v>29</v>
      </c>
      <c r="C59" s="40" t="str">
        <f t="array" ref="C59">IFERROR(INDEX(All_User!D:D,MATCH(B59,All_User!B:B,0)),"없음")</f>
        <v>andrew.ahn@stryker.com</v>
      </c>
      <c r="D59" s="40" t="str">
        <f t="array" ref="D59">IFERROR(INDEX(All_User!H:H,MATCH(C59,All_User!D:D,0)),"없음")</f>
        <v>5CD5179KJ6</v>
      </c>
    </row>
  </sheetData>
  <autoFilter ref="B1:Z977" xr:uid="{00000000-0009-0000-0000-000008000000}"/>
  <phoneticPr fontId="72" type="noConversion"/>
  <conditionalFormatting sqref="B1:B977">
    <cfRule type="expression" dxfId="2" priority="2">
      <formula>"countif(B:B,b:b)&gt;1"</formula>
    </cfRule>
  </conditionalFormatting>
  <conditionalFormatting sqref="C1:C32 C60:C977">
    <cfRule type="expression" dxfId="1" priority="1">
      <formula>COUNTIF(C:C,C:C)&gt;1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J999"/>
  <sheetViews>
    <sheetView workbookViewId="0"/>
  </sheetViews>
  <sheetFormatPr baseColWidth="10" defaultColWidth="12.6640625" defaultRowHeight="15.75" customHeight="1"/>
  <cols>
    <col min="2" max="2" width="23.6640625" customWidth="1"/>
    <col min="3" max="3" width="22.6640625" customWidth="1"/>
    <col min="6" max="6" width="49.5" customWidth="1"/>
    <col min="10" max="10" width="22.6640625" customWidth="1"/>
  </cols>
  <sheetData>
    <row r="1" spans="1:10" ht="15.75" customHeight="1">
      <c r="A1" s="228" t="s">
        <v>2265</v>
      </c>
      <c r="B1" s="228" t="s">
        <v>2266</v>
      </c>
      <c r="C1" s="228" t="s">
        <v>3</v>
      </c>
      <c r="D1" s="228" t="s">
        <v>5</v>
      </c>
      <c r="E1" s="228" t="s">
        <v>2267</v>
      </c>
      <c r="F1" s="228" t="s">
        <v>2268</v>
      </c>
      <c r="G1" s="229" t="s">
        <v>2269</v>
      </c>
      <c r="H1" s="229" t="s">
        <v>2270</v>
      </c>
      <c r="I1" s="175" t="s">
        <v>2271</v>
      </c>
    </row>
    <row r="2" spans="1:10" ht="15.75" customHeight="1">
      <c r="A2" s="230">
        <v>1478259</v>
      </c>
      <c r="B2" s="230" t="s">
        <v>2272</v>
      </c>
      <c r="C2" s="230" t="s">
        <v>95</v>
      </c>
      <c r="D2" s="230" t="s">
        <v>790</v>
      </c>
      <c r="E2" s="230" t="s">
        <v>541</v>
      </c>
      <c r="F2" s="230" t="s">
        <v>87</v>
      </c>
      <c r="G2" s="25" t="str">
        <f t="array" ref="G2">IFERROR(INDEX(Printer!D:D,MATCH(C2,Printer!H:H,0)),"list 없음")</f>
        <v>SL-C565FW</v>
      </c>
      <c r="H2" s="25" t="str">
        <f t="array" ref="H2">IFERROR(INDEX(Ipad_List!C:C,MATCH(C2,Ipad_List!J:J,0)),"없음")</f>
        <v>Q4VMC2579N</v>
      </c>
      <c r="I2" s="175" t="s">
        <v>2273</v>
      </c>
      <c r="J2" s="40" t="str">
        <f t="array" ref="J2">IFERROR(INDEX(All_User!D:D,MATCH(C2,All_User!D:D,0)),"list없음")</f>
        <v>Willy.Chang@stryker.com</v>
      </c>
    </row>
    <row r="3" spans="1:10" ht="15.75" customHeight="1">
      <c r="A3" s="230">
        <v>1496493</v>
      </c>
      <c r="B3" s="230" t="s">
        <v>2274</v>
      </c>
      <c r="C3" s="230" t="s">
        <v>713</v>
      </c>
      <c r="D3" s="230" t="s">
        <v>790</v>
      </c>
      <c r="E3" s="230" t="s">
        <v>541</v>
      </c>
      <c r="F3" s="230" t="s">
        <v>87</v>
      </c>
      <c r="G3" s="25" t="str">
        <f t="array" ref="G3">IFERROR(INDEX(Printer!D:D,MATCH(C3,Printer!H:H,0)),"list 없음")</f>
        <v>SL-C483FW</v>
      </c>
      <c r="H3" s="25" t="str">
        <f t="array" ref="H3">IFERROR(INDEX(Ipad_List!C:C,MATCH(C3,Ipad_List!J:J,0)),"없음")</f>
        <v>T32JYKMQQF</v>
      </c>
      <c r="I3" s="175" t="s">
        <v>2273</v>
      </c>
      <c r="J3" s="40" t="str">
        <f t="array" ref="J3">IFERROR(INDEX(All_User!D:D,MATCH(C3,All_User!D:D,0)),"list없음")</f>
        <v>David.Yang@stryker.com</v>
      </c>
    </row>
    <row r="4" spans="1:10" ht="15.75" customHeight="1">
      <c r="A4" s="230">
        <v>2483496</v>
      </c>
      <c r="B4" s="230" t="s">
        <v>2275</v>
      </c>
      <c r="C4" s="230" t="s">
        <v>681</v>
      </c>
      <c r="D4" s="230" t="s">
        <v>850</v>
      </c>
      <c r="E4" s="230" t="s">
        <v>850</v>
      </c>
      <c r="F4" s="230" t="s">
        <v>682</v>
      </c>
      <c r="G4" s="25" t="str">
        <f t="array" ref="G4">IFERROR(INDEX(Printer!D:D,MATCH(C4,Printer!H:H,0)),"list 없음")</f>
        <v>list 없음</v>
      </c>
      <c r="H4" s="25" t="str">
        <f t="array" ref="H4">IFERROR(INDEX(Ipad_List!C:C,MATCH(C4,Ipad_List!J:J,0)),"없음")</f>
        <v>C2QFHGVW92</v>
      </c>
      <c r="I4" s="175" t="s">
        <v>2273</v>
      </c>
      <c r="J4" s="40" t="str">
        <f t="array" ref="J4">IFERROR(INDEX(All_User!D:D,MATCH(C4,All_User!D:D,0)),"list없음")</f>
        <v>mina.song@stryker.com</v>
      </c>
    </row>
    <row r="5" spans="1:10" ht="15.75" customHeight="1">
      <c r="A5" s="230">
        <v>2483498</v>
      </c>
      <c r="B5" s="230" t="s">
        <v>2276</v>
      </c>
      <c r="C5" s="230" t="s">
        <v>18</v>
      </c>
      <c r="D5" s="230" t="s">
        <v>850</v>
      </c>
      <c r="E5" s="230" t="s">
        <v>850</v>
      </c>
      <c r="F5" s="230" t="s">
        <v>19</v>
      </c>
      <c r="G5" s="25" t="str">
        <f t="array" ref="G5">IFERROR(INDEX(Printer!D:D,MATCH(C5,Printer!H:H,0)),"list 없음")</f>
        <v>SL-C563W</v>
      </c>
      <c r="H5" s="25" t="str">
        <f t="array" ref="H5">IFERROR(INDEX(Ipad_List!C:C,MATCH(C5,Ipad_List!J:J,0)),"없음")</f>
        <v>QWG7C19T9N</v>
      </c>
      <c r="I5" s="175" t="s">
        <v>2273</v>
      </c>
      <c r="J5" s="40" t="str">
        <f t="array" ref="J5">IFERROR(INDEX(All_User!D:D,MATCH(C5,All_User!D:D,0)),"list없음")</f>
        <v>dj.ahn@stryker.com</v>
      </c>
    </row>
    <row r="6" spans="1:10" ht="15.75" customHeight="1">
      <c r="A6" s="230">
        <v>2636418</v>
      </c>
      <c r="B6" s="230" t="s">
        <v>2277</v>
      </c>
      <c r="C6" s="230" t="s">
        <v>145</v>
      </c>
      <c r="D6" s="230" t="s">
        <v>1021</v>
      </c>
      <c r="E6" s="230" t="s">
        <v>541</v>
      </c>
      <c r="F6" s="230" t="s">
        <v>146</v>
      </c>
      <c r="G6" s="25" t="str">
        <f t="array" ref="G6">IFERROR(INDEX(Printer!D:D,MATCH(C6,Printer!H:H,0)),"list 없음")</f>
        <v>SL-C486FW</v>
      </c>
      <c r="H6" s="25" t="str">
        <f t="array" ref="H6">IFERROR(INDEX(Ipad_List!C:C,MATCH(C6,Ipad_List!J:J,0)),"없음")</f>
        <v>GW245H3KYL</v>
      </c>
      <c r="I6" s="175" t="s">
        <v>2273</v>
      </c>
      <c r="J6" s="40" t="str">
        <f t="array" ref="J6">IFERROR(INDEX(All_User!D:D,MATCH(C6,All_User!D:D,0)),"list없음")</f>
        <v>Nathan.Eom@stryker.com</v>
      </c>
    </row>
    <row r="7" spans="1:10" ht="15.75" customHeight="1">
      <c r="A7" s="230">
        <v>3172504</v>
      </c>
      <c r="B7" s="230" t="s">
        <v>2278</v>
      </c>
      <c r="C7" s="230" t="s">
        <v>86</v>
      </c>
      <c r="D7" s="230" t="s">
        <v>790</v>
      </c>
      <c r="E7" s="230" t="s">
        <v>541</v>
      </c>
      <c r="F7" s="230" t="s">
        <v>87</v>
      </c>
      <c r="G7" s="25" t="str">
        <f t="array" ref="G7">IFERROR(INDEX(Printer!D:D,MATCH(C7,Printer!H:H,0)),"list 없음")</f>
        <v>SL-C563W</v>
      </c>
      <c r="H7" s="25" t="str">
        <f t="array" ref="H7">IFERROR(INDEX(Ipad_List!C:C,MATCH(C7,Ipad_List!J:J,0)),"없음")</f>
        <v>LXDC4F97QM</v>
      </c>
      <c r="I7" s="175" t="s">
        <v>2273</v>
      </c>
      <c r="J7" s="40" t="str">
        <f t="array" ref="J7">IFERROR(INDEX(All_User!D:D,MATCH(C7,All_User!D:D,0)),"list없음")</f>
        <v>Bruce.Cha@stryker.com</v>
      </c>
    </row>
    <row r="8" spans="1:10" ht="15.75" customHeight="1">
      <c r="A8" s="230">
        <v>3217714</v>
      </c>
      <c r="B8" s="230" t="s">
        <v>2279</v>
      </c>
      <c r="C8" s="230" t="s">
        <v>320</v>
      </c>
      <c r="D8" s="230" t="s">
        <v>1021</v>
      </c>
      <c r="E8" s="230" t="s">
        <v>541</v>
      </c>
      <c r="F8" s="230" t="s">
        <v>146</v>
      </c>
      <c r="G8" s="25" t="str">
        <f t="array" ref="G8">IFERROR(INDEX(Printer!D:D,MATCH(C8,Printer!H:H,0)),"list 없음")</f>
        <v>SL-C563W</v>
      </c>
      <c r="H8" s="25" t="str">
        <f t="array" ref="H8">IFERROR(INDEX(Ipad_List!C:C,MATCH(C8,Ipad_List!J:J,0)),"없음")</f>
        <v>DWFLMWX243</v>
      </c>
      <c r="I8" s="175" t="s">
        <v>2273</v>
      </c>
      <c r="J8" s="40" t="str">
        <f t="array" ref="J8">IFERROR(INDEX(All_User!D:D,MATCH(C8,All_User!D:D,0)),"list없음")</f>
        <v>danny.kim@stryker.com</v>
      </c>
    </row>
    <row r="9" spans="1:10" ht="15.75" customHeight="1">
      <c r="A9" s="230">
        <v>3255182</v>
      </c>
      <c r="B9" s="230" t="s">
        <v>2280</v>
      </c>
      <c r="C9" s="230" t="s">
        <v>672</v>
      </c>
      <c r="D9" s="230" t="s">
        <v>1021</v>
      </c>
      <c r="E9" s="230" t="s">
        <v>541</v>
      </c>
      <c r="F9" s="230" t="s">
        <v>146</v>
      </c>
      <c r="G9" s="25" t="str">
        <f t="array" ref="G9">IFERROR(INDEX(Printer!D:D,MATCH(C9,Printer!H:H,0)),"list 없음")</f>
        <v>SL-C486FW</v>
      </c>
      <c r="H9" s="25" t="str">
        <f t="array" ref="H9">IFERROR(INDEX(Ipad_List!C:C,MATCH(C9,Ipad_List!J:J,0)),"없음")</f>
        <v>FWJG39XV9Q</v>
      </c>
      <c r="I9" s="175" t="s">
        <v>2273</v>
      </c>
      <c r="J9" s="40" t="str">
        <f t="array" ref="J9">IFERROR(INDEX(All_User!D:D,MATCH(C9,All_User!D:D,0)),"list없음")</f>
        <v>Simon.sin@stryker.com</v>
      </c>
    </row>
    <row r="10" spans="1:10" ht="15.75" customHeight="1">
      <c r="A10" s="230">
        <v>3267620</v>
      </c>
      <c r="B10" s="230" t="s">
        <v>2281</v>
      </c>
      <c r="C10" s="230" t="s">
        <v>328</v>
      </c>
      <c r="D10" s="230" t="s">
        <v>540</v>
      </c>
      <c r="E10" s="230" t="s">
        <v>541</v>
      </c>
      <c r="F10" s="230" t="s">
        <v>329</v>
      </c>
      <c r="G10" s="25" t="str">
        <f t="array" ref="G10">IFERROR(INDEX(Printer!D:D,MATCH(C10,Printer!H:H,0)),"list 없음")</f>
        <v>SL-C486FW</v>
      </c>
      <c r="H10" s="25" t="str">
        <f t="array" ref="H10">IFERROR(INDEX(Ipad_List!C:C,MATCH(C10,Ipad_List!J:J,0)),"없음")</f>
        <v>MQ6X021QX2</v>
      </c>
      <c r="I10" s="175" t="s">
        <v>2273</v>
      </c>
      <c r="J10" s="40" t="str">
        <f t="array" ref="J10">IFERROR(INDEX(All_User!D:D,MATCH(C10,All_User!D:D,0)),"list없음")</f>
        <v>Suhyun.Kim@stryker.com</v>
      </c>
    </row>
    <row r="11" spans="1:10" ht="15.75" customHeight="1">
      <c r="A11" s="230">
        <v>6465818</v>
      </c>
      <c r="B11" s="230" t="s">
        <v>2282</v>
      </c>
      <c r="C11" s="230" t="s">
        <v>563</v>
      </c>
      <c r="D11" s="230" t="s">
        <v>850</v>
      </c>
      <c r="E11" s="230" t="s">
        <v>850</v>
      </c>
      <c r="F11" s="230" t="s">
        <v>564</v>
      </c>
      <c r="G11" s="25" t="str">
        <f t="array" ref="G11">IFERROR(INDEX(Printer!D:D,MATCH(C11,Printer!H:H,0)),"list 없음")</f>
        <v>반납</v>
      </c>
      <c r="H11" s="25" t="str">
        <f t="array" ref="H11">IFERROR(INDEX(Ipad_List!C:C,MATCH(C11,Ipad_List!J:J,0)),"없음")</f>
        <v>VCF25MJ6YY</v>
      </c>
      <c r="I11" s="175" t="s">
        <v>2273</v>
      </c>
      <c r="J11" s="40" t="str">
        <f t="array" ref="J11">IFERROR(INDEX(All_User!D:D,MATCH(C11,All_User!D:D,0)),"list없음")</f>
        <v>tyler.park@stryker.com</v>
      </c>
    </row>
    <row r="12" spans="1:10" ht="15.75" customHeight="1">
      <c r="A12" s="230">
        <v>6701810</v>
      </c>
      <c r="B12" s="230" t="s">
        <v>2283</v>
      </c>
      <c r="C12" s="230" t="s">
        <v>459</v>
      </c>
      <c r="D12" s="230" t="s">
        <v>1021</v>
      </c>
      <c r="E12" s="230" t="s">
        <v>541</v>
      </c>
      <c r="F12" s="230" t="s">
        <v>74</v>
      </c>
      <c r="G12" s="25" t="str">
        <f t="array" ref="G12">IFERROR(INDEX(Printer!D:D,MATCH(C12,Printer!H:H,0)),"list 없음")</f>
        <v>SL-C563W</v>
      </c>
      <c r="H12" s="25" t="str">
        <f t="array" ref="H12">IFERROR(INDEX(Ipad_List!C:C,MATCH(C12,Ipad_List!J:J,0)),"없음")</f>
        <v>KXDGGF9C90</v>
      </c>
      <c r="I12" s="175" t="s">
        <v>2273</v>
      </c>
      <c r="J12" s="40" t="str">
        <f t="array" ref="J12">IFERROR(INDEX(All_User!D:D,MATCH(C12,All_User!D:D,0)),"list없음")</f>
        <v>joy.lee@stryker.com</v>
      </c>
    </row>
    <row r="13" spans="1:10" ht="15.75" customHeight="1">
      <c r="A13" s="230">
        <v>2476410</v>
      </c>
      <c r="B13" s="230" t="s">
        <v>2284</v>
      </c>
      <c r="C13" s="230" t="s">
        <v>312</v>
      </c>
      <c r="D13" s="230" t="s">
        <v>790</v>
      </c>
      <c r="E13" s="230" t="s">
        <v>541</v>
      </c>
      <c r="F13" s="230" t="s">
        <v>313</v>
      </c>
      <c r="G13" s="25" t="str">
        <f t="array" ref="G13">IFERROR(INDEX(Printer!D:D,MATCH(C13,Printer!H:H,0)),"list 없음")</f>
        <v>SL-C565W</v>
      </c>
      <c r="H13" s="25" t="str">
        <f t="array" ref="H13">IFERROR(INDEX(Ipad_List!C:C,MATCH(C13,Ipad_List!J:J,0)),"없음")</f>
        <v>THD6Q4W3LT</v>
      </c>
      <c r="I13" s="175" t="s">
        <v>2273</v>
      </c>
      <c r="J13" s="40" t="str">
        <f t="array" ref="J13">IFERROR(INDEX(All_User!D:D,MATCH(C13,All_User!D:D,0)),"list없음")</f>
        <v>Justin.Kim@stryker.com</v>
      </c>
    </row>
    <row r="14" spans="1:10" ht="15.75" customHeight="1">
      <c r="A14" s="230">
        <v>7076098</v>
      </c>
      <c r="B14" s="230" t="s">
        <v>2285</v>
      </c>
      <c r="C14" s="230" t="s">
        <v>297</v>
      </c>
      <c r="D14" s="230" t="s">
        <v>932</v>
      </c>
      <c r="E14" s="230" t="s">
        <v>541</v>
      </c>
      <c r="F14" s="230" t="s">
        <v>74</v>
      </c>
      <c r="G14" s="25" t="str">
        <f t="array" ref="G14">IFERROR(INDEX(Printer!D:D,MATCH(C14,Printer!H:H,0)),"list 없음")</f>
        <v>SL-C563W</v>
      </c>
      <c r="H14" s="25" t="str">
        <f t="array" ref="H14">IFERROR(INDEX(Ipad_List!C:C,MATCH(C14,Ipad_List!J:J,0)),"없음")</f>
        <v>H7Q22YXYWF</v>
      </c>
      <c r="I14" s="175" t="s">
        <v>2273</v>
      </c>
      <c r="J14" s="40" t="str">
        <f t="array" ref="J14">IFERROR(INDEX(All_User!D:D,MATCH(C14,All_User!D:D,0)),"list없음")</f>
        <v>louis.kang@stryker.com</v>
      </c>
    </row>
    <row r="15" spans="1:10" ht="15.75" customHeight="1">
      <c r="A15" s="230">
        <v>7126305</v>
      </c>
      <c r="B15" s="230" t="s">
        <v>2286</v>
      </c>
      <c r="C15" s="230" t="s">
        <v>532</v>
      </c>
      <c r="D15" s="230" t="s">
        <v>1021</v>
      </c>
      <c r="E15" s="230" t="s">
        <v>541</v>
      </c>
      <c r="F15" s="230" t="s">
        <v>329</v>
      </c>
      <c r="G15" s="25" t="str">
        <f t="array" ref="G15">IFERROR(INDEX(Printer!D:D,MATCH(C15,Printer!H:H,0)),"list 없음")</f>
        <v>SL-C563W</v>
      </c>
      <c r="H15" s="25" t="str">
        <f t="array" ref="H15">IFERROR(INDEX(Ipad_List!C:C,MATCH(C15,Ipad_List!J:J,0)),"없음")</f>
        <v>MXK59D7LPL</v>
      </c>
      <c r="I15" s="175" t="s">
        <v>2273</v>
      </c>
      <c r="J15" s="40" t="str">
        <f t="array" ref="J15">IFERROR(INDEX(All_User!D:D,MATCH(C15,All_User!D:D,0)),"list없음")</f>
        <v>ethan.na@stryker.com</v>
      </c>
    </row>
    <row r="16" spans="1:10" ht="15.75" customHeight="1">
      <c r="A16" s="230">
        <v>7254232</v>
      </c>
      <c r="B16" s="230" t="s">
        <v>2287</v>
      </c>
      <c r="C16" s="230" t="s">
        <v>347</v>
      </c>
      <c r="D16" s="230" t="s">
        <v>540</v>
      </c>
      <c r="E16" s="230" t="s">
        <v>541</v>
      </c>
      <c r="F16" s="230" t="s">
        <v>122</v>
      </c>
      <c r="G16" s="25" t="str">
        <f t="array" ref="G16">IFERROR(INDEX(Printer!D:D,MATCH(C16,Printer!H:H,0)),"list 없음")</f>
        <v>반납</v>
      </c>
      <c r="H16" s="25" t="str">
        <f t="array" ref="H16">IFERROR(INDEX(Ipad_List!C:C,MATCH(C16,Ipad_List!J:J,0)),"없음")</f>
        <v>J9157FQXYM</v>
      </c>
      <c r="I16" s="175" t="s">
        <v>2273</v>
      </c>
      <c r="J16" s="40" t="str">
        <f t="array" ref="J16">IFERROR(INDEX(All_User!D:D,MATCH(C16,All_User!D:D,0)),"list없음")</f>
        <v>genie.kim@stryker.com</v>
      </c>
    </row>
    <row r="17" spans="1:10" ht="15.75" customHeight="1">
      <c r="A17" s="230">
        <v>7195635</v>
      </c>
      <c r="B17" s="230" t="s">
        <v>2288</v>
      </c>
      <c r="C17" s="230" t="s">
        <v>351</v>
      </c>
      <c r="D17" s="230" t="s">
        <v>540</v>
      </c>
      <c r="E17" s="230" t="s">
        <v>541</v>
      </c>
      <c r="F17" s="230" t="s">
        <v>74</v>
      </c>
      <c r="G17" s="25" t="str">
        <f t="array" ref="G17">IFERROR(INDEX(Printer!D:D,MATCH(C17,Printer!H:H,0)),"list 없음")</f>
        <v>2차 조사 정보 없음</v>
      </c>
      <c r="H17" s="25" t="str">
        <f t="array" ref="H17">IFERROR(INDEX(Ipad_List!C:C,MATCH(C17,Ipad_List!J:J,0)),"없음")</f>
        <v>M6T0VJHK6P</v>
      </c>
      <c r="I17" s="175" t="s">
        <v>2273</v>
      </c>
      <c r="J17" s="40" t="str">
        <f t="array" ref="J17">IFERROR(INDEX(All_User!D:D,MATCH(C17,All_User!D:D,0)),"list없음")</f>
        <v>jason.kim1@stryker.com</v>
      </c>
    </row>
    <row r="18" spans="1:10" ht="15.75" customHeight="1">
      <c r="A18" s="230">
        <v>7195567</v>
      </c>
      <c r="B18" s="230" t="s">
        <v>2289</v>
      </c>
      <c r="C18" s="230" t="s">
        <v>739</v>
      </c>
      <c r="D18" s="230" t="s">
        <v>932</v>
      </c>
      <c r="E18" s="230" t="s">
        <v>541</v>
      </c>
      <c r="F18" s="230" t="s">
        <v>329</v>
      </c>
      <c r="G18" s="25" t="str">
        <f t="array" ref="G18">IFERROR(INDEX(Printer!D:D,MATCH(C18,Printer!H:H,0)),"list 없음")</f>
        <v>SL-C486FW</v>
      </c>
      <c r="H18" s="25" t="str">
        <f t="array" ref="H18">IFERROR(INDEX(Ipad_List!C:C,MATCH(C18,Ipad_List!J:J,0)),"없음")</f>
        <v>JYVMXW3RWV</v>
      </c>
      <c r="I18" s="175" t="s">
        <v>2273</v>
      </c>
      <c r="J18" s="40" t="str">
        <f t="array" ref="J18">IFERROR(INDEX(All_User!D:D,MATCH(C18,All_User!D:D,0)),"list없음")</f>
        <v>jiho.yoo@stryker.com</v>
      </c>
    </row>
    <row r="19" spans="1:10" ht="15.75" customHeight="1">
      <c r="A19" s="230">
        <v>1001208</v>
      </c>
      <c r="B19" s="230" t="s">
        <v>2290</v>
      </c>
      <c r="C19" s="230" t="s">
        <v>355</v>
      </c>
      <c r="D19" s="230" t="s">
        <v>850</v>
      </c>
      <c r="E19" s="230" t="s">
        <v>850</v>
      </c>
      <c r="F19" s="230" t="s">
        <v>211</v>
      </c>
      <c r="G19" s="25" t="str">
        <f t="array" ref="G19">IFERROR(INDEX(Printer!D:D,MATCH(C19,Printer!H:H,0)),"list 없음")</f>
        <v>SL-C486FW</v>
      </c>
      <c r="H19" s="25" t="str">
        <f t="array" ref="H19">IFERROR(INDEX(Ipad_List!C:C,MATCH(C19,Ipad_List!J:J,0)),"없음")</f>
        <v>R75T7C9N17</v>
      </c>
      <c r="I19" s="175" t="s">
        <v>2273</v>
      </c>
      <c r="J19" s="40" t="str">
        <f t="array" ref="J19">IFERROR(INDEX(All_User!D:D,MATCH(C19,All_User!D:D,0)),"list없음")</f>
        <v>henry.kim1@stryker.com</v>
      </c>
    </row>
    <row r="20" spans="1:10" ht="15.75" customHeight="1">
      <c r="A20" s="230">
        <v>7194226</v>
      </c>
      <c r="B20" s="230" t="s">
        <v>2291</v>
      </c>
      <c r="C20" s="230" t="s">
        <v>535</v>
      </c>
      <c r="D20" s="230" t="s">
        <v>854</v>
      </c>
      <c r="E20" s="230" t="s">
        <v>541</v>
      </c>
      <c r="F20" s="230" t="s">
        <v>122</v>
      </c>
      <c r="G20" s="25" t="str">
        <f t="array" ref="G20">IFERROR(INDEX(Printer!D:D,MATCH(C20,Printer!H:H,0)),"list 없음")</f>
        <v>SL-C486FW</v>
      </c>
      <c r="H20" s="25" t="str">
        <f t="array" ref="H20">IFERROR(INDEX(Ipad_List!C:C,MATCH(C20,Ipad_List!J:J,0)),"없음")</f>
        <v>GXDWV9GT62</v>
      </c>
      <c r="I20" s="175" t="s">
        <v>2273</v>
      </c>
      <c r="J20" s="40" t="str">
        <f t="array" ref="J20">IFERROR(INDEX(All_User!D:D,MATCH(C20,All_User!D:D,0)),"list없음")</f>
        <v>david.oh@stryker.com</v>
      </c>
    </row>
    <row r="21" spans="1:10" ht="15.75" customHeight="1">
      <c r="A21" s="230">
        <v>1004257</v>
      </c>
      <c r="B21" s="230" t="s">
        <v>2292</v>
      </c>
      <c r="C21" s="230" t="s">
        <v>69</v>
      </c>
      <c r="D21" s="230" t="s">
        <v>790</v>
      </c>
      <c r="E21" s="230" t="s">
        <v>1031</v>
      </c>
      <c r="F21" s="230" t="s">
        <v>70</v>
      </c>
      <c r="G21" s="25" t="str">
        <f t="array" ref="G21">IFERROR(INDEX(Printer!D:D,MATCH(C21,Printer!H:H,0)),"list 없음")</f>
        <v>list 없음</v>
      </c>
      <c r="H21" s="25" t="str">
        <f t="array" ref="H21">IFERROR(INDEX(Ipad_List!C:C,MATCH(C21,Ipad_List!J:J,0)),"없음")</f>
        <v>QXKLQ74WYW</v>
      </c>
      <c r="I21" s="175" t="s">
        <v>2273</v>
      </c>
      <c r="J21" s="40" t="str">
        <f t="array" ref="J21">IFERROR(INDEX(All_User!D:D,MATCH(C21,All_User!D:D,0)),"list없음")</f>
        <v>bella.bang@stryker.com</v>
      </c>
    </row>
    <row r="22" spans="1:10" ht="15.75" customHeight="1">
      <c r="A22" s="230">
        <v>1009631</v>
      </c>
      <c r="B22" s="230" t="s">
        <v>2293</v>
      </c>
      <c r="C22" s="230" t="s">
        <v>210</v>
      </c>
      <c r="D22" s="230" t="s">
        <v>850</v>
      </c>
      <c r="E22" s="230" t="s">
        <v>850</v>
      </c>
      <c r="F22" s="230" t="s">
        <v>211</v>
      </c>
      <c r="G22" s="25" t="str">
        <f t="array" ref="G22">IFERROR(INDEX(Printer!D:D,MATCH(C22,Printer!H:H,0)),"list 없음")</f>
        <v>2차 조사 정보 없음</v>
      </c>
      <c r="H22" s="25" t="str">
        <f t="array" ref="H22">IFERROR(INDEX(Ipad_List!C:C,MATCH(C22,Ipad_List!J:J,0)),"없음")</f>
        <v>FNP3C7WRP2</v>
      </c>
      <c r="I22" s="175" t="s">
        <v>2273</v>
      </c>
      <c r="J22" s="40" t="str">
        <f t="array" ref="J22">IFERROR(INDEX(All_User!D:D,MATCH(C22,All_User!D:D,0)),"list없음")</f>
        <v>young.hwang@stryker.com</v>
      </c>
    </row>
    <row r="23" spans="1:10" ht="15.75" customHeight="1">
      <c r="A23" s="230">
        <v>1014071</v>
      </c>
      <c r="B23" s="230" t="s">
        <v>2294</v>
      </c>
      <c r="C23" s="230" t="s">
        <v>272</v>
      </c>
      <c r="D23" s="230" t="s">
        <v>790</v>
      </c>
      <c r="E23" s="230" t="s">
        <v>1031</v>
      </c>
      <c r="F23" s="230" t="s">
        <v>70</v>
      </c>
      <c r="G23" s="25" t="str">
        <f t="array" ref="G23">IFERROR(INDEX(Printer!D:D,MATCH(C23,Printer!H:H,0)),"list 없음")</f>
        <v>list 없음</v>
      </c>
      <c r="H23" s="25" t="str">
        <f t="array" ref="H23">IFERROR(INDEX(Ipad_List!C:C,MATCH(C23,Ipad_List!J:J,0)),"없음")</f>
        <v>J6YXV33LDP</v>
      </c>
      <c r="I23" s="175" t="s">
        <v>2273</v>
      </c>
      <c r="J23" s="40" t="str">
        <f t="array" ref="J23">IFERROR(INDEX(All_User!D:D,MATCH(C23,All_User!D:D,0)),"list없음")</f>
        <v>jade.jung@stryker.com</v>
      </c>
    </row>
    <row r="24" spans="1:10" ht="15.75" customHeight="1">
      <c r="A24" s="230">
        <v>1014072</v>
      </c>
      <c r="B24" s="230" t="s">
        <v>2295</v>
      </c>
      <c r="C24" s="230" t="s">
        <v>699</v>
      </c>
      <c r="D24" s="230" t="s">
        <v>790</v>
      </c>
      <c r="E24" s="230" t="s">
        <v>541</v>
      </c>
      <c r="F24" s="230" t="s">
        <v>70</v>
      </c>
      <c r="G24" s="25" t="str">
        <f t="array" ref="G24">IFERROR(INDEX(Printer!D:D,MATCH(C24,Printer!H:H,0)),"list 없음")</f>
        <v>list 없음</v>
      </c>
      <c r="H24" s="25" t="str">
        <f t="array" ref="H24">IFERROR(INDEX(Ipad_List!C:C,MATCH(C24,Ipad_List!J:J,0)),"없음")</f>
        <v>DPX6TM2FG4</v>
      </c>
      <c r="I24" s="175" t="s">
        <v>2273</v>
      </c>
      <c r="J24" s="40" t="str">
        <f t="array" ref="J24">IFERROR(INDEX(All_User!D:D,MATCH(C24,All_User!D:D,0)),"list없음")</f>
        <v>ethan.song@stryker.com</v>
      </c>
    </row>
    <row r="25" spans="1:10" ht="15.75" customHeight="1">
      <c r="A25" s="230">
        <v>1014070</v>
      </c>
      <c r="B25" s="230" t="s">
        <v>2296</v>
      </c>
      <c r="C25" s="230" t="s">
        <v>475</v>
      </c>
      <c r="D25" s="230" t="s">
        <v>790</v>
      </c>
      <c r="E25" s="230" t="s">
        <v>1031</v>
      </c>
      <c r="F25" s="230" t="s">
        <v>70</v>
      </c>
      <c r="G25" s="25" t="str">
        <f t="array" ref="G25">IFERROR(INDEX(Printer!D:D,MATCH(C25,Printer!H:H,0)),"list 없음")</f>
        <v>list 없음</v>
      </c>
      <c r="H25" s="25" t="str">
        <f t="array" ref="H25">IFERROR(INDEX(Ipad_List!C:C,MATCH(C25,Ipad_List!J:J,0)),"없음")</f>
        <v>XD791W017Y</v>
      </c>
      <c r="I25" s="175" t="s">
        <v>2273</v>
      </c>
      <c r="J25" s="40" t="str">
        <f t="array" ref="J25">IFERROR(INDEX(All_User!D:D,MATCH(C25,All_User!D:D,0)),"list없음")</f>
        <v>nathan.lee@stryker.com</v>
      </c>
    </row>
    <row r="26" spans="1:10" ht="15.75" customHeight="1">
      <c r="A26" s="230">
        <v>1014077</v>
      </c>
      <c r="B26" s="230" t="s">
        <v>2297</v>
      </c>
      <c r="C26" s="230" t="s">
        <v>702</v>
      </c>
      <c r="D26" s="230" t="s">
        <v>790</v>
      </c>
      <c r="E26" s="230" t="s">
        <v>1031</v>
      </c>
      <c r="F26" s="230" t="s">
        <v>70</v>
      </c>
      <c r="G26" s="25" t="str">
        <f t="array" ref="G26">IFERROR(INDEX(Printer!D:D,MATCH(C26,Printer!H:H,0)),"list 없음")</f>
        <v>SL-C563W</v>
      </c>
      <c r="H26" s="25" t="str">
        <f t="array" ref="H26">IFERROR(INDEX(Ipad_List!C:C,MATCH(C26,Ipad_List!J:J,0)),"없음")</f>
        <v>F3720LW0J0</v>
      </c>
      <c r="I26" s="175" t="s">
        <v>2273</v>
      </c>
      <c r="J26" s="40" t="str">
        <f t="array" ref="J26">IFERROR(INDEX(All_User!D:D,MATCH(C26,All_User!D:D,0)),"list없음")</f>
        <v>rosey.song@stryker.com</v>
      </c>
    </row>
    <row r="27" spans="1:10" ht="15.75" customHeight="1">
      <c r="A27" s="230">
        <v>1014075</v>
      </c>
      <c r="B27" s="230" t="s">
        <v>2298</v>
      </c>
      <c r="C27" s="230" t="s">
        <v>582</v>
      </c>
      <c r="D27" s="230" t="s">
        <v>790</v>
      </c>
      <c r="E27" s="230" t="s">
        <v>1031</v>
      </c>
      <c r="F27" s="230" t="s">
        <v>70</v>
      </c>
      <c r="G27" s="25" t="str">
        <f t="array" ref="G27">IFERROR(INDEX(Printer!D:D,MATCH(C27,Printer!H:H,0)),"list 없음")</f>
        <v>list 없음</v>
      </c>
      <c r="H27" s="25" t="str">
        <f t="array" ref="H27">IFERROR(INDEX(Ipad_List!C:C,MATCH(C27,Ipad_List!J:J,0)),"없음")</f>
        <v>DY5F770LQ3</v>
      </c>
      <c r="I27" s="175" t="s">
        <v>2273</v>
      </c>
      <c r="J27" s="40" t="str">
        <f t="array" ref="J27">IFERROR(INDEX(All_User!D:D,MATCH(C27,All_User!D:D,0)),"list없음")</f>
        <v>jackson.park@stryker.com</v>
      </c>
    </row>
    <row r="28" spans="1:10" ht="15.75" customHeight="1">
      <c r="A28" s="230">
        <v>1014076</v>
      </c>
      <c r="B28" s="230" t="s">
        <v>2299</v>
      </c>
      <c r="C28" s="230" t="s">
        <v>451</v>
      </c>
      <c r="D28" s="230" t="s">
        <v>790</v>
      </c>
      <c r="E28" s="230" t="s">
        <v>1031</v>
      </c>
      <c r="F28" s="230" t="s">
        <v>70</v>
      </c>
      <c r="G28" s="25" t="str">
        <f t="array" ref="G28">IFERROR(INDEX(Printer!D:D,MATCH(C28,Printer!H:H,0)),"list 없음")</f>
        <v>list 없음</v>
      </c>
      <c r="H28" s="25" t="str">
        <f t="array" ref="H28">IFERROR(INDEX(Ipad_List!C:C,MATCH(C28,Ipad_List!J:J,0)),"없음")</f>
        <v>F2PL7Y4JWM</v>
      </c>
      <c r="I28" s="175" t="s">
        <v>2273</v>
      </c>
      <c r="J28" s="40" t="str">
        <f t="array" ref="J28">IFERROR(INDEX(All_User!D:D,MATCH(C28,All_User!D:D,0)),"list없음")</f>
        <v>allen.ku@stryker.com</v>
      </c>
    </row>
    <row r="29" spans="1:10" ht="15.75" customHeight="1">
      <c r="A29" s="230">
        <v>1021092</v>
      </c>
      <c r="B29" s="230" t="s">
        <v>2300</v>
      </c>
      <c r="C29" s="230" t="s">
        <v>279</v>
      </c>
      <c r="D29" s="230" t="s">
        <v>790</v>
      </c>
      <c r="E29" s="230" t="s">
        <v>1031</v>
      </c>
      <c r="F29" s="230" t="s">
        <v>70</v>
      </c>
      <c r="G29" s="25" t="str">
        <f t="array" ref="G29">IFERROR(INDEX(Printer!D:D,MATCH(C29,Printer!H:H,0)),"list 없음")</f>
        <v>list 없음</v>
      </c>
      <c r="H29" s="25" t="str">
        <f t="array" ref="H29">IFERROR(INDEX(Ipad_List!C:C,MATCH(C29,Ipad_List!J:J,0)),"없음")</f>
        <v>XCYDTQ4H1F</v>
      </c>
      <c r="I29" s="175" t="s">
        <v>2273</v>
      </c>
      <c r="J29" s="40" t="str">
        <f t="array" ref="J29">IFERROR(INDEX(All_User!D:D,MATCH(C29,All_User!D:D,0)),"list없음")</f>
        <v>suhwan.jung@stryker.com</v>
      </c>
    </row>
    <row r="30" spans="1:10" ht="15.75" customHeight="1">
      <c r="A30" s="230">
        <v>1021086</v>
      </c>
      <c r="B30" s="230" t="s">
        <v>2301</v>
      </c>
      <c r="C30" s="230" t="s">
        <v>705</v>
      </c>
      <c r="D30" s="230" t="s">
        <v>790</v>
      </c>
      <c r="E30" s="230" t="s">
        <v>1031</v>
      </c>
      <c r="F30" s="230" t="s">
        <v>70</v>
      </c>
      <c r="G30" s="25" t="str">
        <f t="array" ref="G30">IFERROR(INDEX(Printer!D:D,MATCH(C30,Printer!H:H,0)),"list 없음")</f>
        <v>list 없음</v>
      </c>
      <c r="H30" s="25" t="str">
        <f t="array" ref="H30">IFERROR(INDEX(Ipad_List!C:C,MATCH(C30,Ipad_List!J:J,0)),"없음")</f>
        <v>D1HJ9KM7XJ</v>
      </c>
      <c r="I30" s="175" t="s">
        <v>2273</v>
      </c>
      <c r="J30" s="40" t="str">
        <f t="array" ref="J30">IFERROR(INDEX(All_User!D:D,MATCH(C30,All_User!D:D,0)),"list없음")</f>
        <v>hailey.song@stryker.com</v>
      </c>
    </row>
    <row r="31" spans="1:10" ht="15.75" customHeight="1">
      <c r="A31" s="230">
        <v>1021098</v>
      </c>
      <c r="B31" s="230" t="s">
        <v>2302</v>
      </c>
      <c r="C31" s="230" t="s">
        <v>188</v>
      </c>
      <c r="D31" s="230" t="s">
        <v>790</v>
      </c>
      <c r="E31" s="230" t="s">
        <v>1031</v>
      </c>
      <c r="F31" s="230" t="s">
        <v>70</v>
      </c>
      <c r="G31" s="25" t="str">
        <f t="array" ref="G31">IFERROR(INDEX(Printer!D:D,MATCH(C31,Printer!H:H,0)),"list 없음")</f>
        <v>list 없음</v>
      </c>
      <c r="H31" s="25" t="str">
        <f t="array" ref="H31">IFERROR(INDEX(Ipad_List!C:C,MATCH(C31,Ipad_List!J:J,0)),"없음")</f>
        <v>J99N6MMPMT</v>
      </c>
      <c r="I31" s="175" t="s">
        <v>2273</v>
      </c>
      <c r="J31" s="40" t="str">
        <f t="array" ref="J31">IFERROR(INDEX(All_User!D:D,MATCH(C31,All_User!D:D,0)),"list없음")</f>
        <v>ashley.hong@stryker.com</v>
      </c>
    </row>
    <row r="32" spans="1:10" ht="15.75" customHeight="1">
      <c r="A32" s="230">
        <v>1021099</v>
      </c>
      <c r="B32" s="230" t="s">
        <v>2303</v>
      </c>
      <c r="C32" s="230" t="s">
        <v>376</v>
      </c>
      <c r="D32" s="230" t="s">
        <v>790</v>
      </c>
      <c r="E32" s="230" t="s">
        <v>541</v>
      </c>
      <c r="F32" s="230" t="s">
        <v>122</v>
      </c>
      <c r="G32" s="25" t="str">
        <f t="array" ref="G32">IFERROR(INDEX(Printer!D:D,MATCH(C32,Printer!H:H,0)),"list 없음")</f>
        <v>SL-C563W</v>
      </c>
      <c r="H32" s="25" t="str">
        <f t="array" ref="H32">IFERROR(INDEX(Ipad_List!C:C,MATCH(C32,Ipad_List!J:J,0)),"없음")</f>
        <v>P7Q3X0HYFW</v>
      </c>
      <c r="I32" s="175" t="s">
        <v>2273</v>
      </c>
      <c r="J32" s="40" t="str">
        <f t="array" ref="J32">IFERROR(INDEX(All_User!D:D,MATCH(C32,All_User!D:D,0)),"list없음")</f>
        <v>jayden.kim@stryker.com</v>
      </c>
    </row>
    <row r="33" spans="1:10" ht="15.75" customHeight="1">
      <c r="A33" s="230">
        <v>1021100</v>
      </c>
      <c r="B33" s="230" t="s">
        <v>2304</v>
      </c>
      <c r="C33" s="230" t="s">
        <v>655</v>
      </c>
      <c r="D33" s="230" t="s">
        <v>790</v>
      </c>
      <c r="E33" s="230" t="s">
        <v>1031</v>
      </c>
      <c r="F33" s="230" t="s">
        <v>70</v>
      </c>
      <c r="G33" s="25" t="str">
        <f t="array" ref="G33">IFERROR(INDEX(Printer!D:D,MATCH(C33,Printer!H:H,0)),"list 없음")</f>
        <v>list 없음</v>
      </c>
      <c r="H33" s="25" t="str">
        <f t="array" ref="H33">IFERROR(INDEX(Ipad_List!C:C,MATCH(C33,Ipad_List!J:J,0)),"없음")</f>
        <v>LR4DPX93T4</v>
      </c>
      <c r="I33" s="175" t="s">
        <v>2273</v>
      </c>
      <c r="J33" s="40" t="str">
        <f t="array" ref="J33">IFERROR(INDEX(All_User!D:D,MATCH(C33,All_User!D:D,0)),"list없음")</f>
        <v>chris.shin@stryker.com</v>
      </c>
    </row>
    <row r="34" spans="1:10" ht="15.75" customHeight="1">
      <c r="A34" s="230">
        <v>1021083</v>
      </c>
      <c r="B34" s="230" t="s">
        <v>2305</v>
      </c>
      <c r="C34" s="230" t="s">
        <v>440</v>
      </c>
      <c r="D34" s="230" t="s">
        <v>790</v>
      </c>
      <c r="E34" s="230" t="s">
        <v>1031</v>
      </c>
      <c r="F34" s="230" t="s">
        <v>70</v>
      </c>
      <c r="G34" s="25" t="str">
        <f t="array" ref="G34">IFERROR(INDEX(Printer!D:D,MATCH(C34,Printer!H:H,0)),"list 없음")</f>
        <v>list 없음</v>
      </c>
      <c r="H34" s="25" t="str">
        <f t="array" ref="H34">IFERROR(INDEX(Ipad_List!C:C,MATCH(C34,Ipad_List!J:J,0)),"없음")</f>
        <v>CJ66CPWXQ2</v>
      </c>
      <c r="I34" s="175" t="s">
        <v>2273</v>
      </c>
      <c r="J34" s="40" t="str">
        <f t="array" ref="J34">IFERROR(INDEX(All_User!D:D,MATCH(C34,All_User!D:D,0)),"list없음")</f>
        <v>ara.ko@stryker.com</v>
      </c>
    </row>
    <row r="35" spans="1:10" ht="15.75" customHeight="1">
      <c r="A35" s="230">
        <v>1021084</v>
      </c>
      <c r="B35" s="230" t="s">
        <v>2306</v>
      </c>
      <c r="C35" s="230" t="s">
        <v>165</v>
      </c>
      <c r="D35" s="230" t="s">
        <v>790</v>
      </c>
      <c r="E35" s="230" t="s">
        <v>1031</v>
      </c>
      <c r="F35" s="230" t="s">
        <v>70</v>
      </c>
      <c r="G35" s="25" t="str">
        <f t="array" ref="G35">IFERROR(INDEX(Printer!D:D,MATCH(C35,Printer!H:H,0)),"list 없음")</f>
        <v>SL-C563W</v>
      </c>
      <c r="H35" s="25" t="str">
        <f t="array" ref="H35">IFERROR(INDEX(Ipad_List!C:C,MATCH(C35,Ipad_List!J:J,0)),"없음")</f>
        <v>CXVPVQXG09</v>
      </c>
      <c r="I35" s="175" t="s">
        <v>2273</v>
      </c>
      <c r="J35" s="40" t="str">
        <f t="array" ref="J35">IFERROR(INDEX(All_User!D:D,MATCH(C35,All_User!D:D,0)),"list없음")</f>
        <v>leo.han@stryker.com</v>
      </c>
    </row>
    <row r="36" spans="1:10" ht="15.75" customHeight="1">
      <c r="A36" s="230">
        <v>1021097</v>
      </c>
      <c r="B36" s="230" t="s">
        <v>2307</v>
      </c>
      <c r="C36" s="230" t="s">
        <v>117</v>
      </c>
      <c r="D36" s="230" t="s">
        <v>790</v>
      </c>
      <c r="E36" s="230" t="s">
        <v>1031</v>
      </c>
      <c r="F36" s="230" t="s">
        <v>70</v>
      </c>
      <c r="G36" s="25" t="str">
        <f t="array" ref="G36">IFERROR(INDEX(Printer!D:D,MATCH(C36,Printer!H:H,0)),"list 없음")</f>
        <v>SL-C563W</v>
      </c>
      <c r="H36" s="25" t="str">
        <f t="array" ref="H36">IFERROR(INDEX(Ipad_List!C:C,MATCH(C36,Ipad_List!J:J,0)),"없음")</f>
        <v>CQ0MQK66GM</v>
      </c>
      <c r="I36" s="175" t="s">
        <v>2273</v>
      </c>
      <c r="J36" s="40" t="str">
        <f t="array" ref="J36">IFERROR(INDEX(All_User!D:D,MATCH(C36,All_User!D:D,0)),"list없음")</f>
        <v>claire.choi@stryker.com</v>
      </c>
    </row>
    <row r="37" spans="1:10" ht="15.75" customHeight="1">
      <c r="A37" s="230">
        <v>1029908</v>
      </c>
      <c r="B37" s="230" t="s">
        <v>2308</v>
      </c>
      <c r="C37" s="230" t="s">
        <v>750</v>
      </c>
      <c r="D37" s="230" t="s">
        <v>790</v>
      </c>
      <c r="E37" s="230" t="s">
        <v>1031</v>
      </c>
      <c r="F37" s="230" t="s">
        <v>70</v>
      </c>
      <c r="G37" s="25" t="str">
        <f t="array" ref="G37">IFERROR(INDEX(Printer!D:D,MATCH(C37,Printer!H:H,0)),"list 없음")</f>
        <v>list 없음</v>
      </c>
      <c r="H37" s="25" t="str">
        <f t="array" ref="H37">IFERROR(INDEX(Ipad_List!C:C,MATCH(C37,Ipad_List!J:J,0)),"없음")</f>
        <v>DMW34MWM7C</v>
      </c>
      <c r="I37" s="175" t="s">
        <v>2273</v>
      </c>
      <c r="J37" s="40" t="str">
        <f t="array" ref="J37">IFERROR(INDEX(All_User!D:D,MATCH(C37,All_User!D:D,0)),"list없음")</f>
        <v>ayaan.yoon@stryker.com</v>
      </c>
    </row>
    <row r="38" spans="1:10" ht="15.75" customHeight="1">
      <c r="A38" s="230">
        <v>1032229</v>
      </c>
      <c r="B38" s="230" t="s">
        <v>2309</v>
      </c>
      <c r="C38" s="230" t="s">
        <v>592</v>
      </c>
      <c r="D38" s="230" t="s">
        <v>854</v>
      </c>
      <c r="E38" s="230" t="s">
        <v>541</v>
      </c>
      <c r="F38" s="230" t="s">
        <v>74</v>
      </c>
      <c r="G38" s="25" t="str">
        <f t="array" ref="G38">IFERROR(INDEX(Printer!D:D,MATCH(C38,Printer!H:H,0)),"list 없음")</f>
        <v>SL-C438W</v>
      </c>
      <c r="H38" s="25" t="str">
        <f t="array" ref="H38">IFERROR(INDEX(Ipad_List!C:C,MATCH(C38,Ipad_List!J:J,0)),"없음")</f>
        <v>GXK670F7DH</v>
      </c>
      <c r="I38" s="175" t="s">
        <v>2273</v>
      </c>
      <c r="J38" s="40" t="str">
        <f t="array" ref="J38">IFERROR(INDEX(All_User!D:D,MATCH(C38,All_User!D:D,0)),"list없음")</f>
        <v>peter.park@stryker.com</v>
      </c>
    </row>
    <row r="39" spans="1:10" ht="15.75" customHeight="1">
      <c r="A39" s="230">
        <v>1035256</v>
      </c>
      <c r="B39" s="230" t="s">
        <v>2310</v>
      </c>
      <c r="C39" s="230" t="s">
        <v>596</v>
      </c>
      <c r="D39" s="230" t="s">
        <v>1027</v>
      </c>
      <c r="E39" s="230" t="s">
        <v>541</v>
      </c>
      <c r="F39" s="230" t="s">
        <v>597</v>
      </c>
      <c r="G39" s="25" t="str">
        <f t="array" ref="G39">IFERROR(INDEX(Printer!D:D,MATCH(C39,Printer!H:H,0)),"list 없음")</f>
        <v>2차 조사 정보 없음</v>
      </c>
      <c r="H39" s="25" t="str">
        <f t="array" ref="H39">IFERROR(INDEX(Ipad_List!C:C,MATCH(C39,Ipad_List!J:J,0)),"없음")</f>
        <v>M9CN2VYJ46</v>
      </c>
      <c r="I39" s="175" t="s">
        <v>2273</v>
      </c>
      <c r="J39" s="40" t="str">
        <f t="array" ref="J39">IFERROR(INDEX(All_User!D:D,MATCH(C39,All_User!D:D,0)),"list없음")</f>
        <v>michelle.park@stryker.com</v>
      </c>
    </row>
    <row r="40" spans="1:10" ht="15.75" customHeight="1">
      <c r="A40" s="230">
        <v>1038999</v>
      </c>
      <c r="B40" s="230" t="s">
        <v>2311</v>
      </c>
      <c r="C40" s="230" t="s">
        <v>282</v>
      </c>
      <c r="D40" s="230" t="s">
        <v>790</v>
      </c>
      <c r="E40" s="230" t="s">
        <v>1031</v>
      </c>
      <c r="F40" s="230" t="s">
        <v>70</v>
      </c>
      <c r="G40" s="25" t="str">
        <f t="array" ref="G40">IFERROR(INDEX(Printer!D:D,MATCH(C40,Printer!H:H,0)),"list 없음")</f>
        <v>list 없음</v>
      </c>
      <c r="H40" s="25" t="str">
        <f t="array" ref="H40">IFERROR(INDEX(Ipad_List!C:C,MATCH(C40,Ipad_List!J:J,0)),"없음")</f>
        <v>C19HH7PP2V</v>
      </c>
      <c r="I40" s="175" t="s">
        <v>2273</v>
      </c>
      <c r="J40" s="40" t="str">
        <f t="array" ref="J40">IFERROR(INDEX(All_User!D:D,MATCH(C40,All_User!D:D,0)),"list없음")</f>
        <v>seohyun.jung@stryker.com</v>
      </c>
    </row>
    <row r="41" spans="1:10" ht="15.75" customHeight="1">
      <c r="A41" s="230">
        <v>1039333</v>
      </c>
      <c r="B41" s="230" t="s">
        <v>2312</v>
      </c>
      <c r="C41" s="230" t="s">
        <v>83</v>
      </c>
      <c r="D41" s="230" t="s">
        <v>790</v>
      </c>
      <c r="E41" s="230" t="s">
        <v>1031</v>
      </c>
      <c r="F41" s="230" t="s">
        <v>70</v>
      </c>
      <c r="G41" s="25" t="str">
        <f t="array" ref="G41">IFERROR(INDEX(Printer!D:D,MATCH(C41,Printer!H:H,0)),"list 없음")</f>
        <v>list 없음</v>
      </c>
      <c r="H41" s="25" t="str">
        <f t="array" ref="H41">IFERROR(INDEX(Ipad_List!C:C,MATCH(C41,Ipad_List!J:J,0)),"없음")</f>
        <v>R34F5XVT2M</v>
      </c>
      <c r="I41" s="175" t="s">
        <v>2273</v>
      </c>
      <c r="J41" s="40" t="str">
        <f t="array" ref="J41">IFERROR(INDEX(All_User!D:D,MATCH(C41,All_User!D:D,0)),"list없음")</f>
        <v>junseong.byun@stryker.com</v>
      </c>
    </row>
    <row r="42" spans="1:10" ht="15.75" customHeight="1">
      <c r="A42" s="230">
        <v>1042240</v>
      </c>
      <c r="B42" s="230" t="s">
        <v>2313</v>
      </c>
      <c r="C42" s="230" t="s">
        <v>600</v>
      </c>
      <c r="D42" s="230" t="s">
        <v>1021</v>
      </c>
      <c r="E42" s="230" t="s">
        <v>541</v>
      </c>
      <c r="F42" s="230" t="s">
        <v>601</v>
      </c>
      <c r="G42" s="25" t="str">
        <f t="array" ref="G42">IFERROR(INDEX(Printer!D:D,MATCH(C42,Printer!H:H,0)),"list 없음")</f>
        <v>2차 조사 정보 없음</v>
      </c>
      <c r="H42" s="25" t="str">
        <f t="array" ref="H42">IFERROR(INDEX(Ipad_List!C:C,MATCH(C42,Ipad_List!J:J,0)),"없음")</f>
        <v>YWFN4L7RQJ</v>
      </c>
      <c r="I42" s="175" t="s">
        <v>2273</v>
      </c>
      <c r="J42" s="40" t="str">
        <f t="array" ref="J42">IFERROR(INDEX(All_User!D:D,MATCH(C42,All_User!D:D,0)),"list없음")</f>
        <v>jin.park@stryker.com</v>
      </c>
    </row>
    <row r="43" spans="1:10" ht="15.75" customHeight="1">
      <c r="A43" s="230">
        <v>1045476</v>
      </c>
      <c r="B43" s="230" t="s">
        <v>2314</v>
      </c>
      <c r="C43" s="230" t="s">
        <v>663</v>
      </c>
      <c r="D43" s="230" t="s">
        <v>1021</v>
      </c>
      <c r="E43" s="230" t="s">
        <v>541</v>
      </c>
      <c r="F43" s="230" t="s">
        <v>122</v>
      </c>
      <c r="G43" s="25" t="str">
        <f t="array" ref="G43">IFERROR(INDEX(Printer!D:D,MATCH(C43,Printer!H:H,0)),"list 없음")</f>
        <v>SL-C486FW</v>
      </c>
      <c r="H43" s="25" t="str">
        <f t="array" ref="H43">IFERROR(INDEX(Ipad_List!C:C,MATCH(C43,Ipad_List!J:J,0)),"없음")</f>
        <v>M90KHK7Y1F</v>
      </c>
      <c r="I43" s="175" t="s">
        <v>2273</v>
      </c>
      <c r="J43" s="40" t="str">
        <f t="array" ref="J43">IFERROR(INDEX(All_User!D:D,MATCH(C43,All_User!D:D,0)),"list없음")</f>
        <v>dana.shin@stryker.com</v>
      </c>
    </row>
    <row r="44" spans="1:10" ht="15.75" customHeight="1">
      <c r="A44" s="230">
        <v>1045477</v>
      </c>
      <c r="B44" s="230" t="s">
        <v>2315</v>
      </c>
      <c r="C44" s="230" t="s">
        <v>105</v>
      </c>
      <c r="D44" s="230" t="s">
        <v>1021</v>
      </c>
      <c r="E44" s="230" t="s">
        <v>541</v>
      </c>
      <c r="F44" s="230" t="s">
        <v>122</v>
      </c>
      <c r="G44" s="25" t="str">
        <f t="array" ref="G44">IFERROR(INDEX(Printer!D:D,MATCH(C44,Printer!H:H,0)),"list 없음")</f>
        <v>SL-C563W</v>
      </c>
      <c r="H44" s="25" t="str">
        <f t="array" ref="H44">IFERROR(INDEX(Ipad_List!C:C,MATCH(C44,Ipad_List!J:J,0)),"없음")</f>
        <v>L2Q9F70301</v>
      </c>
      <c r="I44" s="175" t="s">
        <v>2273</v>
      </c>
      <c r="J44" s="40" t="str">
        <f t="array" ref="J44">IFERROR(INDEX(All_User!D:D,MATCH(C44,All_User!D:D,0)),"list없음")</f>
        <v>martin.cho@stryker.com</v>
      </c>
    </row>
    <row r="45" spans="1:10" ht="15.75" customHeight="1">
      <c r="A45" s="230">
        <v>1048517</v>
      </c>
      <c r="B45" s="230" t="s">
        <v>2316</v>
      </c>
      <c r="C45" s="230" t="s">
        <v>753</v>
      </c>
      <c r="D45" s="230" t="s">
        <v>932</v>
      </c>
      <c r="E45" s="230" t="s">
        <v>541</v>
      </c>
      <c r="F45" s="230" t="s">
        <v>754</v>
      </c>
      <c r="G45" s="25" t="str">
        <f t="array" ref="G45">IFERROR(INDEX(Printer!D:D,MATCH(C45,Printer!H:H,0)),"list 없음")</f>
        <v>2차 조사 정보 없음</v>
      </c>
      <c r="H45" s="25" t="str">
        <f t="array" ref="H45">IFERROR(INDEX(Ipad_List!C:C,MATCH(C45,Ipad_List!J:J,0)),"없음")</f>
        <v>JWR90CCXJ3</v>
      </c>
      <c r="I45" s="175" t="s">
        <v>2273</v>
      </c>
      <c r="J45" s="40" t="str">
        <f t="array" ref="J45">IFERROR(INDEX(All_User!D:D,MATCH(C45,All_User!D:D,0)),"list없음")</f>
        <v>jw.yoon@stryker.com</v>
      </c>
    </row>
    <row r="46" spans="1:10" ht="15.75" customHeight="1">
      <c r="A46" s="230">
        <v>1053062</v>
      </c>
      <c r="B46" s="230" t="s">
        <v>2317</v>
      </c>
      <c r="C46" s="230" t="s">
        <v>485</v>
      </c>
      <c r="D46" s="230" t="s">
        <v>1021</v>
      </c>
      <c r="E46" s="230" t="s">
        <v>541</v>
      </c>
      <c r="F46" s="230" t="s">
        <v>74</v>
      </c>
      <c r="G46" s="25" t="str">
        <f t="array" ref="G46">IFERROR(INDEX(Printer!D:D,MATCH(C46,Printer!H:H,0)),"list 없음")</f>
        <v>SL-C486FW</v>
      </c>
      <c r="H46" s="25" t="str">
        <f t="array" ref="H46">IFERROR(INDEX(Ipad_List!C:C,MATCH(C46,Ipad_List!J:J,0)),"없음")</f>
        <v>JN14143DQC</v>
      </c>
      <c r="I46" s="175" t="s">
        <v>2273</v>
      </c>
      <c r="J46" s="40" t="str">
        <f t="array" ref="J46">IFERROR(INDEX(All_User!D:D,MATCH(C46,All_User!D:D,0)),"list없음")</f>
        <v>henry.lee@stryker.com</v>
      </c>
    </row>
    <row r="47" spans="1:10" ht="15.75" customHeight="1">
      <c r="A47" s="230">
        <v>1054726</v>
      </c>
      <c r="B47" s="230" t="s">
        <v>2318</v>
      </c>
      <c r="C47" s="230" t="s">
        <v>240</v>
      </c>
      <c r="D47" s="230" t="s">
        <v>790</v>
      </c>
      <c r="E47" s="230" t="s">
        <v>1031</v>
      </c>
      <c r="F47" s="230" t="s">
        <v>55</v>
      </c>
      <c r="G47" s="25" t="str">
        <f t="array" ref="G47">IFERROR(INDEX(Printer!D:D,MATCH(C47,Printer!H:H,0)),"list 없음")</f>
        <v>list 없음</v>
      </c>
      <c r="H47" s="25" t="str">
        <f t="array" ref="H47">IFERROR(INDEX(Ipad_List!C:C,MATCH(C47,Ipad_List!J:J,0)),"없음")</f>
        <v>DFC7V7Q9X3</v>
      </c>
      <c r="I47" s="175" t="s">
        <v>2273</v>
      </c>
      <c r="J47" s="40" t="str">
        <f t="array" ref="J47">IFERROR(INDEX(All_User!D:D,MATCH(C47,All_User!D:D,0)),"list없음")</f>
        <v>somi.jeong@stryker.com</v>
      </c>
    </row>
    <row r="48" spans="1:10" ht="15.75" customHeight="1">
      <c r="A48" s="230">
        <v>1054729</v>
      </c>
      <c r="B48" s="230" t="s">
        <v>2319</v>
      </c>
      <c r="C48" s="230" t="s">
        <v>402</v>
      </c>
      <c r="D48" s="230" t="s">
        <v>790</v>
      </c>
      <c r="E48" s="230" t="s">
        <v>1031</v>
      </c>
      <c r="F48" s="230" t="s">
        <v>55</v>
      </c>
      <c r="G48" s="25" t="str">
        <f t="array" ref="G48">IFERROR(INDEX(Printer!D:D,MATCH(C48,Printer!H:H,0)),"list 없음")</f>
        <v>list 없음</v>
      </c>
      <c r="H48" s="25" t="str">
        <f t="array" ref="H48">IFERROR(INDEX(Ipad_List!C:C,MATCH(C48,Ipad_List!J:J,0)),"없음")</f>
        <v>LY9JGJQMTP</v>
      </c>
      <c r="I48" s="175" t="s">
        <v>2273</v>
      </c>
      <c r="J48" s="40" t="str">
        <f t="array" ref="J48">IFERROR(INDEX(All_User!D:D,MATCH(C48,All_User!D:D,0)),"list없음")</f>
        <v>mindo.kim@stryker.com</v>
      </c>
    </row>
    <row r="49" spans="1:10" ht="15.75" customHeight="1">
      <c r="A49" s="230">
        <v>1054728</v>
      </c>
      <c r="B49" s="230" t="s">
        <v>2320</v>
      </c>
      <c r="C49" s="230" t="s">
        <v>406</v>
      </c>
      <c r="D49" s="230" t="s">
        <v>790</v>
      </c>
      <c r="E49" s="230" t="s">
        <v>1031</v>
      </c>
      <c r="F49" s="230" t="s">
        <v>55</v>
      </c>
      <c r="G49" s="25" t="str">
        <f t="array" ref="G49">IFERROR(INDEX(Printer!D:D,MATCH(C49,Printer!H:H,0)),"list 없음")</f>
        <v>list 없음</v>
      </c>
      <c r="H49" s="25" t="str">
        <f t="array" ref="H49">IFERROR(INDEX(Ipad_List!C:C,MATCH(C49,Ipad_List!J:J,0)),"없음")</f>
        <v>JJWL6VTHKK</v>
      </c>
      <c r="I49" s="175" t="s">
        <v>2273</v>
      </c>
      <c r="J49" s="40" t="str">
        <f t="array" ref="J49">IFERROR(INDEX(All_User!D:D,MATCH(C49,All_User!D:D,0)),"list없음")</f>
        <v>aspyn.kim@stryker.com</v>
      </c>
    </row>
    <row r="50" spans="1:10" ht="13">
      <c r="A50" s="230">
        <v>1054872</v>
      </c>
      <c r="B50" s="230" t="s">
        <v>2321</v>
      </c>
      <c r="C50" s="230" t="s">
        <v>410</v>
      </c>
      <c r="D50" s="230" t="s">
        <v>790</v>
      </c>
      <c r="E50" s="230" t="s">
        <v>1031</v>
      </c>
      <c r="F50" s="230" t="s">
        <v>55</v>
      </c>
      <c r="G50" s="25" t="str">
        <f t="array" ref="G50">IFERROR(INDEX(Printer!D:D,MATCH(C50,Printer!H:H,0)),"list 없음")</f>
        <v>list 없음</v>
      </c>
      <c r="H50" s="25" t="str">
        <f t="array" ref="H50">IFERROR(INDEX(Ipad_List!C:C,MATCH(C50,Ipad_List!J:J,0)),"없음")</f>
        <v>K9NWHMWT44</v>
      </c>
      <c r="I50" s="175" t="s">
        <v>2273</v>
      </c>
      <c r="J50" s="40" t="str">
        <f t="array" ref="J50">IFERROR(INDEX(All_User!D:D,MATCH(C50,All_User!D:D,0)),"list없음")</f>
        <v>minjeong.kim@stryker.com</v>
      </c>
    </row>
    <row r="51" spans="1:10" ht="13">
      <c r="A51" s="230">
        <v>1055467</v>
      </c>
      <c r="B51" s="230" t="s">
        <v>2322</v>
      </c>
      <c r="C51" s="230" t="s">
        <v>149</v>
      </c>
      <c r="D51" s="230" t="s">
        <v>932</v>
      </c>
      <c r="E51" s="230" t="s">
        <v>541</v>
      </c>
      <c r="F51" s="230" t="s">
        <v>122</v>
      </c>
      <c r="G51" s="25" t="str">
        <f t="array" ref="G51">IFERROR(INDEX(Printer!D:D,MATCH(C51,Printer!H:H,0)),"list 없음")</f>
        <v>2차 조사 정보 없음</v>
      </c>
      <c r="H51" s="25" t="str">
        <f t="array" ref="H51">IFERROR(INDEX(Ipad_List!C:C,MATCH(C51,Ipad_List!J:J,0)),"없음")</f>
        <v>D64QK42W36</v>
      </c>
      <c r="I51" s="175" t="s">
        <v>2273</v>
      </c>
      <c r="J51" s="40" t="str">
        <f t="array" ref="J51">IFERROR(INDEX(All_User!D:D,MATCH(C51,All_User!D:D,0)),"list없음")</f>
        <v>jack.eum@stryker.com</v>
      </c>
    </row>
    <row r="52" spans="1:10" ht="13">
      <c r="A52" s="230">
        <v>1054871</v>
      </c>
      <c r="B52" s="230" t="s">
        <v>2323</v>
      </c>
      <c r="C52" s="230" t="s">
        <v>610</v>
      </c>
      <c r="D52" s="230" t="s">
        <v>1021</v>
      </c>
      <c r="E52" s="230" t="s">
        <v>541</v>
      </c>
      <c r="F52" s="230" t="s">
        <v>74</v>
      </c>
      <c r="G52" s="25" t="str">
        <f t="array" ref="G52">IFERROR(INDEX(Printer!D:D,MATCH(C52,Printer!H:H,0)),"list 없음")</f>
        <v>SL-C563W</v>
      </c>
      <c r="H52" s="25" t="str">
        <f t="array" ref="H52">IFERROR(INDEX(Ipad_List!C:C,MATCH(C52,Ipad_List!J:J,0)),"없음")</f>
        <v>W6RQPLQLJY</v>
      </c>
      <c r="I52" s="175" t="s">
        <v>2273</v>
      </c>
      <c r="J52" s="40" t="str">
        <f t="array" ref="J52">IFERROR(INDEX(All_User!D:D,MATCH(C52,All_User!D:D,0)),"list없음")</f>
        <v>daniel.park@stryker.com</v>
      </c>
    </row>
    <row r="53" spans="1:10" ht="13">
      <c r="A53" s="230">
        <v>1055099</v>
      </c>
      <c r="B53" s="230" t="s">
        <v>2324</v>
      </c>
      <c r="C53" s="230" t="s">
        <v>544</v>
      </c>
      <c r="D53" s="230" t="s">
        <v>854</v>
      </c>
      <c r="E53" s="230" t="s">
        <v>541</v>
      </c>
      <c r="F53" s="230" t="s">
        <v>122</v>
      </c>
      <c r="G53" s="25" t="str">
        <f t="array" ref="G53">IFERROR(INDEX(Printer!D:D,MATCH(C53,Printer!H:H,0)),"list 없음")</f>
        <v>2차 조사 정보 없음</v>
      </c>
      <c r="H53" s="25" t="str">
        <f t="array" ref="H53">IFERROR(INDEX(Ipad_List!C:C,MATCH(C53,Ipad_List!J:J,0)),"없음")</f>
        <v>MX224565CF</v>
      </c>
      <c r="I53" s="175" t="s">
        <v>2273</v>
      </c>
      <c r="J53" s="40" t="str">
        <f t="array" ref="J53">IFERROR(INDEX(All_User!D:D,MATCH(C53,All_User!D:D,0)),"list없음")</f>
        <v>mason.oh@stryker.com</v>
      </c>
    </row>
    <row r="54" spans="1:10" ht="13">
      <c r="A54" s="230">
        <v>1055989</v>
      </c>
      <c r="B54" s="230" t="s">
        <v>2325</v>
      </c>
      <c r="C54" s="230" t="s">
        <v>121</v>
      </c>
      <c r="D54" s="230" t="s">
        <v>540</v>
      </c>
      <c r="E54" s="230" t="s">
        <v>541</v>
      </c>
      <c r="F54" s="230" t="s">
        <v>122</v>
      </c>
      <c r="G54" s="25" t="str">
        <f t="array" ref="G54">IFERROR(INDEX(Printer!D:D,MATCH(C54,Printer!H:H,0)),"list 없음")</f>
        <v>SL-C563W</v>
      </c>
      <c r="H54" s="25" t="str">
        <f t="array" ref="H54">IFERROR(INDEX(Ipad_List!C:C,MATCH(C54,Ipad_List!J:J,0)),"없음")</f>
        <v>MKTFHJRWT2</v>
      </c>
      <c r="I54" s="175" t="s">
        <v>2273</v>
      </c>
      <c r="J54" s="40" t="str">
        <f t="array" ref="J54">IFERROR(INDEX(All_User!D:D,MATCH(C54,All_User!D:D,0)),"list없음")</f>
        <v>brad.choi@stryker.com</v>
      </c>
    </row>
    <row r="55" spans="1:10" ht="13">
      <c r="A55" s="230">
        <v>1056056</v>
      </c>
      <c r="B55" s="230" t="s">
        <v>2326</v>
      </c>
      <c r="C55" s="230" t="s">
        <v>488</v>
      </c>
      <c r="D55" s="230" t="s">
        <v>540</v>
      </c>
      <c r="E55" s="230" t="s">
        <v>541</v>
      </c>
      <c r="F55" s="230" t="s">
        <v>138</v>
      </c>
      <c r="G55" s="25" t="str">
        <f t="array" ref="G55">IFERROR(INDEX(Printer!D:D,MATCH(C55,Printer!H:H,0)),"list 없음")</f>
        <v>SL-C563W</v>
      </c>
      <c r="H55" s="25" t="str">
        <f t="array" ref="H55">IFERROR(INDEX(Ipad_List!C:C,MATCH(C55,Ipad_List!J:J,0)),"없음")</f>
        <v>LHJDGDMQCH</v>
      </c>
      <c r="I55" s="175" t="s">
        <v>2273</v>
      </c>
      <c r="J55" s="40" t="str">
        <f t="array" ref="J55">IFERROR(INDEX(All_User!D:D,MATCH(C55,All_User!D:D,0)),"list없음")</f>
        <v>ayaan.lee@stryker.com</v>
      </c>
    </row>
    <row r="56" spans="1:10" ht="13">
      <c r="A56" s="230">
        <v>1056057</v>
      </c>
      <c r="B56" s="230" t="s">
        <v>2327</v>
      </c>
      <c r="C56" s="230" t="s">
        <v>265</v>
      </c>
      <c r="D56" s="230" t="s">
        <v>932</v>
      </c>
      <c r="E56" s="230" t="s">
        <v>541</v>
      </c>
      <c r="F56" s="230" t="s">
        <v>146</v>
      </c>
      <c r="G56" s="25" t="str">
        <f t="array" ref="G56">IFERROR(INDEX(Printer!D:D,MATCH(C56,Printer!H:H,0)),"list 없음")</f>
        <v>list 없음</v>
      </c>
      <c r="H56" s="25" t="str">
        <f t="array" ref="H56">IFERROR(INDEX(Ipad_List!C:C,MATCH(C56,Ipad_List!J:J,0)),"없음")</f>
        <v>JFK7CC9090</v>
      </c>
      <c r="I56" s="175" t="s">
        <v>2273</v>
      </c>
      <c r="J56" s="40" t="str">
        <f t="array" ref="J56">IFERROR(INDEX(All_User!D:D,MATCH(C56,All_User!D:D,0)),"list없음")</f>
        <v>scott.jo@stryker.com</v>
      </c>
    </row>
    <row r="57" spans="1:10" ht="13">
      <c r="A57" s="230">
        <v>1058353</v>
      </c>
      <c r="B57" s="230" t="s">
        <v>2328</v>
      </c>
      <c r="C57" s="230" t="s">
        <v>289</v>
      </c>
      <c r="D57" s="230" t="s">
        <v>790</v>
      </c>
      <c r="E57" s="230" t="s">
        <v>1031</v>
      </c>
      <c r="F57" s="230" t="s">
        <v>55</v>
      </c>
      <c r="G57" s="25" t="str">
        <f t="array" ref="G57">IFERROR(INDEX(Printer!D:D,MATCH(C57,Printer!H:H,0)),"list 없음")</f>
        <v>list 없음</v>
      </c>
      <c r="H57" s="25" t="str">
        <f t="array" ref="H57">IFERROR(INDEX(Ipad_List!C:C,MATCH(C57,Ipad_List!J:J,0)),"없음")</f>
        <v>G09WDG49T4</v>
      </c>
      <c r="I57" s="175" t="s">
        <v>2273</v>
      </c>
      <c r="J57" s="40" t="str">
        <f t="array" ref="J57">IFERROR(INDEX(All_User!D:D,MATCH(C57,All_User!D:D,0)),"list없음")</f>
        <v>sol.jung@stryker.com</v>
      </c>
    </row>
    <row r="58" spans="1:10" ht="13">
      <c r="A58" s="230">
        <v>1058885</v>
      </c>
      <c r="B58" s="230" t="s">
        <v>2329</v>
      </c>
      <c r="C58" s="230" t="s">
        <v>615</v>
      </c>
      <c r="D58" s="230" t="s">
        <v>1021</v>
      </c>
      <c r="E58" s="230" t="s">
        <v>541</v>
      </c>
      <c r="F58" s="230" t="s">
        <v>122</v>
      </c>
      <c r="G58" s="25" t="str">
        <f t="array" ref="G58">IFERROR(INDEX(Printer!D:D,MATCH(C58,Printer!H:H,0)),"list 없음")</f>
        <v>SL-C563W</v>
      </c>
      <c r="H58" s="25" t="str">
        <f t="array" ref="H58">IFERROR(INDEX(Ipad_List!C:C,MATCH(C58,Ipad_List!J:J,0)),"없음")</f>
        <v>MNPXXL2C5X</v>
      </c>
      <c r="I58" s="175" t="s">
        <v>2273</v>
      </c>
      <c r="J58" s="40" t="str">
        <f t="array" ref="J58">IFERROR(INDEX(All_User!D:D,MATCH(C58,All_User!D:D,0)),"list없음")</f>
        <v>hyoseon.park@stryker.com</v>
      </c>
    </row>
    <row r="59" spans="1:10" ht="13">
      <c r="A59" s="230">
        <v>1058884</v>
      </c>
      <c r="B59" s="230" t="s">
        <v>2330</v>
      </c>
      <c r="C59" s="230" t="s">
        <v>184</v>
      </c>
      <c r="D59" s="230" t="s">
        <v>850</v>
      </c>
      <c r="E59" s="230" t="s">
        <v>850</v>
      </c>
      <c r="F59" s="230" t="s">
        <v>126</v>
      </c>
      <c r="G59" s="25" t="str">
        <f t="array" ref="G59">IFERROR(INDEX(Printer!D:D,MATCH(C59,Printer!H:H,0)),"list 없음")</f>
        <v>2차 조사 정보 없음</v>
      </c>
      <c r="H59" s="25" t="str">
        <f t="array" ref="H59">IFERROR(INDEX(Ipad_List!C:C,MATCH(C59,Ipad_List!J:J,0)),"없음")</f>
        <v>DYQP729JPM</v>
      </c>
      <c r="I59" s="175" t="s">
        <v>2273</v>
      </c>
      <c r="J59" s="40" t="str">
        <f t="array" ref="J59">IFERROR(INDEX(All_User!D:D,MATCH(C59,All_User!D:D,0)),"list없음")</f>
        <v>yejin.heo@stryker.com</v>
      </c>
    </row>
    <row r="60" spans="1:10" ht="13">
      <c r="A60" s="230">
        <v>1059744</v>
      </c>
      <c r="B60" s="230" t="s">
        <v>2331</v>
      </c>
      <c r="C60" s="230" t="s">
        <v>419</v>
      </c>
      <c r="D60" s="230" t="s">
        <v>854</v>
      </c>
      <c r="E60" s="230" t="s">
        <v>541</v>
      </c>
      <c r="F60" s="230" t="s">
        <v>74</v>
      </c>
      <c r="G60" s="25" t="str">
        <f t="array" ref="G60">IFERROR(INDEX(Printer!D:D,MATCH(C60,Printer!H:H,0)),"list 없음")</f>
        <v>SL-C486FW</v>
      </c>
      <c r="H60" s="25" t="str">
        <f t="array" ref="H60">IFERROR(INDEX(Ipad_List!C:C,MATCH(C60,Ipad_List!J:J,0)),"없음")</f>
        <v>Q5M6F1YX19</v>
      </c>
      <c r="I60" s="175" t="s">
        <v>2273</v>
      </c>
      <c r="J60" s="40" t="str">
        <f t="array" ref="J60">IFERROR(INDEX(All_User!D:D,MATCH(C60,All_User!D:D,0)),"list없음")</f>
        <v>james.kim@stryker.com</v>
      </c>
    </row>
    <row r="61" spans="1:10" ht="13">
      <c r="A61" s="230">
        <v>1059745</v>
      </c>
      <c r="B61" s="230" t="s">
        <v>2332</v>
      </c>
      <c r="C61" s="230" t="s">
        <v>416</v>
      </c>
      <c r="D61" s="230" t="s">
        <v>1021</v>
      </c>
      <c r="E61" s="230" t="s">
        <v>541</v>
      </c>
      <c r="F61" s="230" t="s">
        <v>74</v>
      </c>
      <c r="G61" s="25" t="str">
        <f t="array" ref="G61">IFERROR(INDEX(Printer!D:D,MATCH(C61,Printer!H:H,0)),"list 없음")</f>
        <v>list 없음</v>
      </c>
      <c r="H61" s="25" t="str">
        <f t="array" ref="H61">IFERROR(INDEX(Ipad_List!C:C,MATCH(C61,Ipad_List!J:J,0)),"없음")</f>
        <v>HC0FP2JHG7</v>
      </c>
      <c r="I61" s="175" t="s">
        <v>2273</v>
      </c>
      <c r="J61" s="40" t="str">
        <f t="array" ref="J61">IFERROR(INDEX(All_User!D:D,MATCH(C61,All_User!D:D,0)),"list없음")</f>
        <v>david.kim3@stryker.com</v>
      </c>
    </row>
    <row r="62" spans="1:10" ht="13">
      <c r="A62" s="230">
        <v>1062039</v>
      </c>
      <c r="B62" s="230" t="s">
        <v>2333</v>
      </c>
      <c r="C62" s="230" t="s">
        <v>230</v>
      </c>
      <c r="D62" s="230" t="s">
        <v>850</v>
      </c>
      <c r="E62" s="230" t="s">
        <v>850</v>
      </c>
      <c r="F62" s="230" t="s">
        <v>126</v>
      </c>
      <c r="G62" s="25" t="str">
        <f t="array" ref="G62">IFERROR(INDEX(Printer!D:D,MATCH(C62,Printer!H:H,0)),"list 없음")</f>
        <v>SL-C486FW</v>
      </c>
      <c r="H62" s="25" t="str">
        <f t="array" ref="H62">IFERROR(INDEX(Ipad_List!C:C,MATCH(C62,Ipad_List!J:J,0)),"없음")</f>
        <v>J7J79LY961</v>
      </c>
      <c r="I62" s="175" t="s">
        <v>2273</v>
      </c>
      <c r="J62" s="40" t="str">
        <f t="array" ref="J62">IFERROR(INDEX(All_User!D:D,MATCH(C62,All_User!D:D,0)),"list없음")</f>
        <v>lucas.jeon@stryker.com</v>
      </c>
    </row>
    <row r="63" spans="1:10" ht="13">
      <c r="A63" s="230">
        <v>1062041</v>
      </c>
      <c r="B63" s="230" t="s">
        <v>2334</v>
      </c>
      <c r="C63" s="230" t="s">
        <v>125</v>
      </c>
      <c r="D63" s="230" t="s">
        <v>850</v>
      </c>
      <c r="E63" s="230" t="s">
        <v>850</v>
      </c>
      <c r="F63" s="230" t="s">
        <v>126</v>
      </c>
      <c r="G63" s="25" t="str">
        <f t="array" ref="G63">IFERROR(INDEX(Printer!D:D,MATCH(C63,Printer!H:H,0)),"list 없음")</f>
        <v>SL-C565FW</v>
      </c>
      <c r="H63" s="25" t="str">
        <f t="array" ref="H63">IFERROR(INDEX(Ipad_List!C:C,MATCH(C63,Ipad_List!J:J,0)),"없음")</f>
        <v>HP6F2M6GJ7</v>
      </c>
      <c r="I63" s="175" t="s">
        <v>2273</v>
      </c>
      <c r="J63" s="40" t="str">
        <f t="array" ref="J63">IFERROR(INDEX(All_User!D:D,MATCH(C63,All_User!D:D,0)),"list없음")</f>
        <v>kyu.choi@stryker.com</v>
      </c>
    </row>
    <row r="64" spans="1:10" ht="13">
      <c r="A64" s="230">
        <v>1062515</v>
      </c>
      <c r="B64" s="230" t="s">
        <v>2335</v>
      </c>
      <c r="C64" s="230" t="s">
        <v>215</v>
      </c>
      <c r="D64" s="230" t="s">
        <v>1021</v>
      </c>
      <c r="E64" s="230" t="s">
        <v>541</v>
      </c>
      <c r="F64" s="230" t="s">
        <v>122</v>
      </c>
      <c r="G64" s="25" t="str">
        <f t="array" ref="G64">IFERROR(INDEX(Printer!D:D,MATCH(C64,Printer!H:H,0)),"list 없음")</f>
        <v>SL-C563W</v>
      </c>
      <c r="H64" s="25" t="str">
        <f t="array" ref="H64">IFERROR(INDEX(Ipad_List!C:C,MATCH(C64,Ipad_List!J:J,0)),"없음")</f>
        <v>GD2WG3K71P</v>
      </c>
      <c r="I64" s="175" t="s">
        <v>2273</v>
      </c>
      <c r="J64" s="40" t="str">
        <f t="array" ref="J64">IFERROR(INDEX(All_User!D:D,MATCH(C64,All_User!D:D,0)),"list없음")</f>
        <v>theo.hwang@stryker.com</v>
      </c>
    </row>
    <row r="65" spans="1:10" ht="13">
      <c r="A65" s="230">
        <v>1064909</v>
      </c>
      <c r="B65" s="230" t="s">
        <v>2336</v>
      </c>
      <c r="C65" s="230" t="s">
        <v>233</v>
      </c>
      <c r="D65" s="230" t="s">
        <v>1021</v>
      </c>
      <c r="E65" s="230" t="s">
        <v>541</v>
      </c>
      <c r="F65" s="230" t="s">
        <v>122</v>
      </c>
      <c r="G65" s="25" t="str">
        <f t="array" ref="G65">IFERROR(INDEX(Printer!D:D,MATCH(C65,Printer!H:H,0)),"list 없음")</f>
        <v>SL-C565W</v>
      </c>
      <c r="H65" s="25" t="str">
        <f t="array" ref="H65">IFERROR(INDEX(Ipad_List!C:C,MATCH(C65,Ipad_List!J:J,0)),"없음")</f>
        <v>WHYPLVY40L</v>
      </c>
      <c r="I65" s="175" t="s">
        <v>2273</v>
      </c>
      <c r="J65" s="40" t="str">
        <f t="array" ref="J65">IFERROR(INDEX(All_User!D:D,MATCH(C65,All_User!D:D,0)),"list없음")</f>
        <v>chan.jeon@stryker.com</v>
      </c>
    </row>
    <row r="66" spans="1:10" ht="13">
      <c r="A66" s="230">
        <v>1045575</v>
      </c>
      <c r="B66" s="230" t="s">
        <v>2337</v>
      </c>
      <c r="C66" s="230" t="s">
        <v>398</v>
      </c>
      <c r="D66" s="230" t="s">
        <v>790</v>
      </c>
      <c r="E66" s="230" t="s">
        <v>1031</v>
      </c>
      <c r="F66" s="230" t="s">
        <v>399</v>
      </c>
      <c r="G66" s="25" t="str">
        <f t="array" ref="G66">IFERROR(INDEX(Printer!D:D,MATCH(C66,Printer!H:H,0)),"list 없음")</f>
        <v>list 없음</v>
      </c>
      <c r="H66" s="25" t="str">
        <f t="array" ref="H66">IFERROR(INDEX(Ipad_List!C:C,MATCH(C66,Ipad_List!J:J,0)),"없음")</f>
        <v>P40KK7NLQG</v>
      </c>
      <c r="I66" s="175" t="s">
        <v>2273</v>
      </c>
      <c r="J66" s="40" t="str">
        <f t="array" ref="J66">IFERROR(INDEX(All_User!D:D,MATCH(C66,All_User!D:D,0)),"list없음")</f>
        <v>mason.kim1@stryker.com</v>
      </c>
    </row>
    <row r="67" spans="1:10" ht="13">
      <c r="A67" s="230">
        <v>1069391</v>
      </c>
      <c r="B67" s="230" t="s">
        <v>2338</v>
      </c>
      <c r="C67" s="230" t="s">
        <v>243</v>
      </c>
      <c r="D67" s="230" t="s">
        <v>790</v>
      </c>
      <c r="E67" s="230" t="s">
        <v>1031</v>
      </c>
      <c r="F67" s="230" t="s">
        <v>55</v>
      </c>
      <c r="G67" s="25" t="str">
        <f t="array" ref="G67">IFERROR(INDEX(Printer!D:D,MATCH(C67,Printer!H:H,0)),"list 없음")</f>
        <v>list 없음</v>
      </c>
      <c r="H67" s="25" t="str">
        <f t="array" ref="H67">IFERROR(INDEX(Ipad_List!C:C,MATCH(C67,Ipad_List!J:J,0)),"없음")</f>
        <v>GVYCM2VJKW</v>
      </c>
      <c r="I67" s="175" t="s">
        <v>2273</v>
      </c>
      <c r="J67" s="40" t="str">
        <f t="array" ref="J67">IFERROR(INDEX(All_User!D:D,MATCH(C67,All_User!D:D,0)),"list없음")</f>
        <v>dahye.jeong@stryker.com</v>
      </c>
    </row>
    <row r="68" spans="1:10" ht="13">
      <c r="A68" s="230">
        <v>1069791</v>
      </c>
      <c r="B68" s="230" t="s">
        <v>2339</v>
      </c>
      <c r="C68" s="230" t="s">
        <v>137</v>
      </c>
      <c r="D68" s="230" t="s">
        <v>932</v>
      </c>
      <c r="E68" s="230" t="s">
        <v>541</v>
      </c>
      <c r="F68" s="230" t="s">
        <v>138</v>
      </c>
      <c r="G68" s="25" t="str">
        <f t="array" ref="G68">IFERROR(INDEX(Printer!D:D,MATCH(C68,Printer!H:H,0)),"list 없음")</f>
        <v>list 없음</v>
      </c>
      <c r="H68" s="25" t="str">
        <f t="array" ref="H68">IFERROR(INDEX(Ipad_List!C:C,MATCH(C68,Ipad_List!J:J,0)),"없음")</f>
        <v>DWJX4VVTX2</v>
      </c>
      <c r="I68" s="175" t="s">
        <v>2273</v>
      </c>
      <c r="J68" s="40" t="str">
        <f t="array" ref="J68">IFERROR(INDEX(All_User!D:D,MATCH(C68,All_User!D:D,0)),"list없음")</f>
        <v>david.chung@stryker.com</v>
      </c>
    </row>
    <row r="69" spans="1:10" ht="13">
      <c r="A69" s="230">
        <v>1069792</v>
      </c>
      <c r="B69" s="230" t="s">
        <v>2340</v>
      </c>
      <c r="C69" s="230" t="s">
        <v>73</v>
      </c>
      <c r="D69" s="230" t="s">
        <v>932</v>
      </c>
      <c r="E69" s="230" t="s">
        <v>541</v>
      </c>
      <c r="F69" s="230" t="s">
        <v>74</v>
      </c>
      <c r="G69" s="25" t="str">
        <f t="array" ref="G69">IFERROR(INDEX(Printer!D:D,MATCH(C69,Printer!H:H,0)),"list 없음")</f>
        <v>list 없음</v>
      </c>
      <c r="H69" s="25" t="str">
        <f t="array" ref="H69">IFERROR(INDEX(Ipad_List!C:C,MATCH(C69,Ipad_List!J:J,0)),"없음")</f>
        <v>OQ2GGXF3FK</v>
      </c>
      <c r="I69" s="175" t="s">
        <v>2273</v>
      </c>
      <c r="J69" s="40" t="str">
        <f t="array" ref="J69">IFERROR(INDEX(All_User!D:D,MATCH(C69,All_User!D:D,0)),"list없음")</f>
        <v>sunghoon.bang@stryker.com</v>
      </c>
    </row>
    <row r="70" spans="1:10" ht="13">
      <c r="A70" s="230">
        <v>1073089</v>
      </c>
      <c r="B70" s="230" t="s">
        <v>2341</v>
      </c>
      <c r="C70" s="230" t="s">
        <v>219</v>
      </c>
      <c r="D70" s="230" t="s">
        <v>854</v>
      </c>
      <c r="E70" s="230" t="s">
        <v>541</v>
      </c>
      <c r="F70" s="230" t="s">
        <v>122</v>
      </c>
      <c r="G70" s="25" t="str">
        <f t="array" ref="G70">IFERROR(INDEX(Printer!D:D,MATCH(C70,Printer!H:H,0)),"list 없음")</f>
        <v>list 없음</v>
      </c>
      <c r="H70" s="25" t="str">
        <f t="array" ref="H70">IFERROR(INDEX(Ipad_List!C:C,MATCH(C70,Ipad_List!J:J,0)),"없음")</f>
        <v>Q9JKF6RRK4</v>
      </c>
      <c r="I70" s="175" t="s">
        <v>2273</v>
      </c>
      <c r="J70" s="40" t="str">
        <f t="array" ref="J70">IFERROR(INDEX(All_User!D:D,MATCH(C70,All_User!D:D,0)),"list없음")</f>
        <v>daniel.jang@stryker.com</v>
      </c>
    </row>
    <row r="71" spans="1:10" ht="13">
      <c r="A71" s="230">
        <v>1029906</v>
      </c>
      <c r="B71" s="230" t="s">
        <v>2342</v>
      </c>
      <c r="C71" s="230" t="s">
        <v>379</v>
      </c>
      <c r="D71" s="230" t="s">
        <v>790</v>
      </c>
      <c r="E71" s="230" t="s">
        <v>1031</v>
      </c>
      <c r="F71" s="230" t="s">
        <v>55</v>
      </c>
      <c r="G71" s="25" t="str">
        <f t="array" ref="G71">IFERROR(INDEX(Printer!D:D,MATCH(C71,Printer!H:H,0)),"list 없음")</f>
        <v>list 없음</v>
      </c>
      <c r="H71" s="25" t="str">
        <f t="array" ref="H71">IFERROR(INDEX(Ipad_List!C:C,MATCH(C71,Ipad_List!J:J,0)),"없음")</f>
        <v>F9XWF4345F</v>
      </c>
      <c r="I71" s="175" t="s">
        <v>2273</v>
      </c>
      <c r="J71" s="40" t="str">
        <f t="array" ref="J71">IFERROR(INDEX(All_User!D:D,MATCH(C71,All_User!D:D,0)),"list없음")</f>
        <v>dongkyu.kim@stryker.com</v>
      </c>
    </row>
    <row r="72" spans="1:10" ht="13">
      <c r="A72" s="230">
        <v>1075226</v>
      </c>
      <c r="B72" s="230" t="s">
        <v>2343</v>
      </c>
      <c r="C72" s="230" t="s">
        <v>129</v>
      </c>
      <c r="D72" s="230" t="s">
        <v>790</v>
      </c>
      <c r="E72" s="230" t="s">
        <v>1031</v>
      </c>
      <c r="F72" s="230" t="s">
        <v>55</v>
      </c>
      <c r="G72" s="25" t="str">
        <f t="array" ref="G72">IFERROR(INDEX(Printer!D:D,MATCH(C72,Printer!H:H,0)),"list 없음")</f>
        <v>list 없음</v>
      </c>
      <c r="H72" s="25" t="str">
        <f t="array" ref="H72">IFERROR(INDEX(Ipad_List!C:C,MATCH(C72,Ipad_List!J:J,0)),"없음")</f>
        <v>QC36D93T16</v>
      </c>
      <c r="I72" s="175" t="s">
        <v>2273</v>
      </c>
      <c r="J72" s="40" t="str">
        <f t="array" ref="J72">IFERROR(INDEX(All_User!D:D,MATCH(C72,All_User!D:D,0)),"list없음")</f>
        <v>mason.choi@stryker.com</v>
      </c>
    </row>
    <row r="73" spans="1:10" ht="13">
      <c r="A73" s="230">
        <v>1075227</v>
      </c>
      <c r="B73" s="230" t="s">
        <v>2344</v>
      </c>
      <c r="C73" s="230" t="s">
        <v>757</v>
      </c>
      <c r="D73" s="230" t="s">
        <v>790</v>
      </c>
      <c r="E73" s="230" t="s">
        <v>1031</v>
      </c>
      <c r="F73" s="230" t="s">
        <v>55</v>
      </c>
      <c r="G73" s="25" t="str">
        <f t="array" ref="G73">IFERROR(INDEX(Printer!D:D,MATCH(C73,Printer!H:H,0)),"list 없음")</f>
        <v>list 없음</v>
      </c>
      <c r="H73" s="25" t="str">
        <f t="array" ref="H73">IFERROR(INDEX(Ipad_List!C:C,MATCH(C73,Ipad_List!J:J,0)),"없음")</f>
        <v>M90G1Q6XFP</v>
      </c>
      <c r="I73" s="175" t="s">
        <v>2273</v>
      </c>
      <c r="J73" s="40" t="str">
        <f t="array" ref="J73">IFERROR(INDEX(All_User!D:D,MATCH(C73,All_User!D:D,0)),"list없음")</f>
        <v>aaron.yoon@stryker.com</v>
      </c>
    </row>
    <row r="74" spans="1:10" ht="13">
      <c r="A74" s="230">
        <v>1062428</v>
      </c>
      <c r="B74" s="230" t="s">
        <v>2345</v>
      </c>
      <c r="C74" s="230" t="s">
        <v>423</v>
      </c>
      <c r="D74" s="230" t="s">
        <v>790</v>
      </c>
      <c r="E74" s="230" t="s">
        <v>1031</v>
      </c>
      <c r="F74" s="230" t="s">
        <v>55</v>
      </c>
      <c r="G74" s="25" t="str">
        <f t="array" ref="G74">IFERROR(INDEX(Printer!D:D,MATCH(C74,Printer!H:H,0)),"list 없음")</f>
        <v>list 없음</v>
      </c>
      <c r="H74" s="25" t="str">
        <f t="array" ref="H74">IFERROR(INDEX(Ipad_List!C:C,MATCH(C74,Ipad_List!J:J,0)),"없음")</f>
        <v>VHJMJWTK6N</v>
      </c>
      <c r="I74" s="175" t="s">
        <v>2273</v>
      </c>
      <c r="J74" s="40" t="str">
        <f t="array" ref="J74">IFERROR(INDEX(All_User!D:D,MATCH(C74,All_User!D:D,0)),"list없음")</f>
        <v>hannah.kim@stryker.com</v>
      </c>
    </row>
    <row r="75" spans="1:10" ht="13">
      <c r="A75" s="230">
        <v>1075858</v>
      </c>
      <c r="B75" s="230" t="s">
        <v>2346</v>
      </c>
      <c r="C75" s="230" t="s">
        <v>54</v>
      </c>
      <c r="D75" s="230" t="s">
        <v>790</v>
      </c>
      <c r="E75" s="230" t="s">
        <v>1031</v>
      </c>
      <c r="F75" s="230" t="s">
        <v>55</v>
      </c>
      <c r="G75" s="25" t="str">
        <f t="array" ref="G75">IFERROR(INDEX(Printer!D:D,MATCH(C75,Printer!H:H,0)),"list 없음")</f>
        <v>list 없음</v>
      </c>
      <c r="H75" s="25" t="str">
        <f t="array" ref="H75">IFERROR(INDEX(Ipad_List!C:C,MATCH(C75,Ipad_List!J:J,0)),"없음")</f>
        <v>HL7Q0T6MHW</v>
      </c>
      <c r="I75" s="175" t="s">
        <v>2273</v>
      </c>
      <c r="J75" s="40" t="str">
        <f t="array" ref="J75">IFERROR(INDEX(All_User!D:D,MATCH(C75,All_User!D:D,0)),"list없음")</f>
        <v>vincent.bae@stryker.com</v>
      </c>
    </row>
    <row r="76" spans="1:10" ht="13">
      <c r="A76" s="230">
        <v>1076111</v>
      </c>
      <c r="B76" s="230" t="s">
        <v>2347</v>
      </c>
      <c r="C76" s="230" t="s">
        <v>622</v>
      </c>
      <c r="D76" s="230" t="s">
        <v>790</v>
      </c>
      <c r="E76" s="230" t="s">
        <v>1031</v>
      </c>
      <c r="F76" s="230" t="s">
        <v>55</v>
      </c>
      <c r="G76" s="25" t="str">
        <f t="array" ref="G76">IFERROR(INDEX(Printer!D:D,MATCH(C76,Printer!H:H,0)),"list 없음")</f>
        <v>list 없음</v>
      </c>
      <c r="H76" s="25" t="str">
        <f t="array" ref="H76">IFERROR(INDEX(Ipad_List!C:C,MATCH(C76,Ipad_List!J:J,0)),"없음")</f>
        <v>L2717D33PM</v>
      </c>
      <c r="I76" s="175" t="s">
        <v>2273</v>
      </c>
      <c r="J76" s="40" t="str">
        <f t="array" ref="J76">IFERROR(INDEX(All_User!D:D,MATCH(C76,All_User!D:D,0)),"list없음")</f>
        <v>lucia.park@stryker.com</v>
      </c>
    </row>
    <row r="77" spans="1:10" ht="13">
      <c r="A77" s="230">
        <v>1076799</v>
      </c>
      <c r="B77" s="230" t="s">
        <v>2348</v>
      </c>
      <c r="C77" s="230" t="s">
        <v>789</v>
      </c>
      <c r="D77" s="230" t="s">
        <v>790</v>
      </c>
      <c r="E77" s="230" t="s">
        <v>541</v>
      </c>
      <c r="F77" s="230" t="s">
        <v>122</v>
      </c>
      <c r="G77" s="25" t="str">
        <f t="array" ref="G77">IFERROR(INDEX(Printer!D:D,MATCH(C77,Printer!H:H,0)),"list 없음")</f>
        <v>SL-C563W</v>
      </c>
      <c r="H77" s="25" t="str">
        <f t="array" ref="H77">IFERROR(INDEX(Ipad_List!C:C,MATCH(C77,Ipad_List!J:J,0)),"없음")</f>
        <v>FHTK4GJCF9</v>
      </c>
      <c r="I77" s="175" t="s">
        <v>2273</v>
      </c>
      <c r="J77" s="40" t="str">
        <f t="array" ref="J77">IFERROR(INDEX(All_User!D:D,MATCH(C77,All_User!D:D,0)),"list없음")</f>
        <v>neal.kim@stryker.com</v>
      </c>
    </row>
    <row r="78" spans="1:10" ht="13">
      <c r="A78" s="230">
        <v>1076800</v>
      </c>
      <c r="B78" s="230" t="s">
        <v>2349</v>
      </c>
      <c r="C78" s="230" t="s">
        <v>809</v>
      </c>
      <c r="D78" s="230" t="s">
        <v>790</v>
      </c>
      <c r="E78" s="230" t="s">
        <v>1031</v>
      </c>
      <c r="F78" s="230" t="s">
        <v>55</v>
      </c>
      <c r="G78" s="25" t="str">
        <f t="array" ref="G78">IFERROR(INDEX(Printer!D:D,MATCH(C78,Printer!H:H,0)),"list 없음")</f>
        <v>list 없음</v>
      </c>
      <c r="H78" s="25" t="str">
        <f t="array" ref="H78">IFERROR(INDEX(Ipad_List!C:C,MATCH(C78,Ipad_List!J:J,0)),"없음")</f>
        <v>H2JWWY6V5C</v>
      </c>
      <c r="I78" s="175" t="s">
        <v>2273</v>
      </c>
      <c r="J78" s="40" t="str">
        <f t="array" ref="J78">IFERROR(INDEX(All_User!D:D,MATCH(C78,All_User!D:D,0)),"list없음")</f>
        <v>lucas.heo@stryker.com</v>
      </c>
    </row>
    <row r="79" spans="1:10" ht="13">
      <c r="A79" s="230">
        <v>1029907</v>
      </c>
      <c r="B79" s="230" t="s">
        <v>2350</v>
      </c>
      <c r="C79" s="230" t="s">
        <v>836</v>
      </c>
      <c r="D79" s="230" t="s">
        <v>790</v>
      </c>
      <c r="E79" s="230" t="s">
        <v>1031</v>
      </c>
      <c r="F79" s="230" t="s">
        <v>70</v>
      </c>
      <c r="G79" s="25" t="str">
        <f t="array" ref="G79">IFERROR(INDEX(Printer!D:D,MATCH(C79,Printer!H:H,0)),"list 없음")</f>
        <v>list 없음</v>
      </c>
      <c r="H79" s="25" t="str">
        <f t="array" ref="H79">IFERROR(INDEX(Ipad_List!C:C,MATCH(C79,Ipad_List!J:J,0)),"없음")</f>
        <v>WR34FVRW4C</v>
      </c>
      <c r="I79" s="175" t="s">
        <v>2273</v>
      </c>
      <c r="J79" s="40" t="str">
        <f t="array" ref="J79">IFERROR(INDEX(All_User!D:D,MATCH(C79,All_User!D:D,0)),"list없음")</f>
        <v>bryan.park@stryker.com</v>
      </c>
    </row>
    <row r="80" spans="1:10" ht="13">
      <c r="B80" s="40" t="s">
        <v>745</v>
      </c>
      <c r="C80" s="40" t="s">
        <v>747</v>
      </c>
      <c r="E80" s="40" t="s">
        <v>1093</v>
      </c>
      <c r="G80" s="25" t="str">
        <f t="array" ref="G80">IFERROR(INDEX(Printer!D:D,MATCH(C80,Printer!H:H,0)),"list 없음")</f>
        <v>list 없음</v>
      </c>
      <c r="H80" s="25" t="str">
        <f t="array" ref="H80">IFERROR(INDEX(Ipad_List!C:C,MATCH(C80,Ipad_List!J:J,0)),"없음")</f>
        <v>D50QVTWX76</v>
      </c>
      <c r="I80" s="175" t="s">
        <v>2273</v>
      </c>
      <c r="J80" s="40" t="str">
        <f t="array" ref="J80">IFERROR(INDEX(All_User!D:D,MATCH(C80,All_User!D:D,0)),"list없음")</f>
        <v>bella.yoon@stryker.com</v>
      </c>
    </row>
    <row r="81" spans="2:10" ht="13">
      <c r="B81" s="40" t="s">
        <v>633</v>
      </c>
      <c r="C81" s="40" t="s">
        <v>635</v>
      </c>
      <c r="E81" s="40" t="s">
        <v>541</v>
      </c>
      <c r="G81" s="25" t="str">
        <f t="array" ref="G81">IFERROR(INDEX(Printer!D:D,MATCH(C81,Printer!H:H,0)),"list 없음")</f>
        <v>SL-C563W</v>
      </c>
      <c r="H81" s="25" t="str">
        <f t="array" ref="H81">IFERROR(INDEX(Ipad_List!C:C,MATCH(C81,Ipad_List!J:J,0)),"없음")</f>
        <v>KJ44CP93XQ</v>
      </c>
      <c r="I81" s="175" t="s">
        <v>2273</v>
      </c>
      <c r="J81" s="40" t="str">
        <f t="array" ref="J81">IFERROR(INDEX(All_User!D:D,MATCH(C81,All_User!D:D,0)),"list없음")</f>
        <v>Gregory.Seo@stryker.com</v>
      </c>
    </row>
    <row r="82" spans="2:10" ht="13">
      <c r="B82" s="40" t="s">
        <v>273</v>
      </c>
      <c r="C82" s="40" t="s">
        <v>275</v>
      </c>
      <c r="E82" s="40" t="s">
        <v>1093</v>
      </c>
      <c r="G82" s="40" t="str">
        <f t="array" ref="G82">IFERROR(INDEX(Printer!D:D,MATCH(C82,Printer!H:H,0)),"list 없음")</f>
        <v>list 없음</v>
      </c>
      <c r="H82" s="40" t="str">
        <f t="array" ref="H82">IFERROR(INDEX(Ipad_List!C:C,MATCH(C82,Ipad_List!J:J,0)),"없음")</f>
        <v>DG3XL2W5VX</v>
      </c>
      <c r="I82" s="175"/>
      <c r="J82" s="40" t="str">
        <f t="array" ref="J82">IFERROR(INDEX(All_User!D:D,MATCH(C82,All_User!D:D,0)),"list없음")</f>
        <v>jenny.jung@stryker.com</v>
      </c>
    </row>
    <row r="83" spans="2:10" ht="13">
      <c r="B83" s="40" t="s">
        <v>583</v>
      </c>
      <c r="C83" s="40" t="s">
        <v>585</v>
      </c>
      <c r="E83" s="40" t="s">
        <v>909</v>
      </c>
      <c r="G83" s="25" t="str">
        <f t="array" ref="G83">IFERROR(INDEX(Printer!D:D,MATCH(C83,Printer!H:H,0)),"list 없음")</f>
        <v>list 없음</v>
      </c>
      <c r="H83" s="25" t="str">
        <f t="array" ref="H83">IFERROR(INDEX(Ipad_List!C:C,MATCH(C83,Ipad_List!J:J,0)),"없음")</f>
        <v>DP77MWKXNR</v>
      </c>
      <c r="I83" s="175" t="s">
        <v>2273</v>
      </c>
      <c r="J83" s="40" t="str">
        <f t="array" ref="J83">IFERROR(INDEX(All_User!D:D,MATCH(C83,All_User!D:D,0)),"list없음")</f>
        <v>owen.park@stryker.com</v>
      </c>
    </row>
    <row r="84" spans="2:10" ht="13">
      <c r="B84" s="40" t="s">
        <v>476</v>
      </c>
      <c r="C84" s="40" t="s">
        <v>478</v>
      </c>
      <c r="E84" s="40" t="s">
        <v>1093</v>
      </c>
      <c r="G84" s="25" t="str">
        <f t="array" ref="G84">IFERROR(INDEX(Printer!D:D,MATCH(C84,Printer!H:H,0)),"list 없음")</f>
        <v>list 없음</v>
      </c>
      <c r="H84" s="25" t="str">
        <f t="array" ref="H84">IFERROR(INDEX(Ipad_List!C:C,MATCH(C84,Ipad_List!J:J,0)),"없음")</f>
        <v>GWR3CYT2GJ</v>
      </c>
      <c r="I84" s="175" t="s">
        <v>2273</v>
      </c>
      <c r="J84" s="40" t="str">
        <f t="array" ref="J84">IFERROR(INDEX(All_User!D:D,MATCH(C84,All_User!D:D,0)),"list없음")</f>
        <v>rosie.lee@stryker.com</v>
      </c>
    </row>
    <row r="85" spans="2:10" ht="13">
      <c r="B85" s="40" t="s">
        <v>758</v>
      </c>
      <c r="C85" s="40" t="s">
        <v>760</v>
      </c>
      <c r="E85" s="40" t="s">
        <v>1093</v>
      </c>
      <c r="G85" s="40" t="str">
        <f t="array" ref="G85">IFERROR(INDEX(Printer!D:D,MATCH(C85,Printer!H:H,0)),"list 없음")</f>
        <v>list 없음</v>
      </c>
      <c r="H85" s="40" t="str">
        <f t="array" ref="H85">IFERROR(INDEX(Ipad_List!C:C,MATCH(C85,Ipad_List!J:J,0)),"없음")</f>
        <v>HYC714DK25</v>
      </c>
      <c r="I85" s="175"/>
      <c r="J85" s="40" t="str">
        <f t="array" ref="J85">IFERROR(INDEX(All_User!D:D,MATCH(C85,All_User!D:D,0)),"list없음")</f>
        <v>sarah.youn@stryker.com</v>
      </c>
    </row>
    <row r="86" spans="2:10" ht="13">
      <c r="B86" s="40" t="s">
        <v>234</v>
      </c>
      <c r="C86" s="40" t="s">
        <v>236</v>
      </c>
      <c r="E86" s="40" t="s">
        <v>541</v>
      </c>
      <c r="G86" s="25" t="str">
        <f t="array" ref="G86">IFERROR(INDEX(Printer!D:D,MATCH(C86,Printer!H:H,0)),"list 없음")</f>
        <v>SL-C563W</v>
      </c>
      <c r="H86" s="25" t="str">
        <f t="array" ref="H86">IFERROR(INDEX(Ipad_List!C:C,MATCH(C86,Ipad_List!J:J,0)),"없음")</f>
        <v>M2FKP9T7QX</v>
      </c>
      <c r="I86" s="175" t="s">
        <v>2273</v>
      </c>
      <c r="J86" s="40" t="str">
        <f t="array" ref="J86">IFERROR(INDEX(All_User!D:D,MATCH(C86,All_User!D:D,0)),"list없음")</f>
        <v>yoonbee.jeong@stryker.com</v>
      </c>
    </row>
    <row r="87" spans="2:10" ht="13">
      <c r="B87" s="40" t="s">
        <v>340</v>
      </c>
      <c r="C87" s="40" t="s">
        <v>342</v>
      </c>
      <c r="E87" s="40" t="s">
        <v>541</v>
      </c>
      <c r="G87" s="40" t="str">
        <f t="array" ref="G87">IFERROR(INDEX(Printer!D:D,MATCH(C87,Printer!H:H,0)),"list 없음")</f>
        <v>확인중</v>
      </c>
      <c r="H87" s="40" t="str">
        <f t="array" ref="H87">IFERROR(INDEX(Ipad_List!C:C,MATCH(C87,Ipad_List!J:J,0)),"없음")</f>
        <v>MK21Q5L65C</v>
      </c>
      <c r="I87" s="175"/>
      <c r="J87" s="40" t="str">
        <f t="array" ref="J87">IFERROR(INDEX(All_User!D:D,MATCH(C87,All_User!D:D,0)),"list없음")</f>
        <v>jackson.kim@stryker.com</v>
      </c>
    </row>
    <row r="88" spans="2:10" ht="13">
      <c r="B88" s="40" t="s">
        <v>321</v>
      </c>
      <c r="C88" s="40" t="s">
        <v>322</v>
      </c>
      <c r="E88" s="40" t="s">
        <v>1093</v>
      </c>
      <c r="G88" s="25" t="str">
        <f t="array" ref="G88">IFERROR(INDEX(Printer!D:D,MATCH(C88,Printer!H:H,0)),"list 없음")</f>
        <v>list 없음</v>
      </c>
      <c r="H88" s="25" t="str">
        <f t="array" ref="H88">IFERROR(INDEX(Ipad_List!C:C,MATCH(C88,Ipad_List!J:J,0)),"없음")</f>
        <v>FQPW2GVP7C</v>
      </c>
      <c r="I88" s="175" t="s">
        <v>2273</v>
      </c>
      <c r="J88" s="40" t="str">
        <f t="array" ref="J88">IFERROR(INDEX(All_User!D:D,MATCH(C88,All_User!D:D,0)),"list없음")</f>
        <v>Rayna.Kim@stryker.com</v>
      </c>
    </row>
    <row r="89" spans="2:10" ht="13">
      <c r="B89" s="40" t="s">
        <v>259</v>
      </c>
      <c r="C89" s="40" t="s">
        <v>261</v>
      </c>
      <c r="E89" s="40" t="s">
        <v>541</v>
      </c>
      <c r="G89" s="25" t="str">
        <f t="array" ref="G89">IFERROR(INDEX(Printer!D:D,MATCH(C89,Printer!H:H,0)),"list 없음")</f>
        <v>list 없음</v>
      </c>
      <c r="H89" s="25" t="str">
        <f t="array" ref="H89">IFERROR(INDEX(Ipad_List!C:C,MATCH(C89,Ipad_List!J:J,0)),"없음")</f>
        <v>GGWR7NXY2D</v>
      </c>
      <c r="I89" s="175" t="s">
        <v>2273</v>
      </c>
      <c r="J89" s="40" t="str">
        <f t="array" ref="J89">IFERROR(INDEX(All_User!D:D,MATCH(C89,All_User!D:D,0)),"list없음")</f>
        <v>jay.ji@stryker.com</v>
      </c>
    </row>
    <row r="90" spans="2:10" ht="13">
      <c r="B90" s="40" t="s">
        <v>29</v>
      </c>
      <c r="C90" s="40" t="s">
        <v>31</v>
      </c>
      <c r="E90" s="40" t="s">
        <v>909</v>
      </c>
      <c r="G90" s="25" t="str">
        <f t="array" ref="G90">IFERROR(INDEX(Printer!D:D,MATCH(C90,Printer!H:H,0)),"list 없음")</f>
        <v>list 없음</v>
      </c>
      <c r="H90" s="25" t="str">
        <f t="array" ref="H90">IFERROR(INDEX(Ipad_List!C:C,MATCH(C90,Ipad_List!J:J,0)),"없음")</f>
        <v>C4RQH3W74V</v>
      </c>
      <c r="I90" s="175" t="s">
        <v>2273</v>
      </c>
      <c r="J90" s="40" t="str">
        <f t="array" ref="J90">IFERROR(INDEX(All_User!D:D,MATCH(C90,All_User!D:D,0)),"list없음")</f>
        <v>andrew.ahn@stryker.com</v>
      </c>
    </row>
    <row r="91" spans="2:10" ht="13">
      <c r="B91" s="40" t="s">
        <v>356</v>
      </c>
      <c r="C91" s="40" t="s">
        <v>358</v>
      </c>
      <c r="E91" s="40" t="s">
        <v>1093</v>
      </c>
      <c r="G91" s="25" t="str">
        <f t="array" ref="G91">IFERROR(INDEX(Printer!D:D,MATCH(C91,Printer!H:H,0)),"list 없음")</f>
        <v>SL-C563W</v>
      </c>
      <c r="H91" s="25" t="str">
        <f t="array" ref="H91">IFERROR(INDEX(Ipad_List!C:C,MATCH(C91,Ipad_List!J:J,0)),"없음")</f>
        <v>HYFKQFR4RD</v>
      </c>
      <c r="I91" s="175" t="s">
        <v>2273</v>
      </c>
      <c r="J91" s="40" t="str">
        <f t="array" ref="J91">IFERROR(INDEX(All_User!D:D,MATCH(C91,All_User!D:D,0)),"list없음")</f>
        <v>yeonjoo.kim@stryker.com</v>
      </c>
    </row>
    <row r="92" spans="2:10" ht="13">
      <c r="B92" s="40" t="s">
        <v>88</v>
      </c>
      <c r="C92" s="40" t="s">
        <v>90</v>
      </c>
      <c r="E92" s="40" t="s">
        <v>909</v>
      </c>
      <c r="G92" s="40" t="str">
        <f t="array" ref="G92">IFERROR(INDEX(Printer!D:D,MATCH(C92,Printer!H:H,0)),"list 없음")</f>
        <v>list 없음</v>
      </c>
      <c r="H92" s="40" t="str">
        <f t="array" ref="H92">IFERROR(INDEX(Ipad_List!C:C,MATCH(C92,Ipad_List!J:J,0)),"없음")</f>
        <v>Q4VGFW40QV</v>
      </c>
      <c r="I92" s="175"/>
      <c r="J92" s="40" t="str">
        <f t="array" ref="J92">IFERROR(INDEX(All_User!D:D,MATCH(C92,All_User!D:D,0)),"list없음")</f>
        <v>carl.cha@stryker.com</v>
      </c>
    </row>
    <row r="93" spans="2:10" ht="13">
      <c r="B93" s="40" t="s">
        <v>204</v>
      </c>
      <c r="C93" s="40" t="s">
        <v>206</v>
      </c>
      <c r="E93" s="40" t="s">
        <v>909</v>
      </c>
      <c r="G93" s="40" t="str">
        <f t="array" ref="G93">IFERROR(INDEX(Printer!D:D,MATCH(C93,Printer!H:H,0)),"list 없음")</f>
        <v>확인중</v>
      </c>
      <c r="H93" s="40" t="str">
        <f t="array" ref="H93">IFERROR(INDEX(Ipad_List!C:C,MATCH(C93,Ipad_List!J:J,0)),"없음")</f>
        <v>XYGFK42KQP</v>
      </c>
      <c r="I93" s="175"/>
      <c r="J93" s="40" t="str">
        <f t="array" ref="J93">IFERROR(INDEX(All_User!D:D,MATCH(C93,All_User!D:D,0)),"list없음")</f>
        <v>oscar.hwang@stryker.com</v>
      </c>
    </row>
    <row r="94" spans="2:10" ht="13">
      <c r="B94" s="40" t="s">
        <v>380</v>
      </c>
      <c r="C94" s="40" t="s">
        <v>382</v>
      </c>
      <c r="E94" s="40" t="s">
        <v>1093</v>
      </c>
      <c r="G94" s="25" t="str">
        <f t="array" ref="G94">IFERROR(INDEX(Printer!D:D,MATCH(C94,Printer!H:H,0)),"list 없음")</f>
        <v>list 없음</v>
      </c>
      <c r="H94" s="25" t="str">
        <f t="array" ref="H94">IFERROR(INDEX(Ipad_List!C:C,MATCH(C94,Ipad_List!J:J,0)),"없음")</f>
        <v>XGH27YLWQM</v>
      </c>
      <c r="I94" s="175" t="s">
        <v>2273</v>
      </c>
      <c r="J94" s="40" t="str">
        <f t="array" ref="J94">IFERROR(INDEX(All_User!D:D,MATCH(C94,All_User!D:D,0)),"list없음")</f>
        <v>minki.kim@stryker.com</v>
      </c>
    </row>
    <row r="95" spans="2:10" ht="13">
      <c r="B95" s="40" t="s">
        <v>693</v>
      </c>
      <c r="C95" s="40" t="s">
        <v>695</v>
      </c>
      <c r="E95" s="40" t="s">
        <v>909</v>
      </c>
      <c r="G95" s="40" t="str">
        <f t="array" ref="G95">IFERROR(INDEX(Printer!D:D,MATCH(C95,Printer!H:H,0)),"list 없음")</f>
        <v>list 없음</v>
      </c>
      <c r="H95" s="40" t="str">
        <f t="array" ref="H95">IFERROR(INDEX(Ipad_List!C:C,MATCH(C95,Ipad_List!J:J,0)),"없음")</f>
        <v>RVF25297YV</v>
      </c>
      <c r="I95" s="175"/>
      <c r="J95" s="40" t="str">
        <f t="array" ref="J95">IFERROR(INDEX(All_User!D:D,MATCH(C95,All_User!D:D,0)),"list없음")</f>
        <v>jayden.song@stryker.com</v>
      </c>
    </row>
    <row r="96" spans="2:10" ht="13">
      <c r="B96" s="40" t="s">
        <v>847</v>
      </c>
      <c r="C96" s="40" t="s">
        <v>849</v>
      </c>
      <c r="E96" s="40" t="s">
        <v>541</v>
      </c>
      <c r="G96" s="40" t="str">
        <f t="array" ref="G96">IFERROR(INDEX(Printer!D:D,MATCH(C96,Printer!H:H,0)),"list 없음")</f>
        <v>SL-C563W</v>
      </c>
      <c r="H96" s="40" t="str">
        <f t="array" ref="H96">IFERROR(INDEX(Ipad_List!C:C,MATCH(C96,Ipad_List!J:J,0)),"없음")</f>
        <v>GHL46K1F9M</v>
      </c>
      <c r="I96" s="175"/>
      <c r="J96" s="40" t="str">
        <f t="array" ref="J96">IFERROR(INDEX(All_User!D:D,MATCH(C96,All_User!D:D,0)),"list없음")</f>
        <v>ian.hwang@stryker.com</v>
      </c>
    </row>
    <row r="97" spans="2:10" ht="13">
      <c r="B97" s="40" t="s">
        <v>479</v>
      </c>
      <c r="C97" s="40" t="s">
        <v>481</v>
      </c>
      <c r="E97" s="40" t="s">
        <v>909</v>
      </c>
      <c r="G97" s="25" t="str">
        <f t="array" ref="G97">IFERROR(INDEX(Printer!D:D,MATCH(C97,Printer!H:H,0)),"list 없음")</f>
        <v>SL-C563W</v>
      </c>
      <c r="H97" s="25" t="str">
        <f t="array" ref="H97">IFERROR(INDEX(Ipad_List!C:C,MATCH(C97,Ipad_List!J:J,0)),"없음")</f>
        <v>FN47DRXYYW</v>
      </c>
      <c r="I97" s="175" t="s">
        <v>2273</v>
      </c>
      <c r="J97" s="40" t="str">
        <f t="array" ref="J97">IFERROR(INDEX(All_User!D:D,MATCH(C97,All_User!D:D,0)),"list없음")</f>
        <v>daniel.lee1@stryker.com</v>
      </c>
    </row>
    <row r="98" spans="2:10" ht="13">
      <c r="B98" s="40" t="s">
        <v>665</v>
      </c>
      <c r="C98" s="40" t="s">
        <v>667</v>
      </c>
      <c r="E98" s="40" t="s">
        <v>909</v>
      </c>
      <c r="G98" s="25" t="str">
        <f t="array" ref="G98">IFERROR(INDEX(Printer!D:D,MATCH(C98,Printer!H:H,0)),"list 없음")</f>
        <v>SL-C563W</v>
      </c>
      <c r="H98" s="25" t="str">
        <f t="array" ref="H98">IFERROR(INDEX(Ipad_List!C:C,MATCH(C98,Ipad_List!J:J,0)),"없음")</f>
        <v>RFJJ97J4YG</v>
      </c>
      <c r="I98" s="175" t="s">
        <v>2273</v>
      </c>
      <c r="J98" s="40" t="str">
        <f t="array" ref="J98">IFERROR(INDEX(All_User!D:D,MATCH(C98,All_User!D:D,0)),"list없음")</f>
        <v>Huey.Sim@stryker.com</v>
      </c>
    </row>
    <row r="99" spans="2:10" ht="13">
      <c r="B99" s="40" t="s">
        <v>130</v>
      </c>
      <c r="C99" s="40" t="s">
        <v>132</v>
      </c>
      <c r="E99" s="40" t="s">
        <v>1093</v>
      </c>
      <c r="G99" s="25" t="str">
        <f t="array" ref="G99">IFERROR(INDEX(Printer!D:D,MATCH(C99,Printer!H:H,0)),"list 없음")</f>
        <v>SL-C483W</v>
      </c>
      <c r="H99" s="25" t="str">
        <f t="array" ref="H99">IFERROR(INDEX(Ipad_List!C:C,MATCH(C99,Ipad_List!J:J,0)),"없음")</f>
        <v>GMF3VLXNKG</v>
      </c>
      <c r="I99" s="175" t="s">
        <v>2273</v>
      </c>
      <c r="J99" s="40" t="str">
        <f t="array" ref="J99">IFERROR(INDEX(All_User!D:D,MATCH(C99,All_User!D:D,0)),"list없음")</f>
        <v>jae.chung@stryker.com</v>
      </c>
    </row>
    <row r="100" spans="2:10" ht="13">
      <c r="B100" s="40" t="s">
        <v>566</v>
      </c>
      <c r="C100" s="40" t="s">
        <v>568</v>
      </c>
      <c r="E100" s="40" t="s">
        <v>1093</v>
      </c>
      <c r="G100" s="25" t="str">
        <f t="array" ref="G100">IFERROR(INDEX(Printer!D:D,MATCH(C100,Printer!H:H,0)),"list 없음")</f>
        <v>list 없음</v>
      </c>
      <c r="H100" s="25" t="str">
        <f t="array" ref="H100">IFERROR(INDEX(Ipad_List!C:C,MATCH(C100,Ipad_List!J:J,0)),"없음")</f>
        <v>TK79FYYWPV</v>
      </c>
      <c r="I100" s="175" t="s">
        <v>2273</v>
      </c>
      <c r="J100" s="40" t="str">
        <f t="array" ref="J100">IFERROR(INDEX(All_User!D:D,MATCH(C100,All_User!D:D,0)),"list없음")</f>
        <v>julie.park@stryker.com</v>
      </c>
    </row>
    <row r="101" spans="2:10" ht="13">
      <c r="B101" s="40" t="s">
        <v>469</v>
      </c>
      <c r="C101" s="40" t="s">
        <v>471</v>
      </c>
      <c r="E101" s="40" t="s">
        <v>909</v>
      </c>
      <c r="G101" s="25" t="str">
        <f t="array" ref="G101">IFERROR(INDEX(Printer!D:D,MATCH(C101,Printer!H:H,0)),"list 없음")</f>
        <v>SL-C563W</v>
      </c>
      <c r="H101" s="25" t="str">
        <f t="array" ref="H101">IFERROR(INDEX(Ipad_List!C:C,MATCH(C101,Ipad_List!J:J,0)),"없음")</f>
        <v>Q0C6LC7F3X</v>
      </c>
      <c r="I101" s="175" t="s">
        <v>2273</v>
      </c>
      <c r="J101" s="40" t="str">
        <f t="array" ref="J101">IFERROR(INDEX(All_User!D:D,MATCH(C101,All_User!D:D,0)),"list없음")</f>
        <v>david.lee4@stryker.com</v>
      </c>
    </row>
    <row r="102" spans="2:10" ht="13">
      <c r="B102" s="40" t="s">
        <v>220</v>
      </c>
      <c r="C102" s="40" t="s">
        <v>222</v>
      </c>
      <c r="E102" s="40" t="s">
        <v>909</v>
      </c>
      <c r="G102" s="25" t="str">
        <f t="array" ref="G102">IFERROR(INDEX(Printer!D:D,MATCH(C102,Printer!H:H,0)),"list 없음")</f>
        <v>list 없음</v>
      </c>
      <c r="H102" s="25" t="str">
        <f t="array" ref="H102">IFERROR(INDEX(Ipad_List!C:C,MATCH(C102,Ipad_List!J:J,0)),"없음")</f>
        <v>G7CV2M99YM</v>
      </c>
      <c r="I102" s="175" t="s">
        <v>2273</v>
      </c>
      <c r="J102" s="40" t="str">
        <f t="array" ref="J102">IFERROR(INDEX(All_User!D:D,MATCH(C102,All_User!D:D,0)),"list없음")</f>
        <v>ethan.jang@stryker.com</v>
      </c>
    </row>
    <row r="103" spans="2:10" ht="13">
      <c r="B103" s="40" t="s">
        <v>2351</v>
      </c>
      <c r="C103" s="231" t="s">
        <v>538</v>
      </c>
      <c r="D103" s="40" t="s">
        <v>2352</v>
      </c>
      <c r="E103" s="230" t="s">
        <v>541</v>
      </c>
      <c r="F103" s="231" t="s">
        <v>539</v>
      </c>
      <c r="G103" s="25" t="str">
        <f t="array" ref="G103">IFERROR(INDEX(Printer!D:D,MATCH(C103,Printer!H:H,0)),"list 없음")</f>
        <v>list 없음</v>
      </c>
      <c r="H103" s="25" t="str">
        <f t="array" ref="H103">IFERROR(INDEX(Ipad_List!C:C,MATCH(C103,Ipad_List!J:J,0)),"없음")</f>
        <v>MP2C9F46FN</v>
      </c>
      <c r="I103" s="175" t="s">
        <v>2273</v>
      </c>
      <c r="J103" s="40" t="str">
        <f t="array" ref="J103">IFERROR(INDEX(All_User!D:D,MATCH(C103,All_User!D:D,0)),"list없음")</f>
        <v>peter.oh@stryker.com</v>
      </c>
    </row>
    <row r="104" spans="2:10" ht="15">
      <c r="B104" s="40" t="s">
        <v>2353</v>
      </c>
      <c r="C104" s="40" t="s">
        <v>558</v>
      </c>
      <c r="D104" s="94" t="s">
        <v>790</v>
      </c>
      <c r="E104" s="230" t="s">
        <v>541</v>
      </c>
      <c r="F104" s="232" t="s">
        <v>559</v>
      </c>
      <c r="G104" s="40" t="str">
        <f t="array" ref="G104">IFERROR(INDEX(Printer!D:D,MATCH(C104,Printer!H:H,0)),"list 없음")</f>
        <v>list 없음</v>
      </c>
      <c r="H104" s="40" t="str">
        <f t="array" ref="H104">IFERROR(INDEX(Ipad_List!C:C,MATCH(C104,Ipad_List!J:J,0)),"없음")</f>
        <v>없음</v>
      </c>
      <c r="I104" s="175"/>
    </row>
    <row r="105" spans="2:10" ht="13">
      <c r="B105" s="63" t="s">
        <v>547</v>
      </c>
      <c r="C105" s="63" t="s">
        <v>549</v>
      </c>
      <c r="E105" s="40" t="s">
        <v>1093</v>
      </c>
      <c r="G105" s="40" t="str">
        <f t="array" ref="G105">IFERROR(INDEX(Printer!D:D,MATCH(C105,Printer!H:H,0)),"list 없음")</f>
        <v>list 없음</v>
      </c>
      <c r="H105" s="40" t="str">
        <f t="array" ref="H105">IFERROR(INDEX(Ipad_List!C:C,MATCH(C105,Ipad_List!J:J,0)),"없음")</f>
        <v>없음</v>
      </c>
      <c r="I105" s="175"/>
    </row>
    <row r="106" spans="2:10" ht="13">
      <c r="C106" s="40" t="s">
        <v>455</v>
      </c>
      <c r="G106" s="40" t="str">
        <f t="array" ref="G106">IFERROR(INDEX(Printer!D:D,MATCH(C106,Printer!H:H,0)),"list 없음")</f>
        <v>확인중</v>
      </c>
      <c r="H106" s="40" t="str">
        <f t="array" ref="H106">IFERROR(INDEX(Ipad_List!C:C,MATCH(C106,Ipad_List!J:J,0)),"없음")</f>
        <v>M7WVNHQ0YQ</v>
      </c>
      <c r="I106" s="175"/>
      <c r="J106" s="40" t="str">
        <f t="array" ref="J106">IFERROR(INDEX(All_User!D:D,MATCH(C106,All_User!D:D,0)),"list없음")</f>
        <v>Jeff.Lee@stryker.com</v>
      </c>
    </row>
    <row r="107" spans="2:10" ht="13">
      <c r="C107" s="40" t="s">
        <v>25</v>
      </c>
      <c r="G107" s="40" t="str">
        <f t="array" ref="G107">IFERROR(INDEX(Printer!D:D,MATCH(C107,Printer!H:H,0)),"list 없음")</f>
        <v>확인중</v>
      </c>
      <c r="H107" s="40" t="str">
        <f t="array" ref="H107">IFERROR(INDEX(Ipad_List!C:C,MATCH(C107,Ipad_List!J:J,0)),"없음")</f>
        <v>L69V0Q1VT3</v>
      </c>
      <c r="I107" s="175"/>
      <c r="J107" s="40" t="str">
        <f t="array" ref="J107">IFERROR(INDEX(All_User!D:D,MATCH(C107,All_User!D:D,0)),"list없음")</f>
        <v>gd.ahn@stryker.com</v>
      </c>
    </row>
    <row r="108" spans="2:10" ht="13">
      <c r="C108" s="40" t="s">
        <v>114</v>
      </c>
      <c r="G108" s="40" t="str">
        <f t="array" ref="G108">IFERROR(INDEX(Printer!D:D,MATCH(C108,Printer!H:H,0)),"list 없음")</f>
        <v>폐기</v>
      </c>
      <c r="H108" s="40" t="str">
        <f t="array" ref="H108">IFERROR(INDEX(Ipad_List!C:C,MATCH(C108,Ipad_List!J:J,0)),"없음")</f>
        <v>LD0W924NX3</v>
      </c>
      <c r="I108" s="175"/>
      <c r="J108" s="40" t="str">
        <f t="array" ref="J108">IFERROR(INDEX(All_User!D:D,MATCH(C108,All_User!D:D,0)),"list없음")</f>
        <v>roy.choi@stryker.com</v>
      </c>
    </row>
    <row r="109" spans="2:10" ht="13">
      <c r="C109" s="40" t="s">
        <v>316</v>
      </c>
      <c r="G109" s="40" t="str">
        <f t="array" ref="G109">IFERROR(INDEX(Printer!D:D,MATCH(C109,Printer!H:H,0)),"list 없음")</f>
        <v>확인중</v>
      </c>
      <c r="H109" s="40" t="str">
        <f t="array" ref="H109">IFERROR(INDEX(Ipad_List!C:C,MATCH(C109,Ipad_List!J:J,0)),"없음")</f>
        <v>DDPWWYNVPX</v>
      </c>
      <c r="I109" s="175"/>
      <c r="J109" s="40" t="str">
        <f t="array" ref="J109">IFERROR(INDEX(All_User!D:D,MATCH(C109,All_User!D:D,0)),"list없음")</f>
        <v>Sue.Kim@stryker.com</v>
      </c>
    </row>
    <row r="110" spans="2:10" ht="13">
      <c r="C110" s="40" t="s">
        <v>640</v>
      </c>
      <c r="G110" s="40" t="str">
        <f t="array" ref="G110">IFERROR(INDEX(Printer!D:D,MATCH(C110,Printer!H:H,0)),"list 없음")</f>
        <v>확인중</v>
      </c>
      <c r="H110" s="40" t="str">
        <f t="array" ref="H110">IFERROR(INDEX(Ipad_List!C:C,MATCH(C110,Ipad_List!J:J,0)),"없음")</f>
        <v>없음</v>
      </c>
      <c r="I110" s="175"/>
      <c r="J110" s="40" t="str">
        <f t="array" ref="J110">IFERROR(INDEX(All_User!D:D,MATCH(C110,All_User!D:D,0)),"list없음")</f>
        <v>junghoon.seo@stryker.com</v>
      </c>
    </row>
    <row r="111" spans="2:10" ht="13">
      <c r="C111" s="38" t="s">
        <v>2114</v>
      </c>
      <c r="G111" s="40" t="str">
        <f t="array" ref="G111">IFERROR(INDEX(Printer!D:D,MATCH(C111,Printer!H:H,0)),"list 없음")</f>
        <v>SL-C486FW</v>
      </c>
      <c r="H111" s="40" t="str">
        <f t="array" ref="H111">IFERROR(INDEX(Ipad_List!C:C,MATCH(C111,Ipad_List!J:J,0)),"없음")</f>
        <v>없음</v>
      </c>
      <c r="I111" s="175" t="s">
        <v>2273</v>
      </c>
    </row>
    <row r="112" spans="2:10" ht="13">
      <c r="C112" s="38" t="s">
        <v>2115</v>
      </c>
      <c r="G112" s="40" t="str">
        <f t="array" ref="G112">IFERROR(INDEX(Printer!D:D,MATCH(C112,Printer!H:H,0)),"list 없음")</f>
        <v>SL-C563W</v>
      </c>
      <c r="H112" s="40" t="str">
        <f t="array" ref="H112">IFERROR(INDEX(Ipad_List!C:C,MATCH(C112,Ipad_List!J:J,0)),"없음")</f>
        <v>없음</v>
      </c>
      <c r="I112" s="175" t="s">
        <v>2273</v>
      </c>
    </row>
    <row r="113" spans="3:9" ht="13">
      <c r="C113" s="38" t="s">
        <v>2116</v>
      </c>
      <c r="G113" s="40" t="str">
        <f t="array" ref="G113">IFERROR(INDEX(Printer!D:D,MATCH(C113,Printer!H:H,0)),"list 없음")</f>
        <v>SL-C483FW</v>
      </c>
      <c r="H113" s="40" t="str">
        <f t="array" ref="H113">IFERROR(INDEX(Ipad_List!C:C,MATCH(C113,Ipad_List!J:J,0)),"없음")</f>
        <v>없음</v>
      </c>
      <c r="I113" s="175" t="s">
        <v>2273</v>
      </c>
    </row>
    <row r="114" spans="3:9" ht="13">
      <c r="I114" s="175"/>
    </row>
    <row r="115" spans="3:9" ht="13">
      <c r="I115" s="175"/>
    </row>
    <row r="116" spans="3:9" ht="13">
      <c r="I116" s="175"/>
    </row>
    <row r="117" spans="3:9" ht="13">
      <c r="I117" s="175"/>
    </row>
    <row r="118" spans="3:9" ht="13">
      <c r="I118" s="175"/>
    </row>
    <row r="119" spans="3:9" ht="13">
      <c r="I119" s="175"/>
    </row>
    <row r="120" spans="3:9" ht="13">
      <c r="I120" s="175"/>
    </row>
    <row r="121" spans="3:9" ht="13">
      <c r="I121" s="175"/>
    </row>
    <row r="122" spans="3:9" ht="13">
      <c r="I122" s="175"/>
    </row>
    <row r="123" spans="3:9" ht="13">
      <c r="I123" s="175"/>
    </row>
    <row r="124" spans="3:9" ht="13">
      <c r="I124" s="175"/>
    </row>
    <row r="125" spans="3:9" ht="13">
      <c r="I125" s="175"/>
    </row>
    <row r="126" spans="3:9" ht="13">
      <c r="I126" s="175"/>
    </row>
    <row r="127" spans="3:9" ht="13">
      <c r="I127" s="175"/>
    </row>
    <row r="128" spans="3:9" ht="13">
      <c r="I128" s="175"/>
    </row>
    <row r="129" spans="9:9" ht="13">
      <c r="I129" s="175"/>
    </row>
    <row r="130" spans="9:9" ht="13">
      <c r="I130" s="175"/>
    </row>
    <row r="131" spans="9:9" ht="13">
      <c r="I131" s="175"/>
    </row>
    <row r="132" spans="9:9" ht="13">
      <c r="I132" s="175"/>
    </row>
    <row r="133" spans="9:9" ht="13">
      <c r="I133" s="175"/>
    </row>
    <row r="134" spans="9:9" ht="13">
      <c r="I134" s="175"/>
    </row>
    <row r="135" spans="9:9" ht="13">
      <c r="I135" s="175"/>
    </row>
    <row r="136" spans="9:9" ht="13">
      <c r="I136" s="175"/>
    </row>
    <row r="137" spans="9:9" ht="13">
      <c r="I137" s="175"/>
    </row>
    <row r="138" spans="9:9" ht="13">
      <c r="I138" s="175"/>
    </row>
    <row r="139" spans="9:9" ht="13">
      <c r="I139" s="175"/>
    </row>
    <row r="140" spans="9:9" ht="13">
      <c r="I140" s="175"/>
    </row>
    <row r="141" spans="9:9" ht="13">
      <c r="I141" s="175"/>
    </row>
    <row r="142" spans="9:9" ht="13">
      <c r="I142" s="175"/>
    </row>
    <row r="143" spans="9:9" ht="13">
      <c r="I143" s="175"/>
    </row>
    <row r="144" spans="9:9" ht="13">
      <c r="I144" s="175"/>
    </row>
    <row r="145" spans="9:9" ht="13">
      <c r="I145" s="175"/>
    </row>
    <row r="146" spans="9:9" ht="13">
      <c r="I146" s="175"/>
    </row>
    <row r="147" spans="9:9" ht="13">
      <c r="I147" s="175"/>
    </row>
    <row r="148" spans="9:9" ht="13">
      <c r="I148" s="175"/>
    </row>
    <row r="149" spans="9:9" ht="13">
      <c r="I149" s="175"/>
    </row>
    <row r="150" spans="9:9" ht="13">
      <c r="I150" s="175"/>
    </row>
    <row r="151" spans="9:9" ht="13">
      <c r="I151" s="175"/>
    </row>
    <row r="152" spans="9:9" ht="13">
      <c r="I152" s="175"/>
    </row>
    <row r="153" spans="9:9" ht="13">
      <c r="I153" s="175"/>
    </row>
    <row r="154" spans="9:9" ht="13">
      <c r="I154" s="175"/>
    </row>
    <row r="155" spans="9:9" ht="13">
      <c r="I155" s="175"/>
    </row>
    <row r="156" spans="9:9" ht="13">
      <c r="I156" s="175"/>
    </row>
    <row r="157" spans="9:9" ht="13">
      <c r="I157" s="175"/>
    </row>
    <row r="158" spans="9:9" ht="13">
      <c r="I158" s="175"/>
    </row>
    <row r="159" spans="9:9" ht="13">
      <c r="I159" s="175"/>
    </row>
    <row r="160" spans="9:9" ht="13">
      <c r="I160" s="175"/>
    </row>
    <row r="161" spans="9:9" ht="13">
      <c r="I161" s="175"/>
    </row>
    <row r="162" spans="9:9" ht="13">
      <c r="I162" s="175"/>
    </row>
    <row r="163" spans="9:9" ht="13">
      <c r="I163" s="175"/>
    </row>
    <row r="164" spans="9:9" ht="13">
      <c r="I164" s="175"/>
    </row>
    <row r="165" spans="9:9" ht="13">
      <c r="I165" s="175"/>
    </row>
    <row r="166" spans="9:9" ht="13">
      <c r="I166" s="175"/>
    </row>
    <row r="167" spans="9:9" ht="13">
      <c r="I167" s="175"/>
    </row>
    <row r="168" spans="9:9" ht="13">
      <c r="I168" s="175"/>
    </row>
    <row r="169" spans="9:9" ht="13">
      <c r="I169" s="175"/>
    </row>
    <row r="170" spans="9:9" ht="13">
      <c r="I170" s="175"/>
    </row>
    <row r="171" spans="9:9" ht="13">
      <c r="I171" s="175"/>
    </row>
    <row r="172" spans="9:9" ht="13">
      <c r="I172" s="175"/>
    </row>
    <row r="173" spans="9:9" ht="13">
      <c r="I173" s="175"/>
    </row>
    <row r="174" spans="9:9" ht="13">
      <c r="I174" s="175"/>
    </row>
    <row r="175" spans="9:9" ht="13">
      <c r="I175" s="175"/>
    </row>
    <row r="176" spans="9:9" ht="13">
      <c r="I176" s="175"/>
    </row>
    <row r="177" spans="9:9" ht="13">
      <c r="I177" s="175"/>
    </row>
    <row r="178" spans="9:9" ht="13">
      <c r="I178" s="175"/>
    </row>
    <row r="179" spans="9:9" ht="13">
      <c r="I179" s="175"/>
    </row>
    <row r="180" spans="9:9" ht="13">
      <c r="I180" s="175"/>
    </row>
    <row r="181" spans="9:9" ht="13">
      <c r="I181" s="175"/>
    </row>
    <row r="182" spans="9:9" ht="13">
      <c r="I182" s="175"/>
    </row>
    <row r="183" spans="9:9" ht="13">
      <c r="I183" s="175"/>
    </row>
    <row r="184" spans="9:9" ht="13">
      <c r="I184" s="175"/>
    </row>
    <row r="185" spans="9:9" ht="13">
      <c r="I185" s="175"/>
    </row>
    <row r="186" spans="9:9" ht="13">
      <c r="I186" s="175"/>
    </row>
    <row r="187" spans="9:9" ht="13">
      <c r="I187" s="175"/>
    </row>
    <row r="188" spans="9:9" ht="13">
      <c r="I188" s="175"/>
    </row>
    <row r="189" spans="9:9" ht="13">
      <c r="I189" s="175"/>
    </row>
    <row r="190" spans="9:9" ht="13">
      <c r="I190" s="175"/>
    </row>
    <row r="191" spans="9:9" ht="13">
      <c r="I191" s="175"/>
    </row>
    <row r="192" spans="9:9" ht="13">
      <c r="I192" s="175"/>
    </row>
    <row r="193" spans="9:9" ht="13">
      <c r="I193" s="175"/>
    </row>
    <row r="194" spans="9:9" ht="13">
      <c r="I194" s="175"/>
    </row>
    <row r="195" spans="9:9" ht="13">
      <c r="I195" s="175"/>
    </row>
    <row r="196" spans="9:9" ht="13">
      <c r="I196" s="175"/>
    </row>
    <row r="197" spans="9:9" ht="13">
      <c r="I197" s="175"/>
    </row>
    <row r="198" spans="9:9" ht="13">
      <c r="I198" s="175"/>
    </row>
    <row r="199" spans="9:9" ht="13">
      <c r="I199" s="175"/>
    </row>
    <row r="200" spans="9:9" ht="13">
      <c r="I200" s="175"/>
    </row>
    <row r="201" spans="9:9" ht="13">
      <c r="I201" s="175"/>
    </row>
    <row r="202" spans="9:9" ht="13">
      <c r="I202" s="175"/>
    </row>
    <row r="203" spans="9:9" ht="13">
      <c r="I203" s="175"/>
    </row>
    <row r="204" spans="9:9" ht="13">
      <c r="I204" s="175"/>
    </row>
    <row r="205" spans="9:9" ht="13">
      <c r="I205" s="175"/>
    </row>
    <row r="206" spans="9:9" ht="13">
      <c r="I206" s="175"/>
    </row>
    <row r="207" spans="9:9" ht="13">
      <c r="I207" s="175"/>
    </row>
    <row r="208" spans="9:9" ht="13">
      <c r="I208" s="175"/>
    </row>
    <row r="209" spans="9:9" ht="13">
      <c r="I209" s="175"/>
    </row>
    <row r="210" spans="9:9" ht="13">
      <c r="I210" s="175"/>
    </row>
    <row r="211" spans="9:9" ht="13">
      <c r="I211" s="175"/>
    </row>
    <row r="212" spans="9:9" ht="13">
      <c r="I212" s="175"/>
    </row>
    <row r="213" spans="9:9" ht="13">
      <c r="I213" s="175"/>
    </row>
    <row r="214" spans="9:9" ht="13">
      <c r="I214" s="175"/>
    </row>
    <row r="215" spans="9:9" ht="13">
      <c r="I215" s="175"/>
    </row>
    <row r="216" spans="9:9" ht="13">
      <c r="I216" s="175"/>
    </row>
    <row r="217" spans="9:9" ht="13">
      <c r="I217" s="175"/>
    </row>
    <row r="218" spans="9:9" ht="13">
      <c r="I218" s="175"/>
    </row>
    <row r="219" spans="9:9" ht="13">
      <c r="I219" s="175"/>
    </row>
    <row r="220" spans="9:9" ht="13">
      <c r="I220" s="175"/>
    </row>
    <row r="221" spans="9:9" ht="13">
      <c r="I221" s="175"/>
    </row>
    <row r="222" spans="9:9" ht="13">
      <c r="I222" s="175"/>
    </row>
    <row r="223" spans="9:9" ht="13">
      <c r="I223" s="175"/>
    </row>
    <row r="224" spans="9:9" ht="13">
      <c r="I224" s="175"/>
    </row>
    <row r="225" spans="9:9" ht="13">
      <c r="I225" s="175"/>
    </row>
    <row r="226" spans="9:9" ht="13">
      <c r="I226" s="175"/>
    </row>
    <row r="227" spans="9:9" ht="13">
      <c r="I227" s="175"/>
    </row>
    <row r="228" spans="9:9" ht="13">
      <c r="I228" s="175"/>
    </row>
    <row r="229" spans="9:9" ht="13">
      <c r="I229" s="175"/>
    </row>
    <row r="230" spans="9:9" ht="13">
      <c r="I230" s="175"/>
    </row>
    <row r="231" spans="9:9" ht="13">
      <c r="I231" s="175"/>
    </row>
    <row r="232" spans="9:9" ht="13">
      <c r="I232" s="175"/>
    </row>
    <row r="233" spans="9:9" ht="13">
      <c r="I233" s="175"/>
    </row>
    <row r="234" spans="9:9" ht="13">
      <c r="I234" s="175"/>
    </row>
    <row r="235" spans="9:9" ht="13">
      <c r="I235" s="175"/>
    </row>
    <row r="236" spans="9:9" ht="13">
      <c r="I236" s="175"/>
    </row>
    <row r="237" spans="9:9" ht="13">
      <c r="I237" s="175"/>
    </row>
    <row r="238" spans="9:9" ht="13">
      <c r="I238" s="175"/>
    </row>
    <row r="239" spans="9:9" ht="13">
      <c r="I239" s="175"/>
    </row>
    <row r="240" spans="9:9" ht="13">
      <c r="I240" s="175"/>
    </row>
    <row r="241" spans="9:9" ht="13">
      <c r="I241" s="175"/>
    </row>
    <row r="242" spans="9:9" ht="13">
      <c r="I242" s="175"/>
    </row>
    <row r="243" spans="9:9" ht="13">
      <c r="I243" s="175"/>
    </row>
    <row r="244" spans="9:9" ht="13">
      <c r="I244" s="175"/>
    </row>
    <row r="245" spans="9:9" ht="13">
      <c r="I245" s="175"/>
    </row>
    <row r="246" spans="9:9" ht="13">
      <c r="I246" s="175"/>
    </row>
    <row r="247" spans="9:9" ht="13">
      <c r="I247" s="175"/>
    </row>
    <row r="248" spans="9:9" ht="13">
      <c r="I248" s="175"/>
    </row>
    <row r="249" spans="9:9" ht="13">
      <c r="I249" s="175"/>
    </row>
    <row r="250" spans="9:9" ht="13">
      <c r="I250" s="175"/>
    </row>
    <row r="251" spans="9:9" ht="13">
      <c r="I251" s="175"/>
    </row>
    <row r="252" spans="9:9" ht="13">
      <c r="I252" s="175"/>
    </row>
    <row r="253" spans="9:9" ht="13">
      <c r="I253" s="175"/>
    </row>
    <row r="254" spans="9:9" ht="13">
      <c r="I254" s="175"/>
    </row>
    <row r="255" spans="9:9" ht="13">
      <c r="I255" s="175"/>
    </row>
    <row r="256" spans="9:9" ht="13">
      <c r="I256" s="175"/>
    </row>
    <row r="257" spans="9:9" ht="13">
      <c r="I257" s="175"/>
    </row>
    <row r="258" spans="9:9" ht="13">
      <c r="I258" s="175"/>
    </row>
    <row r="259" spans="9:9" ht="13">
      <c r="I259" s="175"/>
    </row>
    <row r="260" spans="9:9" ht="13">
      <c r="I260" s="175"/>
    </row>
    <row r="261" spans="9:9" ht="13">
      <c r="I261" s="175"/>
    </row>
    <row r="262" spans="9:9" ht="13">
      <c r="I262" s="175"/>
    </row>
    <row r="263" spans="9:9" ht="13">
      <c r="I263" s="175"/>
    </row>
    <row r="264" spans="9:9" ht="13">
      <c r="I264" s="175"/>
    </row>
    <row r="265" spans="9:9" ht="13">
      <c r="I265" s="175"/>
    </row>
    <row r="266" spans="9:9" ht="13">
      <c r="I266" s="175"/>
    </row>
    <row r="267" spans="9:9" ht="13">
      <c r="I267" s="175"/>
    </row>
    <row r="268" spans="9:9" ht="13">
      <c r="I268" s="175"/>
    </row>
    <row r="269" spans="9:9" ht="13">
      <c r="I269" s="175"/>
    </row>
    <row r="270" spans="9:9" ht="13">
      <c r="I270" s="175"/>
    </row>
    <row r="271" spans="9:9" ht="13">
      <c r="I271" s="175"/>
    </row>
    <row r="272" spans="9:9" ht="13">
      <c r="I272" s="175"/>
    </row>
    <row r="273" spans="9:9" ht="13">
      <c r="I273" s="175"/>
    </row>
    <row r="274" spans="9:9" ht="13">
      <c r="I274" s="175"/>
    </row>
    <row r="275" spans="9:9" ht="13">
      <c r="I275" s="175"/>
    </row>
    <row r="276" spans="9:9" ht="13">
      <c r="I276" s="175"/>
    </row>
    <row r="277" spans="9:9" ht="13">
      <c r="I277" s="175"/>
    </row>
    <row r="278" spans="9:9" ht="13">
      <c r="I278" s="175"/>
    </row>
    <row r="279" spans="9:9" ht="13">
      <c r="I279" s="175"/>
    </row>
    <row r="280" spans="9:9" ht="13">
      <c r="I280" s="175"/>
    </row>
    <row r="281" spans="9:9" ht="13">
      <c r="I281" s="175"/>
    </row>
    <row r="282" spans="9:9" ht="13">
      <c r="I282" s="175"/>
    </row>
    <row r="283" spans="9:9" ht="13">
      <c r="I283" s="175"/>
    </row>
    <row r="284" spans="9:9" ht="13">
      <c r="I284" s="175"/>
    </row>
    <row r="285" spans="9:9" ht="13">
      <c r="I285" s="175"/>
    </row>
    <row r="286" spans="9:9" ht="13">
      <c r="I286" s="175"/>
    </row>
    <row r="287" spans="9:9" ht="13">
      <c r="I287" s="175"/>
    </row>
    <row r="288" spans="9:9" ht="13">
      <c r="I288" s="175"/>
    </row>
    <row r="289" spans="9:9" ht="13">
      <c r="I289" s="175"/>
    </row>
    <row r="290" spans="9:9" ht="13">
      <c r="I290" s="175"/>
    </row>
    <row r="291" spans="9:9" ht="13">
      <c r="I291" s="175"/>
    </row>
    <row r="292" spans="9:9" ht="13">
      <c r="I292" s="175"/>
    </row>
    <row r="293" spans="9:9" ht="13">
      <c r="I293" s="175"/>
    </row>
    <row r="294" spans="9:9" ht="13">
      <c r="I294" s="175"/>
    </row>
    <row r="295" spans="9:9" ht="13">
      <c r="I295" s="175"/>
    </row>
    <row r="296" spans="9:9" ht="13">
      <c r="I296" s="175"/>
    </row>
    <row r="297" spans="9:9" ht="13">
      <c r="I297" s="175"/>
    </row>
    <row r="298" spans="9:9" ht="13">
      <c r="I298" s="175"/>
    </row>
    <row r="299" spans="9:9" ht="13">
      <c r="I299" s="175"/>
    </row>
    <row r="300" spans="9:9" ht="13">
      <c r="I300" s="175"/>
    </row>
    <row r="301" spans="9:9" ht="13">
      <c r="I301" s="175"/>
    </row>
    <row r="302" spans="9:9" ht="13">
      <c r="I302" s="175"/>
    </row>
    <row r="303" spans="9:9" ht="13">
      <c r="I303" s="175"/>
    </row>
    <row r="304" spans="9:9" ht="13">
      <c r="I304" s="175"/>
    </row>
    <row r="305" spans="9:9" ht="13">
      <c r="I305" s="175"/>
    </row>
    <row r="306" spans="9:9" ht="13">
      <c r="I306" s="175"/>
    </row>
    <row r="307" spans="9:9" ht="13">
      <c r="I307" s="175"/>
    </row>
    <row r="308" spans="9:9" ht="13">
      <c r="I308" s="175"/>
    </row>
    <row r="309" spans="9:9" ht="13">
      <c r="I309" s="175"/>
    </row>
    <row r="310" spans="9:9" ht="13">
      <c r="I310" s="175"/>
    </row>
    <row r="311" spans="9:9" ht="13">
      <c r="I311" s="175"/>
    </row>
    <row r="312" spans="9:9" ht="13">
      <c r="I312" s="175"/>
    </row>
    <row r="313" spans="9:9" ht="13">
      <c r="I313" s="175"/>
    </row>
    <row r="314" spans="9:9" ht="13">
      <c r="I314" s="175"/>
    </row>
    <row r="315" spans="9:9" ht="13">
      <c r="I315" s="175"/>
    </row>
    <row r="316" spans="9:9" ht="13">
      <c r="I316" s="175"/>
    </row>
    <row r="317" spans="9:9" ht="13">
      <c r="I317" s="175"/>
    </row>
    <row r="318" spans="9:9" ht="13">
      <c r="I318" s="175"/>
    </row>
    <row r="319" spans="9:9" ht="13">
      <c r="I319" s="175"/>
    </row>
    <row r="320" spans="9:9" ht="13">
      <c r="I320" s="175"/>
    </row>
    <row r="321" spans="9:9" ht="13">
      <c r="I321" s="175"/>
    </row>
    <row r="322" spans="9:9" ht="13">
      <c r="I322" s="175"/>
    </row>
    <row r="323" spans="9:9" ht="13">
      <c r="I323" s="175"/>
    </row>
    <row r="324" spans="9:9" ht="13">
      <c r="I324" s="175"/>
    </row>
    <row r="325" spans="9:9" ht="13">
      <c r="I325" s="175"/>
    </row>
    <row r="326" spans="9:9" ht="13">
      <c r="I326" s="175"/>
    </row>
    <row r="327" spans="9:9" ht="13">
      <c r="I327" s="175"/>
    </row>
    <row r="328" spans="9:9" ht="13">
      <c r="I328" s="175"/>
    </row>
    <row r="329" spans="9:9" ht="13">
      <c r="I329" s="175"/>
    </row>
    <row r="330" spans="9:9" ht="13">
      <c r="I330" s="175"/>
    </row>
    <row r="331" spans="9:9" ht="13">
      <c r="I331" s="175"/>
    </row>
    <row r="332" spans="9:9" ht="13">
      <c r="I332" s="175"/>
    </row>
    <row r="333" spans="9:9" ht="13">
      <c r="I333" s="175"/>
    </row>
    <row r="334" spans="9:9" ht="13">
      <c r="I334" s="175"/>
    </row>
    <row r="335" spans="9:9" ht="13">
      <c r="I335" s="175"/>
    </row>
    <row r="336" spans="9:9" ht="13">
      <c r="I336" s="175"/>
    </row>
    <row r="337" spans="9:9" ht="13">
      <c r="I337" s="175"/>
    </row>
    <row r="338" spans="9:9" ht="13">
      <c r="I338" s="175"/>
    </row>
    <row r="339" spans="9:9" ht="13">
      <c r="I339" s="175"/>
    </row>
    <row r="340" spans="9:9" ht="13">
      <c r="I340" s="175"/>
    </row>
    <row r="341" spans="9:9" ht="13">
      <c r="I341" s="175"/>
    </row>
    <row r="342" spans="9:9" ht="13">
      <c r="I342" s="175"/>
    </row>
    <row r="343" spans="9:9" ht="13">
      <c r="I343" s="175"/>
    </row>
    <row r="344" spans="9:9" ht="13">
      <c r="I344" s="175"/>
    </row>
    <row r="345" spans="9:9" ht="13">
      <c r="I345" s="175"/>
    </row>
    <row r="346" spans="9:9" ht="13">
      <c r="I346" s="175"/>
    </row>
    <row r="347" spans="9:9" ht="13">
      <c r="I347" s="175"/>
    </row>
    <row r="348" spans="9:9" ht="13">
      <c r="I348" s="175"/>
    </row>
    <row r="349" spans="9:9" ht="13">
      <c r="I349" s="175"/>
    </row>
    <row r="350" spans="9:9" ht="13">
      <c r="I350" s="175"/>
    </row>
    <row r="351" spans="9:9" ht="13">
      <c r="I351" s="175"/>
    </row>
    <row r="352" spans="9:9" ht="13">
      <c r="I352" s="175"/>
    </row>
    <row r="353" spans="9:9" ht="13">
      <c r="I353" s="175"/>
    </row>
    <row r="354" spans="9:9" ht="13">
      <c r="I354" s="175"/>
    </row>
    <row r="355" spans="9:9" ht="13">
      <c r="I355" s="175"/>
    </row>
    <row r="356" spans="9:9" ht="13">
      <c r="I356" s="175"/>
    </row>
    <row r="357" spans="9:9" ht="13">
      <c r="I357" s="175"/>
    </row>
    <row r="358" spans="9:9" ht="13">
      <c r="I358" s="175"/>
    </row>
    <row r="359" spans="9:9" ht="13">
      <c r="I359" s="175"/>
    </row>
    <row r="360" spans="9:9" ht="13">
      <c r="I360" s="175"/>
    </row>
    <row r="361" spans="9:9" ht="13">
      <c r="I361" s="175"/>
    </row>
    <row r="362" spans="9:9" ht="13">
      <c r="I362" s="175"/>
    </row>
    <row r="363" spans="9:9" ht="13">
      <c r="I363" s="175"/>
    </row>
    <row r="364" spans="9:9" ht="13">
      <c r="I364" s="175"/>
    </row>
    <row r="365" spans="9:9" ht="13">
      <c r="I365" s="175"/>
    </row>
    <row r="366" spans="9:9" ht="13">
      <c r="I366" s="175"/>
    </row>
    <row r="367" spans="9:9" ht="13">
      <c r="I367" s="175"/>
    </row>
    <row r="368" spans="9:9" ht="13">
      <c r="I368" s="175"/>
    </row>
    <row r="369" spans="9:9" ht="13">
      <c r="I369" s="175"/>
    </row>
    <row r="370" spans="9:9" ht="13">
      <c r="I370" s="175"/>
    </row>
    <row r="371" spans="9:9" ht="13">
      <c r="I371" s="175"/>
    </row>
    <row r="372" spans="9:9" ht="13">
      <c r="I372" s="175"/>
    </row>
    <row r="373" spans="9:9" ht="13">
      <c r="I373" s="175"/>
    </row>
    <row r="374" spans="9:9" ht="13">
      <c r="I374" s="175"/>
    </row>
    <row r="375" spans="9:9" ht="13">
      <c r="I375" s="175"/>
    </row>
    <row r="376" spans="9:9" ht="13">
      <c r="I376" s="175"/>
    </row>
    <row r="377" spans="9:9" ht="13">
      <c r="I377" s="175"/>
    </row>
    <row r="378" spans="9:9" ht="13">
      <c r="I378" s="175"/>
    </row>
    <row r="379" spans="9:9" ht="13">
      <c r="I379" s="175"/>
    </row>
    <row r="380" spans="9:9" ht="13">
      <c r="I380" s="175"/>
    </row>
    <row r="381" spans="9:9" ht="13">
      <c r="I381" s="175"/>
    </row>
    <row r="382" spans="9:9" ht="13">
      <c r="I382" s="175"/>
    </row>
    <row r="383" spans="9:9" ht="13">
      <c r="I383" s="175"/>
    </row>
    <row r="384" spans="9:9" ht="13">
      <c r="I384" s="175"/>
    </row>
    <row r="385" spans="9:9" ht="13">
      <c r="I385" s="175"/>
    </row>
    <row r="386" spans="9:9" ht="13">
      <c r="I386" s="175"/>
    </row>
    <row r="387" spans="9:9" ht="13">
      <c r="I387" s="175"/>
    </row>
    <row r="388" spans="9:9" ht="13">
      <c r="I388" s="175"/>
    </row>
    <row r="389" spans="9:9" ht="13">
      <c r="I389" s="175"/>
    </row>
    <row r="390" spans="9:9" ht="13">
      <c r="I390" s="175"/>
    </row>
    <row r="391" spans="9:9" ht="13">
      <c r="I391" s="175"/>
    </row>
    <row r="392" spans="9:9" ht="13">
      <c r="I392" s="175"/>
    </row>
    <row r="393" spans="9:9" ht="13">
      <c r="I393" s="175"/>
    </row>
    <row r="394" spans="9:9" ht="13">
      <c r="I394" s="175"/>
    </row>
    <row r="395" spans="9:9" ht="13">
      <c r="I395" s="175"/>
    </row>
    <row r="396" spans="9:9" ht="13">
      <c r="I396" s="175"/>
    </row>
    <row r="397" spans="9:9" ht="13">
      <c r="I397" s="175"/>
    </row>
    <row r="398" spans="9:9" ht="13">
      <c r="I398" s="175"/>
    </row>
    <row r="399" spans="9:9" ht="13">
      <c r="I399" s="175"/>
    </row>
    <row r="400" spans="9:9" ht="13">
      <c r="I400" s="175"/>
    </row>
    <row r="401" spans="9:9" ht="13">
      <c r="I401" s="175"/>
    </row>
    <row r="402" spans="9:9" ht="13">
      <c r="I402" s="175"/>
    </row>
    <row r="403" spans="9:9" ht="13">
      <c r="I403" s="175"/>
    </row>
    <row r="404" spans="9:9" ht="13">
      <c r="I404" s="175"/>
    </row>
    <row r="405" spans="9:9" ht="13">
      <c r="I405" s="175"/>
    </row>
    <row r="406" spans="9:9" ht="13">
      <c r="I406" s="175"/>
    </row>
    <row r="407" spans="9:9" ht="13">
      <c r="I407" s="175"/>
    </row>
    <row r="408" spans="9:9" ht="13">
      <c r="I408" s="175"/>
    </row>
    <row r="409" spans="9:9" ht="13">
      <c r="I409" s="175"/>
    </row>
    <row r="410" spans="9:9" ht="13">
      <c r="I410" s="175"/>
    </row>
    <row r="411" spans="9:9" ht="13">
      <c r="I411" s="175"/>
    </row>
    <row r="412" spans="9:9" ht="13">
      <c r="I412" s="175"/>
    </row>
    <row r="413" spans="9:9" ht="13">
      <c r="I413" s="175"/>
    </row>
    <row r="414" spans="9:9" ht="13">
      <c r="I414" s="175"/>
    </row>
    <row r="415" spans="9:9" ht="13">
      <c r="I415" s="175"/>
    </row>
    <row r="416" spans="9:9" ht="13">
      <c r="I416" s="175"/>
    </row>
    <row r="417" spans="9:9" ht="13">
      <c r="I417" s="175"/>
    </row>
    <row r="418" spans="9:9" ht="13">
      <c r="I418" s="175"/>
    </row>
    <row r="419" spans="9:9" ht="13">
      <c r="I419" s="175"/>
    </row>
    <row r="420" spans="9:9" ht="13">
      <c r="I420" s="175"/>
    </row>
    <row r="421" spans="9:9" ht="13">
      <c r="I421" s="175"/>
    </row>
    <row r="422" spans="9:9" ht="13">
      <c r="I422" s="175"/>
    </row>
    <row r="423" spans="9:9" ht="13">
      <c r="I423" s="175"/>
    </row>
    <row r="424" spans="9:9" ht="13">
      <c r="I424" s="175"/>
    </row>
    <row r="425" spans="9:9" ht="13">
      <c r="I425" s="175"/>
    </row>
    <row r="426" spans="9:9" ht="13">
      <c r="I426" s="175"/>
    </row>
    <row r="427" spans="9:9" ht="13">
      <c r="I427" s="175"/>
    </row>
    <row r="428" spans="9:9" ht="13">
      <c r="I428" s="175"/>
    </row>
    <row r="429" spans="9:9" ht="13">
      <c r="I429" s="175"/>
    </row>
    <row r="430" spans="9:9" ht="13">
      <c r="I430" s="175"/>
    </row>
    <row r="431" spans="9:9" ht="13">
      <c r="I431" s="175"/>
    </row>
    <row r="432" spans="9:9" ht="13">
      <c r="I432" s="175"/>
    </row>
    <row r="433" spans="9:9" ht="13">
      <c r="I433" s="175"/>
    </row>
    <row r="434" spans="9:9" ht="13">
      <c r="I434" s="175"/>
    </row>
    <row r="435" spans="9:9" ht="13">
      <c r="I435" s="175"/>
    </row>
    <row r="436" spans="9:9" ht="13">
      <c r="I436" s="175"/>
    </row>
    <row r="437" spans="9:9" ht="13">
      <c r="I437" s="175"/>
    </row>
    <row r="438" spans="9:9" ht="13">
      <c r="I438" s="175"/>
    </row>
    <row r="439" spans="9:9" ht="13">
      <c r="I439" s="175"/>
    </row>
    <row r="440" spans="9:9" ht="13">
      <c r="I440" s="175"/>
    </row>
    <row r="441" spans="9:9" ht="13">
      <c r="I441" s="175"/>
    </row>
    <row r="442" spans="9:9" ht="13">
      <c r="I442" s="175"/>
    </row>
    <row r="443" spans="9:9" ht="13">
      <c r="I443" s="175"/>
    </row>
    <row r="444" spans="9:9" ht="13">
      <c r="I444" s="175"/>
    </row>
    <row r="445" spans="9:9" ht="13">
      <c r="I445" s="175"/>
    </row>
    <row r="446" spans="9:9" ht="13">
      <c r="I446" s="175"/>
    </row>
    <row r="447" spans="9:9" ht="13">
      <c r="I447" s="175"/>
    </row>
    <row r="448" spans="9:9" ht="13">
      <c r="I448" s="175"/>
    </row>
    <row r="449" spans="9:9" ht="13">
      <c r="I449" s="175"/>
    </row>
    <row r="450" spans="9:9" ht="13">
      <c r="I450" s="175"/>
    </row>
    <row r="451" spans="9:9" ht="13">
      <c r="I451" s="175"/>
    </row>
    <row r="452" spans="9:9" ht="13">
      <c r="I452" s="175"/>
    </row>
    <row r="453" spans="9:9" ht="13">
      <c r="I453" s="175"/>
    </row>
    <row r="454" spans="9:9" ht="13">
      <c r="I454" s="175"/>
    </row>
    <row r="455" spans="9:9" ht="13">
      <c r="I455" s="175"/>
    </row>
    <row r="456" spans="9:9" ht="13">
      <c r="I456" s="175"/>
    </row>
    <row r="457" spans="9:9" ht="13">
      <c r="I457" s="175"/>
    </row>
    <row r="458" spans="9:9" ht="13">
      <c r="I458" s="175"/>
    </row>
    <row r="459" spans="9:9" ht="13">
      <c r="I459" s="175"/>
    </row>
    <row r="460" spans="9:9" ht="13">
      <c r="I460" s="175"/>
    </row>
    <row r="461" spans="9:9" ht="13">
      <c r="I461" s="175"/>
    </row>
    <row r="462" spans="9:9" ht="13">
      <c r="I462" s="175"/>
    </row>
    <row r="463" spans="9:9" ht="13">
      <c r="I463" s="175"/>
    </row>
    <row r="464" spans="9:9" ht="13">
      <c r="I464" s="175"/>
    </row>
    <row r="465" spans="9:9" ht="13">
      <c r="I465" s="175"/>
    </row>
    <row r="466" spans="9:9" ht="13">
      <c r="I466" s="175"/>
    </row>
    <row r="467" spans="9:9" ht="13">
      <c r="I467" s="175"/>
    </row>
    <row r="468" spans="9:9" ht="13">
      <c r="I468" s="175"/>
    </row>
    <row r="469" spans="9:9" ht="13">
      <c r="I469" s="175"/>
    </row>
    <row r="470" spans="9:9" ht="13">
      <c r="I470" s="175"/>
    </row>
    <row r="471" spans="9:9" ht="13">
      <c r="I471" s="175"/>
    </row>
    <row r="472" spans="9:9" ht="13">
      <c r="I472" s="175"/>
    </row>
    <row r="473" spans="9:9" ht="13">
      <c r="I473" s="175"/>
    </row>
    <row r="474" spans="9:9" ht="13">
      <c r="I474" s="175"/>
    </row>
    <row r="475" spans="9:9" ht="13">
      <c r="I475" s="175"/>
    </row>
    <row r="476" spans="9:9" ht="13">
      <c r="I476" s="175"/>
    </row>
    <row r="477" spans="9:9" ht="13">
      <c r="I477" s="175"/>
    </row>
    <row r="478" spans="9:9" ht="13">
      <c r="I478" s="175"/>
    </row>
    <row r="479" spans="9:9" ht="13">
      <c r="I479" s="175"/>
    </row>
    <row r="480" spans="9:9" ht="13">
      <c r="I480" s="175"/>
    </row>
    <row r="481" spans="9:9" ht="13">
      <c r="I481" s="175"/>
    </row>
    <row r="482" spans="9:9" ht="13">
      <c r="I482" s="175"/>
    </row>
    <row r="483" spans="9:9" ht="13">
      <c r="I483" s="175"/>
    </row>
    <row r="484" spans="9:9" ht="13">
      <c r="I484" s="175"/>
    </row>
    <row r="485" spans="9:9" ht="13">
      <c r="I485" s="175"/>
    </row>
    <row r="486" spans="9:9" ht="13">
      <c r="I486" s="175"/>
    </row>
    <row r="487" spans="9:9" ht="13">
      <c r="I487" s="175"/>
    </row>
    <row r="488" spans="9:9" ht="13">
      <c r="I488" s="175"/>
    </row>
    <row r="489" spans="9:9" ht="13">
      <c r="I489" s="175"/>
    </row>
    <row r="490" spans="9:9" ht="13">
      <c r="I490" s="175"/>
    </row>
    <row r="491" spans="9:9" ht="13">
      <c r="I491" s="175"/>
    </row>
    <row r="492" spans="9:9" ht="13">
      <c r="I492" s="175"/>
    </row>
    <row r="493" spans="9:9" ht="13">
      <c r="I493" s="175"/>
    </row>
    <row r="494" spans="9:9" ht="13">
      <c r="I494" s="175"/>
    </row>
    <row r="495" spans="9:9" ht="13">
      <c r="I495" s="175"/>
    </row>
    <row r="496" spans="9:9" ht="13">
      <c r="I496" s="175"/>
    </row>
    <row r="497" spans="9:9" ht="13">
      <c r="I497" s="175"/>
    </row>
    <row r="498" spans="9:9" ht="13">
      <c r="I498" s="175"/>
    </row>
    <row r="499" spans="9:9" ht="13">
      <c r="I499" s="175"/>
    </row>
    <row r="500" spans="9:9" ht="13">
      <c r="I500" s="175"/>
    </row>
    <row r="501" spans="9:9" ht="13">
      <c r="I501" s="175"/>
    </row>
    <row r="502" spans="9:9" ht="13">
      <c r="I502" s="175"/>
    </row>
    <row r="503" spans="9:9" ht="13">
      <c r="I503" s="175"/>
    </row>
    <row r="504" spans="9:9" ht="13">
      <c r="I504" s="175"/>
    </row>
    <row r="505" spans="9:9" ht="13">
      <c r="I505" s="175"/>
    </row>
    <row r="506" spans="9:9" ht="13">
      <c r="I506" s="175"/>
    </row>
    <row r="507" spans="9:9" ht="13">
      <c r="I507" s="175"/>
    </row>
    <row r="508" spans="9:9" ht="13">
      <c r="I508" s="175"/>
    </row>
    <row r="509" spans="9:9" ht="13">
      <c r="I509" s="175"/>
    </row>
    <row r="510" spans="9:9" ht="13">
      <c r="I510" s="175"/>
    </row>
    <row r="511" spans="9:9" ht="13">
      <c r="I511" s="175"/>
    </row>
    <row r="512" spans="9:9" ht="13">
      <c r="I512" s="175"/>
    </row>
    <row r="513" spans="9:9" ht="13">
      <c r="I513" s="175"/>
    </row>
    <row r="514" spans="9:9" ht="13">
      <c r="I514" s="175"/>
    </row>
    <row r="515" spans="9:9" ht="13">
      <c r="I515" s="175"/>
    </row>
    <row r="516" spans="9:9" ht="13">
      <c r="I516" s="175"/>
    </row>
    <row r="517" spans="9:9" ht="13">
      <c r="I517" s="175"/>
    </row>
    <row r="518" spans="9:9" ht="13">
      <c r="I518" s="175"/>
    </row>
    <row r="519" spans="9:9" ht="13">
      <c r="I519" s="175"/>
    </row>
    <row r="520" spans="9:9" ht="13">
      <c r="I520" s="175"/>
    </row>
    <row r="521" spans="9:9" ht="13">
      <c r="I521" s="175"/>
    </row>
    <row r="522" spans="9:9" ht="13">
      <c r="I522" s="175"/>
    </row>
    <row r="523" spans="9:9" ht="13">
      <c r="I523" s="175"/>
    </row>
    <row r="524" spans="9:9" ht="13">
      <c r="I524" s="175"/>
    </row>
    <row r="525" spans="9:9" ht="13">
      <c r="I525" s="175"/>
    </row>
    <row r="526" spans="9:9" ht="13">
      <c r="I526" s="175"/>
    </row>
    <row r="527" spans="9:9" ht="13">
      <c r="I527" s="175"/>
    </row>
    <row r="528" spans="9:9" ht="13">
      <c r="I528" s="175"/>
    </row>
    <row r="529" spans="9:9" ht="13">
      <c r="I529" s="175"/>
    </row>
    <row r="530" spans="9:9" ht="13">
      <c r="I530" s="175"/>
    </row>
    <row r="531" spans="9:9" ht="13">
      <c r="I531" s="175"/>
    </row>
    <row r="532" spans="9:9" ht="13">
      <c r="I532" s="175"/>
    </row>
    <row r="533" spans="9:9" ht="13">
      <c r="I533" s="175"/>
    </row>
    <row r="534" spans="9:9" ht="13">
      <c r="I534" s="175"/>
    </row>
    <row r="535" spans="9:9" ht="13">
      <c r="I535" s="175"/>
    </row>
    <row r="536" spans="9:9" ht="13">
      <c r="I536" s="175"/>
    </row>
    <row r="537" spans="9:9" ht="13">
      <c r="I537" s="175"/>
    </row>
    <row r="538" spans="9:9" ht="13">
      <c r="I538" s="175"/>
    </row>
    <row r="539" spans="9:9" ht="13">
      <c r="I539" s="175"/>
    </row>
    <row r="540" spans="9:9" ht="13">
      <c r="I540" s="175"/>
    </row>
    <row r="541" spans="9:9" ht="13">
      <c r="I541" s="175"/>
    </row>
    <row r="542" spans="9:9" ht="13">
      <c r="I542" s="175"/>
    </row>
    <row r="543" spans="9:9" ht="13">
      <c r="I543" s="175"/>
    </row>
    <row r="544" spans="9:9" ht="13">
      <c r="I544" s="175"/>
    </row>
    <row r="545" spans="9:9" ht="13">
      <c r="I545" s="175"/>
    </row>
    <row r="546" spans="9:9" ht="13">
      <c r="I546" s="175"/>
    </row>
    <row r="547" spans="9:9" ht="13">
      <c r="I547" s="175"/>
    </row>
    <row r="548" spans="9:9" ht="13">
      <c r="I548" s="175"/>
    </row>
    <row r="549" spans="9:9" ht="13">
      <c r="I549" s="175"/>
    </row>
    <row r="550" spans="9:9" ht="13">
      <c r="I550" s="175"/>
    </row>
    <row r="551" spans="9:9" ht="13">
      <c r="I551" s="175"/>
    </row>
    <row r="552" spans="9:9" ht="13">
      <c r="I552" s="175"/>
    </row>
    <row r="553" spans="9:9" ht="13">
      <c r="I553" s="175"/>
    </row>
    <row r="554" spans="9:9" ht="13">
      <c r="I554" s="175"/>
    </row>
    <row r="555" spans="9:9" ht="13">
      <c r="I555" s="175"/>
    </row>
    <row r="556" spans="9:9" ht="13">
      <c r="I556" s="175"/>
    </row>
    <row r="557" spans="9:9" ht="13">
      <c r="I557" s="175"/>
    </row>
    <row r="558" spans="9:9" ht="13">
      <c r="I558" s="175"/>
    </row>
    <row r="559" spans="9:9" ht="13">
      <c r="I559" s="175"/>
    </row>
    <row r="560" spans="9:9" ht="13">
      <c r="I560" s="175"/>
    </row>
    <row r="561" spans="9:9" ht="13">
      <c r="I561" s="175"/>
    </row>
    <row r="562" spans="9:9" ht="13">
      <c r="I562" s="175"/>
    </row>
    <row r="563" spans="9:9" ht="13">
      <c r="I563" s="175"/>
    </row>
    <row r="564" spans="9:9" ht="13">
      <c r="I564" s="175"/>
    </row>
    <row r="565" spans="9:9" ht="13">
      <c r="I565" s="175"/>
    </row>
    <row r="566" spans="9:9" ht="13">
      <c r="I566" s="175"/>
    </row>
    <row r="567" spans="9:9" ht="13">
      <c r="I567" s="175"/>
    </row>
    <row r="568" spans="9:9" ht="13">
      <c r="I568" s="175"/>
    </row>
    <row r="569" spans="9:9" ht="13">
      <c r="I569" s="175"/>
    </row>
    <row r="570" spans="9:9" ht="13">
      <c r="I570" s="175"/>
    </row>
    <row r="571" spans="9:9" ht="13">
      <c r="I571" s="175"/>
    </row>
    <row r="572" spans="9:9" ht="13">
      <c r="I572" s="175"/>
    </row>
    <row r="573" spans="9:9" ht="13">
      <c r="I573" s="175"/>
    </row>
    <row r="574" spans="9:9" ht="13">
      <c r="I574" s="175"/>
    </row>
    <row r="575" spans="9:9" ht="13">
      <c r="I575" s="175"/>
    </row>
    <row r="576" spans="9:9" ht="13">
      <c r="I576" s="175"/>
    </row>
    <row r="577" spans="9:9" ht="13">
      <c r="I577" s="175"/>
    </row>
    <row r="578" spans="9:9" ht="13">
      <c r="I578" s="175"/>
    </row>
    <row r="579" spans="9:9" ht="13">
      <c r="I579" s="175"/>
    </row>
    <row r="580" spans="9:9" ht="13">
      <c r="I580" s="175"/>
    </row>
    <row r="581" spans="9:9" ht="13">
      <c r="I581" s="175"/>
    </row>
    <row r="582" spans="9:9" ht="13">
      <c r="I582" s="175"/>
    </row>
    <row r="583" spans="9:9" ht="13">
      <c r="I583" s="175"/>
    </row>
    <row r="584" spans="9:9" ht="13">
      <c r="I584" s="175"/>
    </row>
    <row r="585" spans="9:9" ht="13">
      <c r="I585" s="175"/>
    </row>
    <row r="586" spans="9:9" ht="13">
      <c r="I586" s="175"/>
    </row>
    <row r="587" spans="9:9" ht="13">
      <c r="I587" s="175"/>
    </row>
    <row r="588" spans="9:9" ht="13">
      <c r="I588" s="175"/>
    </row>
    <row r="589" spans="9:9" ht="13">
      <c r="I589" s="175"/>
    </row>
    <row r="590" spans="9:9" ht="13">
      <c r="I590" s="175"/>
    </row>
    <row r="591" spans="9:9" ht="13">
      <c r="I591" s="175"/>
    </row>
    <row r="592" spans="9:9" ht="13">
      <c r="I592" s="175"/>
    </row>
    <row r="593" spans="9:9" ht="13">
      <c r="I593" s="175"/>
    </row>
    <row r="594" spans="9:9" ht="13">
      <c r="I594" s="175"/>
    </row>
    <row r="595" spans="9:9" ht="13">
      <c r="I595" s="175"/>
    </row>
    <row r="596" spans="9:9" ht="13">
      <c r="I596" s="175"/>
    </row>
    <row r="597" spans="9:9" ht="13">
      <c r="I597" s="175"/>
    </row>
    <row r="598" spans="9:9" ht="13">
      <c r="I598" s="175"/>
    </row>
    <row r="599" spans="9:9" ht="13">
      <c r="I599" s="175"/>
    </row>
    <row r="600" spans="9:9" ht="13">
      <c r="I600" s="175"/>
    </row>
    <row r="601" spans="9:9" ht="13">
      <c r="I601" s="175"/>
    </row>
    <row r="602" spans="9:9" ht="13">
      <c r="I602" s="175"/>
    </row>
    <row r="603" spans="9:9" ht="13">
      <c r="I603" s="175"/>
    </row>
    <row r="604" spans="9:9" ht="13">
      <c r="I604" s="175"/>
    </row>
    <row r="605" spans="9:9" ht="13">
      <c r="I605" s="175"/>
    </row>
    <row r="606" spans="9:9" ht="13">
      <c r="I606" s="175"/>
    </row>
    <row r="607" spans="9:9" ht="13">
      <c r="I607" s="175"/>
    </row>
    <row r="608" spans="9:9" ht="13">
      <c r="I608" s="175"/>
    </row>
    <row r="609" spans="9:9" ht="13">
      <c r="I609" s="175"/>
    </row>
    <row r="610" spans="9:9" ht="13">
      <c r="I610" s="175"/>
    </row>
    <row r="611" spans="9:9" ht="13">
      <c r="I611" s="175"/>
    </row>
    <row r="612" spans="9:9" ht="13">
      <c r="I612" s="175"/>
    </row>
    <row r="613" spans="9:9" ht="13">
      <c r="I613" s="175"/>
    </row>
    <row r="614" spans="9:9" ht="13">
      <c r="I614" s="175"/>
    </row>
    <row r="615" spans="9:9" ht="13">
      <c r="I615" s="175"/>
    </row>
    <row r="616" spans="9:9" ht="13">
      <c r="I616" s="175"/>
    </row>
    <row r="617" spans="9:9" ht="13">
      <c r="I617" s="175"/>
    </row>
    <row r="618" spans="9:9" ht="13">
      <c r="I618" s="175"/>
    </row>
    <row r="619" spans="9:9" ht="13">
      <c r="I619" s="175"/>
    </row>
    <row r="620" spans="9:9" ht="13">
      <c r="I620" s="175"/>
    </row>
    <row r="621" spans="9:9" ht="13">
      <c r="I621" s="175"/>
    </row>
    <row r="622" spans="9:9" ht="13">
      <c r="I622" s="175"/>
    </row>
    <row r="623" spans="9:9" ht="13">
      <c r="I623" s="175"/>
    </row>
    <row r="624" spans="9:9" ht="13">
      <c r="I624" s="175"/>
    </row>
    <row r="625" spans="9:9" ht="13">
      <c r="I625" s="175"/>
    </row>
    <row r="626" spans="9:9" ht="13">
      <c r="I626" s="175"/>
    </row>
    <row r="627" spans="9:9" ht="13">
      <c r="I627" s="175"/>
    </row>
    <row r="628" spans="9:9" ht="13">
      <c r="I628" s="175"/>
    </row>
    <row r="629" spans="9:9" ht="13">
      <c r="I629" s="175"/>
    </row>
    <row r="630" spans="9:9" ht="13">
      <c r="I630" s="175"/>
    </row>
    <row r="631" spans="9:9" ht="13">
      <c r="I631" s="175"/>
    </row>
    <row r="632" spans="9:9" ht="13">
      <c r="I632" s="175"/>
    </row>
    <row r="633" spans="9:9" ht="13">
      <c r="I633" s="175"/>
    </row>
    <row r="634" spans="9:9" ht="13">
      <c r="I634" s="175"/>
    </row>
    <row r="635" spans="9:9" ht="13">
      <c r="I635" s="175"/>
    </row>
    <row r="636" spans="9:9" ht="13">
      <c r="I636" s="175"/>
    </row>
    <row r="637" spans="9:9" ht="13">
      <c r="I637" s="175"/>
    </row>
    <row r="638" spans="9:9" ht="13">
      <c r="I638" s="175"/>
    </row>
    <row r="639" spans="9:9" ht="13">
      <c r="I639" s="175"/>
    </row>
    <row r="640" spans="9:9" ht="13">
      <c r="I640" s="175"/>
    </row>
    <row r="641" spans="9:9" ht="13">
      <c r="I641" s="175"/>
    </row>
    <row r="642" spans="9:9" ht="13">
      <c r="I642" s="175"/>
    </row>
    <row r="643" spans="9:9" ht="13">
      <c r="I643" s="175"/>
    </row>
    <row r="644" spans="9:9" ht="13">
      <c r="I644" s="175"/>
    </row>
    <row r="645" spans="9:9" ht="13">
      <c r="I645" s="175"/>
    </row>
    <row r="646" spans="9:9" ht="13">
      <c r="I646" s="175"/>
    </row>
    <row r="647" spans="9:9" ht="13">
      <c r="I647" s="175"/>
    </row>
    <row r="648" spans="9:9" ht="13">
      <c r="I648" s="175"/>
    </row>
    <row r="649" spans="9:9" ht="13">
      <c r="I649" s="175"/>
    </row>
    <row r="650" spans="9:9" ht="13">
      <c r="I650" s="175"/>
    </row>
    <row r="651" spans="9:9" ht="13">
      <c r="I651" s="175"/>
    </row>
    <row r="652" spans="9:9" ht="13">
      <c r="I652" s="175"/>
    </row>
    <row r="653" spans="9:9" ht="13">
      <c r="I653" s="175"/>
    </row>
    <row r="654" spans="9:9" ht="13">
      <c r="I654" s="175"/>
    </row>
    <row r="655" spans="9:9" ht="13">
      <c r="I655" s="175"/>
    </row>
    <row r="656" spans="9:9" ht="13">
      <c r="I656" s="175"/>
    </row>
    <row r="657" spans="9:9" ht="13">
      <c r="I657" s="175"/>
    </row>
    <row r="658" spans="9:9" ht="13">
      <c r="I658" s="175"/>
    </row>
    <row r="659" spans="9:9" ht="13">
      <c r="I659" s="175"/>
    </row>
    <row r="660" spans="9:9" ht="13">
      <c r="I660" s="175"/>
    </row>
    <row r="661" spans="9:9" ht="13">
      <c r="I661" s="175"/>
    </row>
    <row r="662" spans="9:9" ht="13">
      <c r="I662" s="175"/>
    </row>
    <row r="663" spans="9:9" ht="13">
      <c r="I663" s="175"/>
    </row>
    <row r="664" spans="9:9" ht="13">
      <c r="I664" s="175"/>
    </row>
    <row r="665" spans="9:9" ht="13">
      <c r="I665" s="175"/>
    </row>
    <row r="666" spans="9:9" ht="13">
      <c r="I666" s="175"/>
    </row>
    <row r="667" spans="9:9" ht="13">
      <c r="I667" s="175"/>
    </row>
    <row r="668" spans="9:9" ht="13">
      <c r="I668" s="175"/>
    </row>
    <row r="669" spans="9:9" ht="13">
      <c r="I669" s="175"/>
    </row>
    <row r="670" spans="9:9" ht="13">
      <c r="I670" s="175"/>
    </row>
    <row r="671" spans="9:9" ht="13">
      <c r="I671" s="175"/>
    </row>
    <row r="672" spans="9:9" ht="13">
      <c r="I672" s="175"/>
    </row>
    <row r="673" spans="9:9" ht="13">
      <c r="I673" s="175"/>
    </row>
    <row r="674" spans="9:9" ht="13">
      <c r="I674" s="175"/>
    </row>
    <row r="675" spans="9:9" ht="13">
      <c r="I675" s="175"/>
    </row>
    <row r="676" spans="9:9" ht="13">
      <c r="I676" s="175"/>
    </row>
    <row r="677" spans="9:9" ht="13">
      <c r="I677" s="175"/>
    </row>
    <row r="678" spans="9:9" ht="13">
      <c r="I678" s="175"/>
    </row>
    <row r="679" spans="9:9" ht="13">
      <c r="I679" s="175"/>
    </row>
    <row r="680" spans="9:9" ht="13">
      <c r="I680" s="175"/>
    </row>
    <row r="681" spans="9:9" ht="13">
      <c r="I681" s="175"/>
    </row>
    <row r="682" spans="9:9" ht="13">
      <c r="I682" s="175"/>
    </row>
    <row r="683" spans="9:9" ht="13">
      <c r="I683" s="175"/>
    </row>
    <row r="684" spans="9:9" ht="13">
      <c r="I684" s="175"/>
    </row>
    <row r="685" spans="9:9" ht="13">
      <c r="I685" s="175"/>
    </row>
    <row r="686" spans="9:9" ht="13">
      <c r="I686" s="175"/>
    </row>
    <row r="687" spans="9:9" ht="13">
      <c r="I687" s="175"/>
    </row>
    <row r="688" spans="9:9" ht="13">
      <c r="I688" s="175"/>
    </row>
    <row r="689" spans="9:9" ht="13">
      <c r="I689" s="175"/>
    </row>
    <row r="690" spans="9:9" ht="13">
      <c r="I690" s="175"/>
    </row>
    <row r="691" spans="9:9" ht="13">
      <c r="I691" s="175"/>
    </row>
    <row r="692" spans="9:9" ht="13">
      <c r="I692" s="175"/>
    </row>
    <row r="693" spans="9:9" ht="13">
      <c r="I693" s="175"/>
    </row>
    <row r="694" spans="9:9" ht="13">
      <c r="I694" s="175"/>
    </row>
    <row r="695" spans="9:9" ht="13">
      <c r="I695" s="175"/>
    </row>
    <row r="696" spans="9:9" ht="13">
      <c r="I696" s="175"/>
    </row>
    <row r="697" spans="9:9" ht="13">
      <c r="I697" s="175"/>
    </row>
    <row r="698" spans="9:9" ht="13">
      <c r="I698" s="175"/>
    </row>
    <row r="699" spans="9:9" ht="13">
      <c r="I699" s="175"/>
    </row>
    <row r="700" spans="9:9" ht="13">
      <c r="I700" s="175"/>
    </row>
    <row r="701" spans="9:9" ht="13">
      <c r="I701" s="175"/>
    </row>
    <row r="702" spans="9:9" ht="13">
      <c r="I702" s="175"/>
    </row>
    <row r="703" spans="9:9" ht="13">
      <c r="I703" s="175"/>
    </row>
    <row r="704" spans="9:9" ht="13">
      <c r="I704" s="175"/>
    </row>
    <row r="705" spans="9:9" ht="13">
      <c r="I705" s="175"/>
    </row>
    <row r="706" spans="9:9" ht="13">
      <c r="I706" s="175"/>
    </row>
    <row r="707" spans="9:9" ht="13">
      <c r="I707" s="175"/>
    </row>
    <row r="708" spans="9:9" ht="13">
      <c r="I708" s="175"/>
    </row>
    <row r="709" spans="9:9" ht="13">
      <c r="I709" s="175"/>
    </row>
    <row r="710" spans="9:9" ht="13">
      <c r="I710" s="175"/>
    </row>
    <row r="711" spans="9:9" ht="13">
      <c r="I711" s="175"/>
    </row>
    <row r="712" spans="9:9" ht="13">
      <c r="I712" s="175"/>
    </row>
    <row r="713" spans="9:9" ht="13">
      <c r="I713" s="175"/>
    </row>
    <row r="714" spans="9:9" ht="13">
      <c r="I714" s="175"/>
    </row>
    <row r="715" spans="9:9" ht="13">
      <c r="I715" s="175"/>
    </row>
    <row r="716" spans="9:9" ht="13">
      <c r="I716" s="175"/>
    </row>
    <row r="717" spans="9:9" ht="13">
      <c r="I717" s="175"/>
    </row>
    <row r="718" spans="9:9" ht="13">
      <c r="I718" s="175"/>
    </row>
    <row r="719" spans="9:9" ht="13">
      <c r="I719" s="175"/>
    </row>
    <row r="720" spans="9:9" ht="13">
      <c r="I720" s="175"/>
    </row>
    <row r="721" spans="9:9" ht="13">
      <c r="I721" s="175"/>
    </row>
    <row r="722" spans="9:9" ht="13">
      <c r="I722" s="175"/>
    </row>
    <row r="723" spans="9:9" ht="13">
      <c r="I723" s="175"/>
    </row>
    <row r="724" spans="9:9" ht="13">
      <c r="I724" s="175"/>
    </row>
    <row r="725" spans="9:9" ht="13">
      <c r="I725" s="175"/>
    </row>
    <row r="726" spans="9:9" ht="13">
      <c r="I726" s="175"/>
    </row>
    <row r="727" spans="9:9" ht="13">
      <c r="I727" s="175"/>
    </row>
    <row r="728" spans="9:9" ht="13">
      <c r="I728" s="175"/>
    </row>
    <row r="729" spans="9:9" ht="13">
      <c r="I729" s="175"/>
    </row>
    <row r="730" spans="9:9" ht="13">
      <c r="I730" s="175"/>
    </row>
    <row r="731" spans="9:9" ht="13">
      <c r="I731" s="175"/>
    </row>
    <row r="732" spans="9:9" ht="13">
      <c r="I732" s="175"/>
    </row>
    <row r="733" spans="9:9" ht="13">
      <c r="I733" s="175"/>
    </row>
    <row r="734" spans="9:9" ht="13">
      <c r="I734" s="175"/>
    </row>
    <row r="735" spans="9:9" ht="13">
      <c r="I735" s="175"/>
    </row>
    <row r="736" spans="9:9" ht="13">
      <c r="I736" s="175"/>
    </row>
    <row r="737" spans="9:9" ht="13">
      <c r="I737" s="175"/>
    </row>
    <row r="738" spans="9:9" ht="13">
      <c r="I738" s="175"/>
    </row>
    <row r="739" spans="9:9" ht="13">
      <c r="I739" s="175"/>
    </row>
    <row r="740" spans="9:9" ht="13">
      <c r="I740" s="175"/>
    </row>
    <row r="741" spans="9:9" ht="13">
      <c r="I741" s="175"/>
    </row>
    <row r="742" spans="9:9" ht="13">
      <c r="I742" s="175"/>
    </row>
    <row r="743" spans="9:9" ht="13">
      <c r="I743" s="175"/>
    </row>
    <row r="744" spans="9:9" ht="13">
      <c r="I744" s="175"/>
    </row>
    <row r="745" spans="9:9" ht="13">
      <c r="I745" s="175"/>
    </row>
    <row r="746" spans="9:9" ht="13">
      <c r="I746" s="175"/>
    </row>
    <row r="747" spans="9:9" ht="13">
      <c r="I747" s="175"/>
    </row>
    <row r="748" spans="9:9" ht="13">
      <c r="I748" s="175"/>
    </row>
    <row r="749" spans="9:9" ht="13">
      <c r="I749" s="175"/>
    </row>
    <row r="750" spans="9:9" ht="13">
      <c r="I750" s="175"/>
    </row>
    <row r="751" spans="9:9" ht="13">
      <c r="I751" s="175"/>
    </row>
    <row r="752" spans="9:9" ht="13">
      <c r="I752" s="175"/>
    </row>
    <row r="753" spans="9:9" ht="13">
      <c r="I753" s="175"/>
    </row>
    <row r="754" spans="9:9" ht="13">
      <c r="I754" s="175"/>
    </row>
    <row r="755" spans="9:9" ht="13">
      <c r="I755" s="175"/>
    </row>
    <row r="756" spans="9:9" ht="13">
      <c r="I756" s="175"/>
    </row>
    <row r="757" spans="9:9" ht="13">
      <c r="I757" s="175"/>
    </row>
    <row r="758" spans="9:9" ht="13">
      <c r="I758" s="175"/>
    </row>
    <row r="759" spans="9:9" ht="13">
      <c r="I759" s="175"/>
    </row>
    <row r="760" spans="9:9" ht="13">
      <c r="I760" s="175"/>
    </row>
    <row r="761" spans="9:9" ht="13">
      <c r="I761" s="175"/>
    </row>
    <row r="762" spans="9:9" ht="13">
      <c r="I762" s="175"/>
    </row>
    <row r="763" spans="9:9" ht="13">
      <c r="I763" s="175"/>
    </row>
    <row r="764" spans="9:9" ht="13">
      <c r="I764" s="175"/>
    </row>
    <row r="765" spans="9:9" ht="13">
      <c r="I765" s="175"/>
    </row>
    <row r="766" spans="9:9" ht="13">
      <c r="I766" s="175"/>
    </row>
    <row r="767" spans="9:9" ht="13">
      <c r="I767" s="175"/>
    </row>
    <row r="768" spans="9:9" ht="13">
      <c r="I768" s="175"/>
    </row>
    <row r="769" spans="9:9" ht="13">
      <c r="I769" s="175"/>
    </row>
    <row r="770" spans="9:9" ht="13">
      <c r="I770" s="175"/>
    </row>
    <row r="771" spans="9:9" ht="13">
      <c r="I771" s="175"/>
    </row>
    <row r="772" spans="9:9" ht="13">
      <c r="I772" s="175"/>
    </row>
    <row r="773" spans="9:9" ht="13">
      <c r="I773" s="175"/>
    </row>
    <row r="774" spans="9:9" ht="13">
      <c r="I774" s="175"/>
    </row>
    <row r="775" spans="9:9" ht="13">
      <c r="I775" s="175"/>
    </row>
    <row r="776" spans="9:9" ht="13">
      <c r="I776" s="175"/>
    </row>
    <row r="777" spans="9:9" ht="13">
      <c r="I777" s="175"/>
    </row>
    <row r="778" spans="9:9" ht="13">
      <c r="I778" s="175"/>
    </row>
    <row r="779" spans="9:9" ht="13">
      <c r="I779" s="175"/>
    </row>
    <row r="780" spans="9:9" ht="13">
      <c r="I780" s="175"/>
    </row>
    <row r="781" spans="9:9" ht="13">
      <c r="I781" s="175"/>
    </row>
    <row r="782" spans="9:9" ht="13">
      <c r="I782" s="175"/>
    </row>
    <row r="783" spans="9:9" ht="13">
      <c r="I783" s="175"/>
    </row>
    <row r="784" spans="9:9" ht="13">
      <c r="I784" s="175"/>
    </row>
    <row r="785" spans="9:9" ht="13">
      <c r="I785" s="175"/>
    </row>
    <row r="786" spans="9:9" ht="13">
      <c r="I786" s="175"/>
    </row>
    <row r="787" spans="9:9" ht="13">
      <c r="I787" s="175"/>
    </row>
    <row r="788" spans="9:9" ht="13">
      <c r="I788" s="175"/>
    </row>
    <row r="789" spans="9:9" ht="13">
      <c r="I789" s="175"/>
    </row>
    <row r="790" spans="9:9" ht="13">
      <c r="I790" s="175"/>
    </row>
    <row r="791" spans="9:9" ht="13">
      <c r="I791" s="175"/>
    </row>
    <row r="792" spans="9:9" ht="13">
      <c r="I792" s="175"/>
    </row>
    <row r="793" spans="9:9" ht="13">
      <c r="I793" s="175"/>
    </row>
    <row r="794" spans="9:9" ht="13">
      <c r="I794" s="175"/>
    </row>
    <row r="795" spans="9:9" ht="13">
      <c r="I795" s="175"/>
    </row>
    <row r="796" spans="9:9" ht="13">
      <c r="I796" s="175"/>
    </row>
    <row r="797" spans="9:9" ht="13">
      <c r="I797" s="175"/>
    </row>
    <row r="798" spans="9:9" ht="13">
      <c r="I798" s="175"/>
    </row>
    <row r="799" spans="9:9" ht="13">
      <c r="I799" s="175"/>
    </row>
    <row r="800" spans="9:9" ht="13">
      <c r="I800" s="175"/>
    </row>
    <row r="801" spans="9:9" ht="13">
      <c r="I801" s="175"/>
    </row>
    <row r="802" spans="9:9" ht="13">
      <c r="I802" s="175"/>
    </row>
    <row r="803" spans="9:9" ht="13">
      <c r="I803" s="175"/>
    </row>
    <row r="804" spans="9:9" ht="13">
      <c r="I804" s="175"/>
    </row>
    <row r="805" spans="9:9" ht="13">
      <c r="I805" s="175"/>
    </row>
    <row r="806" spans="9:9" ht="13">
      <c r="I806" s="175"/>
    </row>
    <row r="807" spans="9:9" ht="13">
      <c r="I807" s="175"/>
    </row>
    <row r="808" spans="9:9" ht="13">
      <c r="I808" s="175"/>
    </row>
    <row r="809" spans="9:9" ht="13">
      <c r="I809" s="175"/>
    </row>
    <row r="810" spans="9:9" ht="13">
      <c r="I810" s="175"/>
    </row>
    <row r="811" spans="9:9" ht="13">
      <c r="I811" s="175"/>
    </row>
    <row r="812" spans="9:9" ht="13">
      <c r="I812" s="175"/>
    </row>
    <row r="813" spans="9:9" ht="13">
      <c r="I813" s="175"/>
    </row>
    <row r="814" spans="9:9" ht="13">
      <c r="I814" s="175"/>
    </row>
    <row r="815" spans="9:9" ht="13">
      <c r="I815" s="175"/>
    </row>
    <row r="816" spans="9:9" ht="13">
      <c r="I816" s="175"/>
    </row>
    <row r="817" spans="9:9" ht="13">
      <c r="I817" s="175"/>
    </row>
    <row r="818" spans="9:9" ht="13">
      <c r="I818" s="175"/>
    </row>
    <row r="819" spans="9:9" ht="13">
      <c r="I819" s="175"/>
    </row>
    <row r="820" spans="9:9" ht="13">
      <c r="I820" s="175"/>
    </row>
    <row r="821" spans="9:9" ht="13">
      <c r="I821" s="175"/>
    </row>
    <row r="822" spans="9:9" ht="13">
      <c r="I822" s="175"/>
    </row>
    <row r="823" spans="9:9" ht="13">
      <c r="I823" s="175"/>
    </row>
    <row r="824" spans="9:9" ht="13">
      <c r="I824" s="175"/>
    </row>
    <row r="825" spans="9:9" ht="13">
      <c r="I825" s="175"/>
    </row>
    <row r="826" spans="9:9" ht="13">
      <c r="I826" s="175"/>
    </row>
    <row r="827" spans="9:9" ht="13">
      <c r="I827" s="175"/>
    </row>
    <row r="828" spans="9:9" ht="13">
      <c r="I828" s="175"/>
    </row>
    <row r="829" spans="9:9" ht="13">
      <c r="I829" s="175"/>
    </row>
    <row r="830" spans="9:9" ht="13">
      <c r="I830" s="175"/>
    </row>
    <row r="831" spans="9:9" ht="13">
      <c r="I831" s="175"/>
    </row>
    <row r="832" spans="9:9" ht="13">
      <c r="I832" s="175"/>
    </row>
    <row r="833" spans="9:9" ht="13">
      <c r="I833" s="175"/>
    </row>
    <row r="834" spans="9:9" ht="13">
      <c r="I834" s="175"/>
    </row>
    <row r="835" spans="9:9" ht="13">
      <c r="I835" s="175"/>
    </row>
    <row r="836" spans="9:9" ht="13">
      <c r="I836" s="175"/>
    </row>
    <row r="837" spans="9:9" ht="13">
      <c r="I837" s="175"/>
    </row>
    <row r="838" spans="9:9" ht="13">
      <c r="I838" s="175"/>
    </row>
    <row r="839" spans="9:9" ht="13">
      <c r="I839" s="175"/>
    </row>
    <row r="840" spans="9:9" ht="13">
      <c r="I840" s="175"/>
    </row>
    <row r="841" spans="9:9" ht="13">
      <c r="I841" s="175"/>
    </row>
    <row r="842" spans="9:9" ht="13">
      <c r="I842" s="175"/>
    </row>
    <row r="843" spans="9:9" ht="13">
      <c r="I843" s="175"/>
    </row>
    <row r="844" spans="9:9" ht="13">
      <c r="I844" s="175"/>
    </row>
    <row r="845" spans="9:9" ht="13">
      <c r="I845" s="175"/>
    </row>
    <row r="846" spans="9:9" ht="13">
      <c r="I846" s="175"/>
    </row>
    <row r="847" spans="9:9" ht="13">
      <c r="I847" s="175"/>
    </row>
    <row r="848" spans="9:9" ht="13">
      <c r="I848" s="175"/>
    </row>
    <row r="849" spans="9:9" ht="13">
      <c r="I849" s="175"/>
    </row>
    <row r="850" spans="9:9" ht="13">
      <c r="I850" s="175"/>
    </row>
    <row r="851" spans="9:9" ht="13">
      <c r="I851" s="175"/>
    </row>
    <row r="852" spans="9:9" ht="13">
      <c r="I852" s="175"/>
    </row>
    <row r="853" spans="9:9" ht="13">
      <c r="I853" s="175"/>
    </row>
    <row r="854" spans="9:9" ht="13">
      <c r="I854" s="175"/>
    </row>
    <row r="855" spans="9:9" ht="13">
      <c r="I855" s="175"/>
    </row>
    <row r="856" spans="9:9" ht="13">
      <c r="I856" s="175"/>
    </row>
    <row r="857" spans="9:9" ht="13">
      <c r="I857" s="175"/>
    </row>
    <row r="858" spans="9:9" ht="13">
      <c r="I858" s="175"/>
    </row>
    <row r="859" spans="9:9" ht="13">
      <c r="I859" s="175"/>
    </row>
    <row r="860" spans="9:9" ht="13">
      <c r="I860" s="175"/>
    </row>
    <row r="861" spans="9:9" ht="13">
      <c r="I861" s="175"/>
    </row>
    <row r="862" spans="9:9" ht="13">
      <c r="I862" s="175"/>
    </row>
    <row r="863" spans="9:9" ht="13">
      <c r="I863" s="175"/>
    </row>
    <row r="864" spans="9:9" ht="13">
      <c r="I864" s="175"/>
    </row>
    <row r="865" spans="9:9" ht="13">
      <c r="I865" s="175"/>
    </row>
    <row r="866" spans="9:9" ht="13">
      <c r="I866" s="175"/>
    </row>
    <row r="867" spans="9:9" ht="13">
      <c r="I867" s="175"/>
    </row>
    <row r="868" spans="9:9" ht="13">
      <c r="I868" s="175"/>
    </row>
    <row r="869" spans="9:9" ht="13">
      <c r="I869" s="175"/>
    </row>
    <row r="870" spans="9:9" ht="13">
      <c r="I870" s="175"/>
    </row>
    <row r="871" spans="9:9" ht="13">
      <c r="I871" s="175"/>
    </row>
    <row r="872" spans="9:9" ht="13">
      <c r="I872" s="175"/>
    </row>
    <row r="873" spans="9:9" ht="13">
      <c r="I873" s="175"/>
    </row>
    <row r="874" spans="9:9" ht="13">
      <c r="I874" s="175"/>
    </row>
    <row r="875" spans="9:9" ht="13">
      <c r="I875" s="175"/>
    </row>
    <row r="876" spans="9:9" ht="13">
      <c r="I876" s="175"/>
    </row>
    <row r="877" spans="9:9" ht="13">
      <c r="I877" s="175"/>
    </row>
    <row r="878" spans="9:9" ht="13">
      <c r="I878" s="175"/>
    </row>
    <row r="879" spans="9:9" ht="13">
      <c r="I879" s="175"/>
    </row>
    <row r="880" spans="9:9" ht="13">
      <c r="I880" s="175"/>
    </row>
    <row r="881" spans="9:9" ht="13">
      <c r="I881" s="175"/>
    </row>
    <row r="882" spans="9:9" ht="13">
      <c r="I882" s="175"/>
    </row>
    <row r="883" spans="9:9" ht="13">
      <c r="I883" s="175"/>
    </row>
    <row r="884" spans="9:9" ht="13">
      <c r="I884" s="175"/>
    </row>
    <row r="885" spans="9:9" ht="13">
      <c r="I885" s="175"/>
    </row>
    <row r="886" spans="9:9" ht="13">
      <c r="I886" s="175"/>
    </row>
    <row r="887" spans="9:9" ht="13">
      <c r="I887" s="175"/>
    </row>
    <row r="888" spans="9:9" ht="13">
      <c r="I888" s="175"/>
    </row>
    <row r="889" spans="9:9" ht="13">
      <c r="I889" s="175"/>
    </row>
    <row r="890" spans="9:9" ht="13">
      <c r="I890" s="175"/>
    </row>
    <row r="891" spans="9:9" ht="13">
      <c r="I891" s="175"/>
    </row>
    <row r="892" spans="9:9" ht="13">
      <c r="I892" s="175"/>
    </row>
    <row r="893" spans="9:9" ht="13">
      <c r="I893" s="175"/>
    </row>
    <row r="894" spans="9:9" ht="13">
      <c r="I894" s="175"/>
    </row>
    <row r="895" spans="9:9" ht="13">
      <c r="I895" s="175"/>
    </row>
    <row r="896" spans="9:9" ht="13">
      <c r="I896" s="175"/>
    </row>
    <row r="897" spans="9:9" ht="13">
      <c r="I897" s="175"/>
    </row>
    <row r="898" spans="9:9" ht="13">
      <c r="I898" s="175"/>
    </row>
    <row r="899" spans="9:9" ht="13">
      <c r="I899" s="175"/>
    </row>
    <row r="900" spans="9:9" ht="13">
      <c r="I900" s="175"/>
    </row>
    <row r="901" spans="9:9" ht="13">
      <c r="I901" s="175"/>
    </row>
    <row r="902" spans="9:9" ht="13">
      <c r="I902" s="175"/>
    </row>
    <row r="903" spans="9:9" ht="13">
      <c r="I903" s="175"/>
    </row>
    <row r="904" spans="9:9" ht="13">
      <c r="I904" s="175"/>
    </row>
    <row r="905" spans="9:9" ht="13">
      <c r="I905" s="175"/>
    </row>
    <row r="906" spans="9:9" ht="13">
      <c r="I906" s="175"/>
    </row>
    <row r="907" spans="9:9" ht="13">
      <c r="I907" s="175"/>
    </row>
    <row r="908" spans="9:9" ht="13">
      <c r="I908" s="175"/>
    </row>
    <row r="909" spans="9:9" ht="13">
      <c r="I909" s="175"/>
    </row>
    <row r="910" spans="9:9" ht="13">
      <c r="I910" s="175"/>
    </row>
    <row r="911" spans="9:9" ht="13">
      <c r="I911" s="175"/>
    </row>
    <row r="912" spans="9:9" ht="13">
      <c r="I912" s="175"/>
    </row>
    <row r="913" spans="9:9" ht="13">
      <c r="I913" s="175"/>
    </row>
    <row r="914" spans="9:9" ht="13">
      <c r="I914" s="175"/>
    </row>
    <row r="915" spans="9:9" ht="13">
      <c r="I915" s="175"/>
    </row>
    <row r="916" spans="9:9" ht="13">
      <c r="I916" s="175"/>
    </row>
    <row r="917" spans="9:9" ht="13">
      <c r="I917" s="175"/>
    </row>
    <row r="918" spans="9:9" ht="13">
      <c r="I918" s="175"/>
    </row>
    <row r="919" spans="9:9" ht="13">
      <c r="I919" s="175"/>
    </row>
    <row r="920" spans="9:9" ht="13">
      <c r="I920" s="175"/>
    </row>
    <row r="921" spans="9:9" ht="13">
      <c r="I921" s="175"/>
    </row>
    <row r="922" spans="9:9" ht="13">
      <c r="I922" s="175"/>
    </row>
    <row r="923" spans="9:9" ht="13">
      <c r="I923" s="175"/>
    </row>
    <row r="924" spans="9:9" ht="13">
      <c r="I924" s="175"/>
    </row>
    <row r="925" spans="9:9" ht="13">
      <c r="I925" s="175"/>
    </row>
    <row r="926" spans="9:9" ht="13">
      <c r="I926" s="175"/>
    </row>
    <row r="927" spans="9:9" ht="13">
      <c r="I927" s="175"/>
    </row>
    <row r="928" spans="9:9" ht="13">
      <c r="I928" s="175"/>
    </row>
    <row r="929" spans="9:9" ht="13">
      <c r="I929" s="175"/>
    </row>
    <row r="930" spans="9:9" ht="13">
      <c r="I930" s="175"/>
    </row>
    <row r="931" spans="9:9" ht="13">
      <c r="I931" s="175"/>
    </row>
    <row r="932" spans="9:9" ht="13">
      <c r="I932" s="175"/>
    </row>
    <row r="933" spans="9:9" ht="13">
      <c r="I933" s="175"/>
    </row>
    <row r="934" spans="9:9" ht="13">
      <c r="I934" s="175"/>
    </row>
    <row r="935" spans="9:9" ht="13">
      <c r="I935" s="175"/>
    </row>
    <row r="936" spans="9:9" ht="13">
      <c r="I936" s="175"/>
    </row>
    <row r="937" spans="9:9" ht="13">
      <c r="I937" s="175"/>
    </row>
    <row r="938" spans="9:9" ht="13">
      <c r="I938" s="175"/>
    </row>
    <row r="939" spans="9:9" ht="13">
      <c r="I939" s="175"/>
    </row>
    <row r="940" spans="9:9" ht="13">
      <c r="I940" s="175"/>
    </row>
    <row r="941" spans="9:9" ht="13">
      <c r="I941" s="175"/>
    </row>
    <row r="942" spans="9:9" ht="13">
      <c r="I942" s="175"/>
    </row>
    <row r="943" spans="9:9" ht="13">
      <c r="I943" s="175"/>
    </row>
    <row r="944" spans="9:9" ht="13">
      <c r="I944" s="175"/>
    </row>
    <row r="945" spans="9:9" ht="13">
      <c r="I945" s="175"/>
    </row>
    <row r="946" spans="9:9" ht="13">
      <c r="I946" s="175"/>
    </row>
    <row r="947" spans="9:9" ht="13">
      <c r="I947" s="175"/>
    </row>
    <row r="948" spans="9:9" ht="13">
      <c r="I948" s="175"/>
    </row>
    <row r="949" spans="9:9" ht="13">
      <c r="I949" s="175"/>
    </row>
    <row r="950" spans="9:9" ht="13">
      <c r="I950" s="175"/>
    </row>
    <row r="951" spans="9:9" ht="13">
      <c r="I951" s="175"/>
    </row>
    <row r="952" spans="9:9" ht="13">
      <c r="I952" s="175"/>
    </row>
    <row r="953" spans="9:9" ht="13">
      <c r="I953" s="175"/>
    </row>
    <row r="954" spans="9:9" ht="13">
      <c r="I954" s="175"/>
    </row>
    <row r="955" spans="9:9" ht="13">
      <c r="I955" s="175"/>
    </row>
    <row r="956" spans="9:9" ht="13">
      <c r="I956" s="175"/>
    </row>
    <row r="957" spans="9:9" ht="13">
      <c r="I957" s="175"/>
    </row>
    <row r="958" spans="9:9" ht="13">
      <c r="I958" s="175"/>
    </row>
    <row r="959" spans="9:9" ht="13">
      <c r="I959" s="175"/>
    </row>
    <row r="960" spans="9:9" ht="13">
      <c r="I960" s="175"/>
    </row>
    <row r="961" spans="9:9" ht="13">
      <c r="I961" s="175"/>
    </row>
    <row r="962" spans="9:9" ht="13">
      <c r="I962" s="175"/>
    </row>
    <row r="963" spans="9:9" ht="13">
      <c r="I963" s="175"/>
    </row>
    <row r="964" spans="9:9" ht="13">
      <c r="I964" s="175"/>
    </row>
    <row r="965" spans="9:9" ht="13">
      <c r="I965" s="175"/>
    </row>
    <row r="966" spans="9:9" ht="13">
      <c r="I966" s="175"/>
    </row>
    <row r="967" spans="9:9" ht="13">
      <c r="I967" s="175"/>
    </row>
    <row r="968" spans="9:9" ht="13">
      <c r="I968" s="175"/>
    </row>
    <row r="969" spans="9:9" ht="13">
      <c r="I969" s="175"/>
    </row>
    <row r="970" spans="9:9" ht="13">
      <c r="I970" s="175"/>
    </row>
    <row r="971" spans="9:9" ht="13">
      <c r="I971" s="175"/>
    </row>
    <row r="972" spans="9:9" ht="13">
      <c r="I972" s="175"/>
    </row>
    <row r="973" spans="9:9" ht="13">
      <c r="I973" s="175"/>
    </row>
    <row r="974" spans="9:9" ht="13">
      <c r="I974" s="175"/>
    </row>
    <row r="975" spans="9:9" ht="13">
      <c r="I975" s="175"/>
    </row>
    <row r="976" spans="9:9" ht="13">
      <c r="I976" s="175"/>
    </row>
    <row r="977" spans="9:9" ht="13">
      <c r="I977" s="175"/>
    </row>
    <row r="978" spans="9:9" ht="13">
      <c r="I978" s="175"/>
    </row>
    <row r="979" spans="9:9" ht="13">
      <c r="I979" s="175"/>
    </row>
    <row r="980" spans="9:9" ht="13">
      <c r="I980" s="175"/>
    </row>
    <row r="981" spans="9:9" ht="13">
      <c r="I981" s="175"/>
    </row>
    <row r="982" spans="9:9" ht="13">
      <c r="I982" s="175"/>
    </row>
    <row r="983" spans="9:9" ht="13">
      <c r="I983" s="175"/>
    </row>
    <row r="984" spans="9:9" ht="13">
      <c r="I984" s="175"/>
    </row>
    <row r="985" spans="9:9" ht="13">
      <c r="I985" s="175"/>
    </row>
    <row r="986" spans="9:9" ht="13">
      <c r="I986" s="175"/>
    </row>
    <row r="987" spans="9:9" ht="13">
      <c r="I987" s="175"/>
    </row>
    <row r="988" spans="9:9" ht="13">
      <c r="I988" s="175"/>
    </row>
    <row r="989" spans="9:9" ht="13">
      <c r="I989" s="175"/>
    </row>
    <row r="990" spans="9:9" ht="13">
      <c r="I990" s="175"/>
    </row>
    <row r="991" spans="9:9" ht="13">
      <c r="I991" s="175"/>
    </row>
    <row r="992" spans="9:9" ht="13">
      <c r="I992" s="175"/>
    </row>
    <row r="993" spans="9:9" ht="13">
      <c r="I993" s="175"/>
    </row>
    <row r="994" spans="9:9" ht="13">
      <c r="I994" s="175"/>
    </row>
    <row r="995" spans="9:9" ht="13">
      <c r="I995" s="175"/>
    </row>
    <row r="996" spans="9:9" ht="13">
      <c r="I996" s="175"/>
    </row>
    <row r="997" spans="9:9" ht="13">
      <c r="I997" s="175"/>
    </row>
    <row r="998" spans="9:9" ht="13">
      <c r="I998" s="175"/>
    </row>
    <row r="999" spans="9:9" ht="13">
      <c r="I999" s="175"/>
    </row>
  </sheetData>
  <autoFilter ref="A1:V999" xr:uid="{00000000-0009-0000-0000-000009000000}"/>
  <phoneticPr fontId="72" type="noConversion"/>
  <conditionalFormatting sqref="C1:C102 C104 C106:C110 C114:C999">
    <cfRule type="expression" dxfId="0" priority="1">
      <formula>counif(C:C,C:C)&gt;1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M2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4" max="4" width="23.1640625" customWidth="1"/>
    <col min="7" max="7" width="13" customWidth="1"/>
    <col min="11" max="11" width="15.83203125" customWidth="1"/>
    <col min="12" max="12" width="19.33203125" customWidth="1"/>
  </cols>
  <sheetData>
    <row r="1" spans="1:13" ht="15.75" customHeight="1">
      <c r="A1" s="209" t="s">
        <v>2210</v>
      </c>
      <c r="B1" s="209" t="s">
        <v>2211</v>
      </c>
      <c r="C1" s="68" t="s">
        <v>1</v>
      </c>
      <c r="D1" s="68" t="s">
        <v>3</v>
      </c>
      <c r="E1" s="209" t="s">
        <v>2354</v>
      </c>
      <c r="F1" s="209" t="s">
        <v>5</v>
      </c>
      <c r="G1" s="209" t="s">
        <v>2213</v>
      </c>
      <c r="H1" s="209" t="s">
        <v>2214</v>
      </c>
      <c r="I1" s="209" t="s">
        <v>2215</v>
      </c>
      <c r="J1" s="209" t="s">
        <v>2216</v>
      </c>
      <c r="K1" s="209" t="s">
        <v>2217</v>
      </c>
      <c r="L1" s="209" t="s">
        <v>2154</v>
      </c>
      <c r="M1" s="71"/>
    </row>
    <row r="2" spans="1:13" ht="15.75" customHeight="1">
      <c r="A2" s="233">
        <v>0</v>
      </c>
      <c r="B2" s="233">
        <v>0</v>
      </c>
      <c r="C2" s="233" t="s">
        <v>763</v>
      </c>
      <c r="D2" s="234" t="s">
        <v>764</v>
      </c>
      <c r="E2" s="233" t="s">
        <v>2219</v>
      </c>
      <c r="F2" s="233"/>
      <c r="G2" s="233" t="str">
        <f t="array" ref="G2">IFERROR(INDEX(All_User!H:H,MATCH(D2,All_User!D:D,0)),"반납완료")</f>
        <v>5CD3469HCZ</v>
      </c>
      <c r="H2" s="233" t="str">
        <f t="array" ref="H2">IFERROR(INDEX(All_User!K:K,MATCH(D2,All_User!D:D,0)),"없음")</f>
        <v>J1XWPW66YY</v>
      </c>
      <c r="I2" s="233" t="str">
        <f t="array" ref="I2">IFERROR(INDEX(All_User!N:N,MATCH(D2,All_User!D:D,0)),"없음")</f>
        <v>없음</v>
      </c>
      <c r="J2" s="233" t="str">
        <f t="array" ref="J2">IFERROR(INDEX(All_User!M:M,MATCH(D2,All_User!D:D,0)),"없음")</f>
        <v>없음</v>
      </c>
      <c r="K2" s="233" t="str">
        <f t="array" ref="K2">IFERROR(INDEX(All_User!L:L,MATCH(D2,All_User!D:D,0)),"없음")</f>
        <v>tel:+82234517681</v>
      </c>
      <c r="L2" s="235"/>
      <c r="M2" s="71"/>
    </row>
    <row r="3" spans="1:13" ht="15.75" customHeight="1">
      <c r="A3" s="236">
        <v>4</v>
      </c>
      <c r="B3" s="236">
        <v>30</v>
      </c>
      <c r="C3" s="237" t="s">
        <v>2355</v>
      </c>
      <c r="D3" s="238" t="s">
        <v>2356</v>
      </c>
      <c r="E3" s="236" t="s">
        <v>2357</v>
      </c>
      <c r="F3" s="236" t="s">
        <v>790</v>
      </c>
      <c r="G3" s="236" t="str">
        <f t="array" ref="G3">IFERROR(INDEX(All_User!H:H,MATCH(D3,All_User!D:D,0)),"반납완료")</f>
        <v>반납완료</v>
      </c>
      <c r="H3" s="236" t="s">
        <v>2125</v>
      </c>
      <c r="I3" s="236" t="s">
        <v>28</v>
      </c>
      <c r="J3" s="236" t="s">
        <v>28</v>
      </c>
      <c r="K3" s="236" t="str">
        <f t="array" ref="K3">IFERROR(INDEX(All_User!L:L,MATCH(D3,All_User!D:D,0)),"없음")</f>
        <v>없음</v>
      </c>
      <c r="L3" s="239" t="s">
        <v>2358</v>
      </c>
      <c r="M3" s="71"/>
    </row>
    <row r="4" spans="1:13" ht="15.75" customHeight="1">
      <c r="A4" s="236">
        <v>4</v>
      </c>
      <c r="B4" s="236">
        <v>30</v>
      </c>
      <c r="C4" s="236" t="s">
        <v>2359</v>
      </c>
      <c r="D4" s="238" t="s">
        <v>2360</v>
      </c>
      <c r="E4" s="236" t="s">
        <v>2357</v>
      </c>
      <c r="F4" s="236" t="s">
        <v>790</v>
      </c>
      <c r="G4" s="236" t="str">
        <f t="array" ref="G4">IFERROR(INDEX(All_User!H:H,MATCH(D4,All_User!D:D,0)),"반납완료")</f>
        <v>반납완료</v>
      </c>
      <c r="H4" s="236" t="s">
        <v>2125</v>
      </c>
      <c r="I4" s="236" t="s">
        <v>28</v>
      </c>
      <c r="J4" s="236" t="s">
        <v>28</v>
      </c>
      <c r="K4" s="236" t="str">
        <f t="array" ref="K4">IFERROR(INDEX(All_User!L:L,MATCH(D4,All_User!D:D,0)),"없음")</f>
        <v>없음</v>
      </c>
      <c r="L4" s="239"/>
      <c r="M4" s="71"/>
    </row>
    <row r="5" spans="1:13" ht="15.75" customHeight="1">
      <c r="A5" s="236">
        <v>5</v>
      </c>
      <c r="B5" s="236">
        <v>2</v>
      </c>
      <c r="C5" s="236" t="s">
        <v>2361</v>
      </c>
      <c r="D5" s="238" t="s">
        <v>2362</v>
      </c>
      <c r="E5" s="236" t="s">
        <v>2357</v>
      </c>
      <c r="F5" s="236" t="s">
        <v>790</v>
      </c>
      <c r="G5" s="236" t="str">
        <f t="array" ref="G5">IFERROR(INDEX(All_User!H:H,MATCH(D5,All_User!D:D,0)),"반납완료")</f>
        <v>반납완료</v>
      </c>
      <c r="H5" s="236" t="s">
        <v>28</v>
      </c>
      <c r="I5" s="236" t="s">
        <v>28</v>
      </c>
      <c r="J5" s="236" t="s">
        <v>28</v>
      </c>
      <c r="K5" s="236" t="str">
        <f t="array" ref="K5">IFERROR(INDEX(All_User!L:L,MATCH(D5,All_User!D:D,0)),"없음")</f>
        <v>없음</v>
      </c>
      <c r="L5" s="239"/>
      <c r="M5" s="71"/>
    </row>
    <row r="6" spans="1:13" ht="15.75" customHeight="1">
      <c r="A6" s="236">
        <v>5</v>
      </c>
      <c r="B6" s="236">
        <v>7</v>
      </c>
      <c r="C6" s="236" t="s">
        <v>2363</v>
      </c>
      <c r="D6" s="238" t="s">
        <v>2364</v>
      </c>
      <c r="E6" s="236" t="s">
        <v>2357</v>
      </c>
      <c r="F6" s="236" t="s">
        <v>833</v>
      </c>
      <c r="G6" s="236" t="str">
        <f t="array" ref="G6">IFERROR(INDEX(All_User!H:H,MATCH(D6,All_User!D:D,0)),"반납완료")</f>
        <v>반납완료</v>
      </c>
      <c r="H6" s="236" t="s">
        <v>28</v>
      </c>
      <c r="I6" s="236" t="s">
        <v>28</v>
      </c>
      <c r="J6" s="236" t="s">
        <v>28</v>
      </c>
      <c r="K6" s="236" t="str">
        <f t="array" ref="K6">IFERROR(INDEX(All_User!L:L,MATCH(D6,All_User!D:D,0)),"없음")</f>
        <v>없음</v>
      </c>
      <c r="L6" s="239"/>
      <c r="M6" s="71"/>
    </row>
    <row r="7" spans="1:13" ht="15.75" customHeight="1">
      <c r="A7" s="236">
        <v>4</v>
      </c>
      <c r="B7" s="236">
        <v>18</v>
      </c>
      <c r="C7" s="236" t="s">
        <v>2365</v>
      </c>
      <c r="D7" s="238" t="s">
        <v>2366</v>
      </c>
      <c r="E7" s="236" t="s">
        <v>2357</v>
      </c>
      <c r="F7" s="236" t="s">
        <v>921</v>
      </c>
      <c r="G7" s="236" t="str">
        <f t="array" ref="G7">IFERROR(INDEX(All_User!H:H,MATCH(D7,All_User!D:D,0)),"반납완료")</f>
        <v>반납완료</v>
      </c>
      <c r="H7" s="236" t="s">
        <v>28</v>
      </c>
      <c r="I7" s="236" t="s">
        <v>28</v>
      </c>
      <c r="J7" s="236" t="s">
        <v>28</v>
      </c>
      <c r="K7" s="236" t="str">
        <f t="array" ref="K7">IFERROR(INDEX(All_User!L:L,MATCH(D7,All_User!D:D,0)),"없음")</f>
        <v>없음</v>
      </c>
      <c r="L7" s="236"/>
      <c r="M7" s="71"/>
    </row>
    <row r="8" spans="1:13" ht="15.75" customHeight="1">
      <c r="A8" s="236">
        <v>4</v>
      </c>
      <c r="B8" s="236">
        <v>30</v>
      </c>
      <c r="C8" s="236" t="s">
        <v>2367</v>
      </c>
      <c r="D8" s="238" t="s">
        <v>2368</v>
      </c>
      <c r="E8" s="236" t="s">
        <v>2357</v>
      </c>
      <c r="F8" s="236" t="s">
        <v>854</v>
      </c>
      <c r="G8" s="236" t="str">
        <f t="array" ref="G8">IFERROR(INDEX(All_User!H:H,MATCH(D8,All_User!D:D,0)),"반납완료")</f>
        <v>반납완료</v>
      </c>
      <c r="H8" s="236" t="s">
        <v>2125</v>
      </c>
      <c r="I8" s="236" t="s">
        <v>28</v>
      </c>
      <c r="J8" s="236" t="s">
        <v>28</v>
      </c>
      <c r="K8" s="236" t="str">
        <f t="array" ref="K8">IFERROR(INDEX(All_User!L:L,MATCH(D8,All_User!D:D,0)),"없음")</f>
        <v>없음</v>
      </c>
      <c r="L8" s="236" t="s">
        <v>2369</v>
      </c>
      <c r="M8" s="71"/>
    </row>
    <row r="9" spans="1:13" ht="15.75" customHeight="1">
      <c r="A9" s="236">
        <v>6</v>
      </c>
      <c r="B9" s="236">
        <v>6</v>
      </c>
      <c r="C9" s="236" t="s">
        <v>2370</v>
      </c>
      <c r="D9" s="238" t="s">
        <v>2371</v>
      </c>
      <c r="E9" s="236" t="s">
        <v>2357</v>
      </c>
      <c r="F9" s="236" t="s">
        <v>790</v>
      </c>
      <c r="G9" s="236" t="str">
        <f t="array" ref="G9">IFERROR(INDEX(All_User!H:H,MATCH(D9,All_User!D:D,0)),"반납완료")</f>
        <v>반납완료</v>
      </c>
      <c r="H9" s="236" t="s">
        <v>2125</v>
      </c>
      <c r="I9" s="236" t="s">
        <v>28</v>
      </c>
      <c r="J9" s="236" t="s">
        <v>28</v>
      </c>
      <c r="K9" s="236" t="str">
        <f t="array" ref="K9">IFERROR(INDEX(All_User!L:L,MATCH(D9,All_User!D:D,0)),"없음")</f>
        <v>없음</v>
      </c>
      <c r="L9" s="239"/>
      <c r="M9" s="71"/>
    </row>
    <row r="10" spans="1:13" ht="15.75" customHeight="1">
      <c r="A10" s="236">
        <v>6</v>
      </c>
      <c r="B10" s="236">
        <v>4</v>
      </c>
      <c r="C10" s="236" t="s">
        <v>2372</v>
      </c>
      <c r="D10" s="238" t="s">
        <v>2373</v>
      </c>
      <c r="E10" s="236" t="s">
        <v>2357</v>
      </c>
      <c r="F10" s="239" t="s">
        <v>829</v>
      </c>
      <c r="G10" s="236" t="str">
        <f t="array" ref="G10">IFERROR(INDEX(All_User!H:H,MATCH(D10,All_User!D:D,0)),"반납완료")</f>
        <v>반납완료</v>
      </c>
      <c r="H10" s="236" t="s">
        <v>28</v>
      </c>
      <c r="I10" s="236" t="s">
        <v>28</v>
      </c>
      <c r="J10" s="236" t="s">
        <v>28</v>
      </c>
      <c r="K10" s="236" t="str">
        <f t="array" ref="K10">IFERROR(INDEX(All_User!L:L,MATCH(D10,All_User!D:D,0)),"없음")</f>
        <v>없음</v>
      </c>
      <c r="L10" s="239"/>
      <c r="M10" s="71"/>
    </row>
    <row r="11" spans="1:13" ht="15.75" customHeight="1">
      <c r="A11" s="236">
        <v>6</v>
      </c>
      <c r="B11" s="236">
        <v>30</v>
      </c>
      <c r="C11" s="236" t="s">
        <v>2374</v>
      </c>
      <c r="D11" s="238" t="s">
        <v>2375</v>
      </c>
      <c r="E11" s="236" t="s">
        <v>2357</v>
      </c>
      <c r="F11" s="236" t="s">
        <v>846</v>
      </c>
      <c r="G11" s="236" t="str">
        <f t="array" ref="G11">IFERROR(INDEX(All_User!H:H,MATCH(D11,All_User!D:D,0)),"반납완료")</f>
        <v>반납완료</v>
      </c>
      <c r="H11" s="236" t="s">
        <v>28</v>
      </c>
      <c r="I11" s="236" t="s">
        <v>28</v>
      </c>
      <c r="J11" s="236" t="s">
        <v>28</v>
      </c>
      <c r="K11" s="236" t="str">
        <f t="array" ref="K11">IFERROR(INDEX(All_User!L:L,MATCH(D11,All_User!D:D,0)),"없음")</f>
        <v>없음</v>
      </c>
      <c r="L11" s="236"/>
      <c r="M11" s="71"/>
    </row>
    <row r="12" spans="1:13" ht="15.75" customHeight="1">
      <c r="A12" s="236">
        <v>7</v>
      </c>
      <c r="B12" s="236">
        <v>7</v>
      </c>
      <c r="C12" s="236" t="s">
        <v>2127</v>
      </c>
      <c r="D12" s="238" t="s">
        <v>2376</v>
      </c>
      <c r="E12" s="236" t="s">
        <v>2357</v>
      </c>
      <c r="F12" s="236" t="s">
        <v>829</v>
      </c>
      <c r="G12" s="236" t="str">
        <f t="array" ref="G12">IFERROR(INDEX(All_User!H:H,MATCH(D12,All_User!D:D,0)),"반납완료")</f>
        <v>반납완료</v>
      </c>
      <c r="H12" s="236" t="s">
        <v>28</v>
      </c>
      <c r="I12" s="236" t="s">
        <v>2125</v>
      </c>
      <c r="J12" s="236" t="s">
        <v>28</v>
      </c>
      <c r="K12" s="236" t="str">
        <f t="array" ref="K12">IFERROR(INDEX(All_User!L:L,MATCH(D12,All_User!D:D,0)),"없음")</f>
        <v>없음</v>
      </c>
      <c r="L12" s="239" t="s">
        <v>2377</v>
      </c>
      <c r="M12" s="71" t="s">
        <v>2378</v>
      </c>
    </row>
    <row r="13" spans="1:13" ht="15.75" customHeight="1">
      <c r="A13" s="240">
        <v>8</v>
      </c>
      <c r="B13" s="241">
        <v>22</v>
      </c>
      <c r="C13" s="241" t="s">
        <v>2379</v>
      </c>
      <c r="D13" s="242" t="s">
        <v>2380</v>
      </c>
      <c r="E13" s="236" t="s">
        <v>2357</v>
      </c>
      <c r="F13" s="241" t="s">
        <v>958</v>
      </c>
      <c r="G13" s="236" t="str">
        <f t="array" ref="G13">IFERROR(INDEX(All_User!H:H,MATCH(D13,All_User!D:D,0)),"반납완료")</f>
        <v>반납완료</v>
      </c>
      <c r="H13" s="241" t="s">
        <v>2125</v>
      </c>
      <c r="I13" s="236" t="s">
        <v>28</v>
      </c>
      <c r="J13" s="236" t="s">
        <v>28</v>
      </c>
      <c r="K13" s="236" t="str">
        <f t="array" ref="K13">IFERROR(INDEX(All_User!L:L,MATCH(D13,All_User!D:D,0)),"없음")</f>
        <v>없음</v>
      </c>
      <c r="L13" s="243"/>
      <c r="M13" s="71"/>
    </row>
    <row r="14" spans="1:13" ht="15.75" customHeight="1">
      <c r="A14" s="236">
        <v>8</v>
      </c>
      <c r="B14" s="236">
        <v>18</v>
      </c>
      <c r="C14" s="236" t="s">
        <v>2381</v>
      </c>
      <c r="D14" s="238" t="s">
        <v>2382</v>
      </c>
      <c r="E14" s="236" t="s">
        <v>2357</v>
      </c>
      <c r="F14" s="236" t="s">
        <v>833</v>
      </c>
      <c r="G14" s="236" t="str">
        <f t="array" ref="G14">IFERROR(INDEX(All_User!H:H,MATCH(D14,All_User!D:D,0)),"반납완료")</f>
        <v>반납완료</v>
      </c>
      <c r="H14" s="236" t="s">
        <v>28</v>
      </c>
      <c r="I14" s="236" t="s">
        <v>28</v>
      </c>
      <c r="J14" s="236" t="s">
        <v>28</v>
      </c>
      <c r="K14" s="236" t="str">
        <f t="array" ref="K14">IFERROR(INDEX(All_User!L:L,MATCH(D14,All_User!D:D,0)),"없음")</f>
        <v>없음</v>
      </c>
      <c r="L14" s="239"/>
      <c r="M14" s="71"/>
    </row>
    <row r="15" spans="1:13" ht="15.75" customHeight="1">
      <c r="A15" s="236">
        <v>8</v>
      </c>
      <c r="B15" s="236">
        <v>25</v>
      </c>
      <c r="C15" s="236" t="s">
        <v>2383</v>
      </c>
      <c r="D15" s="238" t="s">
        <v>2384</v>
      </c>
      <c r="E15" s="236" t="s">
        <v>2357</v>
      </c>
      <c r="F15" s="236" t="s">
        <v>829</v>
      </c>
      <c r="G15" s="236" t="str">
        <f t="array" ref="G15">IFERROR(INDEX(All_User!H:H,MATCH(D15,All_User!D:D,0)),"반납완료")</f>
        <v>반납완료</v>
      </c>
      <c r="H15" s="236" t="s">
        <v>28</v>
      </c>
      <c r="I15" s="236" t="s">
        <v>28</v>
      </c>
      <c r="J15" s="236" t="s">
        <v>28</v>
      </c>
      <c r="K15" s="236" t="s">
        <v>28</v>
      </c>
      <c r="L15" s="236"/>
      <c r="M15" s="71"/>
    </row>
    <row r="16" spans="1:13" ht="15.75" customHeight="1">
      <c r="A16" s="240">
        <v>8</v>
      </c>
      <c r="B16" s="241">
        <v>31</v>
      </c>
      <c r="C16" s="241" t="s">
        <v>2385</v>
      </c>
      <c r="D16" s="242" t="s">
        <v>2386</v>
      </c>
      <c r="E16" s="236" t="s">
        <v>2357</v>
      </c>
      <c r="F16" s="241" t="s">
        <v>977</v>
      </c>
      <c r="G16" s="236" t="str">
        <f t="array" ref="G16">IFERROR(INDEX(All_User!H:H,MATCH(D16,All_User!D:D,0)),"반납완료")</f>
        <v>반납완료</v>
      </c>
      <c r="H16" s="241" t="s">
        <v>28</v>
      </c>
      <c r="I16" s="236" t="s">
        <v>28</v>
      </c>
      <c r="J16" s="236" t="s">
        <v>2074</v>
      </c>
      <c r="K16" s="236" t="str">
        <f t="array" ref="K16">IFERROR(INDEX(All_User!L:L,MATCH(D16,All_User!D:D,0)),"없음")</f>
        <v>없음</v>
      </c>
      <c r="L16" s="243" t="s">
        <v>2387</v>
      </c>
      <c r="M16" s="71"/>
    </row>
    <row r="17" spans="1:12" ht="15.75" customHeight="1">
      <c r="A17" s="236">
        <v>8</v>
      </c>
      <c r="B17" s="236">
        <v>31</v>
      </c>
      <c r="C17" s="236" t="s">
        <v>2388</v>
      </c>
      <c r="D17" s="238" t="s">
        <v>2389</v>
      </c>
      <c r="E17" s="236" t="s">
        <v>2357</v>
      </c>
      <c r="F17" s="236" t="s">
        <v>932</v>
      </c>
      <c r="G17" s="236" t="str">
        <f t="array" ref="G17">IFERROR(INDEX(All_User!H:H,MATCH(D17,All_User!D:D,0)),"반납완료")</f>
        <v>반납완료</v>
      </c>
      <c r="H17" s="236" t="s">
        <v>2125</v>
      </c>
      <c r="I17" s="236" t="s">
        <v>28</v>
      </c>
      <c r="J17" s="236" t="s">
        <v>28</v>
      </c>
      <c r="K17" s="236" t="s">
        <v>28</v>
      </c>
      <c r="L17" s="239" t="s">
        <v>2390</v>
      </c>
    </row>
    <row r="18" spans="1:12" ht="15.75" customHeight="1">
      <c r="A18" s="236">
        <v>8</v>
      </c>
      <c r="B18" s="236">
        <v>31</v>
      </c>
      <c r="C18" s="236" t="s">
        <v>2391</v>
      </c>
      <c r="D18" s="238" t="s">
        <v>2392</v>
      </c>
      <c r="E18" s="236" t="s">
        <v>2357</v>
      </c>
      <c r="F18" s="236" t="s">
        <v>854</v>
      </c>
      <c r="G18" s="236" t="str">
        <f t="array" ref="G18">IFERROR(INDEX(All_User!H:H,MATCH(D18,All_User!D:D,0)),"반납완료")</f>
        <v>반납완료</v>
      </c>
      <c r="H18" s="236" t="s">
        <v>28</v>
      </c>
      <c r="I18" s="236" t="s">
        <v>28</v>
      </c>
      <c r="J18" s="236" t="s">
        <v>28</v>
      </c>
      <c r="K18" s="236" t="s">
        <v>28</v>
      </c>
      <c r="L18" s="236" t="s">
        <v>2393</v>
      </c>
    </row>
    <row r="19" spans="1:12" ht="15.75" customHeight="1">
      <c r="A19" s="236">
        <v>8</v>
      </c>
      <c r="B19" s="236">
        <v>31</v>
      </c>
      <c r="C19" s="236" t="s">
        <v>2394</v>
      </c>
      <c r="D19" s="238" t="s">
        <v>2395</v>
      </c>
      <c r="E19" s="236" t="s">
        <v>2357</v>
      </c>
      <c r="F19" s="236" t="s">
        <v>2396</v>
      </c>
      <c r="G19" s="236" t="str">
        <f t="array" ref="G19">IFERROR(INDEX(All_User!H:H,MATCH(D19,All_User!D:D,0)),"반납완료")</f>
        <v>반납완료</v>
      </c>
      <c r="H19" s="236" t="s">
        <v>28</v>
      </c>
      <c r="I19" s="236" t="s">
        <v>28</v>
      </c>
      <c r="J19" s="236" t="s">
        <v>28</v>
      </c>
      <c r="K19" s="236" t="s">
        <v>28</v>
      </c>
      <c r="L19" s="236"/>
    </row>
    <row r="20" spans="1:12" ht="15.75" customHeight="1">
      <c r="A20" s="236">
        <v>9</v>
      </c>
      <c r="B20" s="236">
        <v>10</v>
      </c>
      <c r="C20" s="236" t="s">
        <v>2122</v>
      </c>
      <c r="D20" s="238" t="s">
        <v>2397</v>
      </c>
      <c r="E20" s="236" t="s">
        <v>2357</v>
      </c>
      <c r="F20" s="236" t="s">
        <v>309</v>
      </c>
      <c r="G20" s="236" t="str">
        <f t="array" ref="G20">IFERROR(INDEX(All_User!H:H,MATCH(D20,All_User!D:D,0)),"반납완료")</f>
        <v>반납완료</v>
      </c>
      <c r="H20" s="236" t="s">
        <v>28</v>
      </c>
      <c r="I20" s="236" t="s">
        <v>2125</v>
      </c>
      <c r="J20" s="236" t="s">
        <v>28</v>
      </c>
      <c r="K20" s="236" t="s">
        <v>28</v>
      </c>
      <c r="L20" s="239" t="s">
        <v>2377</v>
      </c>
    </row>
    <row r="21" spans="1:12" ht="15.75" customHeight="1">
      <c r="A21" s="240">
        <v>9</v>
      </c>
      <c r="B21" s="241">
        <v>30</v>
      </c>
      <c r="C21" s="241" t="s">
        <v>2092</v>
      </c>
      <c r="D21" s="242" t="s">
        <v>2398</v>
      </c>
      <c r="E21" s="236" t="s">
        <v>2357</v>
      </c>
      <c r="F21" s="236" t="s">
        <v>833</v>
      </c>
      <c r="G21" s="236" t="str">
        <f t="array" ref="G21">IFERROR(INDEX(All_User!H:H,MATCH(D21,All_User!D:D,0)),"반납완료")</f>
        <v>반납완료</v>
      </c>
      <c r="H21" s="236" t="s">
        <v>28</v>
      </c>
      <c r="I21" s="236" t="s">
        <v>2125</v>
      </c>
      <c r="J21" s="236" t="s">
        <v>2091</v>
      </c>
      <c r="K21" s="236" t="str">
        <f t="array" ref="K21">IFERROR(INDEX(TeamsNumber!C:C,MATCH(D21,TeamsNumber!D:D,0)),"없음")</f>
        <v>없음</v>
      </c>
      <c r="L21" s="236" t="s">
        <v>2399</v>
      </c>
    </row>
    <row r="22" spans="1:12" ht="15.75" customHeight="1">
      <c r="A22" s="244">
        <v>9</v>
      </c>
      <c r="B22" s="236">
        <v>26</v>
      </c>
      <c r="C22" s="236" t="s">
        <v>2400</v>
      </c>
      <c r="D22" s="238" t="s">
        <v>2401</v>
      </c>
      <c r="E22" s="236" t="s">
        <v>2357</v>
      </c>
      <c r="F22" s="245" t="s">
        <v>833</v>
      </c>
      <c r="G22" s="236" t="str">
        <f t="array" ref="G22">IFERROR(INDEX(All_User!H:H,MATCH(D22,All_User!D:D,0)),"반납완료")</f>
        <v>반납완료</v>
      </c>
      <c r="H22" s="236" t="s">
        <v>28</v>
      </c>
      <c r="I22" s="236" t="s">
        <v>28</v>
      </c>
      <c r="J22" s="236" t="s">
        <v>28</v>
      </c>
      <c r="K22" s="236" t="s">
        <v>28</v>
      </c>
      <c r="L22" s="236"/>
    </row>
    <row r="23" spans="1:12" ht="15.75" customHeight="1">
      <c r="A23" s="236">
        <v>11</v>
      </c>
      <c r="B23" s="236">
        <v>30</v>
      </c>
      <c r="C23" s="236" t="s">
        <v>2402</v>
      </c>
      <c r="D23" s="238" t="s">
        <v>2403</v>
      </c>
      <c r="E23" s="236" t="s">
        <v>2357</v>
      </c>
      <c r="F23" s="245" t="s">
        <v>833</v>
      </c>
      <c r="G23" s="236" t="str">
        <f t="array" ref="G23">IFERROR(INDEX(All_User!H:H,MATCH(D23,All_User!D:D,0)),"반납완료")</f>
        <v>반납완료</v>
      </c>
      <c r="H23" s="236" t="s">
        <v>2125</v>
      </c>
      <c r="I23" s="236" t="s">
        <v>28</v>
      </c>
      <c r="J23" s="236" t="s">
        <v>28</v>
      </c>
      <c r="K23" s="236" t="str">
        <f t="array" ref="K23">IFERROR(INDEX(TeamsNumber!C:C,MATCH(D23,TeamsNumber!D:D,0)),"없음")</f>
        <v>없음</v>
      </c>
      <c r="L23" s="236" t="s">
        <v>2404</v>
      </c>
    </row>
    <row r="24" spans="1:12" ht="15.75" customHeight="1">
      <c r="A24" s="246">
        <v>10</v>
      </c>
      <c r="B24" s="246">
        <v>31</v>
      </c>
      <c r="C24" s="246" t="s">
        <v>2405</v>
      </c>
      <c r="D24" s="246" t="s">
        <v>2406</v>
      </c>
      <c r="E24" s="236" t="s">
        <v>2357</v>
      </c>
      <c r="F24" s="236" t="s">
        <v>977</v>
      </c>
      <c r="G24" s="236" t="str">
        <f t="array" ref="G24">IFERROR(INDEX(All_User!H:H,MATCH(D24,All_User!D:D,0)),"반납완료")</f>
        <v>반납완료</v>
      </c>
      <c r="H24" s="236" t="s">
        <v>28</v>
      </c>
      <c r="I24" s="236" t="s">
        <v>28</v>
      </c>
      <c r="J24" s="236" t="s">
        <v>28</v>
      </c>
      <c r="K24" s="236" t="str">
        <f t="array" ref="K24">IFERROR(INDEX(TeamsNumber!C:C,MATCH(D24,TeamsNumber!D:D,0)),"없음")</f>
        <v>없음</v>
      </c>
      <c r="L24" s="236"/>
    </row>
    <row r="25" spans="1:12" ht="15.75" customHeight="1">
      <c r="A25" s="247">
        <v>11</v>
      </c>
      <c r="B25" s="247">
        <v>12</v>
      </c>
      <c r="C25" s="247" t="s">
        <v>623</v>
      </c>
      <c r="D25" s="247" t="s">
        <v>625</v>
      </c>
      <c r="E25" s="59" t="s">
        <v>2357</v>
      </c>
      <c r="F25" s="59" t="s">
        <v>977</v>
      </c>
      <c r="G25" s="59" t="str">
        <f t="array" ref="G25">IFERROR(INDEX(All_User!H:H,MATCH(D25,All_User!D:D,0)),"반납완료")</f>
        <v>5CD5179KJ0</v>
      </c>
      <c r="H25" s="59" t="str">
        <f t="array" ref="H25">IFERROR(INDEX(All_User!K:K,MATCH(D25,All_User!D:D,0)),"없음")</f>
        <v>없음</v>
      </c>
      <c r="I25" s="59" t="s">
        <v>2125</v>
      </c>
      <c r="J25" s="59" t="s">
        <v>28</v>
      </c>
      <c r="K25" s="59" t="str">
        <f t="array" ref="K25">IFERROR(INDEX(All_User!L:L,MATCH(D25,All_User!D:D,0)),"없음")</f>
        <v>없음</v>
      </c>
      <c r="L25" s="59"/>
    </row>
    <row r="26" spans="1:12" ht="15.75" customHeight="1">
      <c r="A26" s="59">
        <v>12</v>
      </c>
      <c r="B26" s="59">
        <v>12</v>
      </c>
      <c r="C26" s="59" t="s">
        <v>291</v>
      </c>
      <c r="D26" s="59" t="s">
        <v>1473</v>
      </c>
      <c r="E26" s="59" t="s">
        <v>2357</v>
      </c>
      <c r="F26" s="248" t="s">
        <v>846</v>
      </c>
      <c r="G26" s="59" t="str">
        <f t="array" ref="G26">IFERROR(INDEX(All_User!H:H,MATCH(D26,All_User!D:D,0)),"반납완료")</f>
        <v>5CD5179KJ2</v>
      </c>
      <c r="H26" s="59" t="str">
        <f t="array" ref="H26">IFERROR(INDEX(All_User!K:K,MATCH(D26,All_User!D:D,0)),"없음")</f>
        <v>VKGPQR7276</v>
      </c>
      <c r="I26" s="59" t="str">
        <f t="array" ref="I26">IFERROR(INDEX(All_User!N:N,MATCH(D26,All_User!D:D,0)),"없음")</f>
        <v>LCD 모니터</v>
      </c>
      <c r="J26" s="59" t="str">
        <f t="array" ref="J26">IFERROR(INDEX(All_User!M:M,MATCH(D26,All_User!D:D,0)),"없음")</f>
        <v>없음</v>
      </c>
      <c r="K26" s="59" t="str">
        <f t="array" ref="K26">IFERROR(INDEX(All_User!L:L,MATCH(D26,All_User!D:D,0)),"없음")</f>
        <v>tel:+82234517570</v>
      </c>
      <c r="L26" s="59" t="s">
        <v>2404</v>
      </c>
    </row>
    <row r="27" spans="1:12" ht="15.75" customHeight="1">
      <c r="A27" s="59">
        <v>11</v>
      </c>
      <c r="B27" s="59">
        <v>30</v>
      </c>
      <c r="C27" s="59" t="s">
        <v>2407</v>
      </c>
      <c r="D27" s="59" t="s">
        <v>410</v>
      </c>
      <c r="E27" s="59" t="s">
        <v>2357</v>
      </c>
      <c r="F27" s="248" t="s">
        <v>790</v>
      </c>
      <c r="G27" s="59" t="str">
        <f t="array" ref="G27">IFERROR(INDEX(All_User!H:H,MATCH(D27,All_User!D:D,0)),"반납완료")</f>
        <v>5CD442C075</v>
      </c>
      <c r="H27" s="59" t="str">
        <f t="array" ref="H27">IFERROR(INDEX(All_User!K:K,MATCH(D27,All_User!D:D,0)),"없음")</f>
        <v>K9NWHMWT44</v>
      </c>
      <c r="I27" s="59" t="str">
        <f t="array" ref="I27">IFERROR(INDEX(All_User!N:N,MATCH(D27,All_User!D:D,0)),"없음")</f>
        <v>없음</v>
      </c>
      <c r="J27" s="59" t="str">
        <f t="array" ref="J27">IFERROR(INDEX(All_User!M:M,MATCH(D27,All_User!D:D,0)),"없음")</f>
        <v>없음</v>
      </c>
      <c r="K27" s="59" t="str">
        <f t="array" ref="K27">IFERROR(INDEX(All_User!L:L,MATCH(D27,All_User!D:D,0)),"없음")</f>
        <v>tel:+82234517628</v>
      </c>
      <c r="L27" s="59"/>
    </row>
    <row r="28" spans="1:12" ht="15.75" customHeight="1">
      <c r="A28" s="187">
        <v>12</v>
      </c>
      <c r="B28" s="187">
        <v>31</v>
      </c>
      <c r="C28" s="187" t="s">
        <v>720</v>
      </c>
      <c r="D28" s="187" t="s">
        <v>722</v>
      </c>
      <c r="E28" s="59" t="s">
        <v>2357</v>
      </c>
      <c r="F28" s="187" t="s">
        <v>309</v>
      </c>
      <c r="G28" s="59" t="str">
        <f t="array" ref="G28">IFERROR(INDEX(All_User!H:H,MATCH(D28,All_User!D:D,0)),"반납완료")</f>
        <v>5CD4305D82</v>
      </c>
      <c r="H28" s="59" t="str">
        <f t="array" ref="H28">IFERROR(INDEX(All_User!K:K,MATCH(D28,All_User!D:D,0)),"없음")</f>
        <v>없음</v>
      </c>
      <c r="I28" s="59" t="str">
        <f t="array" ref="I28">IFERROR(INDEX(All_User!N:N,MATCH(D28,All_User!D:D,0)),"없음")</f>
        <v>반납완료</v>
      </c>
      <c r="J28" s="59" t="str">
        <f t="array" ref="J28">IFERROR(INDEX(All_User!M:M,MATCH(D28,All_User!D:D,0)),"없음")</f>
        <v>없음</v>
      </c>
      <c r="K28" s="59" t="str">
        <f t="array" ref="K28">IFERROR(INDEX(All_User!L:L,MATCH(D28,All_User!D:D,0)),"없음")</f>
        <v>tel:+82234517526</v>
      </c>
      <c r="L28" s="187"/>
    </row>
  </sheetData>
  <phoneticPr fontId="72" type="noConversion"/>
  <hyperlinks>
    <hyperlink ref="D6" r:id="rId1" xr:uid="{00000000-0004-0000-0A00-000000000000}"/>
    <hyperlink ref="D7" r:id="rId2" xr:uid="{00000000-0004-0000-0A00-000001000000}"/>
    <hyperlink ref="D8" r:id="rId3" xr:uid="{00000000-0004-0000-0A00-000002000000}"/>
    <hyperlink ref="D10" r:id="rId4" xr:uid="{00000000-0004-0000-0A00-000003000000}"/>
    <hyperlink ref="D11" r:id="rId5" xr:uid="{00000000-0004-0000-0A00-000004000000}"/>
    <hyperlink ref="D12" r:id="rId6" xr:uid="{00000000-0004-0000-0A00-000005000000}"/>
    <hyperlink ref="D13" r:id="rId7" xr:uid="{00000000-0004-0000-0A00-000006000000}"/>
    <hyperlink ref="D14" r:id="rId8" xr:uid="{00000000-0004-0000-0A00-000007000000}"/>
    <hyperlink ref="D15" r:id="rId9" xr:uid="{00000000-0004-0000-0A00-000008000000}"/>
    <hyperlink ref="D16" r:id="rId10" xr:uid="{00000000-0004-0000-0A00-000009000000}"/>
    <hyperlink ref="D17" r:id="rId11" xr:uid="{00000000-0004-0000-0A00-00000A000000}"/>
    <hyperlink ref="D18" r:id="rId12" xr:uid="{00000000-0004-0000-0A00-00000B000000}"/>
    <hyperlink ref="D19" r:id="rId13" xr:uid="{00000000-0004-0000-0A00-00000C000000}"/>
    <hyperlink ref="D20" r:id="rId14" xr:uid="{00000000-0004-0000-0A00-00000D000000}"/>
    <hyperlink ref="D21" r:id="rId15" xr:uid="{00000000-0004-0000-0A00-00000E000000}"/>
    <hyperlink ref="D22" r:id="rId16" xr:uid="{00000000-0004-0000-0A00-00000F000000}"/>
    <hyperlink ref="D23" r:id="rId17" xr:uid="{00000000-0004-0000-0A00-00001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Q14"/>
  <sheetViews>
    <sheetView workbookViewId="0"/>
  </sheetViews>
  <sheetFormatPr baseColWidth="10" defaultColWidth="12.6640625" defaultRowHeight="15.75" customHeight="1"/>
  <sheetData>
    <row r="1" spans="1:17" ht="15.75" customHeight="1">
      <c r="A1" s="249">
        <v>17</v>
      </c>
      <c r="B1" s="250" t="s">
        <v>2391</v>
      </c>
      <c r="C1" s="250" t="s">
        <v>2408</v>
      </c>
      <c r="D1" s="250" t="s">
        <v>2409</v>
      </c>
      <c r="E1" s="250" t="s">
        <v>146</v>
      </c>
      <c r="F1" s="250" t="s">
        <v>20</v>
      </c>
      <c r="G1" s="250" t="s">
        <v>75</v>
      </c>
      <c r="H1" s="251" t="str">
        <f t="array" ref="H1">IFERROR(INDEX(Lease_List!D:D,MATCH(All_User!D1,Lease_List!H:H,0)),"없음")</f>
        <v>S/N</v>
      </c>
      <c r="I1" s="252" t="s">
        <v>28</v>
      </c>
      <c r="J1" s="252"/>
      <c r="K1" s="252" t="str">
        <f t="array" ref="K1">IFERROR(INDEX(Ipad_List!C:C,MATCH(All_User!D1,Ipad_List!J:J,0)),"없음")</f>
        <v>S/N</v>
      </c>
      <c r="L1" s="253" t="str">
        <f t="array" ref="L1">IFERROR(INDEX(TeamsNumber!B:B,MATCH(All_User!D1,TeamsNumber!D:D,0)),"없음")</f>
        <v>LineURI</v>
      </c>
      <c r="M1" s="253" t="str">
        <f t="array" ref="M1">IFERROR(INDEX(Printer!D:D,MATCH(All_User!D1,Printer!H:H,0)),"없음")</f>
        <v>Additional Information 2</v>
      </c>
      <c r="N1" s="253" t="str">
        <f t="array" ref="N1">IFERROR(INDEX(sales!D:D,MATCH(D1,sales!C:C,0)),"없음")</f>
        <v>없음</v>
      </c>
      <c r="O1" s="253" t="str">
        <f t="array" ref="O1">IFERROR(INDEX(sales!E:E,MATCH(D1,sales!C:C,0)),"없음")</f>
        <v>없음</v>
      </c>
      <c r="P1" s="253"/>
      <c r="Q1" s="253" t="s">
        <v>2410</v>
      </c>
    </row>
    <row r="2" spans="1:17" ht="15.75" customHeight="1">
      <c r="A2" s="254">
        <v>22</v>
      </c>
      <c r="B2" s="255" t="s">
        <v>2402</v>
      </c>
      <c r="C2" s="255" t="s">
        <v>2411</v>
      </c>
      <c r="D2" s="255" t="s">
        <v>2412</v>
      </c>
      <c r="E2" s="255" t="s">
        <v>2413</v>
      </c>
      <c r="F2" s="255" t="s">
        <v>20</v>
      </c>
      <c r="G2" s="255" t="s">
        <v>134</v>
      </c>
      <c r="H2" s="256" t="str">
        <f t="array" ref="H2">IFERROR(INDEX(Lease_List!D:D,MATCH(All_User!D2,Lease_List!H:H,0)),"없음")</f>
        <v>없음</v>
      </c>
      <c r="I2" s="257" t="s">
        <v>2414</v>
      </c>
      <c r="J2" s="257"/>
      <c r="K2" s="257" t="str">
        <f t="array" ref="K2">IFERROR(INDEX(Ipad_List!C:C,MATCH(All_User!D2,Ipad_List!J:J,0)),"없음")</f>
        <v>QWG7C19T9N</v>
      </c>
      <c r="L2" s="258" t="str">
        <f t="array" ref="L2">IFERROR(INDEX(TeamsNumber!B:B,MATCH(All_User!D2,TeamsNumber!D:D,0)),"없음")</f>
        <v>tel:+82234517682</v>
      </c>
      <c r="M2" s="258" t="str">
        <f t="array" ref="M2">IFERROR(INDEX(Printer!D:D,MATCH(All_User!D2,Printer!H:H,0)),"없음")</f>
        <v>SL-C563W</v>
      </c>
      <c r="N2" s="258" t="str">
        <f t="array" ref="N2">IFERROR(INDEX(sales!D:D,MATCH(D2,sales!C:C,0)),"없음")</f>
        <v>없음</v>
      </c>
      <c r="O2" s="258" t="str">
        <f t="array" ref="O2">IFERROR(INDEX(sales!E:E,MATCH(D2,sales!C:C,0)),"없음")</f>
        <v>없음</v>
      </c>
      <c r="P2" s="259"/>
      <c r="Q2" s="260">
        <v>45991</v>
      </c>
    </row>
    <row r="3" spans="1:17" ht="15.75" customHeight="1">
      <c r="A3" s="254">
        <v>27</v>
      </c>
      <c r="B3" s="255" t="s">
        <v>2383</v>
      </c>
      <c r="C3" s="255" t="s">
        <v>2415</v>
      </c>
      <c r="D3" s="255" t="s">
        <v>2416</v>
      </c>
      <c r="E3" s="255" t="s">
        <v>497</v>
      </c>
      <c r="F3" s="255" t="s">
        <v>40</v>
      </c>
      <c r="G3" s="255" t="s">
        <v>60</v>
      </c>
      <c r="H3" s="256" t="str">
        <f t="array" ref="H3">IFERROR(INDEX(Lease_List!D:D,MATCH(All_User!D3,Lease_List!H:H,0)),"없음")</f>
        <v>5CD4232BFL</v>
      </c>
      <c r="I3" s="257" t="s">
        <v>28</v>
      </c>
      <c r="J3" s="257"/>
      <c r="K3" s="257" t="str">
        <f t="array" ref="K3">IFERROR(INDEX(Ipad_List!C:C,MATCH(All_User!D3,Ipad_List!J:J,0)),"없음")</f>
        <v>L69V0Q1VT3</v>
      </c>
      <c r="L3" s="258" t="str">
        <f t="array" ref="L3">IFERROR(INDEX(TeamsNumber!B:B,MATCH(All_User!D3,TeamsNumber!D:D,0)),"없음")</f>
        <v>tel:+82234517566</v>
      </c>
      <c r="M3" s="258" t="str">
        <f t="array" ref="M3">IFERROR(INDEX(Printer!D:D,MATCH(All_User!D3,Printer!G:G,0)),"없음")</f>
        <v>없음</v>
      </c>
      <c r="N3" s="258" t="str">
        <f t="array" ref="N3">IFERROR(INDEX(sales!D:D,MATCH(D3,sales!C:C,0)),"없음")</f>
        <v>없음</v>
      </c>
      <c r="O3" s="258" t="str">
        <f t="array" ref="O3">IFERROR(INDEX(sales!E:E,MATCH(D3,sales!C:C,0)),"없음")</f>
        <v>없음</v>
      </c>
      <c r="P3" s="259"/>
      <c r="Q3" s="260">
        <v>45894</v>
      </c>
    </row>
    <row r="4" spans="1:17" ht="15.75" customHeight="1">
      <c r="A4" s="254">
        <v>40</v>
      </c>
      <c r="B4" s="255" t="s">
        <v>2127</v>
      </c>
      <c r="C4" s="255" t="s">
        <v>2417</v>
      </c>
      <c r="D4" s="255" t="s">
        <v>2128</v>
      </c>
      <c r="E4" s="255" t="s">
        <v>2418</v>
      </c>
      <c r="F4" s="255" t="s">
        <v>40</v>
      </c>
      <c r="G4" s="255" t="s">
        <v>60</v>
      </c>
      <c r="H4" s="256" t="str">
        <f t="array" ref="H4">IFERROR(INDEX(Lease_List!D:D,MATCH(All_User!D4,Lease_List!H:H,0)),"없음")</f>
        <v>5CD5179KJ6</v>
      </c>
      <c r="I4" s="257" t="s">
        <v>28</v>
      </c>
      <c r="J4" s="257" t="s">
        <v>918</v>
      </c>
      <c r="K4" s="257" t="str">
        <f t="array" ref="K4">IFERROR(INDEX(Ipad_List!C:C,MATCH(All_User!D4,Ipad_List!J:J,0)),"없음")</f>
        <v>C4RQH3W74V</v>
      </c>
      <c r="L4" s="258" t="str">
        <f t="array" ref="L4">IFERROR(INDEX(TeamsNumber!B:B,MATCH(All_User!D4,TeamsNumber!D:D,0)),"없음")</f>
        <v>tel:+82234517512</v>
      </c>
      <c r="M4" s="258" t="str">
        <f t="array" ref="M4">IFERROR(INDEX(Printer!D:D,MATCH(All_User!D4,Printer!G:G,0)),"없음")</f>
        <v>없음</v>
      </c>
      <c r="N4" s="258" t="str">
        <f t="array" ref="N4">IFERROR(INDEX(sales!D:D,MATCH(D4,sales!C:C,0)),"없음")</f>
        <v>없음</v>
      </c>
      <c r="O4" s="258" t="str">
        <f t="array" ref="O4">IFERROR(INDEX(sales!E:E,MATCH(D4,sales!C:C,0)),"없음")</f>
        <v>없음</v>
      </c>
      <c r="P4" s="259"/>
      <c r="Q4" s="260">
        <v>45845</v>
      </c>
    </row>
    <row r="5" spans="1:17" ht="15.75" customHeight="1">
      <c r="A5" s="254">
        <v>50</v>
      </c>
      <c r="B5" s="255" t="s">
        <v>2374</v>
      </c>
      <c r="C5" s="255" t="s">
        <v>2419</v>
      </c>
      <c r="D5" s="255" t="s">
        <v>2420</v>
      </c>
      <c r="E5" s="255" t="s">
        <v>2421</v>
      </c>
      <c r="F5" s="255" t="s">
        <v>20</v>
      </c>
      <c r="G5" s="255" t="s">
        <v>80</v>
      </c>
      <c r="H5" s="256" t="str">
        <f t="array" ref="H5">IFERROR(INDEX(Lease_List!D:D,MATCH(All_User!D5,Lease_List!H:H,0)),"없음")</f>
        <v>5CD442C071</v>
      </c>
      <c r="I5" s="257" t="s">
        <v>28</v>
      </c>
      <c r="J5" s="257" t="s">
        <v>198</v>
      </c>
      <c r="K5" s="257" t="str">
        <f t="array" ref="K5">IFERROR(INDEX(Ipad_List!C:C,MATCH(All_User!D5,Ipad_List!J:J,0)),"없음")</f>
        <v>없음</v>
      </c>
      <c r="L5" s="258" t="str">
        <f t="array" ref="L5">IFERROR(INDEX(TeamsNumber!B:B,MATCH(All_User!D5,TeamsNumber!D:D,0)),"없음")</f>
        <v>tel:+82234517594</v>
      </c>
      <c r="M5" s="258" t="str">
        <f t="array" ref="M5">IFERROR(INDEX(Printer!D:D,MATCH(All_User!D5,Printer!G:G,0)),"없음")</f>
        <v>없음</v>
      </c>
      <c r="N5" s="258" t="str">
        <f t="array" ref="N5">IFERROR(INDEX(sales!D:D,MATCH(D5,sales!C:C,0)),"없음")</f>
        <v>없음</v>
      </c>
      <c r="O5" s="258" t="str">
        <f t="array" ref="O5">IFERROR(INDEX(sales!E:E,MATCH(D5,sales!C:C,0)),"없음")</f>
        <v>없음</v>
      </c>
      <c r="P5" s="259"/>
      <c r="Q5" s="260">
        <v>45838</v>
      </c>
    </row>
    <row r="6" spans="1:17" ht="15.75" customHeight="1">
      <c r="A6" s="254">
        <v>71</v>
      </c>
      <c r="B6" s="255" t="s">
        <v>2385</v>
      </c>
      <c r="C6" s="255" t="s">
        <v>2422</v>
      </c>
      <c r="D6" s="255" t="s">
        <v>2423</v>
      </c>
      <c r="E6" s="255" t="s">
        <v>2424</v>
      </c>
      <c r="F6" s="255" t="s">
        <v>20</v>
      </c>
      <c r="G6" s="255" t="s">
        <v>27</v>
      </c>
      <c r="H6" s="256" t="str">
        <f t="array" ref="H6">IFERROR(INDEX(Lease_List!D:D,MATCH(All_User!D6,Lease_List!H:H,0)),"없음")</f>
        <v>5CD4145N3N</v>
      </c>
      <c r="I6" s="257" t="s">
        <v>2425</v>
      </c>
      <c r="J6" s="257"/>
      <c r="K6" s="257" t="str">
        <f t="array" ref="K6">IFERROR(INDEX(Ipad_List!C:C,MATCH(All_User!D6,Ipad_List!J:J,0)),"없음")</f>
        <v>없음</v>
      </c>
      <c r="L6" s="258" t="str">
        <f t="array" ref="L6">IFERROR(INDEX(TeamsNumber!B:B,MATCH(All_User!D6,TeamsNumber!D:D,0)),"없음")</f>
        <v>tel:+82234517662</v>
      </c>
      <c r="M6" s="258" t="str">
        <f t="array" ref="M6">IFERROR(INDEX(Printer!D:D,MATCH(All_User!D6,Printer!G:G,0)),"없음")</f>
        <v>없음</v>
      </c>
      <c r="N6" s="258" t="str">
        <f t="array" ref="N6">IFERROR(INDEX(sales!D:D,MATCH(D6,sales!C:C,0)),"없음")</f>
        <v>없음</v>
      </c>
      <c r="O6" s="258" t="str">
        <f t="array" ref="O6">IFERROR(INDEX(sales!E:E,MATCH(D6,sales!C:C,0)),"없음")</f>
        <v>없음</v>
      </c>
      <c r="P6" s="259"/>
      <c r="Q6" s="260">
        <v>45900</v>
      </c>
    </row>
    <row r="7" spans="1:17" ht="15.75" customHeight="1">
      <c r="A7" s="249">
        <v>75</v>
      </c>
      <c r="B7" s="250" t="s">
        <v>2426</v>
      </c>
      <c r="C7" s="250" t="s">
        <v>2220</v>
      </c>
      <c r="D7" s="250" t="s">
        <v>2406</v>
      </c>
      <c r="E7" s="250" t="s">
        <v>626</v>
      </c>
      <c r="F7" s="250" t="s">
        <v>303</v>
      </c>
      <c r="G7" s="250" t="s">
        <v>304</v>
      </c>
      <c r="H7" s="251" t="str">
        <f t="array" ref="H7">IFERROR(INDEX(Lease_List!D:D,MATCH(All_User!D7,Lease_List!H:H,0)),"없음")</f>
        <v>5CD3469HD0</v>
      </c>
      <c r="I7" s="252" t="s">
        <v>28</v>
      </c>
      <c r="J7" s="252"/>
      <c r="K7" s="252" t="str">
        <f t="array" ref="K7">IFERROR(INDEX(Ipad_List!C:C,MATCH(All_User!D7,Ipad_List!J:J,0)),"없음")</f>
        <v>없음</v>
      </c>
      <c r="L7" s="253" t="str">
        <f t="array" ref="L7">IFERROR(INDEX(TeamsNumber!B:B,MATCH(All_User!D7,TeamsNumber!D:D,0)),"없음")</f>
        <v>tel:+82234517661</v>
      </c>
      <c r="M7" s="253" t="str">
        <f t="array" ref="M7">IFERROR(INDEX(Printer!D:D,MATCH(All_User!D7,Printer!H:H,0)),"없음")</f>
        <v>없음</v>
      </c>
      <c r="N7" s="253" t="str">
        <f t="array" ref="N7">IFERROR(INDEX(sales!D:D,MATCH(D7,sales!C:C,0)),"없음")</f>
        <v>없음</v>
      </c>
      <c r="O7" s="253" t="str">
        <f t="array" ref="O7">IFERROR(INDEX(sales!E:E,MATCH(D7,sales!C:C,0)),"없음")</f>
        <v>없음</v>
      </c>
      <c r="P7" s="253"/>
      <c r="Q7" s="253" t="s">
        <v>2357</v>
      </c>
    </row>
    <row r="8" spans="1:17" ht="15.75" customHeight="1">
      <c r="A8" s="254">
        <v>88</v>
      </c>
      <c r="B8" s="255" t="s">
        <v>2388</v>
      </c>
      <c r="C8" s="255" t="s">
        <v>2427</v>
      </c>
      <c r="D8" s="261" t="s">
        <v>2428</v>
      </c>
      <c r="E8" s="255" t="s">
        <v>359</v>
      </c>
      <c r="F8" s="255" t="s">
        <v>20</v>
      </c>
      <c r="G8" s="255" t="s">
        <v>134</v>
      </c>
      <c r="H8" s="256" t="str">
        <f t="array" ref="H8">IFERROR(INDEX(Lease_List!D:D,MATCH(All_User!D8,Lease_List!H:H,0)),"없음")</f>
        <v>5CD5062YDY</v>
      </c>
      <c r="I8" s="257" t="s">
        <v>28</v>
      </c>
      <c r="J8" s="257"/>
      <c r="K8" s="257" t="str">
        <f t="array" ref="K8">IFERROR(INDEX(Ipad_List!C:C,MATCH(All_User!D8,Ipad_List!J:J,0)),"없음")</f>
        <v>HL7Q0T6MHW</v>
      </c>
      <c r="L8" s="258" t="str">
        <f t="array" ref="L8">IFERROR(INDEX(TeamsNumber!B:B,MATCH(All_User!D8,TeamsNumber!D:D,0)),"없음")</f>
        <v>없음</v>
      </c>
      <c r="M8" s="258" t="str">
        <f t="array" ref="M8">IFERROR(INDEX(Printer!D:D,MATCH(All_User!D8,Printer!G:G,0)),"없음")</f>
        <v>없음</v>
      </c>
      <c r="N8" s="258" t="str">
        <f t="array" ref="N8">IFERROR(INDEX(sales!D:D,MATCH(D8,sales!C:C,0)),"없음")</f>
        <v>없음</v>
      </c>
      <c r="O8" s="258" t="str">
        <f t="array" ref="O8">IFERROR(INDEX(sales!E:E,MATCH(D8,sales!C:C,0)),"없음")</f>
        <v>없음</v>
      </c>
      <c r="P8" s="259"/>
      <c r="Q8" s="260">
        <v>45900</v>
      </c>
    </row>
    <row r="9" spans="1:17" ht="15.75" customHeight="1">
      <c r="A9" s="254">
        <v>94</v>
      </c>
      <c r="B9" s="255" t="s">
        <v>2379</v>
      </c>
      <c r="C9" s="255" t="s">
        <v>2429</v>
      </c>
      <c r="D9" s="255" t="s">
        <v>2430</v>
      </c>
      <c r="E9" s="255" t="s">
        <v>2431</v>
      </c>
      <c r="F9" s="255" t="s">
        <v>428</v>
      </c>
      <c r="G9" s="255" t="s">
        <v>429</v>
      </c>
      <c r="H9" s="256" t="str">
        <f t="array" ref="H9">IFERROR(INDEX(Lease_List!D:D,MATCH(All_User!D9,Lease_List!H:H,0)),"없음")</f>
        <v>5CD3469HDN</v>
      </c>
      <c r="I9" s="257" t="s">
        <v>28</v>
      </c>
      <c r="J9" s="257"/>
      <c r="K9" s="257" t="str">
        <f t="array" ref="K9">IFERROR(INDEX(Ipad_List!C:C,MATCH(All_User!D9,Ipad_List!J:J,0)),"없음")</f>
        <v>없음</v>
      </c>
      <c r="L9" s="258" t="str">
        <f t="array" ref="L9">IFERROR(INDEX(TeamsNumber!B:B,MATCH(All_User!D9,TeamsNumber!D:D,0)),"없음")</f>
        <v>tel:+82234517519</v>
      </c>
      <c r="M9" s="258" t="str">
        <f t="array" ref="M9">IFERROR(INDEX(Printer!D:D,MATCH(All_User!D9,Printer!G:G,0)),"없음")</f>
        <v>없음</v>
      </c>
      <c r="N9" s="258" t="str">
        <f t="array" ref="N9">IFERROR(INDEX(sales!D:D,MATCH(D9,sales!C:C,0)),"없음")</f>
        <v>없음</v>
      </c>
      <c r="O9" s="258" t="str">
        <f t="array" ref="O9">IFERROR(INDEX(sales!E:E,MATCH(D9,sales!C:C,0)),"없음")</f>
        <v>없음</v>
      </c>
      <c r="P9" s="259"/>
      <c r="Q9" s="260">
        <v>45891</v>
      </c>
    </row>
    <row r="10" spans="1:17" ht="15.75" customHeight="1">
      <c r="A10" s="254">
        <v>156</v>
      </c>
      <c r="B10" s="255" t="s">
        <v>2394</v>
      </c>
      <c r="C10" s="255" t="s">
        <v>2432</v>
      </c>
      <c r="D10" s="255" t="s">
        <v>2433</v>
      </c>
      <c r="E10" s="255" t="s">
        <v>45</v>
      </c>
      <c r="F10" s="255" t="s">
        <v>33</v>
      </c>
      <c r="G10" s="255" t="s">
        <v>46</v>
      </c>
      <c r="H10" s="256" t="str">
        <f t="array" ref="H10">IFERROR(INDEX(Lease_List!D:D,MATCH(All_User!D10,Lease_List!H:H,0)),"없음")</f>
        <v>5CG53403D0</v>
      </c>
      <c r="I10" s="257" t="s">
        <v>28</v>
      </c>
      <c r="J10" s="257"/>
      <c r="K10" s="257" t="str">
        <f t="array" ref="K10">IFERROR(INDEX(Ipad_List!C:C,MATCH(All_User!D10,Ipad_List!J:J,0)),"없음")</f>
        <v>없음</v>
      </c>
      <c r="L10" s="258" t="str">
        <f t="array" ref="L10">IFERROR(INDEX(TeamsNumber!B:B,MATCH(All_User!D10,TeamsNumber!D:D,0)),"없음")</f>
        <v>tel:+82234517637</v>
      </c>
      <c r="M10" s="258" t="str">
        <f t="array" ref="M10">IFERROR(INDEX(Printer!D:D,MATCH(All_User!D10,Printer!G:G,0)),"없음")</f>
        <v>없음</v>
      </c>
      <c r="N10" s="258" t="str">
        <f t="array" ref="N10">IFERROR(INDEX(sales!D:D,MATCH(D10,sales!C:C,0)),"없음")</f>
        <v>없음</v>
      </c>
      <c r="O10" s="258" t="str">
        <f t="array" ref="O10">IFERROR(INDEX(sales!E:E,MATCH(D10,sales!C:C,0)),"없음")</f>
        <v>없음</v>
      </c>
      <c r="P10" s="259"/>
      <c r="Q10" s="260">
        <v>45900</v>
      </c>
    </row>
    <row r="11" spans="1:17" ht="15.75" customHeight="1">
      <c r="A11" s="254">
        <v>165</v>
      </c>
      <c r="B11" s="255" t="s">
        <v>2092</v>
      </c>
      <c r="C11" s="255" t="s">
        <v>2434</v>
      </c>
      <c r="D11" s="255" t="s">
        <v>2093</v>
      </c>
      <c r="E11" s="255" t="s">
        <v>329</v>
      </c>
      <c r="F11" s="255" t="s">
        <v>20</v>
      </c>
      <c r="G11" s="255" t="s">
        <v>75</v>
      </c>
      <c r="H11" s="256" t="str">
        <f t="array" ref="H11">IFERROR(INDEX(Lease_List!D:D,MATCH(All_User!D11,Lease_List!H:H,0)),"없음")</f>
        <v>5CD5062YF5</v>
      </c>
      <c r="I11" s="257" t="s">
        <v>28</v>
      </c>
      <c r="J11" s="257" t="s">
        <v>2435</v>
      </c>
      <c r="K11" s="257" t="str">
        <f t="array" ref="K11">IFERROR(INDEX(Ipad_List!C:C,MATCH(All_User!D11,Ipad_List!J:J,0)),"없음")</f>
        <v>QXKLQ74WYW</v>
      </c>
      <c r="L11" s="258" t="str">
        <f t="array" ref="L11">IFERROR(INDEX(TeamsNumber!B:B,MATCH(All_User!D11,TeamsNumber!D:D,0)),"없음")</f>
        <v>tel:+82234517568</v>
      </c>
      <c r="M11" s="258" t="str">
        <f t="array" ref="M11">IFERROR(INDEX(Printer!D:D,MATCH(All_User!D11,Printer!G:G,0)),"없음")</f>
        <v>없음</v>
      </c>
      <c r="N11" s="258" t="str">
        <f t="array" ref="N11">IFERROR(INDEX(sales!D:D,MATCH(D11,sales!C:C,0)),"없음")</f>
        <v>없음</v>
      </c>
      <c r="O11" s="258" t="str">
        <f t="array" ref="O11">IFERROR(INDEX(sales!E:E,MATCH(D11,sales!C:C,0)),"없음")</f>
        <v>없음</v>
      </c>
      <c r="P11" s="259"/>
      <c r="Q11" s="260">
        <v>45930</v>
      </c>
    </row>
    <row r="12" spans="1:17" ht="15.75" customHeight="1">
      <c r="A12" s="254">
        <v>169</v>
      </c>
      <c r="B12" s="255" t="s">
        <v>2381</v>
      </c>
      <c r="C12" s="255" t="s">
        <v>2436</v>
      </c>
      <c r="D12" s="255" t="s">
        <v>2437</v>
      </c>
      <c r="E12" s="255" t="s">
        <v>2438</v>
      </c>
      <c r="F12" s="255" t="s">
        <v>20</v>
      </c>
      <c r="G12" s="255" t="s">
        <v>134</v>
      </c>
      <c r="H12" s="256" t="str">
        <f t="array" ref="H12">IFERROR(INDEX(Lease_List!D:D,MATCH(All_User!D12,Lease_List!H:H,0)),"없음")</f>
        <v>5CD4305D85</v>
      </c>
      <c r="I12" s="257" t="s">
        <v>612</v>
      </c>
      <c r="J12" s="257"/>
      <c r="K12" s="257" t="str">
        <f t="array" ref="K12">IFERROR(INDEX(Ipad_List!C:C,MATCH(All_User!D12,Ipad_List!J:J,0)),"없음")</f>
        <v>OQ2GGXF3FK</v>
      </c>
      <c r="L12" s="258" t="str">
        <f t="array" ref="L12">IFERROR(INDEX(TeamsNumber!B:B,MATCH(All_User!D12,TeamsNumber!D:D,0)),"없음")</f>
        <v>tel:+82234517591</v>
      </c>
      <c r="M12" s="258" t="str">
        <f t="array" ref="M12">IFERROR(INDEX(Printer!D:D,MATCH(All_User!D12,Printer!G:G,0)),"없음")</f>
        <v>없음</v>
      </c>
      <c r="N12" s="258" t="str">
        <f t="array" ref="N12">IFERROR(INDEX(sales!D:D,MATCH(D12,sales!C:C,0)),"없음")</f>
        <v>없음</v>
      </c>
      <c r="O12" s="258" t="str">
        <f t="array" ref="O12">IFERROR(INDEX(sales!E:E,MATCH(D12,sales!C:C,0)),"없음")</f>
        <v>없음</v>
      </c>
      <c r="P12" s="259"/>
      <c r="Q12" s="260">
        <v>45887</v>
      </c>
    </row>
    <row r="13" spans="1:17" ht="15.75" customHeight="1">
      <c r="A13" s="249">
        <v>170</v>
      </c>
      <c r="B13" s="250" t="s">
        <v>2439</v>
      </c>
      <c r="C13" s="250" t="s">
        <v>2440</v>
      </c>
      <c r="D13" s="250" t="s">
        <v>2441</v>
      </c>
      <c r="E13" s="250" t="s">
        <v>2442</v>
      </c>
      <c r="F13" s="250" t="s">
        <v>20</v>
      </c>
      <c r="G13" s="250" t="s">
        <v>80</v>
      </c>
      <c r="H13" s="251" t="str">
        <f t="array" ref="H13">IFERROR(INDEX(Lease_List!D:D,MATCH(All_User!D13,Lease_List!H:H,0)),"없음")</f>
        <v>5CD4232BFF</v>
      </c>
      <c r="I13" s="252" t="s">
        <v>28</v>
      </c>
      <c r="J13" s="252"/>
      <c r="K13" s="252" t="str">
        <f t="array" ref="K13">IFERROR(INDEX(Ipad_List!C:C,MATCH(All_User!D13,Ipad_List!J:J,0)),"없음")</f>
        <v>없음</v>
      </c>
      <c r="L13" s="253" t="str">
        <f t="array" ref="L13">IFERROR(INDEX(TeamsNumber!B:B,MATCH(All_User!D13,TeamsNumber!D:D,0)),"없음")</f>
        <v>tel:+82234517513</v>
      </c>
      <c r="M13" s="253" t="str">
        <f t="array" ref="M13">IFERROR(INDEX(Printer!D:D,MATCH(All_User!D13,Printer!H:H,0)),"없음")</f>
        <v>없음</v>
      </c>
      <c r="N13" s="253" t="str">
        <f t="array" ref="N13">IFERROR(INDEX(sales!D:D,MATCH(D13,sales!C:C,0)),"없음")</f>
        <v>없음</v>
      </c>
      <c r="O13" s="253" t="str">
        <f t="array" ref="O13">IFERROR(INDEX(sales!E:E,MATCH(D13,sales!C:C,0)),"없음")</f>
        <v>없음</v>
      </c>
      <c r="P13" s="253"/>
      <c r="Q13" s="253" t="s">
        <v>2120</v>
      </c>
    </row>
    <row r="14" spans="1:17" ht="15.75" customHeight="1">
      <c r="A14" s="254">
        <v>173</v>
      </c>
      <c r="B14" s="255" t="s">
        <v>2122</v>
      </c>
      <c r="C14" s="255" t="s">
        <v>2443</v>
      </c>
      <c r="D14" s="255" t="s">
        <v>2123</v>
      </c>
      <c r="E14" s="255" t="s">
        <v>142</v>
      </c>
      <c r="F14" s="255" t="s">
        <v>65</v>
      </c>
      <c r="G14" s="255" t="s">
        <v>66</v>
      </c>
      <c r="H14" s="256" t="str">
        <f t="array" ref="H14">IFERROR(INDEX(Lease_List!D:D,MATCH(All_User!D14,Lease_List!H:H,0)),"없음")</f>
        <v>5CD442C074</v>
      </c>
      <c r="I14" s="257" t="s">
        <v>2444</v>
      </c>
      <c r="J14" s="257"/>
      <c r="K14" s="257" t="str">
        <f t="array" ref="K14">IFERROR(INDEX(Ipad_List!C:C,MATCH(All_User!D14,Ipad_List!J:J,0)),"없음")</f>
        <v>R34F5XVT2M</v>
      </c>
      <c r="L14" s="258" t="str">
        <f t="array" ref="L14">IFERROR(INDEX(TeamsNumber!B:B,MATCH(All_User!D14,TeamsNumber!D:D,0)),"없음")</f>
        <v>tel:+82234517659</v>
      </c>
      <c r="M14" s="258" t="str">
        <f t="array" ref="M14">IFERROR(INDEX(Printer!D:D,MATCH(All_User!D14,Printer!H:H,0)),"없음")</f>
        <v>없음</v>
      </c>
      <c r="N14" s="258" t="str">
        <f t="array" ref="N14">IFERROR(INDEX(sales!D:D,MATCH(D14,sales!C:C,0)),"없음")</f>
        <v>없음</v>
      </c>
      <c r="O14" s="258" t="str">
        <f t="array" ref="O14">IFERROR(INDEX(sales!E:E,MATCH(D14,sales!C:C,0)),"없음")</f>
        <v>없음</v>
      </c>
      <c r="P14" s="259"/>
      <c r="Q14" s="260">
        <v>45910</v>
      </c>
    </row>
  </sheetData>
  <phoneticPr fontId="72" type="noConversion"/>
  <hyperlinks>
    <hyperlink ref="D8" r:id="rId1" xr:uid="{00000000-0004-0000-0B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F13"/>
  <sheetViews>
    <sheetView workbookViewId="0"/>
  </sheetViews>
  <sheetFormatPr baseColWidth="10" defaultColWidth="12.6640625" defaultRowHeight="15.75" customHeight="1"/>
  <cols>
    <col min="2" max="2" width="29.6640625" customWidth="1"/>
    <col min="3" max="3" width="16.83203125" customWidth="1"/>
  </cols>
  <sheetData>
    <row r="1" spans="1:6" ht="15.75" customHeight="1">
      <c r="A1" s="12" t="s">
        <v>122</v>
      </c>
      <c r="B1" s="12" t="s">
        <v>20</v>
      </c>
      <c r="C1" s="12" t="s">
        <v>75</v>
      </c>
      <c r="D1" s="40" t="s">
        <v>2445</v>
      </c>
      <c r="E1" s="40" t="s">
        <v>2446</v>
      </c>
      <c r="F1" s="40" t="s">
        <v>2447</v>
      </c>
    </row>
    <row r="2" spans="1:6" ht="15.75" customHeight="1">
      <c r="A2" s="12" t="s">
        <v>74</v>
      </c>
      <c r="B2" s="12" t="s">
        <v>20</v>
      </c>
      <c r="C2" s="12" t="s">
        <v>75</v>
      </c>
    </row>
    <row r="5" spans="1:6" ht="15.75" customHeight="1">
      <c r="A5" s="12" t="s">
        <v>761</v>
      </c>
      <c r="B5" s="12" t="s">
        <v>20</v>
      </c>
      <c r="C5" s="12" t="s">
        <v>134</v>
      </c>
      <c r="D5" s="40" t="s">
        <v>2445</v>
      </c>
      <c r="F5" s="40" t="s">
        <v>1093</v>
      </c>
    </row>
    <row r="6" spans="1:6" ht="15.75" customHeight="1">
      <c r="A6" s="12" t="s">
        <v>276</v>
      </c>
      <c r="B6" s="12" t="s">
        <v>20</v>
      </c>
      <c r="C6" s="12" t="s">
        <v>134</v>
      </c>
    </row>
    <row r="9" spans="1:6" ht="15.75" customHeight="1">
      <c r="A9" s="12" t="s">
        <v>550</v>
      </c>
      <c r="B9" s="12" t="s">
        <v>20</v>
      </c>
      <c r="C9" s="12" t="s">
        <v>134</v>
      </c>
    </row>
    <row r="13" spans="1:6" ht="15.75" customHeight="1">
      <c r="A13" s="12" t="s">
        <v>313</v>
      </c>
      <c r="B13" s="12" t="s">
        <v>20</v>
      </c>
      <c r="C13" s="12" t="s">
        <v>21</v>
      </c>
      <c r="E13" s="40" t="s">
        <v>977</v>
      </c>
      <c r="F13" s="40" t="s">
        <v>2447</v>
      </c>
    </row>
  </sheetData>
  <phoneticPr fontId="7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>
    <outlinePr summaryBelow="0" summaryRight="0"/>
  </sheetPr>
  <dimension ref="A1:D998"/>
  <sheetViews>
    <sheetView workbookViewId="0"/>
  </sheetViews>
  <sheetFormatPr baseColWidth="10" defaultColWidth="12.6640625" defaultRowHeight="15.75" customHeight="1"/>
  <cols>
    <col min="2" max="2" width="22.6640625" customWidth="1"/>
  </cols>
  <sheetData>
    <row r="1" spans="1:4" ht="13">
      <c r="A1" s="56" t="s">
        <v>2</v>
      </c>
      <c r="B1" s="56" t="s">
        <v>2448</v>
      </c>
    </row>
    <row r="2" spans="1:4" ht="13" hidden="1">
      <c r="A2" s="56" t="s">
        <v>2449</v>
      </c>
      <c r="B2" s="56" t="s">
        <v>672</v>
      </c>
      <c r="C2" s="40" t="str">
        <f t="array" ref="C2">IFERROR(INDEX(All_User!H:H,MATCH(B2,All_User!D:D,0)),"list없음")</f>
        <v>5CD5179KH9</v>
      </c>
      <c r="D2" s="40">
        <f t="array" ref="D2">IFERROR(INDEX(All_User!R:R,MATCH(B2,All_User!D:D,0)),"list없음")</f>
        <v>0</v>
      </c>
    </row>
    <row r="3" spans="1:4" ht="13" hidden="1">
      <c r="A3" s="56" t="s">
        <v>2450</v>
      </c>
      <c r="B3" s="56" t="s">
        <v>328</v>
      </c>
      <c r="C3" s="40" t="str">
        <f t="array" ref="C3">IFERROR(INDEX(All_User!H:H,MATCH(B3,All_User!D:D,0)),"list없음")</f>
        <v>5CD409908J</v>
      </c>
      <c r="D3" s="40">
        <f t="array" ref="D3">IFERROR(INDEX(All_User!R:R,MATCH(B3,All_User!D:D,0)),"list없음")</f>
        <v>0</v>
      </c>
    </row>
    <row r="4" spans="1:4" ht="13" hidden="1">
      <c r="A4" s="56" t="s">
        <v>2451</v>
      </c>
      <c r="B4" s="56" t="s">
        <v>322</v>
      </c>
      <c r="C4" s="40" t="str">
        <f t="array" ref="C4">IFERROR(INDEX(All_User!H:H,MATCH(B4,All_User!D:D,0)),"list없음")</f>
        <v>5CD5179KJB</v>
      </c>
      <c r="D4" s="40">
        <f t="array" ref="D4">IFERROR(INDEX(All_User!R:R,MATCH(B4,All_User!D:D,0)),"list없음")</f>
        <v>0</v>
      </c>
    </row>
    <row r="5" spans="1:4" ht="13">
      <c r="A5" s="56" t="s">
        <v>2452</v>
      </c>
      <c r="B5" s="56" t="s">
        <v>635</v>
      </c>
      <c r="C5" s="40" t="str">
        <f t="array" ref="C5">IFERROR(INDEX(All_User!H:H,MATCH(B5,All_User!D:D,0)),"list없음")</f>
        <v>없음</v>
      </c>
      <c r="D5" s="40">
        <f t="array" ref="D5">IFERROR(INDEX(All_User!R:R,MATCH(B5,All_User!D:D,0)),"list없음")</f>
        <v>0</v>
      </c>
    </row>
    <row r="6" spans="1:4" ht="13" hidden="1">
      <c r="A6" s="56" t="s">
        <v>2453</v>
      </c>
      <c r="B6" s="56" t="s">
        <v>86</v>
      </c>
      <c r="C6" s="40" t="str">
        <f t="array" ref="C6">IFERROR(INDEX(All_User!H:H,MATCH(B6,All_User!D:D,0)),"list없음")</f>
        <v>5CD3469HD6</v>
      </c>
      <c r="D6" s="40">
        <f t="array" ref="D6">IFERROR(INDEX(All_User!R:R,MATCH(B6,All_User!D:D,0)),"list없음")</f>
        <v>0</v>
      </c>
    </row>
    <row r="7" spans="1:4" ht="13">
      <c r="A7" s="56" t="s">
        <v>2454</v>
      </c>
      <c r="B7" s="56" t="s">
        <v>681</v>
      </c>
      <c r="C7" s="40" t="str">
        <f t="array" ref="C7">IFERROR(INDEX(All_User!H:H,MATCH(B7,All_User!D:D,0)),"list없음")</f>
        <v>없음</v>
      </c>
      <c r="D7" s="40">
        <f t="array" ref="D7">IFERROR(INDEX(All_User!R:R,MATCH(B7,All_User!D:D,0)),"list없음")</f>
        <v>0</v>
      </c>
    </row>
    <row r="8" spans="1:4" ht="13" hidden="1">
      <c r="A8" s="56" t="s">
        <v>2455</v>
      </c>
      <c r="B8" s="56" t="s">
        <v>667</v>
      </c>
      <c r="C8" s="40" t="str">
        <f t="array" ref="C8">IFERROR(INDEX(All_User!H:H,MATCH(B8,All_User!D:D,0)),"list없음")</f>
        <v>5CD5179KH7</v>
      </c>
      <c r="D8" s="40">
        <f t="array" ref="D8">IFERROR(INDEX(All_User!R:R,MATCH(B8,All_User!D:D,0)),"list없음")</f>
        <v>0</v>
      </c>
    </row>
    <row r="9" spans="1:4" ht="13" hidden="1">
      <c r="A9" s="56" t="s">
        <v>2456</v>
      </c>
      <c r="B9" s="56" t="s">
        <v>455</v>
      </c>
      <c r="C9" s="40" t="str">
        <f t="array" ref="C9">IFERROR(INDEX(All_User!H:H,MATCH(B9,All_User!D:D,0)),"list없음")</f>
        <v>5CD442C07K</v>
      </c>
      <c r="D9" s="40">
        <f t="array" ref="D9">IFERROR(INDEX(All_User!R:R,MATCH(B9,All_User!D:D,0)),"list없음")</f>
        <v>0</v>
      </c>
    </row>
    <row r="10" spans="1:4" ht="13" hidden="1">
      <c r="A10" s="56" t="s">
        <v>2457</v>
      </c>
      <c r="B10" s="56" t="s">
        <v>95</v>
      </c>
      <c r="C10" s="40" t="str">
        <f t="array" ref="C10">IFERROR(INDEX(All_User!H:H,MATCH(B10,All_User!D:D,0)),"list없음")</f>
        <v>5CD5179KHY</v>
      </c>
      <c r="D10" s="40">
        <f t="array" ref="D10">IFERROR(INDEX(All_User!R:R,MATCH(B10,All_User!D:D,0)),"list없음")</f>
        <v>0</v>
      </c>
    </row>
    <row r="11" spans="1:4" ht="13" hidden="1">
      <c r="A11" s="56" t="s">
        <v>2458</v>
      </c>
      <c r="B11" s="56" t="s">
        <v>316</v>
      </c>
      <c r="C11" s="40" t="str">
        <f t="array" ref="C11">IFERROR(INDEX(All_User!H:H,MATCH(B11,All_User!D:D,0)),"list없음")</f>
        <v>5CD409908M</v>
      </c>
      <c r="D11" s="40">
        <f t="array" ref="D11">IFERROR(INDEX(All_User!R:R,MATCH(B11,All_User!D:D,0)),"list없음")</f>
        <v>0</v>
      </c>
    </row>
    <row r="12" spans="1:4" ht="13" hidden="1">
      <c r="A12" s="56" t="s">
        <v>2459</v>
      </c>
      <c r="B12" s="56" t="s">
        <v>307</v>
      </c>
      <c r="C12" s="40" t="str">
        <f t="array" ref="C12">IFERROR(INDEX(All_User!H:H,MATCH(B12,All_User!D:D,0)),"list없음")</f>
        <v>5CD4232BF3</v>
      </c>
      <c r="D12" s="40">
        <f t="array" ref="D12">IFERROR(INDEX(All_User!R:R,MATCH(B12,All_User!D:D,0)),"list없음")</f>
        <v>0</v>
      </c>
    </row>
    <row r="13" spans="1:4" ht="13" hidden="1">
      <c r="A13" s="56" t="s">
        <v>2460</v>
      </c>
      <c r="B13" s="56" t="s">
        <v>320</v>
      </c>
      <c r="C13" s="40" t="str">
        <f t="array" ref="C13">IFERROR(INDEX(All_User!H:H,MATCH(B13,All_User!D:D,0)),"list없음")</f>
        <v>5CD4232BFN</v>
      </c>
      <c r="D13" s="40">
        <f t="array" ref="D13">IFERROR(INDEX(All_User!R:R,MATCH(B13,All_User!D:D,0)),"list없음")</f>
        <v>0</v>
      </c>
    </row>
    <row r="14" spans="1:4" ht="13">
      <c r="A14" s="56" t="s">
        <v>2461</v>
      </c>
      <c r="B14" s="56" t="s">
        <v>18</v>
      </c>
      <c r="C14" s="40" t="str">
        <f t="array" ref="C14">IFERROR(INDEX(All_User!H:H,MATCH(B14,All_User!D:D,0)),"list없음")</f>
        <v>없음</v>
      </c>
      <c r="D14" s="40">
        <f t="array" ref="D14">IFERROR(INDEX(All_User!R:R,MATCH(B14,All_User!D:D,0)),"list없음")</f>
        <v>0</v>
      </c>
    </row>
    <row r="15" spans="1:4" ht="13" hidden="1">
      <c r="A15" s="56" t="s">
        <v>2462</v>
      </c>
      <c r="B15" s="56" t="s">
        <v>713</v>
      </c>
      <c r="C15" s="40" t="str">
        <f t="array" ref="C15">IFERROR(INDEX(All_User!H:H,MATCH(B15,All_User!D:D,0)),"list없음")</f>
        <v>5CD5179KJ3</v>
      </c>
      <c r="D15" s="40">
        <f t="array" ref="D15">IFERROR(INDEX(All_User!R:R,MATCH(B15,All_User!D:D,0)),"list없음")</f>
        <v>0</v>
      </c>
    </row>
    <row r="16" spans="1:4" ht="13" hidden="1">
      <c r="A16" s="56" t="s">
        <v>2463</v>
      </c>
      <c r="B16" s="56" t="s">
        <v>686</v>
      </c>
      <c r="C16" s="40" t="str">
        <f t="array" ref="C16">IFERROR(INDEX(All_User!H:H,MATCH(B16,All_User!D:D,0)),"list없음")</f>
        <v>5CG53403CW</v>
      </c>
      <c r="D16" s="40">
        <f t="array" ref="D16">IFERROR(INDEX(All_User!R:R,MATCH(B16,All_User!D:D,0)),"list없음")</f>
        <v>0</v>
      </c>
    </row>
    <row r="17" spans="1:4" ht="13" hidden="1">
      <c r="A17" s="56" t="s">
        <v>2464</v>
      </c>
      <c r="B17" s="56" t="s">
        <v>145</v>
      </c>
      <c r="C17" s="40" t="str">
        <f t="array" ref="C17">IFERROR(INDEX(All_User!H:H,MATCH(B17,All_User!D:D,0)),"list없음")</f>
        <v>5CD4305D8C</v>
      </c>
      <c r="D17" s="40">
        <f t="array" ref="D17">IFERROR(INDEX(All_User!R:R,MATCH(B17,All_User!D:D,0)),"list없음")</f>
        <v>0</v>
      </c>
    </row>
    <row r="18" spans="1:4" ht="13" hidden="1">
      <c r="A18" s="56" t="s">
        <v>2465</v>
      </c>
      <c r="B18" s="56" t="s">
        <v>292</v>
      </c>
      <c r="C18" s="40" t="str">
        <f t="array" ref="C18">IFERROR(INDEX(All_User!H:H,MATCH(B18,All_User!D:D,0)),"list없음")</f>
        <v>5CD5179KJ2</v>
      </c>
      <c r="D18" s="40">
        <f t="array" ref="D18">IFERROR(INDEX(All_User!R:R,MATCH(B18,All_User!D:D,0)),"list없음")</f>
        <v>0</v>
      </c>
    </row>
    <row r="19" spans="1:4" ht="13" hidden="1">
      <c r="A19" s="56" t="s">
        <v>2466</v>
      </c>
      <c r="B19" s="56" t="s">
        <v>558</v>
      </c>
      <c r="C19" s="40" t="str">
        <f t="array" ref="C19">IFERROR(INDEX(All_User!H:H,MATCH(B19,All_User!D:D,0)),"list없음")</f>
        <v>5CG53403D4</v>
      </c>
      <c r="D19" s="40">
        <f t="array" ref="D19">IFERROR(INDEX(All_User!R:R,MATCH(B19,All_User!D:D,0)),"list없음")</f>
        <v>0</v>
      </c>
    </row>
    <row r="20" spans="1:4" ht="13" hidden="1">
      <c r="A20" s="56" t="s">
        <v>2467</v>
      </c>
      <c r="B20" s="56" t="s">
        <v>630</v>
      </c>
      <c r="C20" s="40" t="str">
        <f t="array" ref="C20">IFERROR(INDEX(All_User!H:H,MATCH(B20,All_User!D:D,0)),"list없음")</f>
        <v>5CD5179KH8</v>
      </c>
      <c r="D20" s="40">
        <f t="array" ref="D20">IFERROR(INDEX(All_User!R:R,MATCH(B20,All_User!D:D,0)),"list없음")</f>
        <v>0</v>
      </c>
    </row>
    <row r="21" spans="1:4" ht="13" hidden="1">
      <c r="A21" s="56" t="s">
        <v>2468</v>
      </c>
      <c r="B21" s="56" t="s">
        <v>563</v>
      </c>
      <c r="C21" s="40" t="str">
        <f t="array" ref="C21">IFERROR(INDEX(All_User!H:H,MATCH(B21,All_User!D:D,0)),"list없음")</f>
        <v>5CD5179KHL</v>
      </c>
      <c r="D21" s="40">
        <f t="array" ref="D21">IFERROR(INDEX(All_User!R:R,MATCH(B21,All_User!D:D,0)),"list없음")</f>
        <v>0</v>
      </c>
    </row>
    <row r="22" spans="1:4" ht="13" hidden="1">
      <c r="A22" s="56" t="s">
        <v>2469</v>
      </c>
      <c r="B22" s="56" t="s">
        <v>58</v>
      </c>
      <c r="C22" s="40" t="str">
        <f t="array" ref="C22">IFERROR(INDEX(All_User!H:H,MATCH(B22,All_User!D:D,0)),"list없음")</f>
        <v>5CD3469HDN</v>
      </c>
      <c r="D22" s="40">
        <f t="array" ref="D22">IFERROR(INDEX(All_User!R:R,MATCH(B22,All_User!D:D,0)),"list없음")</f>
        <v>0</v>
      </c>
    </row>
    <row r="23" spans="1:4" ht="13" hidden="1">
      <c r="A23" s="56" t="s">
        <v>2470</v>
      </c>
      <c r="B23" s="56" t="s">
        <v>459</v>
      </c>
      <c r="C23" s="40" t="str">
        <f t="array" ref="C23">IFERROR(INDEX(All_User!H:H,MATCH(B23,All_User!D:D,0)),"list없음")</f>
        <v>5CD442C07L</v>
      </c>
      <c r="D23" s="40">
        <f t="array" ref="D23">IFERROR(INDEX(All_User!R:R,MATCH(B23,All_User!D:D,0)),"list없음")</f>
        <v>0</v>
      </c>
    </row>
    <row r="24" spans="1:4" ht="13" hidden="1">
      <c r="A24" s="56" t="s">
        <v>2471</v>
      </c>
      <c r="B24" s="56" t="s">
        <v>332</v>
      </c>
      <c r="C24" s="40" t="str">
        <f t="array" ref="C24">IFERROR(INDEX(All_User!H:H,MATCH(B24,All_User!D:D,0)),"list없음")</f>
        <v>5CD409908K</v>
      </c>
      <c r="D24" s="40">
        <f t="array" ref="D24">IFERROR(INDEX(All_User!R:R,MATCH(B24,All_User!D:D,0)),"list없음")</f>
        <v>0</v>
      </c>
    </row>
    <row r="25" spans="1:4" ht="13" hidden="1">
      <c r="A25" s="56" t="s">
        <v>2472</v>
      </c>
      <c r="B25" s="56" t="s">
        <v>272</v>
      </c>
      <c r="C25" s="40" t="str">
        <f t="array" ref="C25">IFERROR(INDEX(All_User!H:H,MATCH(B25,All_User!D:D,0)),"list없음")</f>
        <v>5CD442C079</v>
      </c>
      <c r="D25" s="40">
        <f t="array" ref="D25">IFERROR(INDEX(All_User!R:R,MATCH(B25,All_User!D:D,0)),"list없음")</f>
        <v>0</v>
      </c>
    </row>
    <row r="26" spans="1:4" ht="13" hidden="1">
      <c r="A26" s="56" t="s">
        <v>2473</v>
      </c>
      <c r="B26" s="56" t="s">
        <v>312</v>
      </c>
      <c r="C26" s="40" t="str">
        <f t="array" ref="C26">IFERROR(INDEX(All_User!H:H,MATCH(B26,All_User!D:D,0)),"list없음")</f>
        <v>5CD5062YF1</v>
      </c>
      <c r="D26" s="40">
        <f t="array" ref="D26">IFERROR(INDEX(All_User!R:R,MATCH(B26,All_User!D:D,0)),"list없음")</f>
        <v>0</v>
      </c>
    </row>
    <row r="27" spans="1:4" ht="13" hidden="1">
      <c r="A27" s="56" t="s">
        <v>2474</v>
      </c>
      <c r="B27" s="56" t="s">
        <v>717</v>
      </c>
      <c r="C27" s="40" t="str">
        <f t="array" ref="C27">IFERROR(INDEX(All_User!H:H,MATCH(B27,All_User!D:D,0)),"list없음")</f>
        <v>5CD442C07J</v>
      </c>
      <c r="D27" s="40">
        <f t="array" ref="D27">IFERROR(INDEX(All_User!R:R,MATCH(B27,All_User!D:D,0)),"list없음")</f>
        <v>0</v>
      </c>
    </row>
    <row r="28" spans="1:4" ht="13" hidden="1">
      <c r="A28" s="56" t="s">
        <v>2475</v>
      </c>
      <c r="B28" s="56" t="s">
        <v>842</v>
      </c>
      <c r="C28" s="40" t="str">
        <f t="array" ref="C28">IFERROR(INDEX(All_User!H:H,MATCH(B28,All_User!D:D,0)),"list없음")</f>
        <v>5CD409908N</v>
      </c>
      <c r="D28" s="40">
        <f t="array" ref="D28">IFERROR(INDEX(All_User!R:R,MATCH(B28,All_User!D:D,0)),"list없음")</f>
        <v>0</v>
      </c>
    </row>
    <row r="29" spans="1:4" ht="13">
      <c r="A29" s="56" t="s">
        <v>2476</v>
      </c>
      <c r="B29" s="56" t="s">
        <v>114</v>
      </c>
      <c r="C29" s="40" t="str">
        <f t="array" ref="C29">IFERROR(INDEX(All_User!H:H,MATCH(B29,All_User!D:D,0)),"list없음")</f>
        <v>없음</v>
      </c>
      <c r="D29" s="40">
        <f t="array" ref="D29">IFERROR(INDEX(All_User!R:R,MATCH(B29,All_User!D:D,0)),"list없음")</f>
        <v>0</v>
      </c>
    </row>
    <row r="30" spans="1:4" ht="13" hidden="1">
      <c r="A30" s="56" t="s">
        <v>2477</v>
      </c>
      <c r="B30" s="56" t="s">
        <v>462</v>
      </c>
      <c r="C30" s="40" t="str">
        <f t="array" ref="C30">IFERROR(INDEX(All_User!H:H,MATCH(B30,All_User!D:D,0)),"list없음")</f>
        <v>5CD4305D87</v>
      </c>
      <c r="D30" s="40">
        <f t="array" ref="D30">IFERROR(INDEX(All_User!R:R,MATCH(B30,All_User!D:D,0)),"list없음")</f>
        <v>0</v>
      </c>
    </row>
    <row r="31" spans="1:4" ht="13" hidden="1">
      <c r="A31" s="56" t="s">
        <v>2478</v>
      </c>
      <c r="B31" s="56" t="s">
        <v>63</v>
      </c>
      <c r="C31" s="40" t="str">
        <f t="array" ref="C31">IFERROR(INDEX(All_User!H:H,MATCH(B31,All_User!D:D,0)),"list없음")</f>
        <v>5CG53403D0</v>
      </c>
      <c r="D31" s="40">
        <f t="array" ref="D31">IFERROR(INDEX(All_User!R:R,MATCH(B31,All_User!D:D,0)),"list없음")</f>
        <v>0</v>
      </c>
    </row>
    <row r="32" spans="1:4" ht="13" hidden="1">
      <c r="A32" s="56" t="s">
        <v>2479</v>
      </c>
      <c r="B32" s="56" t="s">
        <v>297</v>
      </c>
      <c r="C32" s="40" t="str">
        <f t="array" ref="C32">IFERROR(INDEX(All_User!H:H,MATCH(B32,All_User!D:D,0)),"list없음")</f>
        <v>5CD5179KHH</v>
      </c>
      <c r="D32" s="40">
        <f t="array" ref="D32">IFERROR(INDEX(All_User!R:R,MATCH(B32,All_User!D:D,0)),"list없음")</f>
        <v>0</v>
      </c>
    </row>
    <row r="33" spans="1:4" ht="13" hidden="1">
      <c r="A33" s="56" t="s">
        <v>2480</v>
      </c>
      <c r="B33" s="56" t="s">
        <v>532</v>
      </c>
      <c r="C33" s="40" t="str">
        <f t="array" ref="C33">IFERROR(INDEX(All_User!H:H,MATCH(B33,All_User!D:D,0)),"list없음")</f>
        <v>5CD4145N3L</v>
      </c>
      <c r="D33" s="40">
        <f t="array" ref="D33">IFERROR(INDEX(All_User!R:R,MATCH(B33,All_User!D:D,0)),"list없음")</f>
        <v>0</v>
      </c>
    </row>
    <row r="34" spans="1:4" ht="13" hidden="1">
      <c r="A34" s="56" t="s">
        <v>2481</v>
      </c>
      <c r="B34" s="56" t="s">
        <v>735</v>
      </c>
      <c r="C34" s="40" t="str">
        <f t="array" ref="C34">IFERROR(INDEX(All_User!H:H,MATCH(B34,All_User!D:D,0)),"list없음")</f>
        <v>5CD4305D8V</v>
      </c>
      <c r="D34" s="40">
        <f t="array" ref="D34">IFERROR(INDEX(All_User!R:R,MATCH(B34,All_User!D:D,0)),"list없음")</f>
        <v>0</v>
      </c>
    </row>
    <row r="35" spans="1:4" ht="13" hidden="1">
      <c r="A35" s="56" t="s">
        <v>2482</v>
      </c>
      <c r="B35" s="56" t="s">
        <v>467</v>
      </c>
      <c r="C35" s="40" t="str">
        <f t="array" ref="C35">IFERROR(INDEX(All_User!H:H,MATCH(B35,All_User!D:D,0)),"list없음")</f>
        <v>5CD3469HD7</v>
      </c>
      <c r="D35" s="40">
        <f t="array" ref="D35">IFERROR(INDEX(All_User!R:R,MATCH(B35,All_User!D:D,0)),"list없음")</f>
        <v>0</v>
      </c>
    </row>
    <row r="36" spans="1:4" ht="13" hidden="1">
      <c r="A36" s="56" t="s">
        <v>2483</v>
      </c>
      <c r="B36" s="56" t="s">
        <v>338</v>
      </c>
      <c r="C36" s="40" t="str">
        <f t="array" ref="C36">IFERROR(INDEX(All_User!H:H,MATCH(B36,All_User!D:D,0)),"list없음")</f>
        <v>5CD3469HDJ</v>
      </c>
      <c r="D36" s="40">
        <f t="array" ref="D36">IFERROR(INDEX(All_User!R:R,MATCH(B36,All_User!D:D,0)),"list없음")</f>
        <v>0</v>
      </c>
    </row>
    <row r="37" spans="1:4" ht="13" hidden="1">
      <c r="A37" s="56" t="s">
        <v>2484</v>
      </c>
      <c r="B37" s="56" t="s">
        <v>342</v>
      </c>
      <c r="C37" s="40" t="str">
        <f t="array" ref="C37">IFERROR(INDEX(All_User!H:H,MATCH(B37,All_User!D:D,0)),"list없음")</f>
        <v>5CD5179KJ1</v>
      </c>
      <c r="D37" s="40">
        <f t="array" ref="D37">IFERROR(INDEX(All_User!R:R,MATCH(B37,All_User!D:D,0)),"list없음")</f>
        <v>0</v>
      </c>
    </row>
    <row r="38" spans="1:4" ht="13" hidden="1">
      <c r="A38" s="56" t="s">
        <v>2485</v>
      </c>
      <c r="B38" s="56" t="s">
        <v>347</v>
      </c>
      <c r="C38" s="40" t="str">
        <f t="array" ref="C38">IFERROR(INDEX(All_User!H:H,MATCH(B38,All_User!D:D,0)),"list없음")</f>
        <v>5CD5179KHX</v>
      </c>
      <c r="D38" s="40">
        <f t="array" ref="D38">IFERROR(INDEX(All_User!R:R,MATCH(B38,All_User!D:D,0)),"list없음")</f>
        <v>0</v>
      </c>
    </row>
    <row r="39" spans="1:4" ht="13" hidden="1">
      <c r="A39" s="56" t="s">
        <v>2486</v>
      </c>
      <c r="B39" s="56" t="s">
        <v>649</v>
      </c>
      <c r="C39" s="40" t="str">
        <f t="array" ref="C39">IFERROR(INDEX(All_User!H:H,MATCH(B39,All_User!D:D,0)),"list없음")</f>
        <v>5CD4232BF9</v>
      </c>
      <c r="D39" s="40">
        <f t="array" ref="D39">IFERROR(INDEX(All_User!R:R,MATCH(B39,All_User!D:D,0)),"list없음")</f>
        <v>0</v>
      </c>
    </row>
    <row r="40" spans="1:4" ht="13" hidden="1">
      <c r="A40" s="56" t="s">
        <v>2487</v>
      </c>
      <c r="B40" s="56" t="s">
        <v>132</v>
      </c>
      <c r="C40" s="40" t="str">
        <f t="array" ref="C40">IFERROR(INDEX(All_User!H:H,MATCH(B40,All_User!D:D,0)),"list없음")</f>
        <v>5CD442C072</v>
      </c>
      <c r="D40" s="40">
        <f t="array" ref="D40">IFERROR(INDEX(All_User!R:R,MATCH(B40,All_User!D:D,0)),"list없음")</f>
        <v>0</v>
      </c>
    </row>
    <row r="41" spans="1:4" ht="13">
      <c r="A41" s="56" t="s">
        <v>2488</v>
      </c>
      <c r="B41" s="56" t="s">
        <v>692</v>
      </c>
      <c r="C41" s="40" t="str">
        <f t="array" ref="C41">IFERROR(INDEX(All_User!H:H,MATCH(B41,All_User!D:D,0)),"list없음")</f>
        <v>없음</v>
      </c>
      <c r="D41" s="40">
        <f t="array" ref="D41">IFERROR(INDEX(All_User!R:R,MATCH(B41,All_User!D:D,0)),"list없음")</f>
        <v>0</v>
      </c>
    </row>
    <row r="42" spans="1:4" ht="13" hidden="1">
      <c r="A42" s="56" t="s">
        <v>2489</v>
      </c>
      <c r="B42" s="56" t="s">
        <v>25</v>
      </c>
      <c r="C42" s="40" t="str">
        <f t="array" ref="C42">IFERROR(INDEX(All_User!H:H,MATCH(B42,All_User!D:D,0)),"list없음")</f>
        <v>5CD4232BFL</v>
      </c>
      <c r="D42" s="40">
        <f t="array" ref="D42">IFERROR(INDEX(All_User!R:R,MATCH(B42,All_User!D:D,0)),"list없음")</f>
        <v>0</v>
      </c>
    </row>
    <row r="43" spans="1:4" ht="13" hidden="1">
      <c r="A43" s="56" t="s">
        <v>2490</v>
      </c>
      <c r="B43" s="56" t="s">
        <v>226</v>
      </c>
      <c r="C43" s="40" t="str">
        <f t="array" ref="C43">IFERROR(INDEX(All_User!H:H,MATCH(B43,All_User!D:D,0)),"list없음")</f>
        <v>5CD3469HDQ</v>
      </c>
      <c r="D43" s="40">
        <f t="array" ref="D43">IFERROR(INDEX(All_User!R:R,MATCH(B43,All_User!D:D,0)),"list없음")</f>
        <v>0</v>
      </c>
    </row>
    <row r="44" spans="1:4" ht="13" hidden="1">
      <c r="A44" s="56" t="s">
        <v>2491</v>
      </c>
      <c r="B44" s="56" t="s">
        <v>568</v>
      </c>
      <c r="C44" s="40" t="str">
        <f t="array" ref="C44">IFERROR(INDEX(All_User!H:H,MATCH(B44,All_User!D:D,0)),"list없음")</f>
        <v>5CD4305D84</v>
      </c>
      <c r="D44" s="40">
        <f t="array" ref="D44">IFERROR(INDEX(All_User!R:R,MATCH(B44,All_User!D:D,0)),"list없음")</f>
        <v>0</v>
      </c>
    </row>
    <row r="45" spans="1:4" ht="13" hidden="1">
      <c r="A45" s="56" t="s">
        <v>2492</v>
      </c>
      <c r="B45" s="56" t="s">
        <v>535</v>
      </c>
      <c r="C45" s="40" t="str">
        <f t="array" ref="C45">IFERROR(INDEX(All_User!H:H,MATCH(B45,All_User!D:D,0)),"list없음")</f>
        <v>5CD3469HD9</v>
      </c>
      <c r="D45" s="40">
        <f t="array" ref="D45">IFERROR(INDEX(All_User!R:R,MATCH(B45,All_User!D:D,0)),"list없음")</f>
        <v>0</v>
      </c>
    </row>
    <row r="46" spans="1:4" ht="13" hidden="1">
      <c r="A46" s="56" t="s">
        <v>2493</v>
      </c>
      <c r="B46" s="56" t="s">
        <v>572</v>
      </c>
      <c r="C46" s="40" t="str">
        <f t="array" ref="C46">IFERROR(INDEX(All_User!H:H,MATCH(B46,All_User!D:D,0)),"list없음")</f>
        <v>5CD5062YDX</v>
      </c>
      <c r="D46" s="40">
        <f t="array" ref="D46">IFERROR(INDEX(All_User!R:R,MATCH(B46,All_User!D:D,0)),"list없음")</f>
        <v>0</v>
      </c>
    </row>
    <row r="47" spans="1:4" ht="13" hidden="1">
      <c r="A47" s="56" t="s">
        <v>2494</v>
      </c>
      <c r="B47" s="56" t="s">
        <v>206</v>
      </c>
      <c r="C47" s="40" t="str">
        <f t="array" ref="C47">IFERROR(INDEX(All_User!H:H,MATCH(B47,All_User!D:D,0)),"list없음")</f>
        <v>5CD442C07G</v>
      </c>
      <c r="D47" s="40">
        <f t="array" ref="D47">IFERROR(INDEX(All_User!R:R,MATCH(B47,All_User!D:D,0)),"list없음")</f>
        <v>0</v>
      </c>
    </row>
    <row r="48" spans="1:4" ht="13" hidden="1">
      <c r="A48" s="56" t="s">
        <v>2495</v>
      </c>
      <c r="B48" s="56" t="s">
        <v>739</v>
      </c>
      <c r="C48" s="40" t="str">
        <f t="array" ref="C48">IFERROR(INDEX(All_User!H:H,MATCH(B48,All_User!D:D,0)),"list없음")</f>
        <v>5CD5179KH6</v>
      </c>
      <c r="D48" s="40">
        <f t="array" ref="D48">IFERROR(INDEX(All_User!R:R,MATCH(B48,All_User!D:D,0)),"list없음")</f>
        <v>0</v>
      </c>
    </row>
    <row r="49" spans="1:4" ht="13" hidden="1">
      <c r="A49" s="56" t="s">
        <v>2496</v>
      </c>
      <c r="B49" s="56" t="s">
        <v>99</v>
      </c>
      <c r="C49" s="40" t="str">
        <f t="array" ref="C49">IFERROR(INDEX(All_User!H:H,MATCH(B49,All_User!D:D,0)),"list없음")</f>
        <v>5CD442C07H</v>
      </c>
      <c r="D49" s="40">
        <f t="array" ref="D49">IFERROR(INDEX(All_User!R:R,MATCH(B49,All_User!D:D,0)),"list없음")</f>
        <v>0</v>
      </c>
    </row>
    <row r="50" spans="1:4" ht="13" hidden="1">
      <c r="A50" s="56" t="s">
        <v>2497</v>
      </c>
      <c r="B50" s="56" t="s">
        <v>351</v>
      </c>
      <c r="C50" s="40" t="str">
        <f t="array" ref="C50">IFERROR(INDEX(All_User!H:H,MATCH(B50,All_User!D:D,0)),"list없음")</f>
        <v>5CD5062YDG</v>
      </c>
      <c r="D50" s="40">
        <f t="array" ref="D50">IFERROR(INDEX(All_User!R:R,MATCH(B50,All_User!D:D,0)),"list없음")</f>
        <v>0</v>
      </c>
    </row>
    <row r="51" spans="1:4" ht="13" hidden="1">
      <c r="A51" s="56" t="s">
        <v>2498</v>
      </c>
      <c r="B51" s="56" t="s">
        <v>355</v>
      </c>
      <c r="C51" s="40" t="str">
        <f t="array" ref="C51">IFERROR(INDEX(All_User!H:H,MATCH(B51,All_User!D:D,0)),"list없음")</f>
        <v>5CD409908L</v>
      </c>
      <c r="D51" s="40">
        <f t="array" ref="D51">IFERROR(INDEX(All_User!R:R,MATCH(B51,All_User!D:D,0)),"list없음")</f>
        <v>0</v>
      </c>
    </row>
    <row r="52" spans="1:4" ht="13" hidden="1">
      <c r="A52" s="56" t="s">
        <v>2499</v>
      </c>
      <c r="B52" s="56" t="s">
        <v>69</v>
      </c>
      <c r="C52" s="40" t="str">
        <f t="array" ref="C52">IFERROR(INDEX(All_User!H:H,MATCH(B52,All_User!D:D,0)),"list없음")</f>
        <v>5CD5062YF5</v>
      </c>
      <c r="D52" s="40">
        <f t="array" ref="D52">IFERROR(INDEX(All_User!R:R,MATCH(B52,All_User!D:D,0)),"list없음")</f>
        <v>0</v>
      </c>
    </row>
    <row r="53" spans="1:4" ht="13" hidden="1">
      <c r="A53" s="56" t="s">
        <v>2500</v>
      </c>
      <c r="B53" s="56" t="s">
        <v>695</v>
      </c>
      <c r="C53" s="40" t="str">
        <f t="array" ref="C53">IFERROR(INDEX(All_User!H:H,MATCH(B53,All_User!D:D,0)),"list없음")</f>
        <v>5CD4232BFS</v>
      </c>
      <c r="D53" s="40">
        <f t="array" ref="D53">IFERROR(INDEX(All_User!R:R,MATCH(B53,All_User!D:D,0)),"list없음")</f>
        <v>0</v>
      </c>
    </row>
    <row r="54" spans="1:4" ht="13" hidden="1">
      <c r="A54" s="56" t="s">
        <v>2501</v>
      </c>
      <c r="B54" s="56" t="s">
        <v>358</v>
      </c>
      <c r="C54" s="40" t="str">
        <f t="array" ref="C54">IFERROR(INDEX(All_User!H:H,MATCH(B54,All_User!D:D,0)),"list없음")</f>
        <v>5CD4232BF7</v>
      </c>
      <c r="D54" s="40">
        <f t="array" ref="D54">IFERROR(INDEX(All_User!R:R,MATCH(B54,All_User!D:D,0)),"list없음")</f>
        <v>0</v>
      </c>
    </row>
    <row r="55" spans="1:4" ht="13" hidden="1">
      <c r="A55" s="56" t="s">
        <v>2502</v>
      </c>
      <c r="B55" s="56" t="s">
        <v>210</v>
      </c>
      <c r="C55" s="40" t="str">
        <f t="array" ref="C55">IFERROR(INDEX(All_User!H:H,MATCH(B55,All_User!D:D,0)),"list없음")</f>
        <v>5CD5179KHZ</v>
      </c>
      <c r="D55" s="40">
        <f t="array" ref="D55">IFERROR(INDEX(All_User!R:R,MATCH(B55,All_User!D:D,0)),"list없음")</f>
        <v>0</v>
      </c>
    </row>
    <row r="56" spans="1:4" ht="13" hidden="1">
      <c r="A56" s="56" t="s">
        <v>2503</v>
      </c>
      <c r="B56" s="56" t="s">
        <v>471</v>
      </c>
      <c r="C56" s="40" t="str">
        <f t="array" ref="C56">IFERROR(INDEX(All_User!H:H,MATCH(B56,All_User!D:D,0)),"list없음")</f>
        <v>5CD4232BFP</v>
      </c>
      <c r="D56" s="40">
        <f t="array" ref="D56">IFERROR(INDEX(All_User!R:R,MATCH(B56,All_User!D:D,0)),"list없음")</f>
        <v>0</v>
      </c>
    </row>
    <row r="57" spans="1:4" ht="13" hidden="1">
      <c r="A57" s="56" t="s">
        <v>2504</v>
      </c>
      <c r="B57" s="56" t="s">
        <v>576</v>
      </c>
      <c r="C57" s="40" t="str">
        <f t="array" ref="C57">IFERROR(INDEX(All_User!H:H,MATCH(B57,All_User!D:D,0)),"list없음")</f>
        <v>5CD4145N3T</v>
      </c>
      <c r="D57" s="40">
        <f t="array" ref="D57">IFERROR(INDEX(All_User!R:R,MATCH(B57,All_User!D:D,0)),"list없음")</f>
        <v>0</v>
      </c>
    </row>
    <row r="58" spans="1:4" ht="13" hidden="1">
      <c r="A58" s="56" t="s">
        <v>2505</v>
      </c>
      <c r="B58" s="56" t="s">
        <v>161</v>
      </c>
      <c r="C58" s="40" t="str">
        <f t="array" ref="C58">IFERROR(INDEX(All_User!H:H,MATCH(B58,All_User!D:D,0)),"list없음")</f>
        <v>5CD5179KHR</v>
      </c>
      <c r="D58" s="40">
        <f t="array" ref="D58">IFERROR(INDEX(All_User!R:R,MATCH(B58,All_User!D:D,0)),"list없음")</f>
        <v>0</v>
      </c>
    </row>
    <row r="59" spans="1:4" ht="13" hidden="1">
      <c r="A59" s="56" t="s">
        <v>2506</v>
      </c>
      <c r="B59" s="56" t="s">
        <v>699</v>
      </c>
      <c r="C59" s="40" t="str">
        <f t="array" ref="C59">IFERROR(INDEX(All_User!H:H,MATCH(B59,All_User!D:D,0)),"list없음")</f>
        <v>5CD5179KH3</v>
      </c>
      <c r="D59" s="40">
        <f t="array" ref="D59">IFERROR(INDEX(All_User!R:R,MATCH(B59,All_User!D:D,0)),"list없음")</f>
        <v>0</v>
      </c>
    </row>
    <row r="60" spans="1:4" ht="13" hidden="1">
      <c r="A60" s="56" t="s">
        <v>2507</v>
      </c>
      <c r="B60" s="56" t="s">
        <v>475</v>
      </c>
      <c r="C60" s="40" t="str">
        <f t="array" ref="C60">IFERROR(INDEX(All_User!H:H,MATCH(B60,All_User!D:D,0)),"list없음")</f>
        <v>5CD3469HD1</v>
      </c>
      <c r="D60" s="40">
        <f t="array" ref="D60">IFERROR(INDEX(All_User!R:R,MATCH(B60,All_User!D:D,0)),"list없음")</f>
        <v>0</v>
      </c>
    </row>
    <row r="61" spans="1:4" ht="13" hidden="1">
      <c r="A61" s="56" t="s">
        <v>2508</v>
      </c>
      <c r="B61" s="56" t="s">
        <v>582</v>
      </c>
      <c r="C61" s="40" t="str">
        <f t="array" ref="C61">IFERROR(INDEX(All_User!H:H,MATCH(B61,All_User!D:D,0)),"list없음")</f>
        <v>5CD3469HD5</v>
      </c>
      <c r="D61" s="40">
        <f t="array" ref="D61">IFERROR(INDEX(All_User!R:R,MATCH(B61,All_User!D:D,0)),"list없음")</f>
        <v>0</v>
      </c>
    </row>
    <row r="62" spans="1:4" ht="13" hidden="1">
      <c r="A62" s="56" t="s">
        <v>2509</v>
      </c>
      <c r="B62" s="56" t="s">
        <v>2510</v>
      </c>
      <c r="C62" s="40" t="str">
        <f t="array" ref="C62">IFERROR(INDEX(All_User!H:H,MATCH(B62,All_User!D:D,0)),"list없음")</f>
        <v>5CD4232BFK</v>
      </c>
      <c r="D62" s="40">
        <f t="array" ref="D62">IFERROR(INDEX(All_User!R:R,MATCH(B62,All_User!D:D,0)),"list없음")</f>
        <v>0</v>
      </c>
    </row>
    <row r="63" spans="1:4" ht="13">
      <c r="A63" s="56" t="s">
        <v>2511</v>
      </c>
      <c r="B63" s="56" t="s">
        <v>451</v>
      </c>
      <c r="C63" s="40" t="str">
        <f t="array" ref="C63">IFERROR(INDEX(All_User!H:H,MATCH(B63,All_User!D:D,0)),"list없음")</f>
        <v>없음</v>
      </c>
      <c r="D63" s="40">
        <f t="array" ref="D63">IFERROR(INDEX(All_User!R:R,MATCH(B63,All_User!D:D,0)),"list없음")</f>
        <v>0</v>
      </c>
    </row>
    <row r="64" spans="1:4" ht="13" hidden="1">
      <c r="A64" s="56" t="s">
        <v>2512</v>
      </c>
      <c r="B64" s="56" t="s">
        <v>268</v>
      </c>
      <c r="C64" s="40" t="str">
        <f t="array" ref="C64">IFERROR(INDEX(All_User!H:H,MATCH(B64,All_User!D:D,0)),"list없음")</f>
        <v>5CD3469HDR</v>
      </c>
      <c r="D64" s="40">
        <f t="array" ref="D64">IFERROR(INDEX(All_User!R:R,MATCH(B64,All_User!D:D,0)),"list없음")</f>
        <v>0</v>
      </c>
    </row>
    <row r="65" spans="1:4" ht="13" hidden="1">
      <c r="A65" s="56" t="s">
        <v>2513</v>
      </c>
      <c r="B65" s="56" t="s">
        <v>362</v>
      </c>
      <c r="C65" s="40" t="str">
        <f t="array" ref="C65">IFERROR(INDEX(All_User!H:H,MATCH(B65,All_User!D:D,0)),"list없음")</f>
        <v>5CD4305D8Q</v>
      </c>
      <c r="D65" s="40">
        <f t="array" ref="D65">IFERROR(INDEX(All_User!R:R,MATCH(B65,All_User!D:D,0)),"list없음")</f>
        <v>0</v>
      </c>
    </row>
    <row r="66" spans="1:4" ht="13" hidden="1">
      <c r="A66" s="56" t="s">
        <v>1210</v>
      </c>
      <c r="B66" s="56" t="s">
        <v>367</v>
      </c>
      <c r="C66" s="40" t="str">
        <f t="array" ref="C66">IFERROR(INDEX(All_User!H:H,MATCH(B66,All_User!D:D,0)),"list없음")</f>
        <v>5CD5179KHJ</v>
      </c>
      <c r="D66" s="40">
        <f t="array" ref="D66">IFERROR(INDEX(All_User!R:R,MATCH(B66,All_User!D:D,0)),"list없음")</f>
        <v>0</v>
      </c>
    </row>
    <row r="67" spans="1:4" ht="13" hidden="1">
      <c r="A67" s="56" t="s">
        <v>2514</v>
      </c>
      <c r="B67" s="56" t="s">
        <v>585</v>
      </c>
      <c r="C67" s="40" t="str">
        <f t="array" ref="C67">IFERROR(INDEX(All_User!H:H,MATCH(B67,All_User!D:D,0)),"list없음")</f>
        <v>5CD3469HDC</v>
      </c>
      <c r="D67" s="40">
        <f t="array" ref="D67">IFERROR(INDEX(All_User!R:R,MATCH(B67,All_User!D:D,0)),"list없음")</f>
        <v>0</v>
      </c>
    </row>
    <row r="68" spans="1:4" ht="13" hidden="1">
      <c r="A68" s="56" t="s">
        <v>2515</v>
      </c>
      <c r="B68" s="56" t="s">
        <v>255</v>
      </c>
      <c r="C68" s="40" t="str">
        <f t="array" ref="C68">IFERROR(INDEX(All_User!H:H,MATCH(B68,All_User!D:D,0)),"list없음")</f>
        <v>5CD4305D8M</v>
      </c>
      <c r="D68" s="40">
        <f t="array" ref="D68">IFERROR(INDEX(All_User!R:R,MATCH(B68,All_User!D:D,0)),"list없음")</f>
        <v>0</v>
      </c>
    </row>
    <row r="69" spans="1:4" ht="13" hidden="1">
      <c r="A69" s="56" t="s">
        <v>2516</v>
      </c>
      <c r="B69" s="56" t="s">
        <v>275</v>
      </c>
      <c r="C69" s="40" t="str">
        <f t="array" ref="C69">IFERROR(INDEX(All_User!H:H,MATCH(B69,All_User!D:D,0)),"list없음")</f>
        <v>5CD3469HDT</v>
      </c>
      <c r="D69" s="40">
        <f t="array" ref="D69">IFERROR(INDEX(All_User!R:R,MATCH(B69,All_User!D:D,0)),"list없음")</f>
        <v>0</v>
      </c>
    </row>
    <row r="70" spans="1:4" ht="13" hidden="1">
      <c r="A70" s="56" t="s">
        <v>2517</v>
      </c>
      <c r="B70" s="56" t="s">
        <v>747</v>
      </c>
      <c r="C70" s="40" t="str">
        <f t="array" ref="C70">IFERROR(INDEX(All_User!H:H,MATCH(B70,All_User!D:D,0)),"list없음")</f>
        <v>5CD4305D8F</v>
      </c>
      <c r="D70" s="40">
        <f t="array" ref="D70">IFERROR(INDEX(All_User!R:R,MATCH(B70,All_User!D:D,0)),"list없음")</f>
        <v>0</v>
      </c>
    </row>
    <row r="71" spans="1:4" ht="13">
      <c r="A71" s="56" t="s">
        <v>2518</v>
      </c>
      <c r="B71" s="56" t="s">
        <v>760</v>
      </c>
      <c r="C71" s="40" t="str">
        <f t="array" ref="C71">IFERROR(INDEX(All_User!H:H,MATCH(B71,All_User!D:D,0)),"list없음")</f>
        <v>없음</v>
      </c>
      <c r="D71" s="40">
        <f t="array" ref="D71">IFERROR(INDEX(All_User!R:R,MATCH(B71,All_User!D:D,0)),"list없음")</f>
        <v>0</v>
      </c>
    </row>
    <row r="72" spans="1:4" ht="13" hidden="1">
      <c r="A72" s="56" t="s">
        <v>2519</v>
      </c>
      <c r="B72" s="56" t="s">
        <v>371</v>
      </c>
      <c r="C72" s="40" t="str">
        <f t="array" ref="C72">IFERROR(INDEX(All_User!H:H,MATCH(B72,All_User!D:D,0)),"list없음")</f>
        <v>5CD3469HDV</v>
      </c>
      <c r="D72" s="40">
        <f t="array" ref="D72">IFERROR(INDEX(All_User!R:R,MATCH(B72,All_User!D:D,0)),"list없음")</f>
        <v>0</v>
      </c>
    </row>
    <row r="73" spans="1:4" ht="13" hidden="1">
      <c r="A73" s="56" t="s">
        <v>2520</v>
      </c>
      <c r="B73" s="56" t="s">
        <v>538</v>
      </c>
      <c r="C73" s="40" t="str">
        <f t="array" ref="C73">IFERROR(INDEX(All_User!H:H,MATCH(B73,All_User!D:D,0)),"list없음")</f>
        <v>5CD4232BFC</v>
      </c>
      <c r="D73" s="40">
        <f t="array" ref="D73">IFERROR(INDEX(All_User!R:R,MATCH(B73,All_User!D:D,0)),"list없음")</f>
        <v>0</v>
      </c>
    </row>
    <row r="74" spans="1:4" ht="13" hidden="1">
      <c r="A74" s="56" t="s">
        <v>2521</v>
      </c>
      <c r="B74" s="56" t="s">
        <v>165</v>
      </c>
      <c r="C74" s="40" t="str">
        <f t="array" ref="C74">IFERROR(INDEX(All_User!H:H,MATCH(B74,All_User!D:D,0)),"list없음")</f>
        <v>5CD4305D8Y</v>
      </c>
      <c r="D74" s="40">
        <f t="array" ref="D74">IFERROR(INDEX(All_User!R:R,MATCH(B74,All_User!D:D,0)),"list없음")</f>
        <v>0</v>
      </c>
    </row>
    <row r="75" spans="1:4" ht="13" hidden="1">
      <c r="A75" s="56" t="s">
        <v>2522</v>
      </c>
      <c r="B75" s="56" t="s">
        <v>440</v>
      </c>
      <c r="C75" s="40" t="str">
        <f t="array" ref="C75">IFERROR(INDEX(All_User!H:H,MATCH(B75,All_User!D:D,0)),"list없음")</f>
        <v>5CD4232BFT</v>
      </c>
      <c r="D75" s="40">
        <f t="array" ref="D75">IFERROR(INDEX(All_User!R:R,MATCH(B75,All_User!D:D,0)),"list없음")</f>
        <v>0</v>
      </c>
    </row>
    <row r="76" spans="1:4" ht="13" hidden="1">
      <c r="A76" s="56" t="s">
        <v>2523</v>
      </c>
      <c r="B76" s="56" t="s">
        <v>236</v>
      </c>
      <c r="C76" s="40" t="str">
        <f t="array" ref="C76">IFERROR(INDEX(All_User!H:H,MATCH(B76,All_User!D:D,0)),"list없음")</f>
        <v>5CD4305D80</v>
      </c>
      <c r="D76" s="40">
        <f t="array" ref="D76">IFERROR(INDEX(All_User!R:R,MATCH(B76,All_User!D:D,0)),"list없음")</f>
        <v>0</v>
      </c>
    </row>
    <row r="77" spans="1:4" ht="13" hidden="1">
      <c r="A77" s="56" t="s">
        <v>2524</v>
      </c>
      <c r="B77" s="56" t="s">
        <v>705</v>
      </c>
      <c r="C77" s="40" t="str">
        <f t="array" ref="C77">IFERROR(INDEX(All_User!H:H,MATCH(B77,All_User!D:D,0)),"list없음")</f>
        <v>5CD5179KHP</v>
      </c>
      <c r="D77" s="40">
        <f t="array" ref="D77">IFERROR(INDEX(All_User!R:R,MATCH(B77,All_User!D:D,0)),"list없음")</f>
        <v>0</v>
      </c>
    </row>
    <row r="78" spans="1:4" ht="13">
      <c r="A78" s="56" t="s">
        <v>2525</v>
      </c>
      <c r="B78" s="56" t="s">
        <v>117</v>
      </c>
      <c r="C78" s="40" t="str">
        <f t="array" ref="C78">IFERROR(INDEX(All_User!H:H,MATCH(B78,All_User!D:D,0)),"list없음")</f>
        <v>없음</v>
      </c>
      <c r="D78" s="40">
        <f t="array" ref="D78">IFERROR(INDEX(All_User!R:R,MATCH(B78,All_User!D:D,0)),"list없음")</f>
        <v>0</v>
      </c>
    </row>
    <row r="79" spans="1:4" ht="13" hidden="1">
      <c r="A79" s="56" t="s">
        <v>2526</v>
      </c>
      <c r="B79" s="56" t="s">
        <v>279</v>
      </c>
      <c r="C79" s="40" t="str">
        <f t="array" ref="C79">IFERROR(INDEX(All_User!H:H,MATCH(B79,All_User!D:D,0)),"list없음")</f>
        <v>5CD4305D8X</v>
      </c>
      <c r="D79" s="40">
        <f t="array" ref="D79">IFERROR(INDEX(All_User!R:R,MATCH(B79,All_User!D:D,0)),"list없음")</f>
        <v>0</v>
      </c>
    </row>
    <row r="80" spans="1:4" ht="13">
      <c r="A80" s="56" t="s">
        <v>2527</v>
      </c>
      <c r="B80" s="56" t="s">
        <v>655</v>
      </c>
      <c r="C80" s="40" t="str">
        <f t="array" ref="C80">IFERROR(INDEX(All_User!H:H,MATCH(B80,All_User!D:D,0)),"list없음")</f>
        <v>없음</v>
      </c>
      <c r="D80" s="40">
        <f t="array" ref="D80">IFERROR(INDEX(All_User!R:R,MATCH(B80,All_User!D:D,0)),"list없음")</f>
        <v>0</v>
      </c>
    </row>
    <row r="81" spans="1:4" ht="13" hidden="1">
      <c r="A81" s="56" t="s">
        <v>2528</v>
      </c>
      <c r="B81" s="56" t="s">
        <v>376</v>
      </c>
      <c r="C81" s="40" t="str">
        <f t="array" ref="C81">IFERROR(INDEX(All_User!H:H,MATCH(B81,All_User!D:D,0)),"list없음")</f>
        <v>5CD4305D8W</v>
      </c>
      <c r="D81" s="40">
        <f t="array" ref="D81">IFERROR(INDEX(All_User!R:R,MATCH(B81,All_User!D:D,0)),"list없음")</f>
        <v>0</v>
      </c>
    </row>
    <row r="82" spans="1:4" ht="13" hidden="1">
      <c r="A82" s="56" t="s">
        <v>2529</v>
      </c>
      <c r="B82" s="56" t="s">
        <v>188</v>
      </c>
      <c r="C82" s="40" t="str">
        <f t="array" ref="C82">IFERROR(INDEX(All_User!H:H,MATCH(B82,All_User!D:D,0)),"list없음")</f>
        <v>5CD4232BFV</v>
      </c>
      <c r="D82" s="40">
        <f t="array" ref="D82">IFERROR(INDEX(All_User!R:R,MATCH(B82,All_User!D:D,0)),"list없음")</f>
        <v>0</v>
      </c>
    </row>
    <row r="83" spans="1:4" ht="13" hidden="1">
      <c r="A83" s="56" t="s">
        <v>2530</v>
      </c>
      <c r="B83" s="56" t="s">
        <v>722</v>
      </c>
      <c r="C83" s="40" t="str">
        <f t="array" ref="C83">IFERROR(INDEX(All_User!H:H,MATCH(B83,All_User!D:D,0)),"list없음")</f>
        <v>5CD4305D82</v>
      </c>
      <c r="D83" s="40">
        <f t="array" ref="D83">IFERROR(INDEX(All_User!R:R,MATCH(B83,All_User!D:D,0)),"list없음")</f>
        <v>0</v>
      </c>
    </row>
    <row r="84" spans="1:4" ht="13" hidden="1">
      <c r="A84" s="56" t="s">
        <v>2531</v>
      </c>
      <c r="B84" s="56" t="s">
        <v>478</v>
      </c>
      <c r="C84" s="40" t="str">
        <f t="array" ref="C84">IFERROR(INDEX(All_User!H:H,MATCH(B84,All_User!D:D,0)),"list없음")</f>
        <v>5CD3469HDH</v>
      </c>
      <c r="D84" s="40">
        <f t="array" ref="D84">IFERROR(INDEX(All_User!R:R,MATCH(B84,All_User!D:D,0)),"list없음")</f>
        <v>0</v>
      </c>
    </row>
    <row r="85" spans="1:4" ht="13" hidden="1">
      <c r="A85" s="56" t="s">
        <v>2532</v>
      </c>
      <c r="B85" s="56" t="s">
        <v>168</v>
      </c>
      <c r="C85" s="40" t="str">
        <f t="array" ref="C85">IFERROR(INDEX(All_User!H:H,MATCH(B85,All_User!D:D,0)),"list없음")</f>
        <v>5CD3469HDB</v>
      </c>
      <c r="D85" s="40">
        <f t="array" ref="D85">IFERROR(INDEX(All_User!R:R,MATCH(B85,All_User!D:D,0)),"list없음")</f>
        <v>0</v>
      </c>
    </row>
    <row r="86" spans="1:4" ht="13" hidden="1">
      <c r="A86" s="56" t="s">
        <v>2533</v>
      </c>
      <c r="B86" s="56" t="s">
        <v>659</v>
      </c>
      <c r="C86" s="40" t="str">
        <f t="array" ref="C86">IFERROR(INDEX(All_User!H:H,MATCH(B86,All_User!D:D,0)),"list없음")</f>
        <v>5CD3469HDM</v>
      </c>
      <c r="D86" s="40">
        <f t="array" ref="D86">IFERROR(INDEX(All_User!R:R,MATCH(B86,All_User!D:D,0)),"list없음")</f>
        <v>0</v>
      </c>
    </row>
    <row r="87" spans="1:4" ht="13" hidden="1">
      <c r="A87" s="56" t="s">
        <v>2534</v>
      </c>
      <c r="B87" s="56" t="s">
        <v>301</v>
      </c>
      <c r="C87" s="40" t="str">
        <f t="array" ref="C87">IFERROR(INDEX(All_User!H:H,MATCH(B87,All_User!D:D,0)),"list없음")</f>
        <v>5CD5179KHM</v>
      </c>
      <c r="D87" s="40">
        <f t="array" ref="D87">IFERROR(INDEX(All_User!R:R,MATCH(B87,All_User!D:D,0)),"list없음")</f>
        <v>0</v>
      </c>
    </row>
    <row r="88" spans="1:4" ht="13" hidden="1">
      <c r="A88" s="56" t="s">
        <v>2535</v>
      </c>
      <c r="B88" s="56" t="s">
        <v>588</v>
      </c>
      <c r="C88" s="40" t="str">
        <f t="array" ref="C88">IFERROR(INDEX(All_User!H:H,MATCH(B88,All_User!D:D,0)),"list없음")</f>
        <v>5CD3469HD4</v>
      </c>
      <c r="D88" s="40">
        <f t="array" ref="D88">IFERROR(INDEX(All_User!R:R,MATCH(B88,All_User!D:D,0)),"list없음")</f>
        <v>0</v>
      </c>
    </row>
    <row r="89" spans="1:4" ht="13" hidden="1">
      <c r="A89" s="56" t="s">
        <v>2536</v>
      </c>
      <c r="B89" s="56" t="s">
        <v>285</v>
      </c>
      <c r="C89" s="40" t="str">
        <f t="array" ref="C89">IFERROR(INDEX(All_User!H:H,MATCH(B89,All_User!D:D,0)),"list없음")</f>
        <v>5CD4232BFG</v>
      </c>
      <c r="D89" s="40">
        <f t="array" ref="D89">IFERROR(INDEX(All_User!R:R,MATCH(B89,All_User!D:D,0)),"list없음")</f>
        <v>0</v>
      </c>
    </row>
    <row r="90" spans="1:4" ht="13" hidden="1">
      <c r="A90" s="56" t="s">
        <v>2537</v>
      </c>
      <c r="B90" s="56" t="s">
        <v>481</v>
      </c>
      <c r="C90" s="40" t="str">
        <f t="array" ref="C90">IFERROR(INDEX(All_User!H:H,MATCH(B90,All_User!D:D,0)),"list없음")</f>
        <v>5CD5062YDZ</v>
      </c>
      <c r="D90" s="40">
        <f t="array" ref="D90">IFERROR(INDEX(All_User!R:R,MATCH(B90,All_User!D:D,0)),"list없음")</f>
        <v>0</v>
      </c>
    </row>
    <row r="91" spans="1:4" ht="13" hidden="1">
      <c r="A91" s="56" t="s">
        <v>2538</v>
      </c>
      <c r="B91" s="56" t="s">
        <v>750</v>
      </c>
      <c r="C91" s="40" t="str">
        <f t="array" ref="C91">IFERROR(INDEX(All_User!H:H,MATCH(B91,All_User!D:D,0)),"list없음")</f>
        <v>5CD4305D8P</v>
      </c>
      <c r="D91" s="40">
        <f t="array" ref="D91">IFERROR(INDEX(All_User!R:R,MATCH(B91,All_User!D:D,0)),"list없음")</f>
        <v>0</v>
      </c>
    </row>
    <row r="92" spans="1:4" ht="13">
      <c r="A92" s="56" t="s">
        <v>2539</v>
      </c>
      <c r="B92" s="56" t="s">
        <v>196</v>
      </c>
      <c r="C92" s="40" t="str">
        <f t="array" ref="C92">IFERROR(INDEX(All_User!H:H,MATCH(B92,All_User!D:D,0)),"list없음")</f>
        <v>없음</v>
      </c>
      <c r="D92" s="40">
        <f t="array" ref="D92">IFERROR(INDEX(All_User!R:R,MATCH(B92,All_User!D:D,0)),"list없음")</f>
        <v>0</v>
      </c>
    </row>
    <row r="93" spans="1:4" ht="13">
      <c r="A93" s="56" t="s">
        <v>2540</v>
      </c>
      <c r="B93" s="56" t="s">
        <v>592</v>
      </c>
      <c r="C93" s="40" t="str">
        <f t="array" ref="C93">IFERROR(INDEX(All_User!H:H,MATCH(B93,All_User!D:D,0)),"list없음")</f>
        <v>없음</v>
      </c>
      <c r="D93" s="40">
        <f t="array" ref="D93">IFERROR(INDEX(All_User!R:R,MATCH(B93,All_User!D:D,0)),"list없음")</f>
        <v>0</v>
      </c>
    </row>
    <row r="94" spans="1:4" ht="13" hidden="1">
      <c r="A94" s="56" t="s">
        <v>2541</v>
      </c>
      <c r="B94" s="56" t="s">
        <v>640</v>
      </c>
      <c r="C94" s="40" t="str">
        <f t="array" ref="C94">IFERROR(INDEX(All_User!H:H,MATCH(B94,All_User!D:D,0)),"list없음")</f>
        <v>5CG53403DB</v>
      </c>
      <c r="D94" s="40">
        <f t="array" ref="D94">IFERROR(INDEX(All_User!R:R,MATCH(B94,All_User!D:D,0)),"list없음")</f>
        <v>0</v>
      </c>
    </row>
    <row r="95" spans="1:4" ht="13">
      <c r="A95" s="56" t="s">
        <v>2542</v>
      </c>
      <c r="B95" s="56" t="s">
        <v>515</v>
      </c>
      <c r="C95" s="40" t="str">
        <f t="array" ref="C95">IFERROR(INDEX(All_User!H:H,MATCH(B95,All_User!D:D,0)),"list없음")</f>
        <v>없음</v>
      </c>
      <c r="D95" s="40">
        <f t="array" ref="D95">IFERROR(INDEX(All_User!R:R,MATCH(B95,All_User!D:D,0)),"list없음")</f>
        <v>0</v>
      </c>
    </row>
    <row r="96" spans="1:4" ht="13" hidden="1">
      <c r="A96" s="56" t="s">
        <v>1148</v>
      </c>
      <c r="B96" s="56" t="s">
        <v>726</v>
      </c>
      <c r="C96" s="40" t="str">
        <f t="array" ref="C96">IFERROR(INDEX(All_User!H:H,MATCH(B96,All_User!D:D,0)),"list없음")</f>
        <v>5CD5062YDR</v>
      </c>
      <c r="D96" s="40">
        <f t="array" ref="D96">IFERROR(INDEX(All_User!R:R,MATCH(B96,All_User!D:D,0)),"list없음")</f>
        <v>0</v>
      </c>
    </row>
    <row r="97" spans="1:4" ht="13" hidden="1">
      <c r="A97" s="56" t="s">
        <v>2543</v>
      </c>
      <c r="B97" s="56" t="s">
        <v>382</v>
      </c>
      <c r="C97" s="40" t="str">
        <f t="array" ref="C97">IFERROR(INDEX(All_User!H:H,MATCH(B97,All_User!D:D,0)),"list없음")</f>
        <v>5CD442C07F</v>
      </c>
      <c r="D97" s="40">
        <f t="array" ref="D97">IFERROR(INDEX(All_User!R:R,MATCH(B97,All_User!D:D,0)),"list없음")</f>
        <v>0</v>
      </c>
    </row>
    <row r="98" spans="1:4" ht="13" hidden="1">
      <c r="A98" s="56" t="s">
        <v>2544</v>
      </c>
      <c r="B98" s="56" t="s">
        <v>596</v>
      </c>
      <c r="C98" s="40" t="str">
        <f t="array" ref="C98">IFERROR(INDEX(All_User!H:H,MATCH(B98,All_User!D:D,0)),"list없음")</f>
        <v>5CD4305D88</v>
      </c>
      <c r="D98" s="40">
        <f t="array" ref="D98">IFERROR(INDEX(All_User!R:R,MATCH(B98,All_User!D:D,0)),"list없음")</f>
        <v>0</v>
      </c>
    </row>
    <row r="99" spans="1:4" ht="13" hidden="1">
      <c r="A99" s="56" t="s">
        <v>2545</v>
      </c>
      <c r="B99" s="56" t="s">
        <v>282</v>
      </c>
      <c r="C99" s="40" t="str">
        <f t="array" ref="C99">IFERROR(INDEX(All_User!H:H,MATCH(B99,All_User!D:D,0)),"list없음")</f>
        <v>5CD4305D94</v>
      </c>
      <c r="D99" s="40">
        <f t="array" ref="D99">IFERROR(INDEX(All_User!R:R,MATCH(B99,All_User!D:D,0)),"list없음")</f>
        <v>0</v>
      </c>
    </row>
    <row r="100" spans="1:4" ht="13" hidden="1">
      <c r="A100" s="56" t="s">
        <v>2546</v>
      </c>
      <c r="B100" s="56" t="s">
        <v>83</v>
      </c>
      <c r="C100" s="40" t="str">
        <f t="array" ref="C100">IFERROR(INDEX(All_User!H:H,MATCH(B100,All_User!D:D,0)),"list없음")</f>
        <v>5CD442C074</v>
      </c>
      <c r="D100" s="40">
        <f t="array" ref="D100">IFERROR(INDEX(All_User!R:R,MATCH(B100,All_User!D:D,0)),"list없음")</f>
        <v>0</v>
      </c>
    </row>
    <row r="101" spans="1:4" ht="13">
      <c r="A101" s="56" t="s">
        <v>2547</v>
      </c>
      <c r="B101" s="56" t="s">
        <v>600</v>
      </c>
      <c r="C101" s="40" t="str">
        <f t="array" ref="C101">IFERROR(INDEX(All_User!H:H,MATCH(B101,All_User!D:D,0)),"list없음")</f>
        <v>없음</v>
      </c>
      <c r="D101" s="40">
        <f t="array" ref="D101">IFERROR(INDEX(All_User!R:R,MATCH(B101,All_User!D:D,0)),"list없음")</f>
        <v>0</v>
      </c>
    </row>
    <row r="102" spans="1:4" ht="13" hidden="1">
      <c r="A102" s="56" t="s">
        <v>2548</v>
      </c>
      <c r="B102" s="56" t="s">
        <v>173</v>
      </c>
      <c r="C102" s="40" t="str">
        <f t="array" ref="C102">IFERROR(INDEX(All_User!H:H,MATCH(B102,All_User!D:D,0)),"list없음")</f>
        <v>5CD5179KGZ</v>
      </c>
      <c r="D102" s="40">
        <f t="array" ref="D102">IFERROR(INDEX(All_User!R:R,MATCH(B102,All_User!D:D,0)),"list없음")</f>
        <v>0</v>
      </c>
    </row>
    <row r="103" spans="1:4" ht="13" hidden="1">
      <c r="A103" s="56" t="s">
        <v>2549</v>
      </c>
      <c r="B103" s="56" t="s">
        <v>392</v>
      </c>
      <c r="C103" s="40" t="str">
        <f t="array" ref="C103">IFERROR(INDEX(All_User!H:H,MATCH(B103,All_User!D:D,0)),"list없음")</f>
        <v>5CD442C07B</v>
      </c>
      <c r="D103" s="40">
        <f t="array" ref="D103">IFERROR(INDEX(All_User!R:R,MATCH(B103,All_User!D:D,0)),"list없음")</f>
        <v>0</v>
      </c>
    </row>
    <row r="104" spans="1:4" ht="13" hidden="1">
      <c r="A104" s="56" t="s">
        <v>2550</v>
      </c>
      <c r="B104" s="56" t="s">
        <v>386</v>
      </c>
      <c r="C104" s="40" t="str">
        <f t="array" ref="C104">IFERROR(INDEX(All_User!H:H,MATCH(B104,All_User!D:D,0)),"list없음")</f>
        <v>5CD5179KH1</v>
      </c>
      <c r="D104" s="40">
        <f t="array" ref="D104">IFERROR(INDEX(All_User!R:R,MATCH(B104,All_User!D:D,0)),"list없음")</f>
        <v>0</v>
      </c>
    </row>
    <row r="105" spans="1:4" ht="13" hidden="1">
      <c r="A105" s="56" t="s">
        <v>2551</v>
      </c>
      <c r="B105" s="56" t="s">
        <v>743</v>
      </c>
      <c r="C105" s="40" t="str">
        <f t="array" ref="C105">IFERROR(INDEX(All_User!H:H,MATCH(B105,All_User!D:D,0)),"list없음")</f>
        <v>5CD3469HD8</v>
      </c>
      <c r="D105" s="40">
        <f t="array" ref="D105">IFERROR(INDEX(All_User!R:R,MATCH(B105,All_User!D:D,0)),"list없음")</f>
        <v>0</v>
      </c>
    </row>
    <row r="106" spans="1:4" ht="13" hidden="1">
      <c r="A106" s="56" t="s">
        <v>2552</v>
      </c>
      <c r="B106" s="56" t="s">
        <v>49</v>
      </c>
      <c r="C106" s="40" t="str">
        <f t="array" ref="C106">IFERROR(INDEX(All_User!H:H,MATCH(B106,All_User!D:D,0)),"list없음")</f>
        <v>5CD3469HD0</v>
      </c>
      <c r="D106" s="40">
        <f t="array" ref="D106">IFERROR(INDEX(All_User!R:R,MATCH(B106,All_User!D:D,0)),"list없음")</f>
        <v>0</v>
      </c>
    </row>
    <row r="107" spans="1:4" ht="13" hidden="1">
      <c r="A107" s="56" t="s">
        <v>2553</v>
      </c>
      <c r="B107" s="56" t="s">
        <v>663</v>
      </c>
      <c r="C107" s="40" t="str">
        <f t="array" ref="C107">IFERROR(INDEX(All_User!H:H,MATCH(B107,All_User!D:D,0)),"list없음")</f>
        <v>5CD5179KHC</v>
      </c>
      <c r="D107" s="40">
        <f t="array" ref="D107">IFERROR(INDEX(All_User!R:R,MATCH(B107,All_User!D:D,0)),"list없음")</f>
        <v>0</v>
      </c>
    </row>
    <row r="108" spans="1:4" ht="13" hidden="1">
      <c r="A108" s="56" t="s">
        <v>2554</v>
      </c>
      <c r="B108" s="56" t="s">
        <v>105</v>
      </c>
      <c r="C108" s="40" t="str">
        <f t="array" ref="C108">IFERROR(INDEX(All_User!H:H,MATCH(B108,All_User!D:D,0)),"list없음")</f>
        <v>5CD5179KHG</v>
      </c>
      <c r="D108" s="40">
        <f t="array" ref="D108">IFERROR(INDEX(All_User!R:R,MATCH(B108,All_User!D:D,0)),"list없음")</f>
        <v>0</v>
      </c>
    </row>
    <row r="109" spans="1:4" ht="13" hidden="1">
      <c r="A109" s="56" t="s">
        <v>2555</v>
      </c>
      <c r="B109" s="56" t="s">
        <v>644</v>
      </c>
      <c r="C109" s="40" t="str">
        <f t="array" ref="C109">IFERROR(INDEX(All_User!H:H,MATCH(B109,All_User!D:D,0)),"list없음")</f>
        <v>5CD5179KH0</v>
      </c>
      <c r="D109" s="40">
        <f t="array" ref="D109">IFERROR(INDEX(All_User!R:R,MATCH(B109,All_User!D:D,0)),"list없음")</f>
        <v>0</v>
      </c>
    </row>
    <row r="110" spans="1:4" ht="13" hidden="1">
      <c r="A110" s="56" t="s">
        <v>2556</v>
      </c>
      <c r="B110" s="56" t="s">
        <v>753</v>
      </c>
      <c r="C110" s="40" t="str">
        <f t="array" ref="C110">IFERROR(INDEX(All_User!H:H,MATCH(B110,All_User!D:D,0)),"list없음")</f>
        <v>5CD4145N3H</v>
      </c>
      <c r="D110" s="40">
        <f t="array" ref="D110">IFERROR(INDEX(All_User!R:R,MATCH(B110,All_User!D:D,0)),"list없음")</f>
        <v>0</v>
      </c>
    </row>
    <row r="111" spans="1:4" ht="13" hidden="1">
      <c r="A111" s="56" t="s">
        <v>1078</v>
      </c>
      <c r="B111" s="56" t="s">
        <v>191</v>
      </c>
      <c r="C111" s="40" t="str">
        <f t="array" ref="C111">IFERROR(INDEX(All_User!H:H,MATCH(B111,All_User!D:D,0)),"list없음")</f>
        <v>5CD4305D8H</v>
      </c>
      <c r="D111" s="40">
        <f t="array" ref="D111">IFERROR(INDEX(All_User!R:R,MATCH(B111,All_User!D:D,0)),"list없음")</f>
        <v>0</v>
      </c>
    </row>
    <row r="112" spans="1:4" ht="13" hidden="1">
      <c r="A112" s="56" t="s">
        <v>2557</v>
      </c>
      <c r="B112" s="56" t="s">
        <v>496</v>
      </c>
      <c r="C112" s="40" t="str">
        <f t="array" ref="C112">IFERROR(INDEX(All_User!H:H,MATCH(B112,All_User!D:D,0)),"list없음")</f>
        <v>5CD4305D91</v>
      </c>
      <c r="D112" s="40">
        <f t="array" ref="D112">IFERROR(INDEX(All_User!R:R,MATCH(B112,All_User!D:D,0)),"list없음")</f>
        <v>0</v>
      </c>
    </row>
    <row r="113" spans="1:4" ht="13" hidden="1">
      <c r="A113" s="56" t="s">
        <v>2558</v>
      </c>
      <c r="B113" s="56" t="s">
        <v>413</v>
      </c>
      <c r="C113" s="40" t="str">
        <f t="array" ref="C113">IFERROR(INDEX(All_User!H:H,MATCH(B113,All_User!D:D,0)),"list없음")</f>
        <v>5CD4305D8K</v>
      </c>
      <c r="D113" s="40">
        <f t="array" ref="D113">IFERROR(INDEX(All_User!R:R,MATCH(B113,All_User!D:D,0)),"list없음")</f>
        <v>0</v>
      </c>
    </row>
    <row r="114" spans="1:4" ht="13" hidden="1">
      <c r="A114" s="56" t="s">
        <v>2559</v>
      </c>
      <c r="B114" s="56" t="s">
        <v>31</v>
      </c>
      <c r="C114" s="40" t="str">
        <f t="array" ref="C114">IFERROR(INDEX(All_User!H:H,MATCH(B114,All_User!D:D,0)),"list없음")</f>
        <v>5CD5179KJ6</v>
      </c>
      <c r="D114" s="40">
        <f t="array" ref="D114">IFERROR(INDEX(All_User!R:R,MATCH(B114,All_User!D:D,0)),"list없음")</f>
        <v>0</v>
      </c>
    </row>
    <row r="115" spans="1:4" ht="13" hidden="1">
      <c r="A115" s="56" t="s">
        <v>2560</v>
      </c>
      <c r="B115" s="56" t="s">
        <v>485</v>
      </c>
      <c r="C115" s="40" t="str">
        <f t="array" ref="C115">IFERROR(INDEX(All_User!H:H,MATCH(B115,All_User!D:D,0)),"list없음")</f>
        <v>5CD5179KH2</v>
      </c>
      <c r="D115" s="40">
        <f t="array" ref="D115">IFERROR(INDEX(All_User!R:R,MATCH(B115,All_User!D:D,0)),"list없음")</f>
        <v>0</v>
      </c>
    </row>
    <row r="116" spans="1:4" ht="13">
      <c r="A116" s="56" t="s">
        <v>2561</v>
      </c>
      <c r="B116" s="56" t="s">
        <v>605</v>
      </c>
      <c r="C116" s="40" t="str">
        <f t="array" ref="C116">IFERROR(INDEX(All_User!H:H,MATCH(B116,All_User!D:D,0)),"list없음")</f>
        <v>없음</v>
      </c>
      <c r="D116" s="40">
        <f t="array" ref="D116">IFERROR(INDEX(All_User!R:R,MATCH(B116,All_User!D:D,0)),"list없음")</f>
        <v>0</v>
      </c>
    </row>
    <row r="117" spans="1:4" ht="13" hidden="1">
      <c r="A117" s="56" t="s">
        <v>2562</v>
      </c>
      <c r="B117" s="56" t="s">
        <v>524</v>
      </c>
      <c r="C117" s="40" t="str">
        <f t="array" ref="C117">IFERROR(INDEX(All_User!H:H,MATCH(B117,All_User!D:D,0)),"list없음")</f>
        <v>5CD4305D8R</v>
      </c>
      <c r="D117" s="40">
        <f t="array" ref="D117">IFERROR(INDEX(All_User!R:R,MATCH(B117,All_User!D:D,0)),"list없음")</f>
        <v>0</v>
      </c>
    </row>
    <row r="118" spans="1:4" ht="13" hidden="1">
      <c r="A118" s="56" t="s">
        <v>2563</v>
      </c>
      <c r="B118" s="56" t="s">
        <v>156</v>
      </c>
      <c r="C118" s="40" t="str">
        <f t="array" ref="C118">IFERROR(INDEX(All_User!H:H,MATCH(B118,All_User!D:D,0)),"list없음")</f>
        <v>5CD442C076</v>
      </c>
      <c r="D118" s="40">
        <f t="array" ref="D118">IFERROR(INDEX(All_User!R:R,MATCH(B118,All_User!D:D,0)),"list없음")</f>
        <v>0</v>
      </c>
    </row>
    <row r="119" spans="1:4" ht="13">
      <c r="A119" s="56" t="s">
        <v>2564</v>
      </c>
      <c r="B119" s="56" t="s">
        <v>402</v>
      </c>
      <c r="C119" s="40" t="str">
        <f t="array" ref="C119">IFERROR(INDEX(All_User!H:H,MATCH(B119,All_User!D:D,0)),"list없음")</f>
        <v>없음</v>
      </c>
      <c r="D119" s="40">
        <f t="array" ref="D119">IFERROR(INDEX(All_User!R:R,MATCH(B119,All_User!D:D,0)),"list없음")</f>
        <v>0</v>
      </c>
    </row>
    <row r="120" spans="1:4" ht="13" hidden="1">
      <c r="A120" s="56" t="s">
        <v>2565</v>
      </c>
      <c r="B120" s="56" t="s">
        <v>240</v>
      </c>
      <c r="C120" s="40" t="str">
        <f t="array" ref="C120">IFERROR(INDEX(All_User!H:H,MATCH(B120,All_User!D:D,0)),"list없음")</f>
        <v>5CD4305D8Z</v>
      </c>
      <c r="D120" s="40">
        <f t="array" ref="D120">IFERROR(INDEX(All_User!R:R,MATCH(B120,All_User!D:D,0)),"list없음")</f>
        <v>0</v>
      </c>
    </row>
    <row r="121" spans="1:4" ht="13">
      <c r="A121" s="56" t="s">
        <v>2566</v>
      </c>
      <c r="B121" s="56" t="s">
        <v>406</v>
      </c>
      <c r="C121" s="40" t="str">
        <f t="array" ref="C121">IFERROR(INDEX(All_User!H:H,MATCH(B121,All_User!D:D,0)),"list없음")</f>
        <v>없음</v>
      </c>
      <c r="D121" s="40">
        <f t="array" ref="D121">IFERROR(INDEX(All_User!R:R,MATCH(B121,All_User!D:D,0)),"list없음")</f>
        <v>0</v>
      </c>
    </row>
    <row r="122" spans="1:4" ht="13" hidden="1">
      <c r="A122" s="56" t="s">
        <v>2567</v>
      </c>
      <c r="B122" s="56" t="s">
        <v>38</v>
      </c>
      <c r="C122" s="40" t="str">
        <f t="array" ref="C122">IFERROR(INDEX(All_User!H:H,MATCH(B122,All_User!D:D,0)),"list없음")</f>
        <v>5CD442C071</v>
      </c>
      <c r="D122" s="40">
        <f t="array" ref="D122">IFERROR(INDEX(All_User!R:R,MATCH(B122,All_User!D:D,0)),"list없음")</f>
        <v>0</v>
      </c>
    </row>
    <row r="123" spans="1:4" ht="13" hidden="1">
      <c r="A123" s="56" t="s">
        <v>2568</v>
      </c>
      <c r="B123" s="56" t="s">
        <v>731</v>
      </c>
      <c r="C123" s="40" t="str">
        <f t="array" ref="C123">IFERROR(INDEX(All_User!H:H,MATCH(B123,All_User!D:D,0)),"list없음")</f>
        <v>5CD4305D8N</v>
      </c>
      <c r="D123" s="40">
        <f t="array" ref="D123">IFERROR(INDEX(All_User!R:R,MATCH(B123,All_User!D:D,0)),"list없음")</f>
        <v>0</v>
      </c>
    </row>
    <row r="124" spans="1:4" ht="13" hidden="1">
      <c r="A124" s="56" t="s">
        <v>2569</v>
      </c>
      <c r="B124" s="56" t="s">
        <v>410</v>
      </c>
      <c r="C124" s="40" t="str">
        <f t="array" ref="C124">IFERROR(INDEX(All_User!H:H,MATCH(B124,All_User!D:D,0)),"list없음")</f>
        <v>5CD442C075</v>
      </c>
      <c r="D124" s="40">
        <f t="array" ref="D124">IFERROR(INDEX(All_User!R:R,MATCH(B124,All_User!D:D,0)),"list없음")</f>
        <v>0</v>
      </c>
    </row>
    <row r="125" spans="1:4" ht="13">
      <c r="A125" s="56" t="s">
        <v>2570</v>
      </c>
      <c r="B125" s="56" t="s">
        <v>610</v>
      </c>
      <c r="C125" s="40" t="str">
        <f t="array" ref="C125">IFERROR(INDEX(All_User!H:H,MATCH(B125,All_User!D:D,0)),"list없음")</f>
        <v>없음</v>
      </c>
      <c r="D125" s="40">
        <f t="array" ref="D125">IFERROR(INDEX(All_User!R:R,MATCH(B125,All_User!D:D,0)),"list없음")</f>
        <v>0</v>
      </c>
    </row>
    <row r="126" spans="1:4" ht="13" hidden="1">
      <c r="A126" s="56" t="s">
        <v>2571</v>
      </c>
      <c r="B126" s="56" t="s">
        <v>677</v>
      </c>
      <c r="C126" s="40" t="str">
        <f t="array" ref="C126">IFERROR(INDEX(All_User!H:H,MATCH(B126,All_User!D:D,0)),"list없음")</f>
        <v>5CD4305D8L</v>
      </c>
      <c r="D126" s="40">
        <f t="array" ref="D126">IFERROR(INDEX(All_User!R:R,MATCH(B126,All_User!D:D,0)),"list없음")</f>
        <v>0</v>
      </c>
    </row>
    <row r="127" spans="1:4" ht="13" hidden="1">
      <c r="A127" s="56" t="s">
        <v>2572</v>
      </c>
      <c r="B127" s="56" t="s">
        <v>544</v>
      </c>
      <c r="C127" s="40" t="str">
        <f t="array" ref="C127">IFERROR(INDEX(All_User!H:H,MATCH(B127,All_User!D:D,0)),"list없음")</f>
        <v>5CD4232BFQ</v>
      </c>
      <c r="D127" s="40">
        <f t="array" ref="D127">IFERROR(INDEX(All_User!R:R,MATCH(B127,All_User!D:D,0)),"list없음")</f>
        <v>0</v>
      </c>
    </row>
    <row r="128" spans="1:4" ht="13">
      <c r="A128" s="56" t="s">
        <v>2573</v>
      </c>
      <c r="B128" s="56" t="s">
        <v>149</v>
      </c>
      <c r="C128" s="40" t="str">
        <f t="array" ref="C128">IFERROR(INDEX(All_User!H:H,MATCH(B128,All_User!D:D,0)),"list없음")</f>
        <v>없음</v>
      </c>
      <c r="D128" s="40">
        <f t="array" ref="D128">IFERROR(INDEX(All_User!R:R,MATCH(B128,All_User!D:D,0)),"list없음")</f>
        <v>0</v>
      </c>
    </row>
    <row r="129" spans="1:4" ht="13" hidden="1">
      <c r="A129" s="56" t="s">
        <v>2574</v>
      </c>
      <c r="B129" s="56" t="s">
        <v>121</v>
      </c>
      <c r="C129" s="40" t="str">
        <f t="array" ref="C129">IFERROR(INDEX(All_User!H:H,MATCH(B129,All_User!D:D,0)),"list없음")</f>
        <v>5CD4145N3V</v>
      </c>
      <c r="D129" s="40">
        <f t="array" ref="D129">IFERROR(INDEX(All_User!R:R,MATCH(B129,All_User!D:D,0)),"list없음")</f>
        <v>0</v>
      </c>
    </row>
    <row r="130" spans="1:4" ht="13" hidden="1">
      <c r="A130" s="56" t="s">
        <v>2575</v>
      </c>
      <c r="B130" s="56" t="s">
        <v>2576</v>
      </c>
      <c r="C130" s="40" t="str">
        <f t="array" ref="C130">IFERROR(INDEX(All_User!H:H,MATCH(B130,All_User!D:D,0)),"list없음")</f>
        <v>5CD4232BFJ</v>
      </c>
      <c r="D130" s="40">
        <f t="array" ref="D130">IFERROR(INDEX(All_User!R:R,MATCH(B130,All_User!D:D,0)),"list없음")</f>
        <v>0</v>
      </c>
    </row>
    <row r="131" spans="1:4" ht="13">
      <c r="A131" s="56" t="s">
        <v>2577</v>
      </c>
      <c r="B131" s="56" t="s">
        <v>488</v>
      </c>
      <c r="C131" s="40" t="str">
        <f t="array" ref="C131">IFERROR(INDEX(All_User!H:H,MATCH(B131,All_User!D:D,0)),"list없음")</f>
        <v>없음</v>
      </c>
      <c r="D131" s="40">
        <f t="array" ref="D131">IFERROR(INDEX(All_User!R:R,MATCH(B131,All_User!D:D,0)),"list없음")</f>
        <v>0</v>
      </c>
    </row>
    <row r="132" spans="1:4" ht="13">
      <c r="A132" s="56" t="s">
        <v>2578</v>
      </c>
      <c r="B132" s="56" t="s">
        <v>549</v>
      </c>
      <c r="C132" s="40" t="str">
        <f t="array" ref="C132">IFERROR(INDEX(All_User!H:H,MATCH(B132,All_User!D:D,0)),"list없음")</f>
        <v>없음</v>
      </c>
      <c r="D132" s="40">
        <f t="array" ref="D132">IFERROR(INDEX(All_User!R:R,MATCH(B132,All_User!D:D,0)),"list없음")</f>
        <v>0</v>
      </c>
    </row>
    <row r="133" spans="1:4" ht="13" hidden="1">
      <c r="A133" s="56" t="s">
        <v>2579</v>
      </c>
      <c r="B133" s="56" t="s">
        <v>289</v>
      </c>
      <c r="C133" s="40" t="str">
        <f t="array" ref="C133">IFERROR(INDEX(All_User!H:H,MATCH(B133,All_User!D:D,0)),"list없음")</f>
        <v>5CD5062YF8</v>
      </c>
      <c r="D133" s="40">
        <f t="array" ref="D133">IFERROR(INDEX(All_User!R:R,MATCH(B133,All_User!D:D,0)),"list없음")</f>
        <v>0</v>
      </c>
    </row>
    <row r="134" spans="1:4" ht="13" hidden="1">
      <c r="A134" s="56" t="s">
        <v>2580</v>
      </c>
      <c r="B134" s="56" t="s">
        <v>615</v>
      </c>
      <c r="C134" s="40" t="str">
        <f t="array" ref="C134">IFERROR(INDEX(All_User!H:H,MATCH(B134,All_User!D:D,0)),"list없음")</f>
        <v>5CD442C073</v>
      </c>
      <c r="D134" s="40">
        <f t="array" ref="D134">IFERROR(INDEX(All_User!R:R,MATCH(B134,All_User!D:D,0)),"list없음")</f>
        <v>0</v>
      </c>
    </row>
    <row r="135" spans="1:4" ht="13">
      <c r="A135" s="56" t="s">
        <v>2581</v>
      </c>
      <c r="B135" s="56" t="s">
        <v>184</v>
      </c>
      <c r="C135" s="40" t="str">
        <f t="array" ref="C135">IFERROR(INDEX(All_User!H:H,MATCH(B135,All_User!D:D,0)),"list없음")</f>
        <v>없음</v>
      </c>
      <c r="D135" s="40">
        <f t="array" ref="D135">IFERROR(INDEX(All_User!R:R,MATCH(B135,All_User!D:D,0)),"list없음")</f>
        <v>0</v>
      </c>
    </row>
    <row r="136" spans="1:4" ht="13" hidden="1">
      <c r="A136" s="56" t="s">
        <v>2582</v>
      </c>
      <c r="B136" s="56" t="s">
        <v>419</v>
      </c>
      <c r="C136" s="40" t="str">
        <f t="array" ref="C136">IFERROR(INDEX(All_User!H:H,MATCH(B136,All_User!D:D,0)),"list없음")</f>
        <v>5CD5179KHQ</v>
      </c>
      <c r="D136" s="40">
        <f t="array" ref="D136">IFERROR(INDEX(All_User!R:R,MATCH(B136,All_User!D:D,0)),"list없음")</f>
        <v>0</v>
      </c>
    </row>
    <row r="137" spans="1:4" ht="13">
      <c r="A137" s="56" t="s">
        <v>2583</v>
      </c>
      <c r="B137" s="56" t="s">
        <v>492</v>
      </c>
      <c r="C137" s="40" t="str">
        <f t="array" ref="C137">IFERROR(INDEX(All_User!H:H,MATCH(B137,All_User!D:D,0)),"list없음")</f>
        <v>없음</v>
      </c>
      <c r="D137" s="40">
        <f t="array" ref="D137">IFERROR(INDEX(All_User!R:R,MATCH(B137,All_User!D:D,0)),"list없음")</f>
        <v>0</v>
      </c>
    </row>
    <row r="138" spans="1:4" ht="13" hidden="1">
      <c r="A138" s="56" t="s">
        <v>2584</v>
      </c>
      <c r="B138" s="56" t="s">
        <v>625</v>
      </c>
      <c r="C138" s="40" t="str">
        <f t="array" ref="C138">IFERROR(INDEX(All_User!H:H,MATCH(B138,All_User!D:D,0)),"list없음")</f>
        <v>5CD5179KJ0</v>
      </c>
      <c r="D138" s="40">
        <f t="array" ref="D138">IFERROR(INDEX(All_User!R:R,MATCH(B138,All_User!D:D,0)),"list없음")</f>
        <v>0</v>
      </c>
    </row>
    <row r="139" spans="1:4" ht="13">
      <c r="A139" s="56" t="s">
        <v>2585</v>
      </c>
      <c r="B139" s="56" t="s">
        <v>416</v>
      </c>
      <c r="C139" s="40" t="str">
        <f t="array" ref="C139">IFERROR(INDEX(All_User!H:H,MATCH(B139,All_User!D:D,0)),"list없음")</f>
        <v>없음</v>
      </c>
      <c r="D139" s="40">
        <f t="array" ref="D139">IFERROR(INDEX(All_User!R:R,MATCH(B139,All_User!D:D,0)),"list없음")</f>
        <v>0</v>
      </c>
    </row>
    <row r="140" spans="1:4" ht="13" hidden="1">
      <c r="A140" s="56" t="s">
        <v>1247</v>
      </c>
      <c r="B140" s="56" t="s">
        <v>125</v>
      </c>
      <c r="C140" s="40" t="str">
        <f t="array" ref="C140">IFERROR(INDEX(All_User!H:H,MATCH(B140,All_User!D:D,0)),"list없음")</f>
        <v>5CD5179KHS</v>
      </c>
      <c r="D140" s="40">
        <f t="array" ref="D140">IFERROR(INDEX(All_User!R:R,MATCH(B140,All_User!D:D,0)),"list없음")</f>
        <v>0</v>
      </c>
    </row>
    <row r="141" spans="1:4" ht="13">
      <c r="A141" s="56" t="s">
        <v>2586</v>
      </c>
      <c r="B141" s="56" t="s">
        <v>230</v>
      </c>
      <c r="C141" s="40" t="str">
        <f t="array" ref="C141">IFERROR(INDEX(All_User!H:H,MATCH(B141,All_User!D:D,0)),"list없음")</f>
        <v>없음</v>
      </c>
      <c r="D141" s="40">
        <f t="array" ref="D141">IFERROR(INDEX(All_User!R:R,MATCH(B141,All_User!D:D,0)),"list없음")</f>
        <v>0</v>
      </c>
    </row>
    <row r="142" spans="1:4" ht="13" hidden="1">
      <c r="A142" s="56" t="s">
        <v>2587</v>
      </c>
      <c r="B142" s="56" t="s">
        <v>215</v>
      </c>
      <c r="C142" s="40" t="str">
        <f t="array" ref="C142">IFERROR(INDEX(All_User!H:H,MATCH(B142,All_User!D:D,0)),"list없음")</f>
        <v>5CD3469HCX</v>
      </c>
      <c r="D142" s="40">
        <f t="array" ref="D142">IFERROR(INDEX(All_User!R:R,MATCH(B142,All_User!D:D,0)),"list없음")</f>
        <v>0</v>
      </c>
    </row>
    <row r="143" spans="1:4" ht="13">
      <c r="A143" s="56" t="s">
        <v>2588</v>
      </c>
      <c r="B143" s="56" t="s">
        <v>153</v>
      </c>
      <c r="C143" s="40" t="str">
        <f t="array" ref="C143">IFERROR(INDEX(All_User!H:H,MATCH(B143,All_User!D:D,0)),"list없음")</f>
        <v>없음</v>
      </c>
      <c r="D143" s="40">
        <f t="array" ref="D143">IFERROR(INDEX(All_User!R:R,MATCH(B143,All_User!D:D,0)),"list없음")</f>
        <v>0</v>
      </c>
    </row>
    <row r="144" spans="1:4" ht="13">
      <c r="A144" s="56" t="s">
        <v>2589</v>
      </c>
      <c r="B144" s="56" t="s">
        <v>90</v>
      </c>
      <c r="C144" s="40" t="str">
        <f t="array" ref="C144">IFERROR(INDEX(All_User!H:H,MATCH(B144,All_User!D:D,0)),"list없음")</f>
        <v>없음</v>
      </c>
      <c r="D144" s="40">
        <f t="array" ref="D144">IFERROR(INDEX(All_User!R:R,MATCH(B144,All_User!D:D,0)),"list없음")</f>
        <v>0</v>
      </c>
    </row>
    <row r="145" spans="1:4" ht="13">
      <c r="A145" s="56" t="s">
        <v>2590</v>
      </c>
      <c r="B145" s="56" t="s">
        <v>520</v>
      </c>
      <c r="C145" s="40" t="str">
        <f t="array" ref="C145">IFERROR(INDEX(All_User!H:H,MATCH(B145,All_User!D:D,0)),"list없음")</f>
        <v>없음</v>
      </c>
      <c r="D145" s="40">
        <f t="array" ref="D145">IFERROR(INDEX(All_User!R:R,MATCH(B145,All_User!D:D,0)),"list없음")</f>
        <v>0</v>
      </c>
    </row>
    <row r="146" spans="1:4" ht="13">
      <c r="A146" s="56" t="s">
        <v>2591</v>
      </c>
      <c r="B146" s="56" t="s">
        <v>233</v>
      </c>
      <c r="C146" s="40" t="str">
        <f t="array" ref="C146">IFERROR(INDEX(All_User!H:H,MATCH(B146,All_User!D:D,0)),"list없음")</f>
        <v>없음</v>
      </c>
      <c r="D146" s="40">
        <f t="array" ref="D146">IFERROR(INDEX(All_User!R:R,MATCH(B146,All_User!D:D,0)),"list없음")</f>
        <v>0</v>
      </c>
    </row>
    <row r="147" spans="1:4" ht="13" hidden="1">
      <c r="A147" s="56" t="s">
        <v>2592</v>
      </c>
      <c r="B147" s="56" t="s">
        <v>528</v>
      </c>
      <c r="C147" s="40" t="str">
        <f t="array" ref="C147">IFERROR(INDEX(All_User!H:H,MATCH(B147,All_User!D:D,0)),"list없음")</f>
        <v>5CD4145N3S</v>
      </c>
      <c r="D147" s="40">
        <f t="array" ref="D147">IFERROR(INDEX(All_User!R:R,MATCH(B147,All_User!D:D,0)),"list없음")</f>
        <v>0</v>
      </c>
    </row>
    <row r="148" spans="1:4" ht="13" hidden="1">
      <c r="A148" s="56" t="s">
        <v>2593</v>
      </c>
      <c r="B148" s="56" t="s">
        <v>426</v>
      </c>
      <c r="C148" s="40" t="str">
        <f t="array" ref="C148">IFERROR(INDEX(All_User!H:H,MATCH(B148,All_User!D:D,0)),"list없음")</f>
        <v>5CD4145N3P</v>
      </c>
      <c r="D148" s="40">
        <f t="array" ref="D148">IFERROR(INDEX(All_User!R:R,MATCH(B148,All_User!D:D,0)),"list없음")</f>
        <v>0</v>
      </c>
    </row>
    <row r="149" spans="1:4" ht="13" hidden="1">
      <c r="A149" s="56" t="s">
        <v>2594</v>
      </c>
      <c r="B149" s="56" t="s">
        <v>250</v>
      </c>
      <c r="C149" s="40" t="str">
        <f t="array" ref="C149">IFERROR(INDEX(All_User!H:H,MATCH(B149,All_User!D:D,0)),"list없음")</f>
        <v>5CD3469HD3</v>
      </c>
      <c r="D149" s="40">
        <f t="array" ref="D149">IFERROR(INDEX(All_User!R:R,MATCH(B149,All_User!D:D,0)),"list없음")</f>
        <v>0</v>
      </c>
    </row>
    <row r="150" spans="1:4" ht="13" hidden="1">
      <c r="A150" s="56" t="s">
        <v>2595</v>
      </c>
      <c r="B150" s="56" t="s">
        <v>501</v>
      </c>
      <c r="C150" s="40" t="str">
        <f t="array" ref="C150">IFERROR(INDEX(All_User!H:H,MATCH(B150,All_User!D:D,0)),"list없음")</f>
        <v>5CD3469HDF</v>
      </c>
      <c r="D150" s="40">
        <f t="array" ref="D150">IFERROR(INDEX(All_User!R:R,MATCH(B150,All_User!D:D,0)),"list없음")</f>
        <v>0</v>
      </c>
    </row>
    <row r="151" spans="1:4" ht="13" hidden="1">
      <c r="A151" s="56" t="s">
        <v>2596</v>
      </c>
      <c r="B151" s="56" t="s">
        <v>398</v>
      </c>
      <c r="C151" s="40" t="str">
        <f t="array" ref="C151">IFERROR(INDEX(All_User!H:H,MATCH(B151,All_User!D:D,0)),"list없음")</f>
        <v>5CD4145N3K</v>
      </c>
      <c r="D151" s="40">
        <f t="array" ref="D151">IFERROR(INDEX(All_User!R:R,MATCH(B151,All_User!D:D,0)),"list없음")</f>
        <v>0</v>
      </c>
    </row>
    <row r="152" spans="1:4" ht="13" hidden="1">
      <c r="A152" s="56" t="s">
        <v>2597</v>
      </c>
      <c r="B152" s="56" t="s">
        <v>44</v>
      </c>
      <c r="C152" s="40" t="str">
        <f t="array" ref="C152">IFERROR(INDEX(All_User!H:H,MATCH(B152,All_User!D:D,0)),"list없음")</f>
        <v>5CD4145N3N</v>
      </c>
      <c r="D152" s="40">
        <f t="array" ref="D152">IFERROR(INDEX(All_User!R:R,MATCH(B152,All_User!D:D,0)),"list없음")</f>
        <v>0</v>
      </c>
    </row>
    <row r="153" spans="1:4" ht="13" hidden="1">
      <c r="A153" s="56" t="s">
        <v>2598</v>
      </c>
      <c r="B153" s="56" t="s">
        <v>201</v>
      </c>
      <c r="C153" s="40" t="str">
        <f t="array" ref="C153">IFERROR(INDEX(All_User!H:H,MATCH(B153,All_User!D:D,0)),"list없음")</f>
        <v>5CD442C078</v>
      </c>
      <c r="D153" s="40">
        <f t="array" ref="D153">IFERROR(INDEX(All_User!R:R,MATCH(B153,All_User!D:D,0)),"list없음")</f>
        <v>0</v>
      </c>
    </row>
    <row r="154" spans="1:4" ht="13" hidden="1">
      <c r="A154" s="56" t="s">
        <v>2599</v>
      </c>
      <c r="B154" s="56" t="s">
        <v>243</v>
      </c>
      <c r="C154" s="40" t="str">
        <f t="array" ref="C154">IFERROR(INDEX(All_User!H:H,MATCH(B154,All_User!D:D,0)),"list없음")</f>
        <v>5CD5179KHD</v>
      </c>
      <c r="D154" s="40">
        <f t="array" ref="D154">IFERROR(INDEX(All_User!R:R,MATCH(B154,All_User!D:D,0)),"list없음")</f>
        <v>0</v>
      </c>
    </row>
    <row r="155" spans="1:4" ht="13" hidden="1">
      <c r="A155" s="56" t="s">
        <v>2600</v>
      </c>
      <c r="B155" s="56" t="s">
        <v>78</v>
      </c>
      <c r="C155" s="40" t="str">
        <f t="array" ref="C155">IFERROR(INDEX(All_User!H:H,MATCH(B155,All_User!D:D,0)),"list없음")</f>
        <v>5CD4232BFF</v>
      </c>
      <c r="D155" s="40">
        <f t="array" ref="D155">IFERROR(INDEX(All_User!R:R,MATCH(B155,All_User!D:D,0)),"list없음")</f>
        <v>0</v>
      </c>
    </row>
    <row r="156" spans="1:4" ht="13" hidden="1">
      <c r="A156" s="56" t="s">
        <v>2601</v>
      </c>
      <c r="B156" s="56" t="s">
        <v>512</v>
      </c>
      <c r="C156" s="40" t="str">
        <f t="array" ref="C156">IFERROR(INDEX(All_User!H:H,MATCH(B156,All_User!D:D,0)),"list없음")</f>
        <v>5CD4232BFR</v>
      </c>
      <c r="D156" s="40">
        <f t="array" ref="D156">IFERROR(INDEX(All_User!R:R,MATCH(B156,All_User!D:D,0)),"list없음")</f>
        <v>0</v>
      </c>
    </row>
    <row r="157" spans="1:4" ht="13" hidden="1">
      <c r="A157" s="56" t="s">
        <v>2602</v>
      </c>
      <c r="B157" s="56" t="s">
        <v>554</v>
      </c>
      <c r="C157" s="40" t="str">
        <f t="array" ref="C157">IFERROR(INDEX(All_User!H:H,MATCH(B157,All_User!D:D,0)),"list없음")</f>
        <v>5CD4232BFB</v>
      </c>
      <c r="D157" s="40">
        <f t="array" ref="D157">IFERROR(INDEX(All_User!R:R,MATCH(B157,All_User!D:D,0)),"list없음")</f>
        <v>0</v>
      </c>
    </row>
    <row r="158" spans="1:4" ht="13" hidden="1">
      <c r="A158" s="56" t="s">
        <v>2603</v>
      </c>
      <c r="B158" s="56" t="s">
        <v>137</v>
      </c>
      <c r="C158" s="40" t="str">
        <f t="array" ref="C158">IFERROR(INDEX(All_User!H:H,MATCH(B158,All_User!D:D,0)),"list없음")</f>
        <v>5CD4232BF1</v>
      </c>
      <c r="D158" s="40">
        <f t="array" ref="D158">IFERROR(INDEX(All_User!R:R,MATCH(B158,All_User!D:D,0)),"list없음")</f>
        <v>0</v>
      </c>
    </row>
    <row r="159" spans="1:4" ht="13" hidden="1">
      <c r="A159" s="56" t="s">
        <v>2604</v>
      </c>
      <c r="B159" s="56" t="s">
        <v>246</v>
      </c>
      <c r="C159" s="40" t="str">
        <f t="array" ref="C159">IFERROR(INDEX(All_User!H:H,MATCH(B159,All_User!D:D,0)),"list없음")</f>
        <v>5CD4145N3R</v>
      </c>
      <c r="D159" s="40">
        <f t="array" ref="D159">IFERROR(INDEX(All_User!R:R,MATCH(B159,All_User!D:D,0)),"list없음")</f>
        <v>0</v>
      </c>
    </row>
    <row r="160" spans="1:4" ht="13" hidden="1">
      <c r="A160" s="56" t="s">
        <v>2605</v>
      </c>
      <c r="B160" s="56" t="s">
        <v>73</v>
      </c>
      <c r="C160" s="40" t="str">
        <f t="array" ref="C160">IFERROR(INDEX(All_User!H:H,MATCH(B160,All_User!D:D,0)),"list없음")</f>
        <v>5CD4305D85</v>
      </c>
      <c r="D160" s="40">
        <f t="array" ref="D160">IFERROR(INDEX(All_User!R:R,MATCH(B160,All_User!D:D,0)),"list없음")</f>
        <v>0</v>
      </c>
    </row>
    <row r="161" spans="1:4" ht="13" hidden="1">
      <c r="A161" s="56" t="s">
        <v>2606</v>
      </c>
      <c r="B161" s="56" t="s">
        <v>443</v>
      </c>
      <c r="C161" s="40" t="str">
        <f t="array" ref="C161">IFERROR(INDEX(All_User!H:H,MATCH(B161,All_User!D:D,0)),"list없음")</f>
        <v>5CD3469HDS</v>
      </c>
      <c r="D161" s="40">
        <f t="array" ref="D161">IFERROR(INDEX(All_User!R:R,MATCH(B161,All_User!D:D,0)),"list없음")</f>
        <v>0</v>
      </c>
    </row>
    <row r="162" spans="1:4" ht="13" hidden="1">
      <c r="A162" s="56" t="s">
        <v>1100</v>
      </c>
      <c r="B162" s="56" t="s">
        <v>110</v>
      </c>
      <c r="C162" s="40" t="str">
        <f t="array" ref="C162">IFERROR(INDEX(All_User!H:H,MATCH(B162,All_User!D:D,0)),"list없음")</f>
        <v>5CD442C07C</v>
      </c>
      <c r="D162" s="40">
        <f t="array" ref="D162">IFERROR(INDEX(All_User!R:R,MATCH(B162,All_User!D:D,0)),"list없음")</f>
        <v>0</v>
      </c>
    </row>
    <row r="163" spans="1:4" ht="13" hidden="1">
      <c r="A163" s="56" t="s">
        <v>2607</v>
      </c>
      <c r="B163" s="56" t="s">
        <v>219</v>
      </c>
      <c r="C163" s="40" t="str">
        <f t="array" ref="C163">IFERROR(INDEX(All_User!H:H,MATCH(B163,All_User!D:D,0)),"list없음")</f>
        <v>5CD442C07D</v>
      </c>
      <c r="D163" s="40">
        <f t="array" ref="D163">IFERROR(INDEX(All_User!R:R,MATCH(B163,All_User!D:D,0)),"list없음")</f>
        <v>0</v>
      </c>
    </row>
    <row r="164" spans="1:4" ht="13" hidden="1">
      <c r="A164" s="56" t="s">
        <v>2608</v>
      </c>
      <c r="B164" s="56" t="s">
        <v>783</v>
      </c>
      <c r="C164" s="40" t="str">
        <f t="array" ref="C164">IFERROR(INDEX(All_User!H:H,MATCH(B164,All_User!D:D,0)),"list없음")</f>
        <v>5CD4305D8S</v>
      </c>
      <c r="D164" s="40">
        <f t="array" ref="D164">IFERROR(INDEX(All_User!R:R,MATCH(B164,All_User!D:D,0)),"list없음")</f>
        <v>0</v>
      </c>
    </row>
    <row r="165" spans="1:4" ht="13" hidden="1">
      <c r="A165" s="56" t="s">
        <v>2609</v>
      </c>
      <c r="B165" s="56" t="s">
        <v>179</v>
      </c>
      <c r="C165" s="40" t="str">
        <f t="array" ref="C165">IFERROR(INDEX(All_User!H:H,MATCH(B165,All_User!D:D,0)),"list없음")</f>
        <v>5CD4305D95</v>
      </c>
      <c r="D165" s="40">
        <f t="array" ref="D165">IFERROR(INDEX(All_User!R:R,MATCH(B165,All_User!D:D,0)),"list없음")</f>
        <v>0</v>
      </c>
    </row>
    <row r="166" spans="1:4" ht="13" hidden="1">
      <c r="A166" s="56" t="s">
        <v>2610</v>
      </c>
      <c r="B166" s="56" t="s">
        <v>504</v>
      </c>
      <c r="C166" s="40" t="str">
        <f t="array" ref="C166">IFERROR(INDEX(All_User!H:H,MATCH(B166,All_User!D:D,0)),"list없음")</f>
        <v>5CD4305D8T</v>
      </c>
      <c r="D166" s="40">
        <f t="array" ref="D166">IFERROR(INDEX(All_User!R:R,MATCH(B166,All_User!D:D,0)),"list없음")</f>
        <v>0</v>
      </c>
    </row>
    <row r="167" spans="1:4" ht="13" hidden="1">
      <c r="A167" s="56" t="s">
        <v>2611</v>
      </c>
      <c r="B167" s="56" t="s">
        <v>708</v>
      </c>
      <c r="C167" s="40" t="str">
        <f t="array" ref="C167">IFERROR(INDEX(All_User!H:H,MATCH(B167,All_User!D:D,0)),"list없음")</f>
        <v>5CD4305D96</v>
      </c>
      <c r="D167" s="40">
        <f t="array" ref="D167">IFERROR(INDEX(All_User!R:R,MATCH(B167,All_User!D:D,0)),"list없음")</f>
        <v>0</v>
      </c>
    </row>
    <row r="168" spans="1:4" ht="13" hidden="1">
      <c r="A168" s="56" t="s">
        <v>2612</v>
      </c>
      <c r="B168" s="56" t="s">
        <v>379</v>
      </c>
      <c r="C168" s="40" t="str">
        <f t="array" ref="C168">IFERROR(INDEX(All_User!H:H,MATCH(B168,All_User!D:D,0)),"list없음")</f>
        <v>5CD4305D81</v>
      </c>
      <c r="D168" s="40">
        <f t="array" ref="D168">IFERROR(INDEX(All_User!R:R,MATCH(B168,All_User!D:D,0)),"list없음")</f>
        <v>0</v>
      </c>
    </row>
    <row r="169" spans="1:4" ht="13" hidden="1">
      <c r="A169" s="56" t="s">
        <v>2613</v>
      </c>
      <c r="B169" s="56" t="s">
        <v>222</v>
      </c>
      <c r="C169" s="40" t="str">
        <f t="array" ref="C169">IFERROR(INDEX(All_User!H:H,MATCH(B169,All_User!D:D,0)),"list없음")</f>
        <v>5CD5062YDW</v>
      </c>
      <c r="D169" s="40">
        <f t="array" ref="D169">IFERROR(INDEX(All_User!R:R,MATCH(B169,All_User!D:D,0)),"list없음")</f>
        <v>0</v>
      </c>
    </row>
    <row r="170" spans="1:4" ht="13" hidden="1">
      <c r="A170" s="56" t="s">
        <v>2614</v>
      </c>
      <c r="B170" s="56" t="s">
        <v>129</v>
      </c>
      <c r="C170" s="40" t="str">
        <f t="array" ref="C170">IFERROR(INDEX(All_User!H:H,MATCH(B170,All_User!D:D,0)),"list없음")</f>
        <v>5CD5062YF4</v>
      </c>
      <c r="D170" s="40">
        <f t="array" ref="D170">IFERROR(INDEX(All_User!R:R,MATCH(B170,All_User!D:D,0)),"list없음")</f>
        <v>0</v>
      </c>
    </row>
    <row r="171" spans="1:4" ht="13" hidden="1">
      <c r="A171" s="56" t="s">
        <v>2615</v>
      </c>
      <c r="B171" s="56" t="s">
        <v>757</v>
      </c>
      <c r="C171" s="40" t="str">
        <f t="array" ref="C171">IFERROR(INDEX(All_User!H:H,MATCH(B171,All_User!D:D,0)),"list없음")</f>
        <v>5CD5062YDK</v>
      </c>
      <c r="D171" s="40">
        <f t="array" ref="D171">IFERROR(INDEX(All_User!R:R,MATCH(B171,All_User!D:D,0)),"list없음")</f>
        <v>0</v>
      </c>
    </row>
    <row r="172" spans="1:4" ht="13">
      <c r="A172" s="262" t="s">
        <v>2616</v>
      </c>
      <c r="B172" s="262" t="s">
        <v>2617</v>
      </c>
      <c r="C172" s="263" t="str">
        <f t="array" ref="C172">IFERROR(INDEX(All_User!H:H,MATCH(B172,All_User!D:D,0)),"list없음")</f>
        <v>list없음</v>
      </c>
      <c r="D172" s="263" t="str">
        <f t="array" ref="D172">IFERROR(INDEX(All_User!R:R,MATCH(B172,All_User!D:D,0)),"list없음")</f>
        <v>list없음</v>
      </c>
    </row>
    <row r="173" spans="1:4" ht="13" hidden="1">
      <c r="A173" s="56" t="s">
        <v>2618</v>
      </c>
      <c r="B173" s="56" t="s">
        <v>261</v>
      </c>
      <c r="C173" s="40" t="str">
        <f t="array" ref="C173">IFERROR(INDEX(All_User!H:H,MATCH(B173,All_User!D:D,0)),"list없음")</f>
        <v>5CD5062YF6</v>
      </c>
      <c r="D173" s="40">
        <f t="array" ref="D173">IFERROR(INDEX(All_User!R:R,MATCH(B173,All_User!D:D,0)),"list없음")</f>
        <v>0</v>
      </c>
    </row>
    <row r="174" spans="1:4" ht="13" hidden="1">
      <c r="A174" s="56" t="s">
        <v>2619</v>
      </c>
      <c r="B174" s="56" t="s">
        <v>618</v>
      </c>
      <c r="C174" s="40" t="str">
        <f t="array" ref="C174">IFERROR(INDEX(All_User!H:H,MATCH(B174,All_User!D:D,0)),"list없음")</f>
        <v>5CD5179KH4</v>
      </c>
      <c r="D174" s="40">
        <f t="array" ref="D174">IFERROR(INDEX(All_User!R:R,MATCH(B174,All_User!D:D,0)),"list없음")</f>
        <v>0</v>
      </c>
    </row>
    <row r="175" spans="1:4" ht="13" hidden="1">
      <c r="A175" s="56" t="s">
        <v>2620</v>
      </c>
      <c r="B175" s="56" t="s">
        <v>54</v>
      </c>
      <c r="C175" s="40" t="str">
        <f t="array" ref="C175">IFERROR(INDEX(All_User!H:H,MATCH(B175,All_User!D:D,0)),"list없음")</f>
        <v>5CD5062YDY</v>
      </c>
      <c r="D175" s="40">
        <f t="array" ref="D175">IFERROR(INDEX(All_User!R:R,MATCH(B175,All_User!D:D,0)),"list없음")</f>
        <v>0</v>
      </c>
    </row>
    <row r="176" spans="1:4" ht="13" hidden="1">
      <c r="A176" s="56" t="s">
        <v>2621</v>
      </c>
      <c r="B176" s="56" t="s">
        <v>436</v>
      </c>
      <c r="C176" s="40" t="str">
        <f t="array" ref="C176">IFERROR(INDEX(All_User!H:H,MATCH(B176,All_User!D:D,0)),"list없음")</f>
        <v>5CD5062YDM</v>
      </c>
      <c r="D176" s="40">
        <f t="array" ref="D176">IFERROR(INDEX(All_User!R:R,MATCH(B176,All_User!D:D,0)),"list없음")</f>
        <v>0</v>
      </c>
    </row>
    <row r="177" spans="1:4" ht="13" hidden="1">
      <c r="A177" s="56" t="s">
        <v>2622</v>
      </c>
      <c r="B177" s="56" t="s">
        <v>622</v>
      </c>
      <c r="C177" s="40" t="str">
        <f t="array" ref="C177">IFERROR(INDEX(All_User!H:H,MATCH(B177,All_User!D:D,0)),"list없음")</f>
        <v>5CD5062YDP</v>
      </c>
      <c r="D177" s="40">
        <f t="array" ref="D177">IFERROR(INDEX(All_User!R:R,MATCH(B177,All_User!D:D,0)),"list없음")</f>
        <v>0</v>
      </c>
    </row>
    <row r="178" spans="1:4" ht="13" hidden="1">
      <c r="A178" s="56" t="s">
        <v>2623</v>
      </c>
      <c r="B178" s="56" t="s">
        <v>423</v>
      </c>
      <c r="C178" s="40" t="str">
        <f t="array" ref="C178">IFERROR(INDEX(All_User!H:H,MATCH(B178,All_User!D:D,0)),"list없음")</f>
        <v>5CD5062YF0</v>
      </c>
      <c r="D178" s="40">
        <f t="array" ref="D178">IFERROR(INDEX(All_User!R:R,MATCH(B178,All_User!D:D,0)),"list없음")</f>
        <v>0</v>
      </c>
    </row>
    <row r="179" spans="1:4" ht="13" hidden="1">
      <c r="A179" s="56" t="s">
        <v>2624</v>
      </c>
      <c r="B179" s="56" t="s">
        <v>508</v>
      </c>
      <c r="C179" s="40" t="str">
        <f t="array" ref="C179">IFERROR(INDEX(All_User!H:H,MATCH(B179,All_User!D:D,0)),"list없음")</f>
        <v>5CD442C077</v>
      </c>
      <c r="D179" s="40">
        <f t="array" ref="D179">IFERROR(INDEX(All_User!R:R,MATCH(B179,All_User!D:D,0)),"list없음")</f>
        <v>0</v>
      </c>
    </row>
    <row r="180" spans="1:4" ht="13" hidden="1">
      <c r="A180" s="56" t="s">
        <v>2625</v>
      </c>
      <c r="B180" s="56" t="s">
        <v>789</v>
      </c>
      <c r="C180" s="40" t="str">
        <f t="array" ref="C180">IFERROR(INDEX(All_User!H:H,MATCH(B180,All_User!D:D,0)),"list없음")</f>
        <v>5CD5179KJ8</v>
      </c>
      <c r="D180" s="40">
        <f t="array" ref="D180">IFERROR(INDEX(All_User!R:R,MATCH(B180,All_User!D:D,0)),"list없음")</f>
        <v>0</v>
      </c>
    </row>
    <row r="181" spans="1:4" ht="13" hidden="1">
      <c r="A181" s="56" t="s">
        <v>2626</v>
      </c>
      <c r="B181" s="56" t="s">
        <v>809</v>
      </c>
      <c r="C181" s="40" t="str">
        <f t="array" ref="C181">IFERROR(INDEX(All_User!H:H,MATCH(B181,All_User!D:D,0)),"list없음")</f>
        <v>5CD5062YDF</v>
      </c>
      <c r="D181" s="40">
        <f t="array" ref="D181">IFERROR(INDEX(All_User!R:R,MATCH(B181,All_User!D:D,0)),"list없음")</f>
        <v>0</v>
      </c>
    </row>
    <row r="182" spans="1:4" ht="13" hidden="1">
      <c r="A182" s="56" t="s">
        <v>2627</v>
      </c>
      <c r="B182" s="56" t="s">
        <v>828</v>
      </c>
      <c r="C182" s="40" t="str">
        <f t="array" ref="C182">IFERROR(INDEX(All_User!H:H,MATCH(B182,All_User!D:D,0)),"list없음")</f>
        <v>5CD5062YF2</v>
      </c>
      <c r="D182" s="40">
        <f t="array" ref="D182">IFERROR(INDEX(All_User!R:R,MATCH(B182,All_User!D:D,0)),"list없음")</f>
        <v>0</v>
      </c>
    </row>
    <row r="183" spans="1:4" ht="13" hidden="1">
      <c r="A183" s="56" t="s">
        <v>2628</v>
      </c>
      <c r="B183" s="56" t="s">
        <v>836</v>
      </c>
      <c r="C183" s="40" t="str">
        <f t="array" ref="C183">IFERROR(INDEX(All_User!H:H,MATCH(B183,All_User!D:D,0)),"list없음")</f>
        <v>5CD5179KJ9</v>
      </c>
      <c r="D183" s="40">
        <f t="array" ref="D183">IFERROR(INDEX(All_User!R:R,MATCH(B183,All_User!D:D,0)),"list없음")</f>
        <v>0</v>
      </c>
    </row>
    <row r="184" spans="1:4" ht="13" hidden="1">
      <c r="A184" s="56" t="s">
        <v>2629</v>
      </c>
      <c r="B184" s="56" t="s">
        <v>832</v>
      </c>
      <c r="C184" s="40" t="str">
        <f t="array" ref="C184">IFERROR(INDEX(All_User!H:H,MATCH(B184,All_User!D:D,0)),"list없음")</f>
        <v>5CD5179KJ4</v>
      </c>
      <c r="D184" s="40">
        <f t="array" ref="D184">IFERROR(INDEX(All_User!R:R,MATCH(B184,All_User!D:D,0)),"list없음")</f>
        <v>0</v>
      </c>
    </row>
    <row r="185" spans="1:4" ht="13" hidden="1">
      <c r="A185" s="56" t="s">
        <v>2630</v>
      </c>
      <c r="B185" s="56" t="s">
        <v>2631</v>
      </c>
      <c r="C185" s="40" t="str">
        <f t="array" ref="C185">IFERROR(INDEX(All_User!H:H,MATCH(B185,All_User!D:D,0)),"list없음")</f>
        <v>5CD5179KJ7</v>
      </c>
      <c r="D185" s="40">
        <f t="array" ref="D185">IFERROR(INDEX(All_User!R:R,MATCH(B185,All_User!D:D,0)),"list없음")</f>
        <v>0</v>
      </c>
    </row>
    <row r="186" spans="1:4" ht="13" hidden="1">
      <c r="A186" s="56" t="s">
        <v>2632</v>
      </c>
      <c r="B186" s="56" t="s">
        <v>849</v>
      </c>
      <c r="C186" s="40" t="str">
        <f t="array" ref="C186">IFERROR(INDEX(All_User!H:H,MATCH(B186,All_User!D:D,0)),"list없음")</f>
        <v>5CD5062YDD</v>
      </c>
      <c r="D186" s="40">
        <f t="array" ref="D186">IFERROR(INDEX(All_User!R:R,MATCH(B186,All_User!D:D,0)),"list없음")</f>
        <v>0</v>
      </c>
    </row>
    <row r="187" spans="1:4" ht="13" hidden="1">
      <c r="A187" s="56" t="s">
        <v>2633</v>
      </c>
      <c r="B187" s="56" t="s">
        <v>845</v>
      </c>
      <c r="C187" s="40" t="str">
        <f t="array" ref="C187">IFERROR(INDEX(All_User!H:H,MATCH(B187,All_User!D:D,0)),"list없음")</f>
        <v>5CD5179KHN</v>
      </c>
      <c r="D187" s="40">
        <f t="array" ref="D187">IFERROR(INDEX(All_User!R:R,MATCH(B187,All_User!D:D,0)),"list없음")</f>
        <v>0</v>
      </c>
    </row>
    <row r="188" spans="1:4" ht="13" hidden="1">
      <c r="A188" s="56" t="s">
        <v>2634</v>
      </c>
      <c r="B188" s="56" t="s">
        <v>853</v>
      </c>
      <c r="C188" s="40" t="str">
        <f t="array" ref="C188">IFERROR(INDEX(All_User!H:H,MATCH(B188,All_User!D:D,0)),"list없음")</f>
        <v>5CD4305D8D</v>
      </c>
      <c r="D188" s="40">
        <f t="array" ref="D188">IFERROR(INDEX(All_User!R:R,MATCH(B188,All_User!D:D,0)),"list없음")</f>
        <v>0</v>
      </c>
    </row>
    <row r="189" spans="1:4" ht="13" hidden="1">
      <c r="A189" s="56" t="s">
        <v>2635</v>
      </c>
      <c r="B189" s="56" t="s">
        <v>857</v>
      </c>
      <c r="C189" s="40" t="str">
        <f t="array" ref="C189">IFERROR(INDEX(All_User!H:H,MATCH(B189,All_User!D:D,0)),"list없음")</f>
        <v>5CD4305D8J</v>
      </c>
      <c r="D189" s="40">
        <f t="array" ref="D189">IFERROR(INDEX(All_User!R:R,MATCH(B189,All_User!D:D,0)),"list없음")</f>
        <v>0</v>
      </c>
    </row>
    <row r="190" spans="1:4" ht="13" hidden="1">
      <c r="A190" s="56" t="s">
        <v>2636</v>
      </c>
      <c r="B190" s="56" t="s">
        <v>862</v>
      </c>
      <c r="C190" s="40" t="str">
        <f t="array" ref="C190">IFERROR(INDEX(All_User!H:H,MATCH(B190,All_User!D:D,0)),"list없음")</f>
        <v>5CD5179KJC</v>
      </c>
      <c r="D190" s="40">
        <f t="array" ref="D190">IFERROR(INDEX(All_User!R:R,MATCH(B190,All_User!D:D,0)),"list없음")</f>
        <v>0</v>
      </c>
    </row>
    <row r="191" spans="1:4" ht="13" hidden="1">
      <c r="A191" s="56" t="s">
        <v>2637</v>
      </c>
      <c r="B191" s="56" t="s">
        <v>2143</v>
      </c>
      <c r="C191" s="40" t="str">
        <f t="array" ref="C191">IFERROR(INDEX(All_User!H:H,MATCH(B191,All_User!D:D,0)),"list없음")</f>
        <v>5CD5062YDV</v>
      </c>
      <c r="D191" s="40">
        <f t="array" ref="D191">IFERROR(INDEX(All_User!R:R,MATCH(B191,All_User!D:D,0)),"list없음")</f>
        <v>0</v>
      </c>
    </row>
    <row r="192" spans="1:4" ht="13" hidden="1"/>
    <row r="193" ht="13" hidden="1"/>
    <row r="194" ht="13" hidden="1"/>
    <row r="195" ht="13" hidden="1"/>
    <row r="196" ht="13" hidden="1"/>
    <row r="197" ht="13" hidden="1"/>
    <row r="198" ht="13" hidden="1"/>
    <row r="199" ht="13" hidden="1"/>
    <row r="200" ht="13" hidden="1"/>
    <row r="201" ht="13" hidden="1"/>
    <row r="202" ht="13" hidden="1"/>
    <row r="203" ht="13" hidden="1"/>
    <row r="204" ht="13" hidden="1"/>
    <row r="205" ht="13" hidden="1"/>
    <row r="206" ht="13" hidden="1"/>
    <row r="207" ht="13" hidden="1"/>
    <row r="208" ht="13" hidden="1"/>
    <row r="209" ht="13" hidden="1"/>
    <row r="210" ht="13" hidden="1"/>
    <row r="211" ht="13" hidden="1"/>
    <row r="212" ht="13" hidden="1"/>
    <row r="213" ht="13" hidden="1"/>
    <row r="214" ht="13" hidden="1"/>
    <row r="215" ht="13" hidden="1"/>
    <row r="216" ht="13" hidden="1"/>
    <row r="217" ht="13" hidden="1"/>
    <row r="218" ht="13" hidden="1"/>
    <row r="219" ht="13" hidden="1"/>
    <row r="220" ht="13" hidden="1"/>
    <row r="221" ht="13" hidden="1"/>
    <row r="222" ht="13" hidden="1"/>
    <row r="223" ht="13" hidden="1"/>
    <row r="224" ht="13" hidden="1"/>
    <row r="225" ht="13" hidden="1"/>
    <row r="226" ht="13" hidden="1"/>
    <row r="227" ht="13" hidden="1"/>
    <row r="228" ht="13" hidden="1"/>
    <row r="229" ht="13" hidden="1"/>
    <row r="230" ht="13" hidden="1"/>
    <row r="231" ht="13" hidden="1"/>
    <row r="232" ht="13" hidden="1"/>
    <row r="233" ht="13" hidden="1"/>
    <row r="234" ht="13" hidden="1"/>
    <row r="235" ht="13" hidden="1"/>
    <row r="236" ht="13" hidden="1"/>
    <row r="237" ht="13" hidden="1"/>
    <row r="238" ht="13" hidden="1"/>
    <row r="239" ht="13" hidden="1"/>
    <row r="240" ht="13" hidden="1"/>
    <row r="241" ht="13" hidden="1"/>
    <row r="242" ht="13" hidden="1"/>
    <row r="243" ht="13" hidden="1"/>
    <row r="244" ht="13" hidden="1"/>
    <row r="245" ht="13" hidden="1"/>
    <row r="246" ht="13" hidden="1"/>
    <row r="247" ht="13" hidden="1"/>
    <row r="248" ht="13" hidden="1"/>
    <row r="249" ht="13" hidden="1"/>
    <row r="250" ht="13" hidden="1"/>
    <row r="251" ht="13" hidden="1"/>
    <row r="252" ht="13" hidden="1"/>
    <row r="253" ht="13" hidden="1"/>
    <row r="254" ht="13" hidden="1"/>
    <row r="255" ht="13" hidden="1"/>
    <row r="256" ht="13" hidden="1"/>
    <row r="257" ht="13" hidden="1"/>
    <row r="258" ht="13" hidden="1"/>
    <row r="259" ht="13" hidden="1"/>
    <row r="260" ht="13" hidden="1"/>
    <row r="261" ht="13" hidden="1"/>
    <row r="262" ht="13" hidden="1"/>
    <row r="263" ht="13" hidden="1"/>
    <row r="264" ht="13" hidden="1"/>
    <row r="265" ht="13" hidden="1"/>
    <row r="266" ht="13" hidden="1"/>
    <row r="267" ht="13" hidden="1"/>
    <row r="268" ht="13" hidden="1"/>
    <row r="269" ht="13" hidden="1"/>
    <row r="270" ht="13" hidden="1"/>
    <row r="271" ht="13" hidden="1"/>
    <row r="272" ht="13" hidden="1"/>
    <row r="273" ht="13" hidden="1"/>
    <row r="274" ht="13" hidden="1"/>
    <row r="275" ht="13" hidden="1"/>
    <row r="276" ht="13" hidden="1"/>
    <row r="277" ht="13" hidden="1"/>
    <row r="278" ht="13" hidden="1"/>
    <row r="279" ht="13" hidden="1"/>
    <row r="280" ht="13" hidden="1"/>
    <row r="281" ht="13" hidden="1"/>
    <row r="282" ht="13" hidden="1"/>
    <row r="283" ht="13" hidden="1"/>
    <row r="284" ht="13" hidden="1"/>
    <row r="285" ht="13" hidden="1"/>
    <row r="286" ht="13" hidden="1"/>
    <row r="287" ht="13" hidden="1"/>
    <row r="288" ht="13" hidden="1"/>
    <row r="289" ht="13" hidden="1"/>
    <row r="290" ht="13" hidden="1"/>
    <row r="291" ht="13" hidden="1"/>
    <row r="292" ht="13" hidden="1"/>
    <row r="293" ht="13" hidden="1"/>
    <row r="294" ht="13" hidden="1"/>
    <row r="295" ht="13" hidden="1"/>
    <row r="296" ht="13" hidden="1"/>
    <row r="297" ht="13" hidden="1"/>
    <row r="298" ht="13" hidden="1"/>
    <row r="299" ht="13" hidden="1"/>
    <row r="300" ht="13" hidden="1"/>
    <row r="301" ht="13" hidden="1"/>
    <row r="302" ht="13" hidden="1"/>
    <row r="303" ht="13" hidden="1"/>
    <row r="304" ht="13" hidden="1"/>
    <row r="305" ht="13" hidden="1"/>
    <row r="306" ht="13" hidden="1"/>
    <row r="307" ht="13" hidden="1"/>
    <row r="308" ht="13" hidden="1"/>
    <row r="309" ht="13" hidden="1"/>
    <row r="310" ht="13" hidden="1"/>
    <row r="311" ht="13" hidden="1"/>
    <row r="312" ht="13" hidden="1"/>
    <row r="313" ht="13" hidden="1"/>
    <row r="314" ht="13" hidden="1"/>
    <row r="315" ht="13" hidden="1"/>
    <row r="316" ht="13" hidden="1"/>
    <row r="317" ht="13" hidden="1"/>
    <row r="318" ht="13" hidden="1"/>
    <row r="319" ht="13" hidden="1"/>
    <row r="320" ht="13" hidden="1"/>
    <row r="321" ht="13" hidden="1"/>
    <row r="322" ht="13" hidden="1"/>
    <row r="323" ht="13" hidden="1"/>
    <row r="324" ht="13" hidden="1"/>
    <row r="325" ht="13" hidden="1"/>
    <row r="326" ht="13" hidden="1"/>
    <row r="327" ht="13" hidden="1"/>
    <row r="328" ht="13" hidden="1"/>
    <row r="329" ht="13" hidden="1"/>
    <row r="330" ht="13" hidden="1"/>
    <row r="331" ht="13" hidden="1"/>
    <row r="332" ht="13" hidden="1"/>
    <row r="333" ht="13" hidden="1"/>
    <row r="334" ht="13" hidden="1"/>
    <row r="335" ht="13" hidden="1"/>
    <row r="336" ht="13" hidden="1"/>
    <row r="337" ht="13" hidden="1"/>
    <row r="338" ht="13" hidden="1"/>
    <row r="339" ht="13" hidden="1"/>
    <row r="340" ht="13" hidden="1"/>
    <row r="341" ht="13" hidden="1"/>
    <row r="342" ht="13" hidden="1"/>
    <row r="343" ht="13" hidden="1"/>
    <row r="344" ht="13" hidden="1"/>
    <row r="345" ht="13" hidden="1"/>
    <row r="346" ht="13" hidden="1"/>
    <row r="347" ht="13" hidden="1"/>
    <row r="348" ht="13" hidden="1"/>
    <row r="349" ht="13" hidden="1"/>
    <row r="350" ht="13" hidden="1"/>
    <row r="351" ht="13" hidden="1"/>
    <row r="352" ht="13" hidden="1"/>
    <row r="353" ht="13" hidden="1"/>
    <row r="354" ht="13" hidden="1"/>
    <row r="355" ht="13" hidden="1"/>
    <row r="356" ht="13" hidden="1"/>
    <row r="357" ht="13" hidden="1"/>
    <row r="358" ht="13" hidden="1"/>
    <row r="359" ht="13" hidden="1"/>
    <row r="360" ht="13" hidden="1"/>
    <row r="361" ht="13" hidden="1"/>
    <row r="362" ht="13" hidden="1"/>
    <row r="363" ht="13" hidden="1"/>
    <row r="364" ht="13" hidden="1"/>
    <row r="365" ht="13" hidden="1"/>
    <row r="366" ht="13" hidden="1"/>
    <row r="367" ht="13" hidden="1"/>
    <row r="368" ht="13" hidden="1"/>
    <row r="369" ht="13" hidden="1"/>
    <row r="370" ht="13" hidden="1"/>
    <row r="371" ht="13" hidden="1"/>
    <row r="372" ht="13" hidden="1"/>
    <row r="373" ht="13" hidden="1"/>
    <row r="374" ht="13" hidden="1"/>
    <row r="375" ht="13" hidden="1"/>
    <row r="376" ht="13" hidden="1"/>
    <row r="377" ht="13" hidden="1"/>
    <row r="378" ht="13" hidden="1"/>
    <row r="379" ht="13" hidden="1"/>
    <row r="380" ht="13" hidden="1"/>
    <row r="381" ht="13" hidden="1"/>
    <row r="382" ht="13" hidden="1"/>
    <row r="383" ht="13" hidden="1"/>
    <row r="384" ht="13" hidden="1"/>
    <row r="385" ht="13" hidden="1"/>
    <row r="386" ht="13" hidden="1"/>
    <row r="387" ht="13" hidden="1"/>
    <row r="388" ht="13" hidden="1"/>
    <row r="389" ht="13" hidden="1"/>
    <row r="390" ht="13" hidden="1"/>
    <row r="391" ht="13" hidden="1"/>
    <row r="392" ht="13" hidden="1"/>
    <row r="393" ht="13" hidden="1"/>
    <row r="394" ht="13" hidden="1"/>
    <row r="395" ht="13" hidden="1"/>
    <row r="396" ht="13" hidden="1"/>
    <row r="397" ht="13" hidden="1"/>
    <row r="398" ht="13" hidden="1"/>
    <row r="399" ht="13" hidden="1"/>
    <row r="400" ht="13" hidden="1"/>
    <row r="401" ht="13" hidden="1"/>
    <row r="402" ht="13" hidden="1"/>
    <row r="403" ht="13" hidden="1"/>
    <row r="404" ht="13" hidden="1"/>
    <row r="405" ht="13" hidden="1"/>
    <row r="406" ht="13" hidden="1"/>
    <row r="407" ht="13" hidden="1"/>
    <row r="408" ht="13" hidden="1"/>
    <row r="409" ht="13" hidden="1"/>
    <row r="410" ht="13" hidden="1"/>
    <row r="411" ht="13" hidden="1"/>
    <row r="412" ht="13" hidden="1"/>
    <row r="413" ht="13" hidden="1"/>
    <row r="414" ht="13" hidden="1"/>
    <row r="415" ht="13" hidden="1"/>
    <row r="416" ht="13" hidden="1"/>
    <row r="417" ht="13" hidden="1"/>
    <row r="418" ht="13" hidden="1"/>
    <row r="419" ht="13" hidden="1"/>
    <row r="420" ht="13" hidden="1"/>
    <row r="421" ht="13" hidden="1"/>
    <row r="422" ht="13" hidden="1"/>
    <row r="423" ht="13" hidden="1"/>
    <row r="424" ht="13" hidden="1"/>
    <row r="425" ht="13" hidden="1"/>
    <row r="426" ht="13" hidden="1"/>
    <row r="427" ht="13" hidden="1"/>
    <row r="428" ht="13" hidden="1"/>
    <row r="429" ht="13" hidden="1"/>
    <row r="430" ht="13" hidden="1"/>
    <row r="431" ht="13" hidden="1"/>
    <row r="432" ht="13" hidden="1"/>
    <row r="433" ht="13" hidden="1"/>
    <row r="434" ht="13" hidden="1"/>
    <row r="435" ht="13" hidden="1"/>
    <row r="436" ht="13" hidden="1"/>
    <row r="437" ht="13" hidden="1"/>
    <row r="438" ht="13" hidden="1"/>
    <row r="439" ht="13" hidden="1"/>
    <row r="440" ht="13" hidden="1"/>
    <row r="441" ht="13" hidden="1"/>
    <row r="442" ht="13" hidden="1"/>
    <row r="443" ht="13" hidden="1"/>
    <row r="444" ht="13" hidden="1"/>
    <row r="445" ht="13" hidden="1"/>
    <row r="446" ht="13" hidden="1"/>
    <row r="447" ht="13" hidden="1"/>
    <row r="448" ht="13" hidden="1"/>
    <row r="449" ht="13" hidden="1"/>
    <row r="450" ht="13" hidden="1"/>
    <row r="451" ht="13" hidden="1"/>
    <row r="452" ht="13" hidden="1"/>
    <row r="453" ht="13" hidden="1"/>
    <row r="454" ht="13" hidden="1"/>
    <row r="455" ht="13" hidden="1"/>
    <row r="456" ht="13" hidden="1"/>
    <row r="457" ht="13" hidden="1"/>
    <row r="458" ht="13" hidden="1"/>
    <row r="459" ht="13" hidden="1"/>
    <row r="460" ht="13" hidden="1"/>
    <row r="461" ht="13" hidden="1"/>
    <row r="462" ht="13" hidden="1"/>
    <row r="463" ht="13" hidden="1"/>
    <row r="464" ht="13" hidden="1"/>
    <row r="465" ht="13" hidden="1"/>
    <row r="466" ht="13" hidden="1"/>
    <row r="467" ht="13" hidden="1"/>
    <row r="468" ht="13" hidden="1"/>
    <row r="469" ht="13" hidden="1"/>
    <row r="470" ht="13" hidden="1"/>
    <row r="471" ht="13" hidden="1"/>
    <row r="472" ht="13" hidden="1"/>
    <row r="473" ht="13" hidden="1"/>
    <row r="474" ht="13" hidden="1"/>
    <row r="475" ht="13" hidden="1"/>
    <row r="476" ht="13" hidden="1"/>
    <row r="477" ht="13" hidden="1"/>
    <row r="478" ht="13" hidden="1"/>
    <row r="479" ht="13" hidden="1"/>
    <row r="480" ht="13" hidden="1"/>
    <row r="481" ht="13" hidden="1"/>
    <row r="482" ht="13" hidden="1"/>
    <row r="483" ht="13" hidden="1"/>
    <row r="484" ht="13" hidden="1"/>
    <row r="485" ht="13" hidden="1"/>
    <row r="486" ht="13" hidden="1"/>
    <row r="487" ht="13" hidden="1"/>
    <row r="488" ht="13" hidden="1"/>
    <row r="489" ht="13" hidden="1"/>
    <row r="490" ht="13" hidden="1"/>
    <row r="491" ht="13" hidden="1"/>
    <row r="492" ht="13" hidden="1"/>
    <row r="493" ht="13" hidden="1"/>
    <row r="494" ht="13" hidden="1"/>
    <row r="495" ht="13" hidden="1"/>
    <row r="496" ht="13" hidden="1"/>
    <row r="497" ht="13" hidden="1"/>
    <row r="498" ht="13" hidden="1"/>
    <row r="499" ht="13" hidden="1"/>
    <row r="500" ht="13" hidden="1"/>
    <row r="501" ht="13" hidden="1"/>
    <row r="502" ht="13" hidden="1"/>
    <row r="503" ht="13" hidden="1"/>
    <row r="504" ht="13" hidden="1"/>
    <row r="505" ht="13" hidden="1"/>
    <row r="506" ht="13" hidden="1"/>
    <row r="507" ht="13" hidden="1"/>
    <row r="508" ht="13" hidden="1"/>
    <row r="509" ht="13" hidden="1"/>
    <row r="510" ht="13" hidden="1"/>
    <row r="511" ht="13" hidden="1"/>
    <row r="512" ht="13" hidden="1"/>
    <row r="513" ht="13" hidden="1"/>
    <row r="514" ht="13" hidden="1"/>
    <row r="515" ht="13" hidden="1"/>
    <row r="516" ht="13" hidden="1"/>
    <row r="517" ht="13" hidden="1"/>
    <row r="518" ht="13" hidden="1"/>
    <row r="519" ht="13" hidden="1"/>
    <row r="520" ht="13" hidden="1"/>
    <row r="521" ht="13" hidden="1"/>
    <row r="522" ht="13" hidden="1"/>
    <row r="523" ht="13" hidden="1"/>
    <row r="524" ht="13" hidden="1"/>
    <row r="525" ht="13" hidden="1"/>
    <row r="526" ht="13" hidden="1"/>
    <row r="527" ht="13" hidden="1"/>
    <row r="528" ht="13" hidden="1"/>
    <row r="529" ht="13" hidden="1"/>
    <row r="530" ht="13" hidden="1"/>
    <row r="531" ht="13" hidden="1"/>
    <row r="532" ht="13" hidden="1"/>
    <row r="533" ht="13" hidden="1"/>
    <row r="534" ht="13" hidden="1"/>
    <row r="535" ht="13" hidden="1"/>
    <row r="536" ht="13" hidden="1"/>
    <row r="537" ht="13" hidden="1"/>
    <row r="538" ht="13" hidden="1"/>
    <row r="539" ht="13" hidden="1"/>
    <row r="540" ht="13" hidden="1"/>
    <row r="541" ht="13" hidden="1"/>
    <row r="542" ht="13" hidden="1"/>
    <row r="543" ht="13" hidden="1"/>
    <row r="544" ht="13" hidden="1"/>
    <row r="545" ht="13" hidden="1"/>
    <row r="546" ht="13" hidden="1"/>
    <row r="547" ht="13" hidden="1"/>
    <row r="548" ht="13" hidden="1"/>
    <row r="549" ht="13" hidden="1"/>
    <row r="550" ht="13" hidden="1"/>
    <row r="551" ht="13" hidden="1"/>
    <row r="552" ht="13" hidden="1"/>
    <row r="553" ht="13" hidden="1"/>
    <row r="554" ht="13" hidden="1"/>
    <row r="555" ht="13" hidden="1"/>
    <row r="556" ht="13" hidden="1"/>
    <row r="557" ht="13" hidden="1"/>
    <row r="558" ht="13" hidden="1"/>
    <row r="559" ht="13" hidden="1"/>
    <row r="560" ht="13" hidden="1"/>
    <row r="561" ht="13" hidden="1"/>
    <row r="562" ht="13" hidden="1"/>
    <row r="563" ht="13" hidden="1"/>
    <row r="564" ht="13" hidden="1"/>
    <row r="565" ht="13" hidden="1"/>
    <row r="566" ht="13" hidden="1"/>
    <row r="567" ht="13" hidden="1"/>
    <row r="568" ht="13" hidden="1"/>
    <row r="569" ht="13" hidden="1"/>
    <row r="570" ht="13" hidden="1"/>
    <row r="571" ht="13" hidden="1"/>
    <row r="572" ht="13" hidden="1"/>
    <row r="573" ht="13" hidden="1"/>
    <row r="574" ht="13" hidden="1"/>
    <row r="575" ht="13" hidden="1"/>
    <row r="576" ht="13" hidden="1"/>
    <row r="577" ht="13" hidden="1"/>
    <row r="578" ht="13" hidden="1"/>
    <row r="579" ht="13" hidden="1"/>
    <row r="580" ht="13" hidden="1"/>
    <row r="581" ht="13" hidden="1"/>
    <row r="582" ht="13" hidden="1"/>
    <row r="583" ht="13" hidden="1"/>
    <row r="584" ht="13" hidden="1"/>
    <row r="585" ht="13" hidden="1"/>
    <row r="586" ht="13" hidden="1"/>
    <row r="587" ht="13" hidden="1"/>
    <row r="588" ht="13" hidden="1"/>
    <row r="589" ht="13" hidden="1"/>
    <row r="590" ht="13" hidden="1"/>
    <row r="591" ht="13" hidden="1"/>
    <row r="592" ht="13" hidden="1"/>
    <row r="593" ht="13" hidden="1"/>
    <row r="594" ht="13" hidden="1"/>
    <row r="595" ht="13" hidden="1"/>
    <row r="596" ht="13" hidden="1"/>
    <row r="597" ht="13" hidden="1"/>
    <row r="598" ht="13" hidden="1"/>
    <row r="599" ht="13" hidden="1"/>
    <row r="600" ht="13" hidden="1"/>
    <row r="601" ht="13" hidden="1"/>
    <row r="602" ht="13" hidden="1"/>
    <row r="603" ht="13" hidden="1"/>
    <row r="604" ht="13" hidden="1"/>
    <row r="605" ht="13" hidden="1"/>
    <row r="606" ht="13" hidden="1"/>
    <row r="607" ht="13" hidden="1"/>
    <row r="608" ht="13" hidden="1"/>
    <row r="609" ht="13" hidden="1"/>
    <row r="610" ht="13" hidden="1"/>
    <row r="611" ht="13" hidden="1"/>
    <row r="612" ht="13" hidden="1"/>
    <row r="613" ht="13" hidden="1"/>
    <row r="614" ht="13" hidden="1"/>
    <row r="615" ht="13" hidden="1"/>
    <row r="616" ht="13" hidden="1"/>
    <row r="617" ht="13" hidden="1"/>
    <row r="618" ht="13" hidden="1"/>
    <row r="619" ht="13" hidden="1"/>
    <row r="620" ht="13" hidden="1"/>
    <row r="621" ht="13" hidden="1"/>
    <row r="622" ht="13" hidden="1"/>
    <row r="623" ht="13" hidden="1"/>
    <row r="624" ht="13" hidden="1"/>
    <row r="625" ht="13" hidden="1"/>
    <row r="626" ht="13" hidden="1"/>
    <row r="627" ht="13" hidden="1"/>
    <row r="628" ht="13" hidden="1"/>
    <row r="629" ht="13" hidden="1"/>
    <row r="630" ht="13" hidden="1"/>
    <row r="631" ht="13" hidden="1"/>
    <row r="632" ht="13" hidden="1"/>
    <row r="633" ht="13" hidden="1"/>
    <row r="634" ht="13" hidden="1"/>
    <row r="635" ht="13" hidden="1"/>
    <row r="636" ht="13" hidden="1"/>
    <row r="637" ht="13" hidden="1"/>
    <row r="638" ht="13" hidden="1"/>
    <row r="639" ht="13" hidden="1"/>
    <row r="640" ht="13" hidden="1"/>
    <row r="641" ht="13" hidden="1"/>
    <row r="642" ht="13" hidden="1"/>
    <row r="643" ht="13" hidden="1"/>
    <row r="644" ht="13" hidden="1"/>
    <row r="645" ht="13" hidden="1"/>
    <row r="646" ht="13" hidden="1"/>
    <row r="647" ht="13" hidden="1"/>
    <row r="648" ht="13" hidden="1"/>
    <row r="649" ht="13" hidden="1"/>
    <row r="650" ht="13" hidden="1"/>
    <row r="651" ht="13" hidden="1"/>
    <row r="652" ht="13" hidden="1"/>
    <row r="653" ht="13" hidden="1"/>
    <row r="654" ht="13" hidden="1"/>
    <row r="655" ht="13" hidden="1"/>
    <row r="656" ht="13" hidden="1"/>
    <row r="657" ht="13" hidden="1"/>
    <row r="658" ht="13" hidden="1"/>
    <row r="659" ht="13" hidden="1"/>
    <row r="660" ht="13" hidden="1"/>
    <row r="661" ht="13" hidden="1"/>
    <row r="662" ht="13" hidden="1"/>
    <row r="663" ht="13" hidden="1"/>
    <row r="664" ht="13" hidden="1"/>
    <row r="665" ht="13" hidden="1"/>
    <row r="666" ht="13" hidden="1"/>
    <row r="667" ht="13" hidden="1"/>
    <row r="668" ht="13" hidden="1"/>
    <row r="669" ht="13" hidden="1"/>
    <row r="670" ht="13" hidden="1"/>
    <row r="671" ht="13" hidden="1"/>
    <row r="672" ht="13" hidden="1"/>
    <row r="673" ht="13" hidden="1"/>
    <row r="674" ht="13" hidden="1"/>
    <row r="675" ht="13" hidden="1"/>
    <row r="676" ht="13" hidden="1"/>
    <row r="677" ht="13" hidden="1"/>
    <row r="678" ht="13" hidden="1"/>
    <row r="679" ht="13" hidden="1"/>
    <row r="680" ht="13" hidden="1"/>
    <row r="681" ht="13" hidden="1"/>
    <row r="682" ht="13" hidden="1"/>
    <row r="683" ht="13" hidden="1"/>
    <row r="684" ht="13" hidden="1"/>
    <row r="685" ht="13" hidden="1"/>
    <row r="686" ht="13" hidden="1"/>
    <row r="687" ht="13" hidden="1"/>
    <row r="688" ht="13" hidden="1"/>
    <row r="689" ht="13" hidden="1"/>
    <row r="690" ht="13" hidden="1"/>
    <row r="691" ht="13" hidden="1"/>
    <row r="692" ht="13" hidden="1"/>
    <row r="693" ht="13" hidden="1"/>
    <row r="694" ht="13" hidden="1"/>
    <row r="695" ht="13" hidden="1"/>
    <row r="696" ht="13" hidden="1"/>
    <row r="697" ht="13" hidden="1"/>
    <row r="698" ht="13" hidden="1"/>
    <row r="699" ht="13" hidden="1"/>
    <row r="700" ht="13" hidden="1"/>
    <row r="701" ht="13" hidden="1"/>
    <row r="702" ht="13" hidden="1"/>
    <row r="703" ht="13" hidden="1"/>
    <row r="704" ht="13" hidden="1"/>
    <row r="705" ht="13" hidden="1"/>
    <row r="706" ht="13" hidden="1"/>
    <row r="707" ht="13" hidden="1"/>
    <row r="708" ht="13" hidden="1"/>
    <row r="709" ht="13" hidden="1"/>
    <row r="710" ht="13" hidden="1"/>
    <row r="711" ht="13" hidden="1"/>
    <row r="712" ht="13" hidden="1"/>
    <row r="713" ht="13" hidden="1"/>
    <row r="714" ht="13" hidden="1"/>
    <row r="715" ht="13" hidden="1"/>
    <row r="716" ht="13" hidden="1"/>
    <row r="717" ht="13" hidden="1"/>
    <row r="718" ht="13" hidden="1"/>
    <row r="719" ht="13" hidden="1"/>
    <row r="720" ht="13" hidden="1"/>
    <row r="721" ht="13" hidden="1"/>
    <row r="722" ht="13" hidden="1"/>
    <row r="723" ht="13" hidden="1"/>
    <row r="724" ht="13" hidden="1"/>
    <row r="725" ht="13" hidden="1"/>
    <row r="726" ht="13" hidden="1"/>
    <row r="727" ht="13" hidden="1"/>
    <row r="728" ht="13" hidden="1"/>
    <row r="729" ht="13" hidden="1"/>
    <row r="730" ht="13" hidden="1"/>
    <row r="731" ht="13" hidden="1"/>
    <row r="732" ht="13" hidden="1"/>
    <row r="733" ht="13" hidden="1"/>
    <row r="734" ht="13" hidden="1"/>
    <row r="735" ht="13" hidden="1"/>
    <row r="736" ht="13" hidden="1"/>
    <row r="737" ht="13" hidden="1"/>
    <row r="738" ht="13" hidden="1"/>
    <row r="739" ht="13" hidden="1"/>
    <row r="740" ht="13" hidden="1"/>
    <row r="741" ht="13" hidden="1"/>
    <row r="742" ht="13" hidden="1"/>
    <row r="743" ht="13" hidden="1"/>
    <row r="744" ht="13" hidden="1"/>
    <row r="745" ht="13" hidden="1"/>
    <row r="746" ht="13" hidden="1"/>
    <row r="747" ht="13" hidden="1"/>
    <row r="748" ht="13" hidden="1"/>
    <row r="749" ht="13" hidden="1"/>
    <row r="750" ht="13" hidden="1"/>
    <row r="751" ht="13" hidden="1"/>
    <row r="752" ht="13" hidden="1"/>
    <row r="753" ht="13" hidden="1"/>
    <row r="754" ht="13" hidden="1"/>
    <row r="755" ht="13" hidden="1"/>
    <row r="756" ht="13" hidden="1"/>
    <row r="757" ht="13" hidden="1"/>
    <row r="758" ht="13" hidden="1"/>
    <row r="759" ht="13" hidden="1"/>
    <row r="760" ht="13" hidden="1"/>
    <row r="761" ht="13" hidden="1"/>
    <row r="762" ht="13" hidden="1"/>
    <row r="763" ht="13" hidden="1"/>
    <row r="764" ht="13" hidden="1"/>
    <row r="765" ht="13" hidden="1"/>
    <row r="766" ht="13" hidden="1"/>
    <row r="767" ht="13" hidden="1"/>
    <row r="768" ht="13" hidden="1"/>
    <row r="769" ht="13" hidden="1"/>
    <row r="770" ht="13" hidden="1"/>
    <row r="771" ht="13" hidden="1"/>
    <row r="772" ht="13" hidden="1"/>
    <row r="773" ht="13" hidden="1"/>
    <row r="774" ht="13" hidden="1"/>
    <row r="775" ht="13" hidden="1"/>
    <row r="776" ht="13" hidden="1"/>
    <row r="777" ht="13" hidden="1"/>
    <row r="778" ht="13" hidden="1"/>
    <row r="779" ht="13" hidden="1"/>
    <row r="780" ht="13" hidden="1"/>
    <row r="781" ht="13" hidden="1"/>
    <row r="782" ht="13" hidden="1"/>
    <row r="783" ht="13" hidden="1"/>
    <row r="784" ht="13" hidden="1"/>
    <row r="785" ht="13" hidden="1"/>
    <row r="786" ht="13" hidden="1"/>
    <row r="787" ht="13" hidden="1"/>
    <row r="788" ht="13" hidden="1"/>
    <row r="789" ht="13" hidden="1"/>
    <row r="790" ht="13" hidden="1"/>
    <row r="791" ht="13" hidden="1"/>
    <row r="792" ht="13" hidden="1"/>
    <row r="793" ht="13" hidden="1"/>
    <row r="794" ht="13" hidden="1"/>
    <row r="795" ht="13" hidden="1"/>
    <row r="796" ht="13" hidden="1"/>
    <row r="797" ht="13" hidden="1"/>
    <row r="798" ht="13" hidden="1"/>
    <row r="799" ht="13" hidden="1"/>
    <row r="800" ht="13" hidden="1"/>
    <row r="801" ht="13" hidden="1"/>
    <row r="802" ht="13" hidden="1"/>
    <row r="803" ht="13" hidden="1"/>
    <row r="804" ht="13" hidden="1"/>
    <row r="805" ht="13" hidden="1"/>
    <row r="806" ht="13" hidden="1"/>
    <row r="807" ht="13" hidden="1"/>
    <row r="808" ht="13" hidden="1"/>
    <row r="809" ht="13" hidden="1"/>
    <row r="810" ht="13" hidden="1"/>
    <row r="811" ht="13" hidden="1"/>
    <row r="812" ht="13" hidden="1"/>
    <row r="813" ht="13" hidden="1"/>
    <row r="814" ht="13" hidden="1"/>
    <row r="815" ht="13" hidden="1"/>
    <row r="816" ht="13" hidden="1"/>
    <row r="817" ht="13" hidden="1"/>
    <row r="818" ht="13" hidden="1"/>
    <row r="819" ht="13" hidden="1"/>
    <row r="820" ht="13" hidden="1"/>
    <row r="821" ht="13" hidden="1"/>
    <row r="822" ht="13" hidden="1"/>
    <row r="823" ht="13" hidden="1"/>
    <row r="824" ht="13" hidden="1"/>
    <row r="825" ht="13" hidden="1"/>
    <row r="826" ht="13" hidden="1"/>
    <row r="827" ht="13" hidden="1"/>
    <row r="828" ht="13" hidden="1"/>
    <row r="829" ht="13" hidden="1"/>
    <row r="830" ht="13" hidden="1"/>
    <row r="831" ht="13" hidden="1"/>
    <row r="832" ht="13" hidden="1"/>
    <row r="833" ht="13" hidden="1"/>
    <row r="834" ht="13" hidden="1"/>
    <row r="835" ht="13" hidden="1"/>
    <row r="836" ht="13" hidden="1"/>
    <row r="837" ht="13" hidden="1"/>
    <row r="838" ht="13" hidden="1"/>
    <row r="839" ht="13" hidden="1"/>
    <row r="840" ht="13" hidden="1"/>
    <row r="841" ht="13" hidden="1"/>
    <row r="842" ht="13" hidden="1"/>
    <row r="843" ht="13" hidden="1"/>
    <row r="844" ht="13" hidden="1"/>
    <row r="845" ht="13" hidden="1"/>
    <row r="846" ht="13" hidden="1"/>
    <row r="847" ht="13" hidden="1"/>
    <row r="848" ht="13" hidden="1"/>
    <row r="849" ht="13" hidden="1"/>
    <row r="850" ht="13" hidden="1"/>
    <row r="851" ht="13" hidden="1"/>
    <row r="852" ht="13" hidden="1"/>
    <row r="853" ht="13" hidden="1"/>
    <row r="854" ht="13" hidden="1"/>
    <row r="855" ht="13" hidden="1"/>
    <row r="856" ht="13" hidden="1"/>
    <row r="857" ht="13" hidden="1"/>
    <row r="858" ht="13" hidden="1"/>
    <row r="859" ht="13" hidden="1"/>
    <row r="860" ht="13" hidden="1"/>
    <row r="861" ht="13" hidden="1"/>
    <row r="862" ht="13" hidden="1"/>
    <row r="863" ht="13" hidden="1"/>
    <row r="864" ht="13" hidden="1"/>
    <row r="865" ht="13" hidden="1"/>
    <row r="866" ht="13" hidden="1"/>
    <row r="867" ht="13" hidden="1"/>
    <row r="868" ht="13" hidden="1"/>
    <row r="869" ht="13" hidden="1"/>
    <row r="870" ht="13" hidden="1"/>
    <row r="871" ht="13" hidden="1"/>
    <row r="872" ht="13" hidden="1"/>
    <row r="873" ht="13" hidden="1"/>
    <row r="874" ht="13" hidden="1"/>
    <row r="875" ht="13" hidden="1"/>
    <row r="876" ht="13" hidden="1"/>
    <row r="877" ht="13" hidden="1"/>
    <row r="878" ht="13" hidden="1"/>
    <row r="879" ht="13" hidden="1"/>
    <row r="880" ht="13" hidden="1"/>
    <row r="881" ht="13" hidden="1"/>
    <row r="882" ht="13" hidden="1"/>
    <row r="883" ht="13" hidden="1"/>
    <row r="884" ht="13" hidden="1"/>
    <row r="885" ht="13" hidden="1"/>
    <row r="886" ht="13" hidden="1"/>
    <row r="887" ht="13" hidden="1"/>
    <row r="888" ht="13" hidden="1"/>
    <row r="889" ht="13" hidden="1"/>
    <row r="890" ht="13" hidden="1"/>
    <row r="891" ht="13" hidden="1"/>
    <row r="892" ht="13" hidden="1"/>
    <row r="893" ht="13" hidden="1"/>
    <row r="894" ht="13" hidden="1"/>
    <row r="895" ht="13" hidden="1"/>
    <row r="896" ht="13" hidden="1"/>
    <row r="897" ht="13" hidden="1"/>
    <row r="898" ht="13" hidden="1"/>
    <row r="899" ht="13" hidden="1"/>
    <row r="900" ht="13" hidden="1"/>
    <row r="901" ht="13" hidden="1"/>
    <row r="902" ht="13" hidden="1"/>
    <row r="903" ht="13" hidden="1"/>
    <row r="904" ht="13" hidden="1"/>
    <row r="905" ht="13" hidden="1"/>
    <row r="906" ht="13" hidden="1"/>
    <row r="907" ht="13" hidden="1"/>
    <row r="908" ht="13" hidden="1"/>
    <row r="909" ht="13" hidden="1"/>
    <row r="910" ht="13" hidden="1"/>
    <row r="911" ht="13" hidden="1"/>
    <row r="912" ht="13" hidden="1"/>
    <row r="913" ht="13" hidden="1"/>
    <row r="914" ht="13" hidden="1"/>
    <row r="915" ht="13" hidden="1"/>
    <row r="916" ht="13" hidden="1"/>
    <row r="917" ht="13" hidden="1"/>
    <row r="918" ht="13" hidden="1"/>
    <row r="919" ht="13" hidden="1"/>
    <row r="920" ht="13" hidden="1"/>
    <row r="921" ht="13" hidden="1"/>
    <row r="922" ht="13" hidden="1"/>
    <row r="923" ht="13" hidden="1"/>
    <row r="924" ht="13" hidden="1"/>
    <row r="925" ht="13" hidden="1"/>
    <row r="926" ht="13" hidden="1"/>
    <row r="927" ht="13" hidden="1"/>
    <row r="928" ht="13" hidden="1"/>
    <row r="929" ht="13" hidden="1"/>
    <row r="930" ht="13" hidden="1"/>
    <row r="931" ht="13" hidden="1"/>
    <row r="932" ht="13" hidden="1"/>
    <row r="933" ht="13" hidden="1"/>
    <row r="934" ht="13" hidden="1"/>
    <row r="935" ht="13" hidden="1"/>
    <row r="936" ht="13" hidden="1"/>
    <row r="937" ht="13" hidden="1"/>
    <row r="938" ht="13" hidden="1"/>
    <row r="939" ht="13" hidden="1"/>
    <row r="940" ht="13" hidden="1"/>
    <row r="941" ht="13" hidden="1"/>
    <row r="942" ht="13" hidden="1"/>
    <row r="943" ht="13" hidden="1"/>
    <row r="944" ht="13" hidden="1"/>
    <row r="945" ht="13" hidden="1"/>
    <row r="946" ht="13" hidden="1"/>
    <row r="947" ht="13" hidden="1"/>
    <row r="948" ht="13" hidden="1"/>
    <row r="949" ht="13" hidden="1"/>
    <row r="950" ht="13" hidden="1"/>
    <row r="951" ht="13" hidden="1"/>
    <row r="952" ht="13" hidden="1"/>
    <row r="953" ht="13" hidden="1"/>
    <row r="954" ht="13" hidden="1"/>
    <row r="955" ht="13" hidden="1"/>
    <row r="956" ht="13" hidden="1"/>
    <row r="957" ht="13" hidden="1"/>
    <row r="958" ht="13" hidden="1"/>
    <row r="959" ht="13" hidden="1"/>
    <row r="960" ht="13" hidden="1"/>
    <row r="961" ht="13" hidden="1"/>
    <row r="962" ht="13" hidden="1"/>
    <row r="963" ht="13" hidden="1"/>
    <row r="964" ht="13" hidden="1"/>
    <row r="965" ht="13" hidden="1"/>
    <row r="966" ht="13" hidden="1"/>
    <row r="967" ht="13" hidden="1"/>
    <row r="968" ht="13" hidden="1"/>
    <row r="969" ht="13" hidden="1"/>
    <row r="970" ht="13" hidden="1"/>
    <row r="971" ht="13" hidden="1"/>
    <row r="972" ht="13" hidden="1"/>
    <row r="973" ht="13" hidden="1"/>
    <row r="974" ht="13" hidden="1"/>
    <row r="975" ht="13" hidden="1"/>
    <row r="976" ht="13" hidden="1"/>
    <row r="977" ht="13" hidden="1"/>
    <row r="978" ht="13" hidden="1"/>
    <row r="979" ht="13" hidden="1"/>
    <row r="980" ht="13" hidden="1"/>
    <row r="981" ht="13" hidden="1"/>
    <row r="982" ht="13" hidden="1"/>
    <row r="983" ht="13" hidden="1"/>
    <row r="984" ht="13" hidden="1"/>
    <row r="985" ht="13" hidden="1"/>
    <row r="986" ht="13" hidden="1"/>
    <row r="987" ht="13" hidden="1"/>
    <row r="988" ht="13" hidden="1"/>
    <row r="989" ht="13" hidden="1"/>
    <row r="990" ht="13" hidden="1"/>
    <row r="991" ht="13" hidden="1"/>
    <row r="992" ht="13" hidden="1"/>
    <row r="993" ht="13" hidden="1"/>
    <row r="994" ht="13" hidden="1"/>
    <row r="995" ht="13" hidden="1"/>
    <row r="996" ht="13" hidden="1"/>
    <row r="997" ht="13" hidden="1"/>
    <row r="998" ht="13" hidden="1"/>
  </sheetData>
  <autoFilter ref="A1:Z998" xr:uid="{00000000-0009-0000-0000-00000D000000}">
    <filterColumn colId="2">
      <filters>
        <filter val="5CD409908N"/>
        <filter val="5CD4305D8W"/>
        <filter val="5CG53403D4"/>
        <filter val="없음"/>
        <filter val="list없음"/>
      </filters>
    </filterColumn>
  </autoFilter>
  <phoneticPr fontId="7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>
    <outlinePr summaryBelow="0" summaryRight="0"/>
  </sheetPr>
  <dimension ref="A1:P90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2" max="2" width="16.5" customWidth="1"/>
    <col min="3" max="3" width="16.33203125" customWidth="1"/>
    <col min="5" max="5" width="34" customWidth="1"/>
    <col min="14" max="14" width="14.33203125" customWidth="1"/>
    <col min="15" max="16" width="15.83203125" customWidth="1"/>
  </cols>
  <sheetData>
    <row r="1" spans="1:16" ht="15">
      <c r="A1" s="68" t="s">
        <v>2638</v>
      </c>
      <c r="B1" s="264" t="s">
        <v>879</v>
      </c>
      <c r="C1" s="265" t="s">
        <v>874</v>
      </c>
      <c r="D1" s="265" t="s">
        <v>875</v>
      </c>
      <c r="E1" s="265" t="s">
        <v>2639</v>
      </c>
      <c r="F1" s="265" t="s">
        <v>2640</v>
      </c>
      <c r="G1" s="265" t="s">
        <v>2641</v>
      </c>
      <c r="H1" s="265" t="s">
        <v>2642</v>
      </c>
      <c r="I1" s="265" t="s">
        <v>2643</v>
      </c>
      <c r="J1" s="265" t="s">
        <v>877</v>
      </c>
      <c r="K1" s="265" t="s">
        <v>2644</v>
      </c>
      <c r="L1" s="265" t="s">
        <v>2645</v>
      </c>
      <c r="M1" s="265" t="s">
        <v>1752</v>
      </c>
      <c r="N1" s="266" t="s">
        <v>2646</v>
      </c>
      <c r="O1" s="266"/>
      <c r="P1" s="266" t="s">
        <v>2647</v>
      </c>
    </row>
    <row r="2" spans="1:16" ht="15" hidden="1">
      <c r="A2" s="267" t="s">
        <v>2648</v>
      </c>
      <c r="B2" s="268" t="s">
        <v>715</v>
      </c>
      <c r="C2" s="268" t="s">
        <v>2649</v>
      </c>
      <c r="D2" s="268" t="s">
        <v>882</v>
      </c>
      <c r="E2" s="269" t="s">
        <v>717</v>
      </c>
      <c r="F2" s="270" t="s">
        <v>2650</v>
      </c>
      <c r="G2" s="268"/>
      <c r="H2" s="271">
        <v>14789923</v>
      </c>
      <c r="I2" s="267">
        <v>421972</v>
      </c>
      <c r="J2" s="268" t="s">
        <v>719</v>
      </c>
      <c r="K2" s="268"/>
      <c r="L2" s="272"/>
      <c r="M2" s="273" t="s">
        <v>35</v>
      </c>
      <c r="N2" s="73" t="str">
        <f t="array" ref="N2">IFERROR(INDEX(All_User!H:H,MATCH(Old_List!B2,All_User!B:B,0)),"퇴사자?")</f>
        <v>5CD442C07J</v>
      </c>
      <c r="O2" s="274"/>
      <c r="P2" s="274" t="str">
        <f t="array" ref="P2">IFERROR(INDEX(All_User!D:D,MATCH(Old_List!B2,All_User!B:B,0)),"퇴사자?")</f>
        <v>owen.yang@stryker.com</v>
      </c>
    </row>
    <row r="3" spans="1:16" ht="15" hidden="1">
      <c r="A3" s="275" t="s">
        <v>540</v>
      </c>
      <c r="B3" s="276" t="s">
        <v>670</v>
      </c>
      <c r="C3" s="276" t="s">
        <v>2258</v>
      </c>
      <c r="D3" s="277" t="s">
        <v>882</v>
      </c>
      <c r="E3" s="278" t="s">
        <v>2651</v>
      </c>
      <c r="F3" s="278" t="s">
        <v>2652</v>
      </c>
      <c r="G3" s="277"/>
      <c r="H3" s="279">
        <v>14789933</v>
      </c>
      <c r="I3" s="275">
        <v>400529</v>
      </c>
      <c r="J3" s="277" t="s">
        <v>674</v>
      </c>
      <c r="K3" s="277"/>
      <c r="L3" s="65"/>
      <c r="M3" s="85" t="s">
        <v>35</v>
      </c>
      <c r="N3" s="73" t="str">
        <f t="array" ref="N3">IFERROR(INDEX(All_User!H:H,MATCH(Old_List!B3,All_User!B:B,0)),"퇴사자?")</f>
        <v>5CD5179KH9</v>
      </c>
      <c r="O3" s="274"/>
      <c r="P3" s="274" t="str">
        <f t="array" ref="P3">IFERROR(INDEX(All_User!D:D,MATCH(Old_List!B3,All_User!B:B,0)),"퇴사자?")</f>
        <v>Simon.sin@stryker.com</v>
      </c>
    </row>
    <row r="4" spans="1:16" ht="15">
      <c r="A4" s="280" t="s">
        <v>884</v>
      </c>
      <c r="B4" s="281" t="s">
        <v>684</v>
      </c>
      <c r="C4" s="281" t="s">
        <v>2258</v>
      </c>
      <c r="D4" s="282" t="s">
        <v>882</v>
      </c>
      <c r="E4" s="283" t="s">
        <v>2653</v>
      </c>
      <c r="F4" s="283" t="s">
        <v>2652</v>
      </c>
      <c r="G4" s="282"/>
      <c r="H4" s="284">
        <v>14789943</v>
      </c>
      <c r="I4" s="280">
        <v>400534</v>
      </c>
      <c r="J4" s="282" t="s">
        <v>2654</v>
      </c>
      <c r="K4" s="282"/>
      <c r="L4" s="285"/>
      <c r="M4" s="286" t="s">
        <v>35</v>
      </c>
      <c r="N4" s="73" t="str">
        <f t="array" ref="N4">IFERROR(INDEX(All_User!H:H,MATCH(Old_List!B4,All_User!B:B,0)),"퇴사자?")</f>
        <v>5CG53403CW</v>
      </c>
      <c r="O4" s="274"/>
      <c r="P4" s="274" t="str">
        <f t="array" ref="P4">IFERROR(INDEX(All_User!D:D,MATCH(Old_List!B4,All_User!B:B,0)),"퇴사자?")</f>
        <v>jun.song@stryker.com</v>
      </c>
    </row>
    <row r="5" spans="1:16" ht="15" hidden="1">
      <c r="A5" s="280" t="s">
        <v>833</v>
      </c>
      <c r="B5" s="281" t="s">
        <v>2655</v>
      </c>
      <c r="C5" s="281" t="s">
        <v>2258</v>
      </c>
      <c r="D5" s="282" t="s">
        <v>882</v>
      </c>
      <c r="E5" s="278" t="s">
        <v>2357</v>
      </c>
      <c r="F5" s="287" t="s">
        <v>2652</v>
      </c>
      <c r="G5" s="282"/>
      <c r="H5" s="284">
        <v>14789953</v>
      </c>
      <c r="I5" s="280">
        <v>216897</v>
      </c>
      <c r="J5" s="282" t="s">
        <v>2656</v>
      </c>
      <c r="K5" s="282"/>
      <c r="L5" s="285"/>
      <c r="M5" s="286" t="s">
        <v>35</v>
      </c>
      <c r="N5" s="73" t="str">
        <f t="array" ref="N5">IFERROR(INDEX(All_User!H:H,MATCH(Old_List!B5,All_User!B:B,0)),"퇴사자?")</f>
        <v>퇴사자?</v>
      </c>
      <c r="O5" s="274"/>
      <c r="P5" s="274" t="str">
        <f t="array" ref="P5">IFERROR(INDEX(All_User!D:D,MATCH(Old_List!B5,All_User!B:B,0)),"퇴사자?")</f>
        <v>퇴사자?</v>
      </c>
    </row>
    <row r="6" spans="1:16" ht="15" hidden="1">
      <c r="A6" s="280" t="s">
        <v>850</v>
      </c>
      <c r="B6" s="281" t="s">
        <v>340</v>
      </c>
      <c r="C6" s="281" t="s">
        <v>2258</v>
      </c>
      <c r="D6" s="282" t="s">
        <v>882</v>
      </c>
      <c r="E6" s="278" t="s">
        <v>2657</v>
      </c>
      <c r="F6" s="287" t="s">
        <v>2652</v>
      </c>
      <c r="G6" s="282"/>
      <c r="H6" s="284">
        <v>14789963</v>
      </c>
      <c r="I6" s="280">
        <v>400540</v>
      </c>
      <c r="J6" s="282" t="s">
        <v>344</v>
      </c>
      <c r="K6" s="282"/>
      <c r="L6" s="285"/>
      <c r="M6" s="286" t="s">
        <v>35</v>
      </c>
      <c r="N6" s="73" t="str">
        <f t="array" ref="N6">IFERROR(INDEX(All_User!H:H,MATCH(Old_List!B6,All_User!B:B,0)),"퇴사자?")</f>
        <v>5CD5179KJ1</v>
      </c>
      <c r="O6" s="274"/>
      <c r="P6" s="274" t="str">
        <f t="array" ref="P6">IFERROR(INDEX(All_User!D:D,MATCH(Old_List!B6,All_User!B:B,0)),"퇴사자?")</f>
        <v>jackson.kim@stryker.com</v>
      </c>
    </row>
    <row r="7" spans="1:16" ht="15" hidden="1">
      <c r="A7" s="275" t="s">
        <v>833</v>
      </c>
      <c r="B7" s="276" t="s">
        <v>1114</v>
      </c>
      <c r="C7" s="276" t="s">
        <v>2258</v>
      </c>
      <c r="D7" s="277" t="s">
        <v>882</v>
      </c>
      <c r="E7" s="278" t="s">
        <v>132</v>
      </c>
      <c r="F7" s="278" t="s">
        <v>2652</v>
      </c>
      <c r="G7" s="277"/>
      <c r="H7" s="279">
        <v>14789973</v>
      </c>
      <c r="I7" s="275">
        <v>400539</v>
      </c>
      <c r="J7" s="277" t="s">
        <v>2658</v>
      </c>
      <c r="K7" s="277"/>
      <c r="L7" s="65"/>
      <c r="M7" s="85" t="s">
        <v>35</v>
      </c>
      <c r="N7" s="73" t="str">
        <f t="array" ref="N7">IFERROR(INDEX(All_User!H:H,MATCH(Old_List!B7,All_User!B:B,0)),"퇴사자?")</f>
        <v>퇴사자?</v>
      </c>
      <c r="O7" s="274"/>
      <c r="P7" s="274" t="str">
        <f t="array" ref="P7">IFERROR(INDEX(All_User!D:D,MATCH(Old_List!B7,All_User!B:B,0)),"퇴사자?")</f>
        <v>퇴사자?</v>
      </c>
    </row>
    <row r="8" spans="1:16" ht="15" hidden="1">
      <c r="A8" s="267" t="s">
        <v>850</v>
      </c>
      <c r="B8" s="268" t="s">
        <v>633</v>
      </c>
      <c r="C8" s="268" t="s">
        <v>2258</v>
      </c>
      <c r="D8" s="268" t="s">
        <v>882</v>
      </c>
      <c r="E8" s="269" t="s">
        <v>2657</v>
      </c>
      <c r="F8" s="270" t="s">
        <v>2652</v>
      </c>
      <c r="G8" s="268"/>
      <c r="H8" s="271">
        <v>14789983</v>
      </c>
      <c r="I8" s="267">
        <v>216913</v>
      </c>
      <c r="J8" s="268" t="s">
        <v>637</v>
      </c>
      <c r="K8" s="268"/>
      <c r="L8" s="272"/>
      <c r="M8" s="273" t="s">
        <v>35</v>
      </c>
      <c r="N8" s="73" t="str">
        <f t="array" ref="N8">IFERROR(INDEX(All_User!H:H,MATCH(Old_List!B8,All_User!B:B,0)),"퇴사자?")</f>
        <v>없음</v>
      </c>
      <c r="O8" s="274"/>
      <c r="P8" s="274" t="str">
        <f t="array" ref="P8">IFERROR(INDEX(All_User!D:D,MATCH(Old_List!B8,All_User!B:B,0)),"퇴사자?")</f>
        <v>Gregory.Seo@stryker.com</v>
      </c>
    </row>
    <row r="9" spans="1:16" ht="15" hidden="1">
      <c r="A9" s="275" t="s">
        <v>884</v>
      </c>
      <c r="B9" s="276" t="s">
        <v>2659</v>
      </c>
      <c r="C9" s="276" t="s">
        <v>2258</v>
      </c>
      <c r="D9" s="277" t="s">
        <v>882</v>
      </c>
      <c r="E9" s="278" t="s">
        <v>28</v>
      </c>
      <c r="F9" s="288" t="s">
        <v>2652</v>
      </c>
      <c r="G9" s="277"/>
      <c r="H9" s="279">
        <v>14789993</v>
      </c>
      <c r="I9" s="275">
        <v>2116905</v>
      </c>
      <c r="J9" s="277" t="s">
        <v>162</v>
      </c>
      <c r="K9" s="277"/>
      <c r="L9" s="65"/>
      <c r="M9" s="85" t="s">
        <v>35</v>
      </c>
      <c r="N9" s="73" t="str">
        <f t="array" ref="N9">IFERROR(INDEX(All_User!H:H,MATCH(Old_List!B9,All_User!B:B,0)),"퇴사자?")</f>
        <v>퇴사자?</v>
      </c>
      <c r="O9" s="274"/>
      <c r="P9" s="274" t="str">
        <f t="array" ref="P9">IFERROR(INDEX(All_User!D:D,MATCH(Old_List!B9,All_User!B:B,0)),"퇴사자?")</f>
        <v>퇴사자?</v>
      </c>
    </row>
    <row r="10" spans="1:16" ht="15" hidden="1">
      <c r="A10" s="275" t="s">
        <v>540</v>
      </c>
      <c r="B10" s="276" t="s">
        <v>345</v>
      </c>
      <c r="C10" s="276" t="s">
        <v>2258</v>
      </c>
      <c r="D10" s="277" t="s">
        <v>882</v>
      </c>
      <c r="E10" s="278" t="s">
        <v>2657</v>
      </c>
      <c r="F10" s="278" t="s">
        <v>2652</v>
      </c>
      <c r="G10" s="277"/>
      <c r="H10" s="279">
        <v>14790003</v>
      </c>
      <c r="I10" s="275">
        <v>216885</v>
      </c>
      <c r="J10" s="277" t="s">
        <v>348</v>
      </c>
      <c r="K10" s="277"/>
      <c r="L10" s="65"/>
      <c r="M10" s="85" t="s">
        <v>35</v>
      </c>
      <c r="N10" s="73" t="str">
        <f t="array" ref="N10">IFERROR(INDEX(All_User!H:H,MATCH(Old_List!B10,All_User!B:B,0)),"퇴사자?")</f>
        <v>5CD5179KHX</v>
      </c>
      <c r="O10" s="274"/>
      <c r="P10" s="274" t="str">
        <f t="array" ref="P10">IFERROR(INDEX(All_User!D:D,MATCH(Old_List!B10,All_User!B:B,0)),"퇴사자?")</f>
        <v>genie.kim@stryker.com</v>
      </c>
    </row>
    <row r="11" spans="1:16" ht="15" hidden="1">
      <c r="A11" s="275" t="s">
        <v>909</v>
      </c>
      <c r="B11" s="276" t="s">
        <v>2660</v>
      </c>
      <c r="C11" s="276" t="s">
        <v>2258</v>
      </c>
      <c r="D11" s="277" t="s">
        <v>882</v>
      </c>
      <c r="E11" s="278" t="s">
        <v>2357</v>
      </c>
      <c r="F11" s="278" t="s">
        <v>2652</v>
      </c>
      <c r="G11" s="277"/>
      <c r="H11" s="279">
        <v>14790013</v>
      </c>
      <c r="I11" s="275">
        <v>216885</v>
      </c>
      <c r="J11" s="277" t="s">
        <v>2661</v>
      </c>
      <c r="K11" s="277"/>
      <c r="L11" s="65"/>
      <c r="M11" s="85" t="s">
        <v>35</v>
      </c>
      <c r="N11" s="73" t="str">
        <f t="array" ref="N11">IFERROR(INDEX(All_User!H:H,MATCH(Old_List!B11,All_User!B:B,0)),"퇴사자?")</f>
        <v>퇴사자?</v>
      </c>
      <c r="O11" s="274"/>
      <c r="P11" s="274" t="str">
        <f t="array" ref="P11">IFERROR(INDEX(All_User!D:D,MATCH(Old_List!B11,All_User!B:B,0)),"퇴사자?")</f>
        <v>퇴사자?</v>
      </c>
    </row>
    <row r="12" spans="1:16" ht="15" hidden="1">
      <c r="A12" s="275" t="s">
        <v>102</v>
      </c>
      <c r="B12" s="276" t="s">
        <v>2662</v>
      </c>
      <c r="C12" s="276" t="s">
        <v>2258</v>
      </c>
      <c r="D12" s="277" t="s">
        <v>882</v>
      </c>
      <c r="E12" s="278" t="s">
        <v>2120</v>
      </c>
      <c r="F12" s="288" t="s">
        <v>2652</v>
      </c>
      <c r="G12" s="277"/>
      <c r="H12" s="279">
        <v>14790023</v>
      </c>
      <c r="I12" s="275">
        <v>216910</v>
      </c>
      <c r="J12" s="277" t="s">
        <v>2663</v>
      </c>
      <c r="K12" s="277"/>
      <c r="L12" s="65"/>
      <c r="M12" s="85" t="s">
        <v>35</v>
      </c>
      <c r="N12" s="73" t="str">
        <f t="array" ref="N12">IFERROR(INDEX(All_User!H:H,MATCH(Old_List!B12,All_User!B:B,0)),"퇴사자?")</f>
        <v>퇴사자?</v>
      </c>
      <c r="O12" s="274"/>
      <c r="P12" s="274" t="str">
        <f t="array" ref="P12">IFERROR(INDEX(All_User!D:D,MATCH(Old_List!B12,All_User!B:B,0)),"퇴사자?")</f>
        <v>퇴사자?</v>
      </c>
    </row>
    <row r="13" spans="1:16" ht="15" hidden="1">
      <c r="A13" s="275" t="s">
        <v>790</v>
      </c>
      <c r="B13" s="276" t="s">
        <v>93</v>
      </c>
      <c r="C13" s="276" t="s">
        <v>2258</v>
      </c>
      <c r="D13" s="277" t="s">
        <v>882</v>
      </c>
      <c r="E13" s="278" t="s">
        <v>2657</v>
      </c>
      <c r="F13" s="288" t="s">
        <v>2652</v>
      </c>
      <c r="G13" s="277"/>
      <c r="H13" s="279">
        <v>14790033</v>
      </c>
      <c r="I13" s="275">
        <v>216886</v>
      </c>
      <c r="J13" s="277" t="s">
        <v>96</v>
      </c>
      <c r="K13" s="277"/>
      <c r="L13" s="65"/>
      <c r="M13" s="85" t="s">
        <v>35</v>
      </c>
      <c r="N13" s="73" t="str">
        <f t="array" ref="N13">IFERROR(INDEX(All_User!H:H,MATCH(Old_List!B13,All_User!B:B,0)),"퇴사자?")</f>
        <v>5CD5179KHY</v>
      </c>
      <c r="O13" s="274"/>
      <c r="P13" s="274" t="str">
        <f t="array" ref="P13">IFERROR(INDEX(All_User!D:D,MATCH(Old_List!B13,All_User!B:B,0)),"퇴사자?")</f>
        <v>Willy.Chang@stryker.com</v>
      </c>
    </row>
    <row r="14" spans="1:16" ht="15" hidden="1">
      <c r="A14" s="275" t="s">
        <v>850</v>
      </c>
      <c r="B14" s="276" t="s">
        <v>2664</v>
      </c>
      <c r="C14" s="276" t="s">
        <v>2258</v>
      </c>
      <c r="D14" s="277" t="s">
        <v>882</v>
      </c>
      <c r="E14" s="278" t="s">
        <v>2120</v>
      </c>
      <c r="F14" s="288" t="s">
        <v>2652</v>
      </c>
      <c r="G14" s="277"/>
      <c r="H14" s="279">
        <v>14790043</v>
      </c>
      <c r="I14" s="275">
        <v>216895</v>
      </c>
      <c r="J14" s="277" t="s">
        <v>2665</v>
      </c>
      <c r="K14" s="277"/>
      <c r="L14" s="65"/>
      <c r="M14" s="85" t="s">
        <v>35</v>
      </c>
      <c r="N14" s="73" t="str">
        <f t="array" ref="N14">IFERROR(INDEX(All_User!H:H,MATCH(Old_List!B14,All_User!B:B,0)),"퇴사자?")</f>
        <v>퇴사자?</v>
      </c>
      <c r="O14" s="274"/>
      <c r="P14" s="274" t="str">
        <f t="array" ref="P14">IFERROR(INDEX(All_User!D:D,MATCH(Old_List!B14,All_User!B:B,0)),"퇴사자?")</f>
        <v>퇴사자?</v>
      </c>
    </row>
    <row r="15" spans="1:16" ht="15" hidden="1">
      <c r="A15" s="267" t="s">
        <v>899</v>
      </c>
      <c r="B15" s="268" t="s">
        <v>159</v>
      </c>
      <c r="C15" s="268" t="s">
        <v>2258</v>
      </c>
      <c r="D15" s="268" t="s">
        <v>882</v>
      </c>
      <c r="E15" s="269" t="s">
        <v>2657</v>
      </c>
      <c r="F15" s="270" t="s">
        <v>2652</v>
      </c>
      <c r="G15" s="268"/>
      <c r="H15" s="271" t="s">
        <v>28</v>
      </c>
      <c r="I15" s="267">
        <v>216905</v>
      </c>
      <c r="J15" s="268" t="s">
        <v>162</v>
      </c>
      <c r="K15" s="268"/>
      <c r="L15" s="272"/>
      <c r="M15" s="273" t="s">
        <v>35</v>
      </c>
      <c r="N15" s="73" t="str">
        <f t="array" ref="N15">IFERROR(INDEX(All_User!H:H,MATCH(Old_List!B15,All_User!B:B,0)),"퇴사자?")</f>
        <v>5CD5179KHR</v>
      </c>
      <c r="O15" s="274"/>
      <c r="P15" s="274" t="str">
        <f t="array" ref="P15">IFERROR(INDEX(All_User!D:D,MATCH(Old_List!B15,All_User!B:B,0)),"퇴사자?")</f>
        <v>alice.han@stryker.com</v>
      </c>
    </row>
    <row r="16" spans="1:16" ht="15" hidden="1">
      <c r="A16" s="275" t="s">
        <v>833</v>
      </c>
      <c r="B16" s="276" t="s">
        <v>2666</v>
      </c>
      <c r="C16" s="276" t="s">
        <v>2258</v>
      </c>
      <c r="D16" s="277" t="s">
        <v>882</v>
      </c>
      <c r="E16" s="278" t="s">
        <v>2357</v>
      </c>
      <c r="F16" s="288" t="s">
        <v>2652</v>
      </c>
      <c r="G16" s="277"/>
      <c r="H16" s="279">
        <v>14790053</v>
      </c>
      <c r="I16" s="275">
        <v>216907</v>
      </c>
      <c r="J16" s="277" t="s">
        <v>2667</v>
      </c>
      <c r="K16" s="277"/>
      <c r="L16" s="65"/>
      <c r="M16" s="85" t="s">
        <v>35</v>
      </c>
      <c r="N16" s="73" t="str">
        <f t="array" ref="N16">IFERROR(INDEX(All_User!H:H,MATCH(Old_List!B16,All_User!B:B,0)),"퇴사자?")</f>
        <v>퇴사자?</v>
      </c>
      <c r="O16" s="274"/>
      <c r="P16" s="274" t="str">
        <f t="array" ref="P16">IFERROR(INDEX(All_User!D:D,MATCH(Old_List!B16,All_User!B:B,0)),"퇴사자?")</f>
        <v>퇴사자?</v>
      </c>
    </row>
    <row r="17" spans="1:16" ht="15" hidden="1">
      <c r="A17" s="275" t="s">
        <v>833</v>
      </c>
      <c r="B17" s="276" t="s">
        <v>2402</v>
      </c>
      <c r="C17" s="276" t="s">
        <v>2258</v>
      </c>
      <c r="D17" s="277" t="s">
        <v>882</v>
      </c>
      <c r="E17" s="278" t="s">
        <v>2657</v>
      </c>
      <c r="F17" s="288" t="s">
        <v>2652</v>
      </c>
      <c r="G17" s="277"/>
      <c r="H17" s="279">
        <v>14790063</v>
      </c>
      <c r="I17" s="275">
        <v>216912</v>
      </c>
      <c r="J17" s="277" t="s">
        <v>2414</v>
      </c>
      <c r="K17" s="277"/>
      <c r="L17" s="65"/>
      <c r="M17" s="85" t="s">
        <v>35</v>
      </c>
      <c r="N17" s="73" t="str">
        <f t="array" ref="N17">IFERROR(INDEX(All_User!H:H,MATCH(Old_List!B17,All_User!B:B,0)),"퇴사자?")</f>
        <v>퇴사자?</v>
      </c>
      <c r="O17" s="274"/>
      <c r="P17" s="274" t="str">
        <f t="array" ref="P17">IFERROR(INDEX(All_User!D:D,MATCH(Old_List!B17,All_User!B:B,0)),"퇴사자?")</f>
        <v>퇴사자?</v>
      </c>
    </row>
    <row r="18" spans="1:16" ht="15" hidden="1">
      <c r="A18" s="275" t="s">
        <v>932</v>
      </c>
      <c r="B18" s="276" t="s">
        <v>2668</v>
      </c>
      <c r="C18" s="276" t="s">
        <v>2258</v>
      </c>
      <c r="D18" s="277" t="s">
        <v>882</v>
      </c>
      <c r="E18" s="278" t="s">
        <v>2357</v>
      </c>
      <c r="F18" s="288" t="s">
        <v>2652</v>
      </c>
      <c r="G18" s="277"/>
      <c r="H18" s="279">
        <v>14790073</v>
      </c>
      <c r="I18" s="275">
        <v>216911</v>
      </c>
      <c r="J18" s="277" t="s">
        <v>2669</v>
      </c>
      <c r="K18" s="277"/>
      <c r="L18" s="65"/>
      <c r="M18" s="85" t="s">
        <v>35</v>
      </c>
      <c r="N18" s="73" t="str">
        <f t="array" ref="N18">IFERROR(INDEX(All_User!H:H,MATCH(Old_List!B18,All_User!B:B,0)),"퇴사자?")</f>
        <v>퇴사자?</v>
      </c>
      <c r="O18" s="274"/>
      <c r="P18" s="274" t="str">
        <f t="array" ref="P18">IFERROR(INDEX(All_User!D:D,MATCH(Old_List!B18,All_User!B:B,0)),"퇴사자?")</f>
        <v>퇴사자?</v>
      </c>
    </row>
    <row r="19" spans="1:16" ht="15" hidden="1">
      <c r="A19" s="275" t="s">
        <v>833</v>
      </c>
      <c r="B19" s="276" t="s">
        <v>2670</v>
      </c>
      <c r="C19" s="276" t="s">
        <v>2258</v>
      </c>
      <c r="D19" s="277" t="s">
        <v>882</v>
      </c>
      <c r="E19" s="278" t="s">
        <v>2357</v>
      </c>
      <c r="F19" s="288" t="s">
        <v>2652</v>
      </c>
      <c r="G19" s="277"/>
      <c r="H19" s="279">
        <v>14790083</v>
      </c>
      <c r="I19" s="275">
        <v>216882</v>
      </c>
      <c r="J19" s="277" t="s">
        <v>593</v>
      </c>
      <c r="K19" s="277"/>
      <c r="L19" s="65"/>
      <c r="M19" s="85" t="s">
        <v>35</v>
      </c>
      <c r="N19" s="73" t="str">
        <f t="array" ref="N19">IFERROR(INDEX(All_User!H:H,MATCH(Old_List!B19,All_User!B:B,0)),"퇴사자?")</f>
        <v>퇴사자?</v>
      </c>
      <c r="O19" s="274"/>
      <c r="P19" s="274" t="str">
        <f t="array" ref="P19">IFERROR(INDEX(All_User!D:D,MATCH(Old_List!B19,All_User!B:B,0)),"퇴사자?")</f>
        <v>퇴사자?</v>
      </c>
    </row>
    <row r="20" spans="1:16" ht="15">
      <c r="A20" s="275" t="s">
        <v>884</v>
      </c>
      <c r="B20" s="276" t="s">
        <v>1776</v>
      </c>
      <c r="C20" s="276" t="s">
        <v>2258</v>
      </c>
      <c r="D20" s="277" t="s">
        <v>882</v>
      </c>
      <c r="E20" s="278" t="s">
        <v>2671</v>
      </c>
      <c r="F20" s="288" t="s">
        <v>2650</v>
      </c>
      <c r="G20" s="277"/>
      <c r="H20" s="279">
        <v>14790093</v>
      </c>
      <c r="I20" s="275">
        <v>400522</v>
      </c>
      <c r="J20" s="277" t="s">
        <v>2672</v>
      </c>
      <c r="K20" s="277"/>
      <c r="L20" s="65"/>
      <c r="M20" s="85" t="s">
        <v>35</v>
      </c>
      <c r="N20" s="73" t="str">
        <f t="array" ref="N20">IFERROR(INDEX(All_User!H:H,MATCH(Old_List!B20,All_User!B:B,0)),"없음")</f>
        <v>없음</v>
      </c>
      <c r="O20" s="274"/>
      <c r="P20" s="274" t="str">
        <f t="array" ref="P20">IFERROR(INDEX(All_User!D:D,MATCH(Old_List!B20,All_User!B:B,0)),"퇴사자?")</f>
        <v>퇴사자?</v>
      </c>
    </row>
    <row r="21" spans="1:16" ht="15" hidden="1">
      <c r="A21" s="275" t="s">
        <v>790</v>
      </c>
      <c r="B21" s="276" t="s">
        <v>711</v>
      </c>
      <c r="C21" s="276" t="s">
        <v>2258</v>
      </c>
      <c r="D21" s="277" t="s">
        <v>882</v>
      </c>
      <c r="E21" s="278" t="s">
        <v>2657</v>
      </c>
      <c r="F21" s="288" t="s">
        <v>2652</v>
      </c>
      <c r="G21" s="277"/>
      <c r="H21" s="279">
        <v>14790103</v>
      </c>
      <c r="I21" s="275">
        <v>216890</v>
      </c>
      <c r="J21" s="277" t="s">
        <v>714</v>
      </c>
      <c r="K21" s="277"/>
      <c r="L21" s="65"/>
      <c r="M21" s="85" t="s">
        <v>35</v>
      </c>
      <c r="N21" s="73" t="str">
        <f t="array" ref="N21">IFERROR(INDEX(All_User!H:H,MATCH(Old_List!B21,All_User!B:B,0)),"퇴사자?")</f>
        <v>5CD5179KJ3</v>
      </c>
      <c r="O21" s="274"/>
      <c r="P21" s="274" t="str">
        <f t="array" ref="P21">IFERROR(INDEX(All_User!D:D,MATCH(Old_List!B21,All_User!B:B,0)),"퇴사자?")</f>
        <v>David.Yang@stryker.com</v>
      </c>
    </row>
    <row r="22" spans="1:16" ht="15" hidden="1">
      <c r="A22" s="275" t="s">
        <v>540</v>
      </c>
      <c r="B22" s="276" t="s">
        <v>349</v>
      </c>
      <c r="C22" s="276" t="s">
        <v>2258</v>
      </c>
      <c r="D22" s="277" t="s">
        <v>882</v>
      </c>
      <c r="E22" s="278" t="s">
        <v>351</v>
      </c>
      <c r="F22" s="288" t="s">
        <v>2652</v>
      </c>
      <c r="G22" s="277"/>
      <c r="H22" s="279">
        <v>14790113</v>
      </c>
      <c r="I22" s="275">
        <v>400531</v>
      </c>
      <c r="J22" s="277" t="s">
        <v>352</v>
      </c>
      <c r="K22" s="277"/>
      <c r="L22" s="65"/>
      <c r="M22" s="85" t="s">
        <v>35</v>
      </c>
      <c r="N22" s="73" t="str">
        <f t="array" ref="N22">IFERROR(INDEX(All_User!H:H,MATCH(Old_List!B22,All_User!B:B,0)),"퇴사자?")</f>
        <v>5CD5062YDG</v>
      </c>
      <c r="O22" s="274"/>
      <c r="P22" s="274" t="str">
        <f t="array" ref="P22">IFERROR(INDEX(All_User!D:D,MATCH(Old_List!B22,All_User!B:B,0)),"퇴사자?")</f>
        <v>jason.kim1@stryker.com</v>
      </c>
    </row>
    <row r="23" spans="1:16" ht="15" hidden="1">
      <c r="A23" s="267" t="s">
        <v>850</v>
      </c>
      <c r="B23" s="268" t="s">
        <v>561</v>
      </c>
      <c r="C23" s="268" t="s">
        <v>2258</v>
      </c>
      <c r="D23" s="268" t="s">
        <v>882</v>
      </c>
      <c r="E23" s="269" t="s">
        <v>2657</v>
      </c>
      <c r="F23" s="270" t="s">
        <v>2652</v>
      </c>
      <c r="G23" s="268"/>
      <c r="H23" s="271">
        <v>14790123</v>
      </c>
      <c r="I23" s="267">
        <v>216894</v>
      </c>
      <c r="J23" s="268" t="s">
        <v>565</v>
      </c>
      <c r="K23" s="268"/>
      <c r="L23" s="272"/>
      <c r="M23" s="273" t="s">
        <v>35</v>
      </c>
      <c r="N23" s="73" t="str">
        <f t="array" ref="N23">IFERROR(INDEX(All_User!H:H,MATCH(Old_List!B23,All_User!B:B,0)),"퇴사자?")</f>
        <v>5CD5179KHL</v>
      </c>
      <c r="O23" s="274"/>
      <c r="P23" s="274" t="str">
        <f t="array" ref="P23">IFERROR(INDEX(All_User!D:D,MATCH(Old_List!B23,All_User!B:B,0)),"퇴사자?")</f>
        <v>tyler.park@stryker.com</v>
      </c>
    </row>
    <row r="24" spans="1:16" ht="15" hidden="1">
      <c r="A24" s="275" t="s">
        <v>790</v>
      </c>
      <c r="B24" s="276" t="s">
        <v>2385</v>
      </c>
      <c r="C24" s="276" t="s">
        <v>2258</v>
      </c>
      <c r="D24" s="277" t="s">
        <v>882</v>
      </c>
      <c r="E24" s="278" t="s">
        <v>2423</v>
      </c>
      <c r="F24" s="288" t="s">
        <v>2652</v>
      </c>
      <c r="G24" s="277"/>
      <c r="H24" s="279">
        <v>14790133</v>
      </c>
      <c r="I24" s="275">
        <v>400526</v>
      </c>
      <c r="J24" s="277" t="s">
        <v>2425</v>
      </c>
      <c r="K24" s="277"/>
      <c r="L24" s="65"/>
      <c r="M24" s="85" t="s">
        <v>35</v>
      </c>
      <c r="N24" s="73" t="str">
        <f t="array" ref="N24">IFERROR(INDEX(All_User!H:H,MATCH(Old_List!B24,All_User!B:B,0)),"퇴사자?")</f>
        <v>퇴사자?</v>
      </c>
      <c r="O24" s="274"/>
      <c r="P24" s="274" t="str">
        <f t="array" ref="P24">IFERROR(INDEX(All_User!D:D,MATCH(Old_List!B24,All_User!B:B,0)),"퇴사자?")</f>
        <v>퇴사자?</v>
      </c>
    </row>
    <row r="25" spans="1:16" ht="15">
      <c r="A25" s="275" t="s">
        <v>884</v>
      </c>
      <c r="B25" s="276" t="s">
        <v>1776</v>
      </c>
      <c r="C25" s="276" t="s">
        <v>2258</v>
      </c>
      <c r="D25" s="277" t="s">
        <v>882</v>
      </c>
      <c r="E25" s="278"/>
      <c r="F25" s="288" t="s">
        <v>2652</v>
      </c>
      <c r="G25" s="277"/>
      <c r="H25" s="279">
        <v>14790153</v>
      </c>
      <c r="I25" s="275">
        <v>400516</v>
      </c>
      <c r="J25" s="277" t="s">
        <v>612</v>
      </c>
      <c r="K25" s="277"/>
      <c r="L25" s="65"/>
      <c r="M25" s="85" t="s">
        <v>35</v>
      </c>
      <c r="N25" s="73" t="str">
        <f t="array" ref="N25">IFERROR(INDEX(All_User!H:H,MATCH(Old_List!B25,All_User!B:B,0)),"없음")</f>
        <v>없음</v>
      </c>
      <c r="O25" s="274"/>
      <c r="P25" s="274" t="str">
        <f t="array" ref="P25">IFERROR(INDEX(All_User!D:D,MATCH(Old_List!B25,All_User!B:B,0)),"퇴사자?")</f>
        <v>퇴사자?</v>
      </c>
    </row>
    <row r="26" spans="1:16" ht="15">
      <c r="A26" s="275" t="s">
        <v>884</v>
      </c>
      <c r="B26" s="276" t="s">
        <v>1776</v>
      </c>
      <c r="C26" s="276" t="s">
        <v>2258</v>
      </c>
      <c r="D26" s="277" t="s">
        <v>882</v>
      </c>
      <c r="E26" s="278"/>
      <c r="F26" s="288" t="s">
        <v>2652</v>
      </c>
      <c r="G26" s="277"/>
      <c r="H26" s="279">
        <v>14917673</v>
      </c>
      <c r="I26" s="275">
        <v>216908</v>
      </c>
      <c r="J26" s="277" t="s">
        <v>2673</v>
      </c>
      <c r="K26" s="277"/>
      <c r="L26" s="65"/>
      <c r="M26" s="85" t="s">
        <v>35</v>
      </c>
      <c r="N26" s="73" t="str">
        <f t="array" ref="N26">IFERROR(INDEX(All_User!H:H,MATCH(Old_List!B26,All_User!B:B,0)),"없음")</f>
        <v>없음</v>
      </c>
      <c r="O26" s="274"/>
      <c r="P26" s="274" t="str">
        <f t="array" ref="P26">IFERROR(INDEX(All_User!D:D,MATCH(Old_List!B26,All_User!B:B,0)),"퇴사자?")</f>
        <v>퇴사자?</v>
      </c>
    </row>
    <row r="27" spans="1:16" ht="15" hidden="1">
      <c r="A27" s="275" t="s">
        <v>932</v>
      </c>
      <c r="B27" s="276" t="s">
        <v>737</v>
      </c>
      <c r="C27" s="276" t="s">
        <v>2258</v>
      </c>
      <c r="D27" s="277" t="s">
        <v>882</v>
      </c>
      <c r="E27" s="278" t="s">
        <v>739</v>
      </c>
      <c r="F27" s="288" t="s">
        <v>2652</v>
      </c>
      <c r="G27" s="277"/>
      <c r="H27" s="279">
        <v>14917683</v>
      </c>
      <c r="I27" s="275">
        <v>400525</v>
      </c>
      <c r="J27" s="277" t="s">
        <v>740</v>
      </c>
      <c r="K27" s="277"/>
      <c r="L27" s="65"/>
      <c r="M27" s="85" t="s">
        <v>35</v>
      </c>
      <c r="N27" s="73" t="str">
        <f t="array" ref="N27">IFERROR(INDEX(All_User!H:H,MATCH(Old_List!B27,All_User!B:B,0)),"퇴사자?")</f>
        <v>5CD5179KH6</v>
      </c>
      <c r="O27" s="274"/>
      <c r="P27" s="274" t="str">
        <f t="array" ref="P27">IFERROR(INDEX(All_User!D:D,MATCH(Old_List!B27,All_User!B:B,0)),"퇴사자?")</f>
        <v>jiho.yoo@stryker.com</v>
      </c>
    </row>
    <row r="28" spans="1:16" ht="15" hidden="1">
      <c r="A28" s="275" t="s">
        <v>102</v>
      </c>
      <c r="B28" s="276" t="s">
        <v>390</v>
      </c>
      <c r="C28" s="276" t="s">
        <v>2258</v>
      </c>
      <c r="D28" s="277" t="s">
        <v>882</v>
      </c>
      <c r="E28" s="278" t="s">
        <v>392</v>
      </c>
      <c r="F28" s="288" t="s">
        <v>2652</v>
      </c>
      <c r="G28" s="277"/>
      <c r="H28" s="279">
        <v>14917693</v>
      </c>
      <c r="I28" s="275">
        <v>216906</v>
      </c>
      <c r="J28" s="277" t="s">
        <v>395</v>
      </c>
      <c r="K28" s="277"/>
      <c r="L28" s="65"/>
      <c r="M28" s="85" t="s">
        <v>35</v>
      </c>
      <c r="N28" s="73" t="str">
        <f t="array" ref="N28">IFERROR(INDEX(All_User!H:H,MATCH(Old_List!B28,All_User!B:B,0)),"퇴사자?")</f>
        <v>5CD442C07B</v>
      </c>
      <c r="O28" s="274"/>
      <c r="P28" s="274" t="str">
        <f t="array" ref="P28">IFERROR(INDEX(All_User!D:D,MATCH(Old_List!B28,All_User!B:B,0)),"퇴사자?")</f>
        <v>hailey.kim@stryker.com</v>
      </c>
    </row>
    <row r="29" spans="1:16" ht="15">
      <c r="A29" s="275" t="s">
        <v>884</v>
      </c>
      <c r="B29" s="276" t="s">
        <v>1776</v>
      </c>
      <c r="C29" s="276" t="s">
        <v>2258</v>
      </c>
      <c r="D29" s="277" t="s">
        <v>882</v>
      </c>
      <c r="E29" s="278" t="s">
        <v>2674</v>
      </c>
      <c r="F29" s="288" t="s">
        <v>2652</v>
      </c>
      <c r="G29" s="277"/>
      <c r="H29" s="279">
        <v>14917713</v>
      </c>
      <c r="I29" s="275">
        <v>400542</v>
      </c>
      <c r="J29" s="277" t="s">
        <v>2675</v>
      </c>
      <c r="K29" s="277"/>
      <c r="L29" s="65"/>
      <c r="M29" s="85" t="s">
        <v>35</v>
      </c>
      <c r="N29" s="73" t="str">
        <f t="array" ref="N29">IFERROR(INDEX(All_User!H:H,MATCH(Old_List!B29,All_User!B:B,0)),"없음")</f>
        <v>없음</v>
      </c>
      <c r="O29" s="274"/>
      <c r="P29" s="274" t="str">
        <f t="array" ref="P29">IFERROR(INDEX(All_User!D:D,MATCH(Old_List!B29,All_User!B:B,0)),"퇴사자?")</f>
        <v>퇴사자?</v>
      </c>
    </row>
    <row r="30" spans="1:16" ht="15" hidden="1">
      <c r="A30" s="275" t="s">
        <v>909</v>
      </c>
      <c r="B30" s="276" t="s">
        <v>693</v>
      </c>
      <c r="C30" s="276" t="s">
        <v>2258</v>
      </c>
      <c r="D30" s="277" t="s">
        <v>882</v>
      </c>
      <c r="E30" s="278" t="s">
        <v>695</v>
      </c>
      <c r="F30" s="288" t="s">
        <v>2652</v>
      </c>
      <c r="G30" s="277"/>
      <c r="H30" s="279">
        <v>14917723</v>
      </c>
      <c r="I30" s="275">
        <v>216896</v>
      </c>
      <c r="J30" s="277" t="s">
        <v>696</v>
      </c>
      <c r="K30" s="277"/>
      <c r="L30" s="65"/>
      <c r="M30" s="85" t="s">
        <v>35</v>
      </c>
      <c r="N30" s="73" t="str">
        <f t="array" ref="N30">IFERROR(INDEX(All_User!H:H,MATCH(Old_List!B30,All_User!B:B,0)),"퇴사자?")</f>
        <v>5CD4232BFS</v>
      </c>
      <c r="O30" s="274"/>
      <c r="P30" s="274" t="str">
        <f t="array" ref="P30">IFERROR(INDEX(All_User!D:D,MATCH(Old_List!B30,All_User!B:B,0)),"퇴사자?")</f>
        <v>jayden.song@stryker.com</v>
      </c>
    </row>
    <row r="31" spans="1:16" ht="15" hidden="1">
      <c r="A31" s="275" t="s">
        <v>932</v>
      </c>
      <c r="B31" s="276" t="s">
        <v>295</v>
      </c>
      <c r="C31" s="276" t="s">
        <v>2258</v>
      </c>
      <c r="D31" s="277" t="s">
        <v>882</v>
      </c>
      <c r="E31" s="278" t="s">
        <v>297</v>
      </c>
      <c r="F31" s="288" t="s">
        <v>2652</v>
      </c>
      <c r="G31" s="277"/>
      <c r="H31" s="279">
        <v>14917733</v>
      </c>
      <c r="I31" s="275">
        <v>216881</v>
      </c>
      <c r="J31" s="277" t="s">
        <v>298</v>
      </c>
      <c r="K31" s="277"/>
      <c r="L31" s="65"/>
      <c r="M31" s="85" t="s">
        <v>35</v>
      </c>
      <c r="N31" s="73" t="str">
        <f t="array" ref="N31">IFERROR(INDEX(All_User!H:H,MATCH(Old_List!B31,All_User!B:B,0)),"퇴사자?")</f>
        <v>5CD5179KHH</v>
      </c>
      <c r="O31" s="274"/>
      <c r="P31" s="274" t="str">
        <f t="array" ref="P31">IFERROR(INDEX(All_User!D:D,MATCH(Old_List!B31,All_User!B:B,0)),"퇴사자?")</f>
        <v>louis.kang@stryker.com</v>
      </c>
    </row>
    <row r="32" spans="1:16" ht="15" hidden="1">
      <c r="A32" s="275" t="s">
        <v>2676</v>
      </c>
      <c r="B32" s="276" t="s">
        <v>2677</v>
      </c>
      <c r="C32" s="276" t="s">
        <v>2258</v>
      </c>
      <c r="D32" s="277" t="s">
        <v>882</v>
      </c>
      <c r="E32" s="278" t="s">
        <v>28</v>
      </c>
      <c r="F32" s="278" t="s">
        <v>2678</v>
      </c>
      <c r="G32" s="277"/>
      <c r="H32" s="279">
        <v>14917743</v>
      </c>
      <c r="I32" s="275">
        <v>400514</v>
      </c>
      <c r="J32" s="277" t="s">
        <v>2679</v>
      </c>
      <c r="K32" s="277"/>
      <c r="L32" s="65"/>
      <c r="M32" s="85" t="s">
        <v>35</v>
      </c>
      <c r="N32" s="73" t="str">
        <f t="array" ref="N32">IFERROR(INDEX(All_User!H:H,MATCH(Old_List!B32,All_User!B:B,0)),"퇴사자?")</f>
        <v>퇴사자?</v>
      </c>
      <c r="O32" s="274"/>
      <c r="P32" s="274" t="str">
        <f t="array" ref="P32">IFERROR(INDEX(All_User!D:D,MATCH(Old_List!B32,All_User!B:B,0)),"퇴사자?")</f>
        <v>퇴사자?</v>
      </c>
    </row>
    <row r="33" spans="1:16" ht="15" hidden="1">
      <c r="A33" s="267" t="s">
        <v>850</v>
      </c>
      <c r="B33" s="268" t="s">
        <v>208</v>
      </c>
      <c r="C33" s="268" t="s">
        <v>2258</v>
      </c>
      <c r="D33" s="268" t="s">
        <v>882</v>
      </c>
      <c r="E33" s="269" t="s">
        <v>2657</v>
      </c>
      <c r="F33" s="269" t="s">
        <v>2652</v>
      </c>
      <c r="G33" s="268"/>
      <c r="H33" s="271">
        <v>14917753</v>
      </c>
      <c r="I33" s="267">
        <v>216891</v>
      </c>
      <c r="J33" s="268" t="s">
        <v>212</v>
      </c>
      <c r="K33" s="268"/>
      <c r="L33" s="272"/>
      <c r="M33" s="273" t="s">
        <v>35</v>
      </c>
      <c r="N33" s="73" t="str">
        <f t="array" ref="N33">IFERROR(INDEX(All_User!H:H,MATCH(Old_List!B33,All_User!B:B,0)),"퇴사자?")</f>
        <v>5CD5179KHZ</v>
      </c>
      <c r="O33" s="274"/>
      <c r="P33" s="274" t="str">
        <f t="array" ref="P33">IFERROR(INDEX(All_User!D:D,MATCH(Old_List!B33,All_User!B:B,0)),"퇴사자?")</f>
        <v>young.hwang@stryker.com</v>
      </c>
    </row>
    <row r="34" spans="1:16" ht="15" hidden="1">
      <c r="A34" s="275" t="s">
        <v>540</v>
      </c>
      <c r="B34" s="276" t="s">
        <v>2680</v>
      </c>
      <c r="C34" s="276" t="s">
        <v>2258</v>
      </c>
      <c r="D34" s="277" t="s">
        <v>882</v>
      </c>
      <c r="E34" s="278" t="s">
        <v>28</v>
      </c>
      <c r="F34" s="288" t="s">
        <v>2652</v>
      </c>
      <c r="G34" s="277"/>
      <c r="H34" s="279">
        <v>14917763</v>
      </c>
      <c r="I34" s="275">
        <v>400538</v>
      </c>
      <c r="J34" s="277" t="s">
        <v>2681</v>
      </c>
      <c r="K34" s="277"/>
      <c r="L34" s="65"/>
      <c r="M34" s="85" t="s">
        <v>35</v>
      </c>
      <c r="N34" s="73" t="str">
        <f t="array" ref="N34">IFERROR(INDEX(All_User!H:H,MATCH(Old_List!B34,All_User!B:B,0)),"퇴사자?")</f>
        <v>퇴사자?</v>
      </c>
      <c r="O34" s="274"/>
      <c r="P34" s="274" t="str">
        <f t="array" ref="P34">IFERROR(INDEX(All_User!D:D,MATCH(Old_List!B34,All_User!B:B,0)),"퇴사자?")</f>
        <v>퇴사자?</v>
      </c>
    </row>
    <row r="35" spans="1:16" ht="15" hidden="1">
      <c r="A35" s="275" t="s">
        <v>833</v>
      </c>
      <c r="B35" s="276" t="s">
        <v>598</v>
      </c>
      <c r="C35" s="276" t="s">
        <v>2258</v>
      </c>
      <c r="D35" s="277" t="s">
        <v>882</v>
      </c>
      <c r="E35" s="278" t="s">
        <v>600</v>
      </c>
      <c r="F35" s="288" t="s">
        <v>2652</v>
      </c>
      <c r="G35" s="277"/>
      <c r="H35" s="279">
        <v>14917773</v>
      </c>
      <c r="I35" s="275">
        <v>216889</v>
      </c>
      <c r="J35" s="277" t="s">
        <v>602</v>
      </c>
      <c r="K35" s="277"/>
      <c r="L35" s="65"/>
      <c r="M35" s="85" t="s">
        <v>35</v>
      </c>
      <c r="N35" s="73" t="str">
        <f t="array" ref="N35">IFERROR(INDEX(All_User!H:H,MATCH(Old_List!B35,All_User!B:B,0)),"퇴사자?")</f>
        <v>없음</v>
      </c>
      <c r="O35" s="274"/>
      <c r="P35" s="274" t="str">
        <f t="array" ref="P35">IFERROR(INDEX(All_User!D:D,MATCH(Old_List!B35,All_User!B:B,0)),"퇴사자?")</f>
        <v>jin.park@stryker.com</v>
      </c>
    </row>
    <row r="36" spans="1:16" ht="15" hidden="1">
      <c r="A36" s="275" t="s">
        <v>884</v>
      </c>
      <c r="B36" s="276" t="s">
        <v>841</v>
      </c>
      <c r="C36" s="276" t="s">
        <v>2258</v>
      </c>
      <c r="D36" s="277" t="s">
        <v>882</v>
      </c>
      <c r="E36" s="268" t="s">
        <v>2682</v>
      </c>
      <c r="F36" s="288" t="s">
        <v>2650</v>
      </c>
      <c r="G36" s="277"/>
      <c r="H36" s="279"/>
      <c r="I36" s="275">
        <v>400541</v>
      </c>
      <c r="J36" s="277" t="s">
        <v>2683</v>
      </c>
      <c r="K36" s="277"/>
      <c r="L36" s="65"/>
      <c r="M36" s="85" t="s">
        <v>35</v>
      </c>
      <c r="N36" s="73" t="str">
        <f t="array" ref="N36">IFERROR(INDEX(All_User!H:H,MATCH(Old_List!B36,All_User!B:B,0)),"퇴사자?")</f>
        <v>5CD409908N</v>
      </c>
      <c r="O36" s="274"/>
      <c r="P36" s="274" t="str">
        <f t="array" ref="P36">IFERROR(INDEX(All_User!D:D,MATCH(Old_List!B36,All_User!B:B,0)),"퇴사자?")</f>
        <v>kmultiuser@stryker.com</v>
      </c>
    </row>
    <row r="37" spans="1:16" ht="15" hidden="1">
      <c r="A37" s="275" t="s">
        <v>932</v>
      </c>
      <c r="B37" s="276" t="s">
        <v>171</v>
      </c>
      <c r="C37" s="276" t="s">
        <v>2258</v>
      </c>
      <c r="D37" s="277" t="s">
        <v>882</v>
      </c>
      <c r="E37" s="278" t="s">
        <v>173</v>
      </c>
      <c r="F37" s="288" t="s">
        <v>2652</v>
      </c>
      <c r="G37" s="277"/>
      <c r="H37" s="279">
        <v>14917793</v>
      </c>
      <c r="I37" s="275">
        <v>400528</v>
      </c>
      <c r="J37" s="277" t="s">
        <v>176</v>
      </c>
      <c r="K37" s="277"/>
      <c r="L37" s="65"/>
      <c r="M37" s="85" t="s">
        <v>35</v>
      </c>
      <c r="N37" s="73" t="str">
        <f t="array" ref="N37">IFERROR(INDEX(All_User!H:H,MATCH(Old_List!B37,All_User!B:B,0)),"퇴사자?")</f>
        <v>5CD5179KGZ</v>
      </c>
      <c r="O37" s="274"/>
      <c r="P37" s="274" t="str">
        <f t="array" ref="P37">IFERROR(INDEX(All_User!D:D,MATCH(Old_List!B37,All_User!B:B,0)),"퇴사자?")</f>
        <v>jason.han@stryker.com</v>
      </c>
    </row>
    <row r="38" spans="1:16" ht="15" hidden="1">
      <c r="A38" s="275" t="s">
        <v>388</v>
      </c>
      <c r="B38" s="276" t="s">
        <v>384</v>
      </c>
      <c r="C38" s="276" t="s">
        <v>2258</v>
      </c>
      <c r="D38" s="277" t="s">
        <v>882</v>
      </c>
      <c r="E38" s="278" t="s">
        <v>386</v>
      </c>
      <c r="F38" s="288" t="s">
        <v>2652</v>
      </c>
      <c r="G38" s="277"/>
      <c r="H38" s="279">
        <v>14917803</v>
      </c>
      <c r="I38" s="275">
        <v>400524</v>
      </c>
      <c r="J38" s="277" t="s">
        <v>389</v>
      </c>
      <c r="K38" s="277"/>
      <c r="L38" s="65"/>
      <c r="M38" s="85" t="s">
        <v>35</v>
      </c>
      <c r="N38" s="73" t="str">
        <f t="array" ref="N38">IFERROR(INDEX(All_User!H:H,MATCH(Old_List!B38,All_User!B:B,0)),"퇴사자?")</f>
        <v>5CD5179KH1</v>
      </c>
      <c r="O38" s="274"/>
      <c r="P38" s="274" t="str">
        <f t="array" ref="P38">IFERROR(INDEX(All_User!D:D,MATCH(Old_List!B38,All_User!B:B,0)),"퇴사자?")</f>
        <v>soyoun.kim@stryker.com</v>
      </c>
    </row>
    <row r="39" spans="1:16" ht="17">
      <c r="A39" s="275" t="s">
        <v>884</v>
      </c>
      <c r="B39" s="276" t="s">
        <v>1776</v>
      </c>
      <c r="C39" s="276" t="s">
        <v>2258</v>
      </c>
      <c r="D39" s="277" t="s">
        <v>882</v>
      </c>
      <c r="E39" s="278"/>
      <c r="F39" s="289" t="s">
        <v>2652</v>
      </c>
      <c r="G39" s="277"/>
      <c r="H39" s="279">
        <v>14917813</v>
      </c>
      <c r="I39" s="275">
        <v>400530</v>
      </c>
      <c r="J39" s="277" t="s">
        <v>2684</v>
      </c>
      <c r="K39" s="277"/>
      <c r="L39" s="65"/>
      <c r="M39" s="85" t="s">
        <v>35</v>
      </c>
      <c r="N39" s="73" t="str">
        <f t="array" ref="N39">IFERROR(INDEX(All_User!H:H,MATCH(Old_List!B39,All_User!B:B,0)),"없음")</f>
        <v>없음</v>
      </c>
      <c r="O39" s="274"/>
      <c r="P39" s="274" t="str">
        <f t="array" ref="P39">IFERROR(INDEX(All_User!D:D,MATCH(Old_List!B39,All_User!B:B,0)),"퇴사자?")</f>
        <v>퇴사자?</v>
      </c>
    </row>
    <row r="40" spans="1:16" ht="17" hidden="1">
      <c r="A40" s="275" t="s">
        <v>833</v>
      </c>
      <c r="B40" s="276" t="s">
        <v>2381</v>
      </c>
      <c r="C40" s="276" t="s">
        <v>2258</v>
      </c>
      <c r="D40" s="277" t="s">
        <v>882</v>
      </c>
      <c r="E40" s="278" t="s">
        <v>2437</v>
      </c>
      <c r="F40" s="289" t="s">
        <v>2652</v>
      </c>
      <c r="G40" s="277"/>
      <c r="H40" s="279">
        <v>14917823</v>
      </c>
      <c r="I40" s="275">
        <v>216880</v>
      </c>
      <c r="J40" s="277" t="s">
        <v>612</v>
      </c>
      <c r="K40" s="277"/>
      <c r="L40" s="65"/>
      <c r="M40" s="85" t="s">
        <v>35</v>
      </c>
      <c r="N40" s="73" t="str">
        <f t="array" ref="N40">IFERROR(INDEX(All_User!H:H,MATCH(Old_List!B40,All_User!B:B,0)),"퇴사자?")</f>
        <v>퇴사자?</v>
      </c>
      <c r="O40" s="274"/>
      <c r="P40" s="274" t="str">
        <f t="array" ref="P40">IFERROR(INDEX(All_User!D:D,MATCH(Old_List!B40,All_User!B:B,0)),"퇴사자?")</f>
        <v>퇴사자?</v>
      </c>
    </row>
    <row r="41" spans="1:16" ht="17" hidden="1">
      <c r="A41" s="275" t="s">
        <v>2648</v>
      </c>
      <c r="B41" s="276" t="s">
        <v>574</v>
      </c>
      <c r="C41" s="276" t="s">
        <v>2258</v>
      </c>
      <c r="D41" s="277" t="s">
        <v>882</v>
      </c>
      <c r="E41" s="278" t="s">
        <v>576</v>
      </c>
      <c r="F41" s="289" t="s">
        <v>2652</v>
      </c>
      <c r="G41" s="277"/>
      <c r="H41" s="279">
        <v>14918353</v>
      </c>
      <c r="I41" s="275">
        <v>216914</v>
      </c>
      <c r="J41" s="277" t="s">
        <v>579</v>
      </c>
      <c r="K41" s="277"/>
      <c r="L41" s="65"/>
      <c r="M41" s="85" t="s">
        <v>35</v>
      </c>
      <c r="N41" s="73" t="str">
        <f t="array" ref="N41">IFERROR(INDEX(All_User!H:H,MATCH(Old_List!B41,All_User!B:B,0)),"퇴사자?")</f>
        <v>5CD4145N3T</v>
      </c>
      <c r="O41" s="274"/>
      <c r="P41" s="274" t="str">
        <f t="array" ref="P41">IFERROR(INDEX(All_User!D:D,MATCH(Old_List!B41,All_User!B:B,0)),"퇴사자?")</f>
        <v>james.park@stryker.com</v>
      </c>
    </row>
    <row r="42" spans="1:16" ht="17" hidden="1">
      <c r="A42" s="275" t="s">
        <v>884</v>
      </c>
      <c r="B42" s="276" t="s">
        <v>2685</v>
      </c>
      <c r="C42" s="276" t="s">
        <v>2258</v>
      </c>
      <c r="D42" s="277" t="s">
        <v>882</v>
      </c>
      <c r="E42" s="278" t="s">
        <v>28</v>
      </c>
      <c r="F42" s="289" t="s">
        <v>2650</v>
      </c>
      <c r="G42" s="277"/>
      <c r="H42" s="279">
        <v>14918343</v>
      </c>
      <c r="I42" s="275">
        <v>400518</v>
      </c>
      <c r="J42" s="277" t="s">
        <v>2686</v>
      </c>
      <c r="K42" s="277"/>
      <c r="L42" s="65"/>
      <c r="M42" s="85" t="s">
        <v>35</v>
      </c>
      <c r="N42" s="73" t="str">
        <f t="array" ref="N42">IFERROR(INDEX(All_User!H:H,MATCH(Old_List!B42,All_User!B:B,0)),"퇴사자?")</f>
        <v>퇴사자?</v>
      </c>
      <c r="O42" s="274"/>
      <c r="P42" s="274" t="str">
        <f t="array" ref="P42">IFERROR(INDEX(All_User!D:D,MATCH(Old_List!B42,All_User!B:B,0)),"퇴사자?")</f>
        <v>퇴사자?</v>
      </c>
    </row>
    <row r="43" spans="1:16" ht="17" hidden="1">
      <c r="A43" s="275" t="s">
        <v>899</v>
      </c>
      <c r="B43" s="62" t="s">
        <v>2122</v>
      </c>
      <c r="C43" s="276" t="s">
        <v>2258</v>
      </c>
      <c r="D43" s="277" t="s">
        <v>882</v>
      </c>
      <c r="E43" s="278" t="s">
        <v>2123</v>
      </c>
      <c r="F43" s="289" t="s">
        <v>2652</v>
      </c>
      <c r="G43" s="277"/>
      <c r="H43" s="279">
        <v>14918333</v>
      </c>
      <c r="I43" s="275">
        <v>400519</v>
      </c>
      <c r="J43" s="277" t="s">
        <v>2444</v>
      </c>
      <c r="K43" s="277"/>
      <c r="L43" s="65"/>
      <c r="M43" s="85" t="s">
        <v>35</v>
      </c>
      <c r="N43" s="73" t="str">
        <f t="array" ref="N43">IFERROR(INDEX(All_User!H:H,MATCH(Old_List!B43,All_User!B:B,0)),"퇴사자?")</f>
        <v>퇴사자?</v>
      </c>
      <c r="O43" s="274"/>
      <c r="P43" s="274" t="str">
        <f t="array" ref="P43">IFERROR(INDEX(All_User!D:D,MATCH(Old_List!B43,All_User!B:B,0)),"퇴사자?")</f>
        <v>퇴사자?</v>
      </c>
    </row>
    <row r="44" spans="1:16" ht="17">
      <c r="A44" s="275" t="s">
        <v>884</v>
      </c>
      <c r="B44" s="276" t="s">
        <v>1776</v>
      </c>
      <c r="C44" s="276" t="s">
        <v>2258</v>
      </c>
      <c r="D44" s="277" t="s">
        <v>882</v>
      </c>
      <c r="E44" s="278"/>
      <c r="F44" s="289" t="s">
        <v>2652</v>
      </c>
      <c r="G44" s="277"/>
      <c r="H44" s="279">
        <v>14918323</v>
      </c>
      <c r="I44" s="275">
        <v>216883</v>
      </c>
      <c r="J44" s="277" t="s">
        <v>407</v>
      </c>
      <c r="K44" s="277"/>
      <c r="L44" s="65"/>
      <c r="M44" s="85" t="s">
        <v>35</v>
      </c>
      <c r="N44" s="73" t="str">
        <f t="array" ref="N44">IFERROR(INDEX(All_User!H:H,MATCH(Old_List!B44,All_User!B:B,0)),"없음")</f>
        <v>없음</v>
      </c>
      <c r="O44" s="274"/>
      <c r="P44" s="274" t="str">
        <f t="array" ref="P44">IFERROR(INDEX(All_User!D:D,MATCH(Old_List!B44,All_User!B:B,0)),"퇴사자?")</f>
        <v>퇴사자?</v>
      </c>
    </row>
    <row r="45" spans="1:16" ht="17" hidden="1">
      <c r="A45" s="275" t="s">
        <v>540</v>
      </c>
      <c r="B45" s="276" t="s">
        <v>2687</v>
      </c>
      <c r="C45" s="276" t="s">
        <v>2258</v>
      </c>
      <c r="D45" s="277" t="s">
        <v>882</v>
      </c>
      <c r="E45" s="278" t="s">
        <v>28</v>
      </c>
      <c r="F45" s="289" t="s">
        <v>2650</v>
      </c>
      <c r="G45" s="277"/>
      <c r="H45" s="279">
        <v>14918313</v>
      </c>
      <c r="I45" s="275">
        <v>216898</v>
      </c>
      <c r="J45" s="277" t="s">
        <v>2688</v>
      </c>
      <c r="K45" s="277"/>
      <c r="L45" s="65"/>
      <c r="M45" s="85" t="s">
        <v>35</v>
      </c>
      <c r="N45" s="73" t="str">
        <f t="array" ref="N45">IFERROR(INDEX(All_User!H:H,MATCH(Old_List!B45,All_User!B:B,0)),"퇴사자?")</f>
        <v>퇴사자?</v>
      </c>
      <c r="O45" s="274"/>
      <c r="P45" s="274" t="str">
        <f t="array" ref="P45">IFERROR(INDEX(All_User!D:D,MATCH(Old_List!B45,All_User!B:B,0)),"퇴사자?")</f>
        <v>퇴사자?</v>
      </c>
    </row>
    <row r="46" spans="1:16" ht="17" hidden="1">
      <c r="A46" s="275" t="s">
        <v>833</v>
      </c>
      <c r="B46" s="276" t="s">
        <v>103</v>
      </c>
      <c r="C46" s="276" t="s">
        <v>2258</v>
      </c>
      <c r="D46" s="277" t="s">
        <v>882</v>
      </c>
      <c r="E46" s="278" t="s">
        <v>105</v>
      </c>
      <c r="F46" s="289" t="s">
        <v>2652</v>
      </c>
      <c r="G46" s="277"/>
      <c r="H46" s="279">
        <v>14918303</v>
      </c>
      <c r="I46" s="275">
        <v>216915</v>
      </c>
      <c r="J46" s="277" t="s">
        <v>107</v>
      </c>
      <c r="K46" s="277"/>
      <c r="L46" s="65"/>
      <c r="M46" s="85" t="s">
        <v>35</v>
      </c>
      <c r="N46" s="73" t="str">
        <f t="array" ref="N46">IFERROR(INDEX(All_User!H:H,MATCH(Old_List!B46,All_User!B:B,0)),"퇴사자?")</f>
        <v>5CD5179KHG</v>
      </c>
      <c r="O46" s="274"/>
      <c r="P46" s="274" t="str">
        <f t="array" ref="P46">IFERROR(INDEX(All_User!D:D,MATCH(Old_List!B46,All_User!B:B,0)),"퇴사자?")</f>
        <v>martin.cho@stryker.com</v>
      </c>
    </row>
    <row r="47" spans="1:16" ht="17" hidden="1">
      <c r="A47" s="275" t="s">
        <v>833</v>
      </c>
      <c r="B47" s="276" t="s">
        <v>661</v>
      </c>
      <c r="C47" s="276" t="s">
        <v>2258</v>
      </c>
      <c r="D47" s="277" t="s">
        <v>882</v>
      </c>
      <c r="E47" s="278" t="s">
        <v>663</v>
      </c>
      <c r="F47" s="289" t="s">
        <v>2652</v>
      </c>
      <c r="G47" s="277"/>
      <c r="H47" s="279">
        <v>14918293</v>
      </c>
      <c r="I47" s="275">
        <v>216904</v>
      </c>
      <c r="J47" s="277" t="s">
        <v>664</v>
      </c>
      <c r="K47" s="277"/>
      <c r="L47" s="65"/>
      <c r="M47" s="85" t="s">
        <v>35</v>
      </c>
      <c r="N47" s="73" t="str">
        <f t="array" ref="N47">IFERROR(INDEX(All_User!H:H,MATCH(Old_List!B47,All_User!B:B,0)),"퇴사자?")</f>
        <v>5CD5179KHC</v>
      </c>
      <c r="O47" s="274"/>
      <c r="P47" s="274" t="str">
        <f t="array" ref="P47">IFERROR(INDEX(All_User!D:D,MATCH(Old_List!B47,All_User!B:B,0)),"퇴사자?")</f>
        <v>dana.shin@stryker.com</v>
      </c>
    </row>
    <row r="48" spans="1:16" ht="17" hidden="1">
      <c r="A48" s="267" t="s">
        <v>850</v>
      </c>
      <c r="B48" s="268" t="s">
        <v>2454</v>
      </c>
      <c r="C48" s="268" t="s">
        <v>2258</v>
      </c>
      <c r="D48" s="268" t="s">
        <v>882</v>
      </c>
      <c r="E48" s="269" t="s">
        <v>2657</v>
      </c>
      <c r="F48" s="290" t="s">
        <v>2652</v>
      </c>
      <c r="G48" s="268"/>
      <c r="H48" s="271">
        <v>14918283</v>
      </c>
      <c r="I48" s="267">
        <v>401472</v>
      </c>
      <c r="J48" s="268" t="s">
        <v>683</v>
      </c>
      <c r="K48" s="268"/>
      <c r="L48" s="272"/>
      <c r="M48" s="273" t="s">
        <v>35</v>
      </c>
      <c r="N48" s="73" t="str">
        <f t="array" ref="N48">IFERROR(INDEX(All_User!H:H,MATCH(Old_List!B48,All_User!B:B,0)),"퇴사자?")</f>
        <v>퇴사자?</v>
      </c>
      <c r="O48" s="274"/>
      <c r="P48" s="274" t="str">
        <f t="array" ref="P48">IFERROR(INDEX(All_User!D:D,MATCH(Old_List!B48,All_User!B:B,0)),"퇴사자?")</f>
        <v>퇴사자?</v>
      </c>
    </row>
    <row r="49" spans="1:16" ht="17" hidden="1">
      <c r="A49" s="275" t="s">
        <v>2648</v>
      </c>
      <c r="B49" s="276" t="s">
        <v>2121</v>
      </c>
      <c r="C49" s="276" t="s">
        <v>2258</v>
      </c>
      <c r="D49" s="277" t="s">
        <v>882</v>
      </c>
      <c r="E49" s="278" t="s">
        <v>2120</v>
      </c>
      <c r="F49" s="289" t="s">
        <v>2652</v>
      </c>
      <c r="G49" s="277"/>
      <c r="H49" s="279">
        <v>14918273</v>
      </c>
      <c r="I49" s="275">
        <v>216902</v>
      </c>
      <c r="J49" s="277" t="s">
        <v>2689</v>
      </c>
      <c r="K49" s="277"/>
      <c r="L49" s="65"/>
      <c r="M49" s="85" t="s">
        <v>35</v>
      </c>
      <c r="N49" s="73" t="str">
        <f t="array" ref="N49">IFERROR(INDEX(All_User!H:H,MATCH(Old_List!B49,All_User!B:B,0)),"퇴사자?")</f>
        <v>퇴사자?</v>
      </c>
      <c r="O49" s="274"/>
      <c r="P49" s="274" t="str">
        <f t="array" ref="P49">IFERROR(INDEX(All_User!D:D,MATCH(Old_List!B49,All_User!B:B,0)),"퇴사자?")</f>
        <v>퇴사자?</v>
      </c>
    </row>
    <row r="50" spans="1:16" ht="15" hidden="1">
      <c r="A50" s="275" t="s">
        <v>388</v>
      </c>
      <c r="B50" s="276" t="s">
        <v>642</v>
      </c>
      <c r="C50" s="276" t="s">
        <v>2258</v>
      </c>
      <c r="D50" s="277" t="s">
        <v>882</v>
      </c>
      <c r="E50" s="278" t="s">
        <v>644</v>
      </c>
      <c r="F50" s="278" t="s">
        <v>2652</v>
      </c>
      <c r="G50" s="277"/>
      <c r="H50" s="279">
        <v>14918263</v>
      </c>
      <c r="I50" s="275">
        <v>400527</v>
      </c>
      <c r="J50" s="277" t="s">
        <v>646</v>
      </c>
      <c r="K50" s="277"/>
      <c r="L50" s="65"/>
      <c r="M50" s="85" t="s">
        <v>35</v>
      </c>
      <c r="N50" s="73" t="str">
        <f t="array" ref="N50">IFERROR(INDEX(All_User!H:H,MATCH(Old_List!B50,All_User!B:B,0)),"퇴사자?")</f>
        <v>5CD5179KH0</v>
      </c>
      <c r="O50" s="274"/>
      <c r="P50" s="274" t="str">
        <f t="array" ref="P50">IFERROR(INDEX(All_User!D:D,MATCH(Old_List!B50,All_User!B:B,0)),"퇴사자?")</f>
        <v>jaehee.seo@stryker.com</v>
      </c>
    </row>
    <row r="51" spans="1:16" ht="15" hidden="1">
      <c r="A51" s="267" t="s">
        <v>2648</v>
      </c>
      <c r="B51" s="268" t="s">
        <v>2264</v>
      </c>
      <c r="C51" s="268" t="s">
        <v>2258</v>
      </c>
      <c r="D51" s="268" t="s">
        <v>882</v>
      </c>
      <c r="E51" s="269" t="s">
        <v>2657</v>
      </c>
      <c r="F51" s="269" t="s">
        <v>2652</v>
      </c>
      <c r="G51" s="268"/>
      <c r="H51" s="271">
        <v>14918263</v>
      </c>
      <c r="I51" s="267">
        <v>404556</v>
      </c>
      <c r="J51" s="268"/>
      <c r="K51" s="268"/>
      <c r="L51" s="272"/>
      <c r="M51" s="273" t="s">
        <v>35</v>
      </c>
      <c r="N51" s="73" t="str">
        <f t="array" ref="N51">IFERROR(INDEX(All_User!H:H,MATCH(Old_List!B51,All_User!B:B,0)),"퇴사자?")</f>
        <v>퇴사자?</v>
      </c>
      <c r="O51" s="274"/>
      <c r="P51" s="274" t="str">
        <f t="array" ref="P51">IFERROR(INDEX(All_User!D:D,MATCH(Old_List!B51,All_User!B:B,0)),"퇴사자?")</f>
        <v>퇴사자?</v>
      </c>
    </row>
    <row r="52" spans="1:16" ht="15">
      <c r="A52" s="275" t="s">
        <v>884</v>
      </c>
      <c r="B52" s="276" t="s">
        <v>1776</v>
      </c>
      <c r="C52" s="276" t="s">
        <v>2258</v>
      </c>
      <c r="D52" s="277" t="s">
        <v>882</v>
      </c>
      <c r="E52" s="278"/>
      <c r="F52" s="278" t="s">
        <v>2652</v>
      </c>
      <c r="G52" s="277"/>
      <c r="H52" s="279">
        <v>14918243</v>
      </c>
      <c r="I52" s="275">
        <v>404554</v>
      </c>
      <c r="J52" s="277" t="s">
        <v>2690</v>
      </c>
      <c r="K52" s="277"/>
      <c r="L52" s="65"/>
      <c r="M52" s="85" t="s">
        <v>35</v>
      </c>
      <c r="N52" s="73" t="str">
        <f t="array" ref="N52">IFERROR(INDEX(All_User!H:H,MATCH(Old_List!B52,All_User!B:B,0)),"없음")</f>
        <v>없음</v>
      </c>
      <c r="O52" s="274"/>
      <c r="P52" s="274" t="str">
        <f t="array" ref="P52">IFERROR(INDEX(All_User!D:D,MATCH(Old_List!B52,All_User!B:B,0)),"퇴사자?")</f>
        <v>퇴사자?</v>
      </c>
    </row>
    <row r="53" spans="1:16" ht="15" hidden="1">
      <c r="A53" s="275" t="s">
        <v>2676</v>
      </c>
      <c r="B53" s="276" t="s">
        <v>2691</v>
      </c>
      <c r="C53" s="276" t="s">
        <v>2258</v>
      </c>
      <c r="D53" s="277" t="s">
        <v>882</v>
      </c>
      <c r="E53" s="278" t="s">
        <v>28</v>
      </c>
      <c r="F53" s="278" t="s">
        <v>2678</v>
      </c>
      <c r="G53" s="277"/>
      <c r="H53" s="279">
        <v>14918253</v>
      </c>
      <c r="I53" s="275">
        <v>404551</v>
      </c>
      <c r="J53" s="277" t="s">
        <v>2692</v>
      </c>
      <c r="K53" s="277"/>
      <c r="L53" s="65"/>
      <c r="M53" s="85" t="s">
        <v>35</v>
      </c>
      <c r="N53" s="73" t="str">
        <f t="array" ref="N53">IFERROR(INDEX(All_User!H:H,MATCH(Old_List!B53,All_User!B:B,0)),"퇴사자?")</f>
        <v>퇴사자?</v>
      </c>
      <c r="O53" s="274"/>
      <c r="P53" s="274" t="str">
        <f t="array" ref="P53">IFERROR(INDEX(All_User!D:D,MATCH(Old_List!B53,All_User!B:B,0)),"퇴사자?")</f>
        <v>퇴사자?</v>
      </c>
    </row>
    <row r="54" spans="1:16" ht="15" hidden="1">
      <c r="A54" s="275" t="s">
        <v>884</v>
      </c>
      <c r="B54" s="277" t="s">
        <v>1776</v>
      </c>
      <c r="C54" s="277" t="s">
        <v>2258</v>
      </c>
      <c r="D54" s="277" t="s">
        <v>882</v>
      </c>
      <c r="E54" s="278"/>
      <c r="F54" s="288" t="s">
        <v>2650</v>
      </c>
      <c r="G54" s="277"/>
      <c r="H54" s="291">
        <v>14918253</v>
      </c>
      <c r="I54" s="275">
        <v>404552</v>
      </c>
      <c r="J54" s="277" t="s">
        <v>2693</v>
      </c>
      <c r="K54" s="277"/>
      <c r="L54" s="65"/>
      <c r="M54" s="85" t="s">
        <v>35</v>
      </c>
      <c r="N54" s="73" t="str">
        <f t="array" ref="N54">IFERROR(INDEX(All_User!H:H,MATCH(Old_List!B54,All_User!B:B,0)),"퇴사자?")</f>
        <v>퇴사자?</v>
      </c>
      <c r="O54" s="274"/>
      <c r="P54" s="274" t="str">
        <f t="array" ref="P54">IFERROR(INDEX(All_User!D:D,MATCH(Old_List!B54,All_User!B:B,0)),"퇴사자?")</f>
        <v>퇴사자?</v>
      </c>
    </row>
    <row r="55" spans="1:16" ht="15" hidden="1">
      <c r="A55" s="275" t="s">
        <v>846</v>
      </c>
      <c r="B55" s="276" t="s">
        <v>291</v>
      </c>
      <c r="C55" s="276" t="s">
        <v>2258</v>
      </c>
      <c r="D55" s="277" t="s">
        <v>882</v>
      </c>
      <c r="E55" s="278" t="s">
        <v>292</v>
      </c>
      <c r="F55" s="288" t="s">
        <v>2652</v>
      </c>
      <c r="G55" s="277"/>
      <c r="H55" s="279">
        <v>14918223</v>
      </c>
      <c r="I55" s="275">
        <v>404553</v>
      </c>
      <c r="J55" s="277" t="s">
        <v>294</v>
      </c>
      <c r="K55" s="277"/>
      <c r="L55" s="65"/>
      <c r="M55" s="85" t="s">
        <v>35</v>
      </c>
      <c r="N55" s="73" t="str">
        <f t="array" ref="N55">IFERROR(INDEX(All_User!H:H,MATCH(Old_List!B55,All_User!B:B,0)),"퇴사자?")</f>
        <v>5CD5179KJ2</v>
      </c>
      <c r="O55" s="274"/>
      <c r="P55" s="274" t="str">
        <f t="array" ref="P55">IFERROR(INDEX(All_User!D:D,MATCH(Old_List!B55,All_User!B:B,0)),"퇴사자?")</f>
        <v>James.Kang@stryker.com</v>
      </c>
    </row>
    <row r="56" spans="1:16" ht="15" hidden="1">
      <c r="A56" s="267" t="s">
        <v>850</v>
      </c>
      <c r="B56" s="268" t="s">
        <v>321</v>
      </c>
      <c r="C56" s="268" t="s">
        <v>2258</v>
      </c>
      <c r="D56" s="268" t="s">
        <v>882</v>
      </c>
      <c r="E56" s="269" t="s">
        <v>2657</v>
      </c>
      <c r="F56" s="270" t="s">
        <v>2652</v>
      </c>
      <c r="G56" s="268"/>
      <c r="H56" s="271">
        <v>14918213</v>
      </c>
      <c r="I56" s="267">
        <v>404550</v>
      </c>
      <c r="J56" s="268" t="s">
        <v>325</v>
      </c>
      <c r="K56" s="268"/>
      <c r="L56" s="272"/>
      <c r="M56" s="273" t="s">
        <v>35</v>
      </c>
      <c r="N56" s="73" t="str">
        <f t="array" ref="N56">IFERROR(INDEX(All_User!H:H,MATCH(Old_List!B56,All_User!B:B,0)),"퇴사자?")</f>
        <v>5CD5179KJB</v>
      </c>
      <c r="O56" s="274"/>
      <c r="P56" s="274" t="str">
        <f t="array" ref="P56">IFERROR(INDEX(All_User!D:D,MATCH(Old_List!B56,All_User!B:B,0)),"퇴사자?")</f>
        <v>Rayna.Kim@stryker.com</v>
      </c>
    </row>
    <row r="57" spans="1:16" ht="15" hidden="1">
      <c r="A57" s="275" t="s">
        <v>884</v>
      </c>
      <c r="B57" s="276" t="s">
        <v>1776</v>
      </c>
      <c r="C57" s="276" t="s">
        <v>2258</v>
      </c>
      <c r="D57" s="277" t="s">
        <v>882</v>
      </c>
      <c r="E57" s="94"/>
      <c r="F57" s="292" t="s">
        <v>2652</v>
      </c>
      <c r="G57" s="277"/>
      <c r="H57" s="279">
        <v>14917893</v>
      </c>
      <c r="I57" s="275">
        <v>401470</v>
      </c>
      <c r="J57" s="277" t="s">
        <v>2694</v>
      </c>
      <c r="K57" s="277"/>
      <c r="L57" s="65"/>
      <c r="M57" s="85" t="s">
        <v>35</v>
      </c>
      <c r="N57" s="73" t="str">
        <f t="array" ref="N57">IFERROR(INDEX(All_User!H:H,MATCH(Old_List!B57,All_User!B:B,0)),"퇴사자?")</f>
        <v>퇴사자?</v>
      </c>
      <c r="O57" s="274"/>
      <c r="P57" s="274" t="str">
        <f t="array" ref="P57">IFERROR(INDEX(All_User!D:D,MATCH(Old_List!B57,All_User!B:B,0)),"퇴사자?")</f>
        <v>퇴사자?</v>
      </c>
    </row>
    <row r="58" spans="1:16" ht="15" hidden="1">
      <c r="A58" s="275" t="s">
        <v>884</v>
      </c>
      <c r="B58" s="276" t="s">
        <v>1776</v>
      </c>
      <c r="C58" s="276" t="s">
        <v>2258</v>
      </c>
      <c r="D58" s="277" t="s">
        <v>882</v>
      </c>
      <c r="E58" s="278"/>
      <c r="F58" s="288" t="s">
        <v>2652</v>
      </c>
      <c r="G58" s="277"/>
      <c r="H58" s="279">
        <v>14917883</v>
      </c>
      <c r="I58" s="275">
        <v>216892</v>
      </c>
      <c r="J58" s="277" t="s">
        <v>2695</v>
      </c>
      <c r="K58" s="277"/>
      <c r="L58" s="65"/>
      <c r="M58" s="85" t="s">
        <v>35</v>
      </c>
      <c r="N58" s="73" t="str">
        <f t="array" ref="N58">IFERROR(INDEX(All_User!H:H,MATCH(Old_List!B58,All_User!B:B,0)),"퇴사자?")</f>
        <v>퇴사자?</v>
      </c>
      <c r="O58" s="274"/>
      <c r="P58" s="274" t="str">
        <f t="array" ref="P58">IFERROR(INDEX(All_User!D:D,MATCH(Old_List!B58,All_User!B:B,0)),"퇴사자?")</f>
        <v>퇴사자?</v>
      </c>
    </row>
    <row r="59" spans="1:16" ht="15" hidden="1">
      <c r="A59" s="275" t="s">
        <v>884</v>
      </c>
      <c r="B59" s="276" t="s">
        <v>1776</v>
      </c>
      <c r="C59" s="276" t="s">
        <v>2258</v>
      </c>
      <c r="D59" s="277" t="s">
        <v>882</v>
      </c>
      <c r="E59" s="278" t="s">
        <v>2120</v>
      </c>
      <c r="F59" s="288" t="s">
        <v>2650</v>
      </c>
      <c r="G59" s="277"/>
      <c r="H59" s="279">
        <v>14917873</v>
      </c>
      <c r="I59" s="275">
        <v>400515</v>
      </c>
      <c r="J59" s="277" t="s">
        <v>2696</v>
      </c>
      <c r="K59" s="277"/>
      <c r="L59" s="65"/>
      <c r="M59" s="85" t="s">
        <v>35</v>
      </c>
      <c r="N59" s="73" t="str">
        <f t="array" ref="N59">IFERROR(INDEX(All_User!H:H,MATCH(Old_List!B59,All_User!B:B,0)),"퇴사자?")</f>
        <v>퇴사자?</v>
      </c>
      <c r="O59" s="274"/>
      <c r="P59" s="274" t="str">
        <f t="array" ref="P59">IFERROR(INDEX(All_User!D:D,MATCH(Old_List!B59,All_User!B:B,0)),"퇴사자?")</f>
        <v>퇴사자?</v>
      </c>
    </row>
    <row r="60" spans="1:16" ht="15" hidden="1">
      <c r="A60" s="275" t="s">
        <v>884</v>
      </c>
      <c r="B60" s="276" t="s">
        <v>1776</v>
      </c>
      <c r="C60" s="276" t="s">
        <v>2258</v>
      </c>
      <c r="D60" s="277" t="s">
        <v>882</v>
      </c>
      <c r="E60" s="278"/>
      <c r="F60" s="288" t="s">
        <v>2650</v>
      </c>
      <c r="G60" s="277"/>
      <c r="H60" s="279">
        <v>14917863</v>
      </c>
      <c r="I60" s="275">
        <v>400523</v>
      </c>
      <c r="J60" s="277" t="s">
        <v>2697</v>
      </c>
      <c r="K60" s="277"/>
      <c r="L60" s="65"/>
      <c r="M60" s="85" t="s">
        <v>35</v>
      </c>
      <c r="N60" s="73" t="str">
        <f t="array" ref="N60">IFERROR(INDEX(All_User!H:H,MATCH(Old_List!B60,All_User!B:B,0)),"퇴사자?")</f>
        <v>퇴사자?</v>
      </c>
      <c r="O60" s="274"/>
      <c r="P60" s="274" t="str">
        <f t="array" ref="P60">IFERROR(INDEX(All_User!D:D,MATCH(Old_List!B60,All_User!B:B,0)),"퇴사자?")</f>
        <v>퇴사자?</v>
      </c>
    </row>
    <row r="61" spans="1:16" ht="15" hidden="1">
      <c r="A61" s="275" t="s">
        <v>833</v>
      </c>
      <c r="B61" s="276" t="s">
        <v>483</v>
      </c>
      <c r="C61" s="276" t="s">
        <v>2258</v>
      </c>
      <c r="D61" s="277" t="s">
        <v>882</v>
      </c>
      <c r="E61" s="278" t="s">
        <v>485</v>
      </c>
      <c r="F61" s="288" t="s">
        <v>2652</v>
      </c>
      <c r="G61" s="277"/>
      <c r="H61" s="279"/>
      <c r="I61" s="275"/>
      <c r="J61" s="277"/>
      <c r="K61" s="277"/>
      <c r="L61" s="65"/>
      <c r="M61" s="85" t="s">
        <v>35</v>
      </c>
      <c r="N61" s="73" t="str">
        <f t="array" ref="N61">IFERROR(INDEX(All_User!H:H,MATCH(Old_List!B61,All_User!B:B,0)),"퇴사자?")</f>
        <v>5CD5179KH2</v>
      </c>
      <c r="O61" s="274"/>
      <c r="P61" s="274" t="str">
        <f t="array" ref="P61">IFERROR(INDEX(All_User!D:D,MATCH(Old_List!B61,All_User!B:B,0)),"퇴사자?")</f>
        <v>henry.lee@stryker.com</v>
      </c>
    </row>
    <row r="62" spans="1:16" ht="15">
      <c r="A62" s="275" t="s">
        <v>909</v>
      </c>
      <c r="B62" s="276" t="s">
        <v>29</v>
      </c>
      <c r="C62" s="276" t="s">
        <v>2258</v>
      </c>
      <c r="D62" s="277" t="s">
        <v>882</v>
      </c>
      <c r="E62" s="278" t="s">
        <v>28</v>
      </c>
      <c r="F62" s="288" t="s">
        <v>2652</v>
      </c>
      <c r="G62" s="277"/>
      <c r="H62" s="279">
        <v>14917853</v>
      </c>
      <c r="I62" s="275">
        <v>216909</v>
      </c>
      <c r="J62" s="277" t="s">
        <v>2698</v>
      </c>
      <c r="K62" s="277"/>
      <c r="L62" s="65"/>
      <c r="M62" s="85" t="s">
        <v>35</v>
      </c>
      <c r="N62" s="73" t="str">
        <f t="array" ref="N62">IFERROR(INDEX(All_User!H:H,MATCH(Old_List!B62,All_User!B:B,0)),"퇴사자?")</f>
        <v>5CD5179KJ6</v>
      </c>
      <c r="O62" s="274"/>
      <c r="P62" s="274" t="str">
        <f t="array" ref="P62">IFERROR(INDEX(All_User!D:D,MATCH(Old_List!B62,All_User!B:B,0)),"퇴사자?")</f>
        <v>andrew.ahn@stryker.com</v>
      </c>
    </row>
    <row r="63" spans="1:16" ht="15" hidden="1">
      <c r="A63" s="275" t="s">
        <v>884</v>
      </c>
      <c r="B63" s="62" t="s">
        <v>864</v>
      </c>
      <c r="C63" s="268" t="s">
        <v>2263</v>
      </c>
      <c r="D63" s="277" t="s">
        <v>2699</v>
      </c>
      <c r="E63" s="278"/>
      <c r="F63" s="288" t="s">
        <v>2700</v>
      </c>
      <c r="G63" s="277"/>
      <c r="H63" s="279">
        <v>15134703</v>
      </c>
      <c r="I63" s="275">
        <v>404515</v>
      </c>
      <c r="J63" s="277" t="s">
        <v>2701</v>
      </c>
      <c r="K63" s="277"/>
      <c r="L63" s="65"/>
      <c r="M63" s="73">
        <v>39255</v>
      </c>
      <c r="N63" s="73" t="str">
        <f t="array" ref="N63">IFERROR(INDEX(All_User!H:H,MATCH(Old_List!B63,All_User!B:B,0)),"퇴사자?")</f>
        <v>퇴사자?</v>
      </c>
      <c r="O63" s="274"/>
      <c r="P63" s="274" t="str">
        <f t="array" ref="P63">IFERROR(INDEX(All_User!D:D,MATCH(Old_List!B63,All_User!B:B,0)),"퇴사자?")</f>
        <v>퇴사자?</v>
      </c>
    </row>
    <row r="64" spans="1:16" ht="15" hidden="1">
      <c r="A64" s="275" t="s">
        <v>917</v>
      </c>
      <c r="B64" s="276" t="s">
        <v>2702</v>
      </c>
      <c r="C64" s="276" t="s">
        <v>2263</v>
      </c>
      <c r="D64" s="277" t="s">
        <v>2699</v>
      </c>
      <c r="E64" s="278"/>
      <c r="F64" s="288" t="s">
        <v>2700</v>
      </c>
      <c r="G64" s="277"/>
      <c r="H64" s="279">
        <v>15134693</v>
      </c>
      <c r="I64" s="275">
        <v>404508</v>
      </c>
      <c r="J64" s="277" t="s">
        <v>2703</v>
      </c>
      <c r="K64" s="277"/>
      <c r="L64" s="65"/>
      <c r="M64" s="73">
        <v>39255</v>
      </c>
      <c r="N64" s="73" t="str">
        <f t="array" ref="N64">IFERROR(INDEX(All_User!H:H,MATCH(Old_List!B64,All_User!B:B,0)),"퇴사자?")</f>
        <v>퇴사자?</v>
      </c>
      <c r="O64" s="274"/>
      <c r="P64" s="274" t="str">
        <f t="array" ref="P64">IFERROR(INDEX(All_User!D:D,MATCH(Old_List!B64,All_User!B:B,0)),"퇴사자?")</f>
        <v>퇴사자?</v>
      </c>
    </row>
    <row r="65" spans="1:16" ht="15" hidden="1">
      <c r="A65" s="275" t="s">
        <v>917</v>
      </c>
      <c r="B65" s="276" t="s">
        <v>2704</v>
      </c>
      <c r="C65" s="276" t="s">
        <v>2263</v>
      </c>
      <c r="D65" s="277" t="s">
        <v>2699</v>
      </c>
      <c r="E65" s="278"/>
      <c r="F65" s="288" t="s">
        <v>2700</v>
      </c>
      <c r="G65" s="277"/>
      <c r="H65" s="279">
        <v>15134683</v>
      </c>
      <c r="I65" s="275">
        <v>404511</v>
      </c>
      <c r="J65" s="277" t="s">
        <v>2705</v>
      </c>
      <c r="K65" s="277"/>
      <c r="L65" s="65"/>
      <c r="M65" s="73">
        <v>39255</v>
      </c>
      <c r="N65" s="73" t="str">
        <f t="array" ref="N65">IFERROR(INDEX(All_User!H:H,MATCH(Old_List!B65,All_User!B:B,0)),"퇴사자?")</f>
        <v>퇴사자?</v>
      </c>
      <c r="O65" s="274"/>
      <c r="P65" s="274" t="str">
        <f t="array" ref="P65">IFERROR(INDEX(All_User!D:D,MATCH(Old_List!B65,All_User!B:B,0)),"퇴사자?")</f>
        <v>퇴사자?</v>
      </c>
    </row>
    <row r="66" spans="1:16" ht="15" hidden="1">
      <c r="A66" s="275" t="s">
        <v>917</v>
      </c>
      <c r="B66" s="276" t="s">
        <v>2706</v>
      </c>
      <c r="C66" s="276" t="s">
        <v>2263</v>
      </c>
      <c r="D66" s="277" t="s">
        <v>2699</v>
      </c>
      <c r="E66" s="278"/>
      <c r="F66" s="288" t="s">
        <v>2700</v>
      </c>
      <c r="G66" s="277"/>
      <c r="H66" s="279">
        <v>15134673</v>
      </c>
      <c r="I66" s="275">
        <v>404514</v>
      </c>
      <c r="J66" s="277" t="s">
        <v>2707</v>
      </c>
      <c r="K66" s="277"/>
      <c r="L66" s="65"/>
      <c r="M66" s="73">
        <v>39255</v>
      </c>
      <c r="N66" s="73" t="str">
        <f t="array" ref="N66">IFERROR(INDEX(All_User!H:H,MATCH(Old_List!B66,All_User!B:B,0)),"퇴사자?")</f>
        <v>퇴사자?</v>
      </c>
      <c r="O66" s="274"/>
      <c r="P66" s="274" t="str">
        <f t="array" ref="P66">IFERROR(INDEX(All_User!D:D,MATCH(Old_List!B66,All_User!B:B,0)),"퇴사자?")</f>
        <v>퇴사자?</v>
      </c>
    </row>
    <row r="67" spans="1:16" ht="15" hidden="1">
      <c r="A67" s="275" t="s">
        <v>917</v>
      </c>
      <c r="B67" s="276" t="s">
        <v>2708</v>
      </c>
      <c r="C67" s="276" t="s">
        <v>2263</v>
      </c>
      <c r="D67" s="277" t="s">
        <v>2699</v>
      </c>
      <c r="E67" s="278"/>
      <c r="F67" s="288" t="s">
        <v>2700</v>
      </c>
      <c r="G67" s="277"/>
      <c r="H67" s="279">
        <v>15134663</v>
      </c>
      <c r="I67" s="275">
        <v>404509</v>
      </c>
      <c r="J67" s="277" t="s">
        <v>2709</v>
      </c>
      <c r="K67" s="277"/>
      <c r="L67" s="65"/>
      <c r="M67" s="73">
        <v>39255</v>
      </c>
      <c r="N67" s="73" t="str">
        <f t="array" ref="N67">IFERROR(INDEX(All_User!H:H,MATCH(Old_List!B67,All_User!B:B,0)),"퇴사자?")</f>
        <v>퇴사자?</v>
      </c>
      <c r="O67" s="274"/>
      <c r="P67" s="274" t="str">
        <f t="array" ref="P67">IFERROR(INDEX(All_User!D:D,MATCH(Old_List!B67,All_User!B:B,0)),"퇴사자?")</f>
        <v>퇴사자?</v>
      </c>
    </row>
    <row r="68" spans="1:16" ht="15" hidden="1">
      <c r="A68" s="275" t="s">
        <v>917</v>
      </c>
      <c r="B68" s="276" t="s">
        <v>2710</v>
      </c>
      <c r="C68" s="276" t="s">
        <v>2263</v>
      </c>
      <c r="D68" s="277" t="s">
        <v>2699</v>
      </c>
      <c r="E68" s="278"/>
      <c r="F68" s="288" t="s">
        <v>2700</v>
      </c>
      <c r="G68" s="277"/>
      <c r="H68" s="279">
        <v>15134653</v>
      </c>
      <c r="I68" s="275">
        <v>404517</v>
      </c>
      <c r="J68" s="277" t="s">
        <v>2711</v>
      </c>
      <c r="K68" s="277"/>
      <c r="L68" s="65"/>
      <c r="M68" s="73">
        <v>39255</v>
      </c>
      <c r="N68" s="73" t="str">
        <f t="array" ref="N68">IFERROR(INDEX(All_User!H:H,MATCH(Old_List!B68,All_User!B:B,0)),"퇴사자?")</f>
        <v>퇴사자?</v>
      </c>
      <c r="O68" s="274"/>
      <c r="P68" s="274" t="str">
        <f t="array" ref="P68">IFERROR(INDEX(All_User!D:D,MATCH(Old_List!B68,All_User!B:B,0)),"퇴사자?")</f>
        <v>퇴사자?</v>
      </c>
    </row>
    <row r="69" spans="1:16" ht="15" hidden="1">
      <c r="A69" s="275" t="s">
        <v>917</v>
      </c>
      <c r="B69" s="276" t="s">
        <v>2712</v>
      </c>
      <c r="C69" s="276" t="s">
        <v>2263</v>
      </c>
      <c r="D69" s="277" t="s">
        <v>2699</v>
      </c>
      <c r="E69" s="278"/>
      <c r="F69" s="288" t="s">
        <v>2700</v>
      </c>
      <c r="G69" s="277"/>
      <c r="H69" s="279">
        <v>15134643</v>
      </c>
      <c r="I69" s="275">
        <v>404518</v>
      </c>
      <c r="J69" s="277" t="s">
        <v>2713</v>
      </c>
      <c r="K69" s="277"/>
      <c r="L69" s="65"/>
      <c r="M69" s="73">
        <v>39255</v>
      </c>
      <c r="N69" s="73" t="str">
        <f t="array" ref="N69">IFERROR(INDEX(All_User!H:H,MATCH(Old_List!B69,All_User!B:B,0)),"퇴사자?")</f>
        <v>퇴사자?</v>
      </c>
      <c r="O69" s="274"/>
      <c r="P69" s="274" t="str">
        <f t="array" ref="P69">IFERROR(INDEX(All_User!D:D,MATCH(Old_List!B69,All_User!B:B,0)),"퇴사자?")</f>
        <v>퇴사자?</v>
      </c>
    </row>
    <row r="70" spans="1:16" ht="15" hidden="1">
      <c r="A70" s="267" t="s">
        <v>884</v>
      </c>
      <c r="B70" s="268" t="s">
        <v>1776</v>
      </c>
      <c r="C70" s="268" t="s">
        <v>2263</v>
      </c>
      <c r="D70" s="268" t="s">
        <v>2699</v>
      </c>
      <c r="E70" s="268" t="s">
        <v>2714</v>
      </c>
      <c r="F70" s="270" t="s">
        <v>2650</v>
      </c>
      <c r="G70" s="268"/>
      <c r="H70" s="271">
        <v>15134633</v>
      </c>
      <c r="I70" s="267">
        <v>404516</v>
      </c>
      <c r="J70" s="268" t="s">
        <v>2715</v>
      </c>
      <c r="K70" s="268"/>
      <c r="L70" s="272"/>
      <c r="M70" s="293">
        <v>39255</v>
      </c>
      <c r="N70" s="73" t="str">
        <f t="array" ref="N70">IFERROR(INDEX(All_User!H:H,MATCH(Old_List!B70,All_User!B:B,0)),"퇴사자?")</f>
        <v>퇴사자?</v>
      </c>
      <c r="O70" s="274"/>
      <c r="P70" s="274" t="str">
        <f t="array" ref="P70">IFERROR(INDEX(All_User!D:D,MATCH(Old_List!B70,All_User!B:B,0)),"퇴사자?")</f>
        <v>퇴사자?</v>
      </c>
    </row>
    <row r="71" spans="1:16" ht="15" hidden="1">
      <c r="A71" s="267" t="s">
        <v>884</v>
      </c>
      <c r="B71" s="268" t="s">
        <v>1776</v>
      </c>
      <c r="C71" s="268" t="s">
        <v>2263</v>
      </c>
      <c r="D71" s="268" t="s">
        <v>2699</v>
      </c>
      <c r="E71" s="268" t="s">
        <v>2716</v>
      </c>
      <c r="F71" s="270" t="s">
        <v>2650</v>
      </c>
      <c r="G71" s="268"/>
      <c r="H71" s="271">
        <v>15134623</v>
      </c>
      <c r="I71" s="267">
        <v>404512</v>
      </c>
      <c r="J71" s="268" t="s">
        <v>2717</v>
      </c>
      <c r="K71" s="268"/>
      <c r="L71" s="272"/>
      <c r="M71" s="293">
        <v>39255</v>
      </c>
      <c r="N71" s="73" t="str">
        <f t="array" ref="N71">IFERROR(INDEX(All_User!H:H,MATCH(Old_List!B71,All_User!B:B,0)),"퇴사자?")</f>
        <v>퇴사자?</v>
      </c>
      <c r="O71" s="274"/>
      <c r="P71" s="274" t="str">
        <f t="array" ref="P71">IFERROR(INDEX(All_User!D:D,MATCH(Old_List!B71,All_User!B:B,0)),"퇴사자?")</f>
        <v>퇴사자?</v>
      </c>
    </row>
    <row r="72" spans="1:16" ht="15" hidden="1">
      <c r="A72" s="275" t="s">
        <v>917</v>
      </c>
      <c r="B72" s="276" t="s">
        <v>2718</v>
      </c>
      <c r="C72" s="276" t="s">
        <v>2263</v>
      </c>
      <c r="D72" s="277" t="s">
        <v>2699</v>
      </c>
      <c r="E72" s="278"/>
      <c r="F72" s="288" t="s">
        <v>2700</v>
      </c>
      <c r="G72" s="277"/>
      <c r="H72" s="279">
        <v>15134613</v>
      </c>
      <c r="I72" s="275">
        <v>404513</v>
      </c>
      <c r="J72" s="277" t="s">
        <v>2719</v>
      </c>
      <c r="K72" s="277"/>
      <c r="L72" s="65"/>
      <c r="M72" s="73">
        <v>39255</v>
      </c>
      <c r="N72" s="73" t="str">
        <f t="array" ref="N72">IFERROR(INDEX(All_User!H:H,MATCH(Old_List!B72,All_User!B:B,0)),"퇴사자?")</f>
        <v>퇴사자?</v>
      </c>
      <c r="O72" s="274"/>
      <c r="P72" s="274" t="str">
        <f t="array" ref="P72">IFERROR(INDEX(All_User!D:D,MATCH(Old_List!B72,All_User!B:B,0)),"퇴사자?")</f>
        <v>퇴사자?</v>
      </c>
    </row>
    <row r="73" spans="1:16" ht="15" hidden="1">
      <c r="A73" s="275" t="s">
        <v>917</v>
      </c>
      <c r="B73" s="276" t="s">
        <v>2718</v>
      </c>
      <c r="C73" s="276" t="s">
        <v>2263</v>
      </c>
      <c r="D73" s="277" t="s">
        <v>2699</v>
      </c>
      <c r="E73" s="278"/>
      <c r="F73" s="288" t="s">
        <v>2700</v>
      </c>
      <c r="G73" s="277"/>
      <c r="H73" s="279">
        <v>15134603</v>
      </c>
      <c r="I73" s="275">
        <v>404519</v>
      </c>
      <c r="J73" s="277" t="s">
        <v>2720</v>
      </c>
      <c r="K73" s="277"/>
      <c r="L73" s="65"/>
      <c r="M73" s="73">
        <v>39255</v>
      </c>
      <c r="N73" s="73" t="str">
        <f t="array" ref="N73">IFERROR(INDEX(All_User!H:H,MATCH(Old_List!B73,All_User!B:B,0)),"퇴사자?")</f>
        <v>퇴사자?</v>
      </c>
      <c r="O73" s="274"/>
      <c r="P73" s="274" t="str">
        <f t="array" ref="P73">IFERROR(INDEX(All_User!D:D,MATCH(Old_List!B73,All_User!B:B,0)),"퇴사자?")</f>
        <v>퇴사자?</v>
      </c>
    </row>
    <row r="74" spans="1:16" ht="15" hidden="1">
      <c r="A74" s="275" t="s">
        <v>917</v>
      </c>
      <c r="B74" s="276" t="s">
        <v>779</v>
      </c>
      <c r="C74" s="276" t="s">
        <v>2263</v>
      </c>
      <c r="D74" s="277" t="s">
        <v>2699</v>
      </c>
      <c r="E74" s="278"/>
      <c r="F74" s="288" t="s">
        <v>2700</v>
      </c>
      <c r="G74" s="277"/>
      <c r="H74" s="279">
        <v>15134593</v>
      </c>
      <c r="I74" s="275">
        <v>404510</v>
      </c>
      <c r="J74" s="277" t="s">
        <v>781</v>
      </c>
      <c r="K74" s="277"/>
      <c r="L74" s="65"/>
      <c r="M74" s="73">
        <v>39255</v>
      </c>
      <c r="N74" s="73" t="str">
        <f t="array" ref="N74">IFERROR(INDEX(All_User!H:H,MATCH(Old_List!B74,All_User!B:B,0)),"퇴사자?")</f>
        <v>5CD4305D92</v>
      </c>
      <c r="O74" s="274"/>
      <c r="P74" s="274" t="str">
        <f t="array" ref="P74">IFERROR(INDEX(All_User!D:D,MATCH(Old_List!B74,All_User!B:B,0)),"퇴사자?")</f>
        <v>yongma02(깡통)</v>
      </c>
    </row>
    <row r="75" spans="1:16" ht="15">
      <c r="A75" s="267" t="s">
        <v>309</v>
      </c>
      <c r="B75" s="268" t="s">
        <v>603</v>
      </c>
      <c r="C75" s="268" t="s">
        <v>2258</v>
      </c>
      <c r="D75" s="268" t="s">
        <v>882</v>
      </c>
      <c r="E75" s="269" t="s">
        <v>28</v>
      </c>
      <c r="F75" s="270" t="s">
        <v>2652</v>
      </c>
      <c r="G75" s="268"/>
      <c r="H75" s="271">
        <v>14917843</v>
      </c>
      <c r="I75" s="267">
        <v>216884</v>
      </c>
      <c r="J75" s="268" t="s">
        <v>607</v>
      </c>
      <c r="K75" s="268"/>
      <c r="L75" s="272"/>
      <c r="M75" s="294" t="s">
        <v>2721</v>
      </c>
      <c r="N75" s="73" t="str">
        <f t="array" ref="N75">IFERROR(INDEX(All_User!H:H,MATCH(Old_List!B75,All_User!B:B,0)),"퇴사자?")</f>
        <v>없음</v>
      </c>
      <c r="O75" s="274"/>
      <c r="P75" s="274" t="str">
        <f t="array" ref="P75">IFERROR(INDEX(All_User!D:D,MATCH(Old_List!B75,All_User!B:B,0)),"퇴사자?")</f>
        <v>jack.park@stryker.com</v>
      </c>
    </row>
    <row r="76" spans="1:16" ht="15" hidden="1">
      <c r="A76" s="275" t="s">
        <v>309</v>
      </c>
      <c r="B76" s="276" t="s">
        <v>2722</v>
      </c>
      <c r="C76" s="276" t="s">
        <v>2258</v>
      </c>
      <c r="D76" s="277" t="s">
        <v>882</v>
      </c>
      <c r="E76" s="278" t="s">
        <v>2120</v>
      </c>
      <c r="F76" s="288" t="s">
        <v>2652</v>
      </c>
      <c r="G76" s="277"/>
      <c r="H76" s="279">
        <v>14917833</v>
      </c>
      <c r="I76" s="275">
        <v>400535</v>
      </c>
      <c r="J76" s="277" t="s">
        <v>2723</v>
      </c>
      <c r="K76" s="277"/>
      <c r="L76" s="65"/>
      <c r="M76" s="73">
        <v>39255</v>
      </c>
      <c r="N76" s="73" t="str">
        <f t="array" ref="N76">IFERROR(INDEX(All_User!H:H,MATCH(Old_List!B76,All_User!B:B,0)),"퇴사자?")</f>
        <v>퇴사자?</v>
      </c>
      <c r="O76" s="274"/>
      <c r="P76" s="274" t="str">
        <f t="array" ref="P76">IFERROR(INDEX(All_User!D:D,MATCH(Old_List!B76,All_User!B:B,0)),"퇴사자?")</f>
        <v>퇴사자?</v>
      </c>
    </row>
    <row r="77" spans="1:16" ht="15" hidden="1">
      <c r="A77" s="275" t="s">
        <v>2648</v>
      </c>
      <c r="B77" s="276" t="s">
        <v>154</v>
      </c>
      <c r="C77" s="276" t="s">
        <v>2258</v>
      </c>
      <c r="D77" s="277" t="s">
        <v>882</v>
      </c>
      <c r="E77" s="278" t="s">
        <v>156</v>
      </c>
      <c r="F77" s="288" t="s">
        <v>2652</v>
      </c>
      <c r="G77" s="277"/>
      <c r="H77" s="279"/>
      <c r="I77" s="275">
        <v>400533</v>
      </c>
      <c r="J77" s="277" t="s">
        <v>158</v>
      </c>
      <c r="K77" s="277"/>
      <c r="L77" s="65"/>
      <c r="M77" s="73">
        <v>39255</v>
      </c>
      <c r="N77" s="73" t="str">
        <f t="array" ref="N77">IFERROR(INDEX(All_User!H:H,MATCH(Old_List!B77,All_User!B:B,0)),"퇴사자?")</f>
        <v>5CD442C076</v>
      </c>
      <c r="O77" s="274"/>
      <c r="P77" s="274" t="str">
        <f t="array" ref="P77">IFERROR(INDEX(All_User!D:D,MATCH(Old_List!B77,All_User!B:B,0)),"퇴사자?")</f>
        <v>gyolim.gu@stryker.com</v>
      </c>
    </row>
    <row r="78" spans="1:16" ht="15">
      <c r="A78" s="275" t="s">
        <v>932</v>
      </c>
      <c r="B78" s="276" t="s">
        <v>147</v>
      </c>
      <c r="C78" s="276" t="s">
        <v>2258</v>
      </c>
      <c r="D78" s="277" t="s">
        <v>882</v>
      </c>
      <c r="E78" s="278" t="s">
        <v>28</v>
      </c>
      <c r="F78" s="288" t="s">
        <v>2652</v>
      </c>
      <c r="G78" s="277"/>
      <c r="H78" s="279"/>
      <c r="I78" s="275">
        <v>404555</v>
      </c>
      <c r="J78" s="277" t="s">
        <v>2724</v>
      </c>
      <c r="K78" s="277"/>
      <c r="L78" s="65"/>
      <c r="M78" s="73">
        <v>39255</v>
      </c>
      <c r="N78" s="73" t="str">
        <f t="array" ref="N78">IFERROR(INDEX(All_User!H:H,MATCH(Old_List!B78,All_User!B:B,0)),"퇴사자?")</f>
        <v>없음</v>
      </c>
      <c r="O78" s="274"/>
      <c r="P78" s="274" t="str">
        <f t="array" ref="P78">IFERROR(INDEX(All_User!D:D,MATCH(Old_List!B78,All_User!B:B,0)),"퇴사자?")</f>
        <v>jack.eum@stryker.com</v>
      </c>
    </row>
    <row r="79" spans="1:16" ht="15" hidden="1">
      <c r="A79" s="275" t="s">
        <v>884</v>
      </c>
      <c r="B79" s="276" t="s">
        <v>1776</v>
      </c>
      <c r="C79" s="276" t="s">
        <v>2258</v>
      </c>
      <c r="D79" s="277" t="s">
        <v>882</v>
      </c>
      <c r="E79" s="278"/>
      <c r="F79" s="288" t="s">
        <v>2652</v>
      </c>
      <c r="G79" s="277"/>
      <c r="H79" s="279"/>
      <c r="I79" s="275">
        <v>216900</v>
      </c>
      <c r="J79" s="277" t="s">
        <v>2725</v>
      </c>
      <c r="K79" s="277"/>
      <c r="L79" s="65"/>
      <c r="M79" s="73">
        <v>39255</v>
      </c>
      <c r="N79" s="73" t="str">
        <f t="array" ref="N79">IFERROR(INDEX(All_User!H:H,MATCH(Old_List!B79,All_User!B:B,0)),"퇴사자?")</f>
        <v>퇴사자?</v>
      </c>
      <c r="O79" s="274"/>
      <c r="P79" s="274" t="str">
        <f t="array" ref="P79">IFERROR(INDEX(All_User!D:D,MATCH(Old_List!B79,All_User!B:B,0)),"퇴사자?")</f>
        <v>퇴사자?</v>
      </c>
    </row>
    <row r="80" spans="1:16" ht="15" hidden="1">
      <c r="A80" s="275" t="s">
        <v>884</v>
      </c>
      <c r="B80" s="276" t="s">
        <v>1776</v>
      </c>
      <c r="C80" s="276" t="s">
        <v>2258</v>
      </c>
      <c r="D80" s="277" t="s">
        <v>882</v>
      </c>
      <c r="E80" s="278"/>
      <c r="F80" s="288" t="s">
        <v>2650</v>
      </c>
      <c r="G80" s="277"/>
      <c r="H80" s="279">
        <v>15134583</v>
      </c>
      <c r="I80" s="275">
        <v>216901</v>
      </c>
      <c r="J80" s="277" t="s">
        <v>2726</v>
      </c>
      <c r="K80" s="277"/>
      <c r="L80" s="65"/>
      <c r="M80" s="73">
        <v>39255</v>
      </c>
      <c r="N80" s="73" t="str">
        <f t="array" ref="N80">IFERROR(INDEX(All_User!H:H,MATCH(Old_List!B80,All_User!B:B,0)),"퇴사자?")</f>
        <v>퇴사자?</v>
      </c>
      <c r="O80" s="274"/>
      <c r="P80" s="274" t="str">
        <f t="array" ref="P80">IFERROR(INDEX(All_User!D:D,MATCH(Old_List!B80,All_User!B:B,0)),"퇴사자?")</f>
        <v>퇴사자?</v>
      </c>
    </row>
    <row r="81" spans="1:16" ht="15" hidden="1">
      <c r="A81" s="275" t="s">
        <v>884</v>
      </c>
      <c r="B81" s="276" t="s">
        <v>1776</v>
      </c>
      <c r="C81" s="276" t="s">
        <v>2258</v>
      </c>
      <c r="D81" s="277" t="s">
        <v>882</v>
      </c>
      <c r="E81" s="278"/>
      <c r="F81" s="288" t="s">
        <v>2650</v>
      </c>
      <c r="G81" s="277"/>
      <c r="H81" s="279"/>
      <c r="I81" s="275"/>
      <c r="J81" s="277"/>
      <c r="K81" s="277"/>
      <c r="L81" s="65"/>
      <c r="M81" s="73">
        <v>39255</v>
      </c>
      <c r="N81" s="73" t="str">
        <f t="array" ref="N81">IFERROR(INDEX(All_User!H:H,MATCH(Old_List!B81,All_User!B:B,0)),"퇴사자?")</f>
        <v>퇴사자?</v>
      </c>
      <c r="O81" s="274"/>
      <c r="P81" s="274" t="str">
        <f t="array" ref="P81">IFERROR(INDEX(All_User!D:D,MATCH(Old_List!B81,All_User!B:B,0)),"퇴사자?")</f>
        <v>퇴사자?</v>
      </c>
    </row>
    <row r="82" spans="1:16" ht="15">
      <c r="A82" s="275" t="s">
        <v>854</v>
      </c>
      <c r="B82" s="276" t="s">
        <v>542</v>
      </c>
      <c r="C82" s="276" t="s">
        <v>2259</v>
      </c>
      <c r="D82" s="277" t="s">
        <v>882</v>
      </c>
      <c r="E82" s="278" t="s">
        <v>28</v>
      </c>
      <c r="F82" s="288" t="s">
        <v>2652</v>
      </c>
      <c r="G82" s="277"/>
      <c r="H82" s="279">
        <v>16020923</v>
      </c>
      <c r="I82" s="275">
        <v>408844</v>
      </c>
      <c r="J82" s="277" t="s">
        <v>2727</v>
      </c>
      <c r="K82" s="277"/>
      <c r="L82" s="65"/>
      <c r="M82" s="85" t="s">
        <v>546</v>
      </c>
      <c r="N82" s="73" t="str">
        <f t="array" ref="N82">IFERROR(INDEX(All_User!H:H,MATCH(Old_List!B82,All_User!B:B,0)),"퇴사자?")</f>
        <v>5CD4232BFQ</v>
      </c>
      <c r="O82" s="274"/>
      <c r="P82" s="274" t="str">
        <f t="array" ref="P82">IFERROR(INDEX(All_User!D:D,MATCH(Old_List!B82,All_User!B:B,0)),"퇴사자?")</f>
        <v>mason.oh@stryker.com</v>
      </c>
    </row>
    <row r="83" spans="1:16" ht="15">
      <c r="A83" s="275" t="s">
        <v>540</v>
      </c>
      <c r="B83" s="276" t="s">
        <v>486</v>
      </c>
      <c r="C83" s="276" t="s">
        <v>2259</v>
      </c>
      <c r="D83" s="277" t="s">
        <v>882</v>
      </c>
      <c r="E83" s="278" t="s">
        <v>28</v>
      </c>
      <c r="F83" s="288" t="s">
        <v>2652</v>
      </c>
      <c r="G83" s="277"/>
      <c r="H83" s="279">
        <v>16020933</v>
      </c>
      <c r="I83" s="275">
        <v>408842</v>
      </c>
      <c r="J83" s="277" t="s">
        <v>2728</v>
      </c>
      <c r="K83" s="277"/>
      <c r="L83" s="65"/>
      <c r="M83" s="85" t="s">
        <v>546</v>
      </c>
      <c r="N83" s="73" t="str">
        <f t="array" ref="N83">IFERROR(INDEX(All_User!H:H,MATCH(Old_List!B83,All_User!B:B,0)),"퇴사자?")</f>
        <v>없음</v>
      </c>
      <c r="O83" s="274"/>
      <c r="P83" s="274" t="str">
        <f t="array" ref="P83">IFERROR(INDEX(All_User!D:D,MATCH(Old_List!B83,All_User!B:B,0)),"퇴사자?")</f>
        <v>ayaan.lee@stryker.com</v>
      </c>
    </row>
    <row r="84" spans="1:16" ht="15" hidden="1">
      <c r="A84" s="275" t="s">
        <v>884</v>
      </c>
      <c r="B84" s="276" t="s">
        <v>1776</v>
      </c>
      <c r="C84" s="276" t="s">
        <v>2259</v>
      </c>
      <c r="D84" s="277" t="s">
        <v>882</v>
      </c>
      <c r="E84" s="278"/>
      <c r="F84" s="288" t="s">
        <v>2652</v>
      </c>
      <c r="G84" s="277"/>
      <c r="H84" s="279">
        <v>16020973</v>
      </c>
      <c r="I84" s="275">
        <v>408841</v>
      </c>
      <c r="J84" s="277" t="s">
        <v>2729</v>
      </c>
      <c r="K84" s="277"/>
      <c r="L84" s="65"/>
      <c r="M84" s="85" t="s">
        <v>546</v>
      </c>
      <c r="N84" s="73" t="str">
        <f t="array" ref="N84">IFERROR(INDEX(All_User!H:H,MATCH(Old_List!B84,All_User!B:B,0)),"퇴사자?")</f>
        <v>퇴사자?</v>
      </c>
      <c r="O84" s="274"/>
      <c r="P84" s="274" t="str">
        <f t="array" ref="P84">IFERROR(INDEX(All_User!D:D,MATCH(Old_List!B84,All_User!B:B,0)),"퇴사자?")</f>
        <v>퇴사자?</v>
      </c>
    </row>
    <row r="85" spans="1:16" ht="15" hidden="1">
      <c r="A85" s="275" t="s">
        <v>932</v>
      </c>
      <c r="B85" s="276" t="s">
        <v>2730</v>
      </c>
      <c r="C85" s="276" t="s">
        <v>2259</v>
      </c>
      <c r="D85" s="277" t="s">
        <v>882</v>
      </c>
      <c r="E85" s="278" t="s">
        <v>28</v>
      </c>
      <c r="F85" s="288" t="s">
        <v>2652</v>
      </c>
      <c r="G85" s="277"/>
      <c r="H85" s="279">
        <v>16020933</v>
      </c>
      <c r="I85" s="275">
        <v>408842</v>
      </c>
      <c r="J85" s="277" t="s">
        <v>2728</v>
      </c>
      <c r="K85" s="277"/>
      <c r="L85" s="65"/>
      <c r="M85" s="85" t="s">
        <v>546</v>
      </c>
      <c r="N85" s="73" t="str">
        <f t="array" ref="N85">IFERROR(INDEX(All_User!H:H,MATCH(Old_List!B85,All_User!B:B,0)),"퇴사자?")</f>
        <v>퇴사자?</v>
      </c>
      <c r="O85" s="274"/>
      <c r="P85" s="274" t="str">
        <f t="array" ref="P85">IFERROR(INDEX(All_User!D:D,MATCH(Old_List!B85,All_User!B:B,0)),"퇴사자?")</f>
        <v>퇴사자?</v>
      </c>
    </row>
    <row r="86" spans="1:16" ht="15" hidden="1">
      <c r="A86" s="295" t="s">
        <v>884</v>
      </c>
      <c r="B86" s="296" t="s">
        <v>1776</v>
      </c>
      <c r="C86" s="296" t="s">
        <v>2259</v>
      </c>
      <c r="D86" s="296" t="s">
        <v>882</v>
      </c>
      <c r="E86" s="297"/>
      <c r="F86" s="298" t="s">
        <v>2652</v>
      </c>
      <c r="G86" s="296"/>
      <c r="H86" s="299">
        <v>16020943</v>
      </c>
      <c r="I86" s="295">
        <v>408840</v>
      </c>
      <c r="J86" s="296" t="s">
        <v>2731</v>
      </c>
      <c r="K86" s="296"/>
      <c r="L86" s="300"/>
      <c r="M86" s="301" t="s">
        <v>546</v>
      </c>
      <c r="N86" s="73" t="str">
        <f t="array" ref="N86">IFERROR(INDEX(All_User!H:H,MATCH(Old_List!B86,All_User!B:B,0)),"퇴사자?")</f>
        <v>퇴사자?</v>
      </c>
      <c r="O86" s="274"/>
      <c r="P86" s="274" t="str">
        <f t="array" ref="P86">IFERROR(INDEX(All_User!D:D,MATCH(Old_List!B86,All_User!B:B,0)),"퇴사자?")</f>
        <v>퇴사자?</v>
      </c>
    </row>
    <row r="87" spans="1:16" ht="15">
      <c r="A87" s="275" t="s">
        <v>932</v>
      </c>
      <c r="B87" s="276" t="s">
        <v>547</v>
      </c>
      <c r="C87" s="276" t="s">
        <v>2259</v>
      </c>
      <c r="D87" s="277" t="s">
        <v>882</v>
      </c>
      <c r="E87" s="278" t="s">
        <v>28</v>
      </c>
      <c r="F87" s="288" t="s">
        <v>2652</v>
      </c>
      <c r="G87" s="277"/>
      <c r="H87" s="279">
        <v>15134573</v>
      </c>
      <c r="I87" s="275">
        <v>400536</v>
      </c>
      <c r="J87" s="277" t="s">
        <v>2732</v>
      </c>
      <c r="K87" s="277"/>
      <c r="L87" s="65"/>
      <c r="M87" s="85" t="s">
        <v>546</v>
      </c>
      <c r="N87" s="73" t="str">
        <f t="array" ref="N87">IFERROR(INDEX(All_User!H:H,MATCH(Old_List!B87,All_User!B:B,0)),"퇴사자?")</f>
        <v>없음</v>
      </c>
      <c r="O87" s="274"/>
      <c r="P87" s="274" t="str">
        <f t="array" ref="P87">IFERROR(INDEX(All_User!D:D,MATCH(Old_List!B87,All_User!B:B,0)),"퇴사자?")</f>
        <v>joon.oh@stryker.com</v>
      </c>
    </row>
    <row r="88" spans="1:16" ht="15" hidden="1">
      <c r="A88" s="275" t="s">
        <v>790</v>
      </c>
      <c r="B88" s="276" t="s">
        <v>287</v>
      </c>
      <c r="C88" s="276" t="s">
        <v>2259</v>
      </c>
      <c r="D88" s="277" t="s">
        <v>882</v>
      </c>
      <c r="E88" s="278" t="s">
        <v>28</v>
      </c>
      <c r="F88" s="288" t="s">
        <v>2652</v>
      </c>
      <c r="G88" s="277"/>
      <c r="H88" s="279">
        <v>16478103</v>
      </c>
      <c r="I88" s="275">
        <v>416784</v>
      </c>
      <c r="J88" s="277" t="s">
        <v>290</v>
      </c>
      <c r="K88" s="277"/>
      <c r="L88" s="65"/>
      <c r="M88" s="85" t="s">
        <v>546</v>
      </c>
      <c r="N88" s="73" t="str">
        <f t="array" ref="N88">IFERROR(INDEX(All_User!H:H,MATCH(Old_List!B88,All_User!B:B,0)),"퇴사자?")</f>
        <v>5CD5062YF8</v>
      </c>
      <c r="O88" s="274"/>
      <c r="P88" s="274" t="str">
        <f t="array" ref="P88">IFERROR(INDEX(All_User!D:D,MATCH(Old_List!B88,All_User!B:B,0)),"퇴사자?")</f>
        <v>sol.jung@stryker.com</v>
      </c>
    </row>
    <row r="89" spans="1:16" ht="15" hidden="1">
      <c r="A89" s="275" t="s">
        <v>829</v>
      </c>
      <c r="B89" s="276" t="s">
        <v>628</v>
      </c>
      <c r="C89" s="276" t="s">
        <v>2259</v>
      </c>
      <c r="D89" s="277" t="s">
        <v>882</v>
      </c>
      <c r="E89" s="278" t="s">
        <v>630</v>
      </c>
      <c r="F89" s="288" t="s">
        <v>2652</v>
      </c>
      <c r="G89" s="277"/>
      <c r="H89" s="279">
        <v>16478123</v>
      </c>
      <c r="I89" s="275">
        <v>416786</v>
      </c>
      <c r="J89" s="277" t="s">
        <v>632</v>
      </c>
      <c r="K89" s="277"/>
      <c r="L89" s="65"/>
      <c r="M89" s="85" t="s">
        <v>546</v>
      </c>
      <c r="N89" s="73" t="str">
        <f t="array" ref="N89">IFERROR(INDEX(All_User!H:H,MATCH(Old_List!B89,All_User!B:B,0)),"퇴사자?")</f>
        <v>5CD5179KH8</v>
      </c>
      <c r="O89" s="274"/>
      <c r="P89" s="274" t="str">
        <f t="array" ref="P89">IFERROR(INDEX(All_User!D:D,MATCH(Old_List!B89,All_User!B:B,0)),"퇴사자?")</f>
        <v>yj.seo@stryker.com</v>
      </c>
    </row>
    <row r="90" spans="1:16" ht="15" hidden="1">
      <c r="A90" s="295" t="s">
        <v>884</v>
      </c>
      <c r="B90" s="296" t="s">
        <v>1776</v>
      </c>
      <c r="C90" s="296" t="s">
        <v>2259</v>
      </c>
      <c r="D90" s="296" t="s">
        <v>882</v>
      </c>
      <c r="E90" s="297"/>
      <c r="F90" s="298" t="s">
        <v>2652</v>
      </c>
      <c r="G90" s="296"/>
      <c r="H90" s="299">
        <v>16020963</v>
      </c>
      <c r="I90" s="295">
        <v>408843</v>
      </c>
      <c r="J90" s="296" t="s">
        <v>2733</v>
      </c>
      <c r="K90" s="296"/>
      <c r="L90" s="300"/>
      <c r="M90" s="301" t="s">
        <v>546</v>
      </c>
      <c r="N90" s="73" t="str">
        <f t="array" ref="N90">IFERROR(INDEX(All_User!H:H,MATCH(Old_List!B90,All_User!B:B,0)),"퇴사자?")</f>
        <v>퇴사자?</v>
      </c>
      <c r="O90" s="274"/>
      <c r="P90" s="274" t="str">
        <f t="array" ref="P90">IFERROR(INDEX(All_User!D:D,MATCH(Old_List!B90,All_User!B:B,0)),"퇴사자?")</f>
        <v>퇴사자?</v>
      </c>
    </row>
    <row r="91" spans="1:16" ht="15" hidden="1">
      <c r="A91" s="275" t="s">
        <v>884</v>
      </c>
      <c r="B91" s="276" t="s">
        <v>1776</v>
      </c>
      <c r="C91" s="276" t="s">
        <v>2259</v>
      </c>
      <c r="D91" s="277" t="s">
        <v>882</v>
      </c>
      <c r="E91" s="278"/>
      <c r="F91" s="288" t="s">
        <v>2652</v>
      </c>
      <c r="G91" s="277"/>
      <c r="H91" s="279">
        <v>16478113</v>
      </c>
      <c r="I91" s="275">
        <v>416785</v>
      </c>
      <c r="J91" s="277" t="s">
        <v>2734</v>
      </c>
      <c r="K91" s="277"/>
      <c r="L91" s="65"/>
      <c r="M91" s="85" t="s">
        <v>546</v>
      </c>
      <c r="N91" s="73" t="str">
        <f t="array" ref="N91">IFERROR(INDEX(All_User!H:H,MATCH(Old_List!B91,All_User!B:B,0)),"퇴사자?")</f>
        <v>퇴사자?</v>
      </c>
      <c r="O91" s="274"/>
      <c r="P91" s="274" t="str">
        <f t="array" ref="P91">IFERROR(INDEX(All_User!D:D,MATCH(Old_List!B91,All_User!B:B,0)),"퇴사자?")</f>
        <v>퇴사자?</v>
      </c>
    </row>
    <row r="92" spans="1:16" ht="15">
      <c r="A92" s="267" t="s">
        <v>850</v>
      </c>
      <c r="B92" s="268" t="s">
        <v>182</v>
      </c>
      <c r="C92" s="268" t="s">
        <v>2259</v>
      </c>
      <c r="D92" s="268" t="s">
        <v>882</v>
      </c>
      <c r="E92" s="269" t="s">
        <v>28</v>
      </c>
      <c r="F92" s="270"/>
      <c r="G92" s="268"/>
      <c r="H92" s="271"/>
      <c r="I92" s="267">
        <v>41687</v>
      </c>
      <c r="J92" s="268"/>
      <c r="K92" s="268"/>
      <c r="L92" s="272"/>
      <c r="M92" s="273" t="s">
        <v>546</v>
      </c>
      <c r="N92" s="73" t="str">
        <f t="array" ref="N92">IFERROR(INDEX(All_User!H:H,MATCH(Old_List!B92,All_User!B:B,0)),"퇴사자?")</f>
        <v>없음</v>
      </c>
      <c r="O92" s="274"/>
      <c r="P92" s="274" t="str">
        <f t="array" ref="P92">IFERROR(INDEX(All_User!D:D,MATCH(Old_List!B92,All_User!B:B,0)),"퇴사자?")</f>
        <v>yejin.heo@stryker.com</v>
      </c>
    </row>
    <row r="93" spans="1:16" ht="15" hidden="1">
      <c r="A93" s="275" t="s">
        <v>884</v>
      </c>
      <c r="B93" s="276" t="s">
        <v>2735</v>
      </c>
      <c r="C93" s="276" t="s">
        <v>2736</v>
      </c>
      <c r="D93" s="277" t="s">
        <v>882</v>
      </c>
      <c r="E93" s="278" t="s">
        <v>28</v>
      </c>
      <c r="F93" s="288" t="s">
        <v>2652</v>
      </c>
      <c r="G93" s="277"/>
      <c r="H93" s="279">
        <v>16478143</v>
      </c>
      <c r="I93" s="275">
        <v>416790</v>
      </c>
      <c r="J93" s="277" t="s">
        <v>2737</v>
      </c>
      <c r="K93" s="277"/>
      <c r="L93" s="65"/>
      <c r="M93" s="85" t="s">
        <v>546</v>
      </c>
      <c r="N93" s="73" t="str">
        <f t="array" ref="N93">IFERROR(INDEX(All_User!H:H,MATCH(Old_List!B93,All_User!B:B,0)),"퇴사자?")</f>
        <v>퇴사자?</v>
      </c>
      <c r="O93" s="274"/>
      <c r="P93" s="274" t="str">
        <f t="array" ref="P93">IFERROR(INDEX(All_User!D:D,MATCH(Old_List!B93,All_User!B:B,0)),"퇴사자?")</f>
        <v>퇴사자?</v>
      </c>
    </row>
    <row r="94" spans="1:16" ht="15">
      <c r="A94" s="275" t="s">
        <v>884</v>
      </c>
      <c r="B94" s="276" t="s">
        <v>684</v>
      </c>
      <c r="C94" s="276" t="s">
        <v>2736</v>
      </c>
      <c r="D94" s="277" t="s">
        <v>882</v>
      </c>
      <c r="E94" s="278" t="s">
        <v>28</v>
      </c>
      <c r="F94" s="288" t="s">
        <v>2650</v>
      </c>
      <c r="G94" s="277"/>
      <c r="H94" s="279"/>
      <c r="I94" s="275"/>
      <c r="J94" s="277"/>
      <c r="K94" s="277"/>
      <c r="L94" s="65"/>
      <c r="M94" s="85" t="s">
        <v>546</v>
      </c>
      <c r="N94" s="73" t="str">
        <f t="array" ref="N94">IFERROR(INDEX(All_User!H:H,MATCH(Old_List!B94,All_User!B:B,0)),"퇴사자?")</f>
        <v>5CG53403CW</v>
      </c>
      <c r="O94" s="274"/>
      <c r="P94" s="274" t="str">
        <f t="array" ref="P94">IFERROR(INDEX(All_User!D:D,MATCH(Old_List!B94,All_User!B:B,0)),"퇴사자?")</f>
        <v>jun.song@stryker.com</v>
      </c>
    </row>
    <row r="95" spans="1:16" ht="17" hidden="1">
      <c r="A95" s="302" t="s">
        <v>868</v>
      </c>
      <c r="B95" s="62" t="s">
        <v>409</v>
      </c>
      <c r="C95" s="303" t="s">
        <v>2259</v>
      </c>
      <c r="D95" s="277" t="s">
        <v>882</v>
      </c>
      <c r="E95" s="278" t="s">
        <v>28</v>
      </c>
      <c r="F95" s="288" t="s">
        <v>2650</v>
      </c>
      <c r="G95" s="277"/>
      <c r="H95" s="279">
        <v>16711143</v>
      </c>
      <c r="I95" s="275"/>
      <c r="J95" s="277" t="s">
        <v>2738</v>
      </c>
      <c r="K95" s="277"/>
      <c r="L95" s="65"/>
      <c r="M95" s="85" t="s">
        <v>115</v>
      </c>
      <c r="N95" s="73" t="str">
        <f t="array" ref="N95">IFERROR(INDEX(All_User!H:H,MATCH(Old_List!B95,All_User!B:B,0)),"퇴사자?")</f>
        <v>퇴사자?</v>
      </c>
      <c r="O95" s="274"/>
      <c r="P95" s="274" t="str">
        <f t="array" ref="P95">IFERROR(INDEX(All_User!D:D,MATCH(Old_List!B95,All_User!B:B,0)),"퇴사자?")</f>
        <v>퇴사자?</v>
      </c>
    </row>
    <row r="96" spans="1:16" ht="15" hidden="1">
      <c r="A96" s="295" t="s">
        <v>884</v>
      </c>
      <c r="B96" s="296" t="s">
        <v>1776</v>
      </c>
      <c r="C96" s="296" t="s">
        <v>2259</v>
      </c>
      <c r="D96" s="296" t="s">
        <v>882</v>
      </c>
      <c r="E96" s="297"/>
      <c r="F96" s="298" t="s">
        <v>2650</v>
      </c>
      <c r="G96" s="296"/>
      <c r="H96" s="299">
        <v>16711133</v>
      </c>
      <c r="I96" s="295">
        <v>421966</v>
      </c>
      <c r="J96" s="296" t="s">
        <v>2739</v>
      </c>
      <c r="K96" s="296"/>
      <c r="L96" s="300"/>
      <c r="M96" s="301" t="s">
        <v>115</v>
      </c>
      <c r="N96" s="73" t="str">
        <f t="array" ref="N96">IFERROR(INDEX(All_User!H:H,MATCH(Old_List!B96,All_User!B:B,0)),"퇴사자?")</f>
        <v>퇴사자?</v>
      </c>
      <c r="O96" s="274"/>
      <c r="P96" s="274" t="str">
        <f t="array" ref="P96">IFERROR(INDEX(All_User!D:D,MATCH(Old_List!B96,All_User!B:B,0)),"퇴사자?")</f>
        <v>퇴사자?</v>
      </c>
    </row>
    <row r="97" spans="1:16" ht="15" hidden="1">
      <c r="A97" s="275" t="s">
        <v>884</v>
      </c>
      <c r="B97" s="276" t="s">
        <v>1776</v>
      </c>
      <c r="C97" s="303" t="s">
        <v>2259</v>
      </c>
      <c r="D97" s="277" t="s">
        <v>882</v>
      </c>
      <c r="E97" s="278"/>
      <c r="F97" s="288" t="s">
        <v>2650</v>
      </c>
      <c r="G97" s="277"/>
      <c r="H97" s="279">
        <v>16711123</v>
      </c>
      <c r="I97" s="275">
        <v>421974</v>
      </c>
      <c r="J97" s="277" t="s">
        <v>2740</v>
      </c>
      <c r="K97" s="277"/>
      <c r="L97" s="65"/>
      <c r="M97" s="85" t="s">
        <v>115</v>
      </c>
      <c r="N97" s="73" t="str">
        <f t="array" ref="N97">IFERROR(INDEX(All_User!H:H,MATCH(Old_List!B97,All_User!B:B,0)),"퇴사자?")</f>
        <v>퇴사자?</v>
      </c>
      <c r="O97" s="274"/>
      <c r="P97" s="274" t="str">
        <f t="array" ref="P97">IFERROR(INDEX(All_User!D:D,MATCH(Old_List!B97,All_User!B:B,0)),"퇴사자?")</f>
        <v>퇴사자?</v>
      </c>
    </row>
    <row r="98" spans="1:16" ht="15">
      <c r="A98" s="275" t="s">
        <v>1062</v>
      </c>
      <c r="B98" s="276" t="s">
        <v>490</v>
      </c>
      <c r="C98" s="303" t="s">
        <v>2259</v>
      </c>
      <c r="D98" s="277" t="s">
        <v>882</v>
      </c>
      <c r="E98" s="278" t="s">
        <v>28</v>
      </c>
      <c r="F98" s="288" t="s">
        <v>2650</v>
      </c>
      <c r="G98" s="277"/>
      <c r="H98" s="279">
        <v>16711113</v>
      </c>
      <c r="I98" s="275">
        <v>421968</v>
      </c>
      <c r="J98" s="277" t="s">
        <v>2741</v>
      </c>
      <c r="K98" s="277"/>
      <c r="L98" s="65"/>
      <c r="M98" s="85" t="s">
        <v>115</v>
      </c>
      <c r="N98" s="73" t="str">
        <f t="array" ref="N98">IFERROR(INDEX(All_User!H:H,MATCH(Old_List!B98,All_User!B:B,0)),"퇴사자?")</f>
        <v>없음</v>
      </c>
      <c r="O98" s="274"/>
      <c r="P98" s="274" t="str">
        <f t="array" ref="P98">IFERROR(INDEX(All_User!D:D,MATCH(Old_List!B98,All_User!B:B,0)),"퇴사자?")</f>
        <v>jaekyeong.lee@stryker.com</v>
      </c>
    </row>
    <row r="99" spans="1:16" ht="15" hidden="1">
      <c r="A99" s="275" t="s">
        <v>909</v>
      </c>
      <c r="B99" s="276" t="s">
        <v>665</v>
      </c>
      <c r="C99" s="303" t="s">
        <v>2259</v>
      </c>
      <c r="D99" s="277" t="s">
        <v>882</v>
      </c>
      <c r="E99" s="278" t="s">
        <v>28</v>
      </c>
      <c r="F99" s="288" t="s">
        <v>2650</v>
      </c>
      <c r="G99" s="277"/>
      <c r="H99" s="279">
        <v>16711103</v>
      </c>
      <c r="I99" s="275">
        <v>421973</v>
      </c>
      <c r="J99" s="277" t="s">
        <v>669</v>
      </c>
      <c r="K99" s="277"/>
      <c r="L99" s="65"/>
      <c r="M99" s="85" t="s">
        <v>115</v>
      </c>
      <c r="N99" s="73" t="str">
        <f t="array" ref="N99">IFERROR(INDEX(All_User!H:H,MATCH(Old_List!B99,All_User!B:B,0)),"퇴사자?")</f>
        <v>5CD5179KH7</v>
      </c>
      <c r="O99" s="274"/>
      <c r="P99" s="274" t="str">
        <f t="array" ref="P99">IFERROR(INDEX(All_User!D:D,MATCH(Old_List!B99,All_User!B:B,0)),"퇴사자?")</f>
        <v>Huey.Sim@stryker.com</v>
      </c>
    </row>
    <row r="100" spans="1:16" ht="15" hidden="1">
      <c r="A100" s="275" t="s">
        <v>932</v>
      </c>
      <c r="B100" s="276" t="s">
        <v>623</v>
      </c>
      <c r="C100" s="303" t="s">
        <v>2259</v>
      </c>
      <c r="D100" s="277" t="s">
        <v>882</v>
      </c>
      <c r="E100" s="278" t="s">
        <v>625</v>
      </c>
      <c r="F100" s="288" t="s">
        <v>2650</v>
      </c>
      <c r="G100" s="277"/>
      <c r="H100" s="279">
        <v>16711093</v>
      </c>
      <c r="I100" s="275">
        <v>421965</v>
      </c>
      <c r="J100" s="277" t="s">
        <v>627</v>
      </c>
      <c r="K100" s="277"/>
      <c r="L100" s="65"/>
      <c r="M100" s="85" t="s">
        <v>115</v>
      </c>
      <c r="N100" s="73" t="str">
        <f t="array" ref="N100">IFERROR(INDEX(All_User!H:H,MATCH(Old_List!B100,All_User!B:B,0)),"퇴사자?")</f>
        <v>5CD5179KJ0</v>
      </c>
      <c r="O100" s="274"/>
      <c r="P100" s="274" t="str">
        <f t="array" ref="P100">IFERROR(INDEX(All_User!D:D,MATCH(Old_List!B100,All_User!B:B,0)),"퇴사자?")</f>
        <v>soyeon.park@stryker.com</v>
      </c>
    </row>
    <row r="101" spans="1:16" ht="15">
      <c r="A101" s="275" t="s">
        <v>790</v>
      </c>
      <c r="B101" s="276" t="s">
        <v>112</v>
      </c>
      <c r="C101" s="303" t="s">
        <v>2259</v>
      </c>
      <c r="D101" s="277" t="s">
        <v>882</v>
      </c>
      <c r="E101" s="278" t="s">
        <v>28</v>
      </c>
      <c r="F101" s="288" t="s">
        <v>2650</v>
      </c>
      <c r="G101" s="277"/>
      <c r="H101" s="279">
        <v>16711083</v>
      </c>
      <c r="I101" s="275">
        <v>421978</v>
      </c>
      <c r="J101" s="277" t="s">
        <v>2742</v>
      </c>
      <c r="K101" s="277"/>
      <c r="L101" s="65"/>
      <c r="M101" s="85" t="s">
        <v>115</v>
      </c>
      <c r="N101" s="73" t="str">
        <f t="array" ref="N101">IFERROR(INDEX(All_User!H:H,MATCH(Old_List!B101,All_User!B:B,0)),"퇴사자?")</f>
        <v>없음</v>
      </c>
      <c r="O101" s="274"/>
      <c r="P101" s="274" t="str">
        <f t="array" ref="P101">IFERROR(INDEX(All_User!D:D,MATCH(Old_List!B101,All_User!B:B,0)),"퇴사자?")</f>
        <v>roy.choi@stryker.com</v>
      </c>
    </row>
    <row r="102" spans="1:16" ht="15" hidden="1">
      <c r="A102" s="295" t="s">
        <v>884</v>
      </c>
      <c r="B102" s="296" t="s">
        <v>1776</v>
      </c>
      <c r="C102" s="296" t="s">
        <v>2259</v>
      </c>
      <c r="D102" s="296" t="s">
        <v>882</v>
      </c>
      <c r="E102" s="297" t="s">
        <v>2120</v>
      </c>
      <c r="F102" s="298" t="s">
        <v>2650</v>
      </c>
      <c r="G102" s="296"/>
      <c r="H102" s="299">
        <v>16711073</v>
      </c>
      <c r="I102" s="295">
        <v>421959</v>
      </c>
      <c r="J102" s="296" t="s">
        <v>2743</v>
      </c>
      <c r="K102" s="296"/>
      <c r="L102" s="300"/>
      <c r="M102" s="301" t="s">
        <v>115</v>
      </c>
      <c r="N102" s="73" t="str">
        <f t="array" ref="N102">IFERROR(INDEX(All_User!H:H,MATCH(Old_List!B102,All_User!B:B,0)),"퇴사자?")</f>
        <v>퇴사자?</v>
      </c>
      <c r="O102" s="274"/>
      <c r="P102" s="274" t="str">
        <f t="array" ref="P102">IFERROR(INDEX(All_User!D:D,MATCH(Old_List!B102,All_User!B:B,0)),"퇴사자?")</f>
        <v>퇴사자?</v>
      </c>
    </row>
    <row r="103" spans="1:16" ht="15">
      <c r="A103" s="304" t="s">
        <v>850</v>
      </c>
      <c r="B103" s="305" t="s">
        <v>123</v>
      </c>
      <c r="C103" s="305" t="s">
        <v>2259</v>
      </c>
      <c r="D103" s="305" t="s">
        <v>882</v>
      </c>
      <c r="E103" s="306" t="s">
        <v>28</v>
      </c>
      <c r="F103" s="307" t="s">
        <v>2650</v>
      </c>
      <c r="G103" s="305"/>
      <c r="H103" s="308">
        <v>16711063</v>
      </c>
      <c r="I103" s="304">
        <v>421979</v>
      </c>
      <c r="J103" s="305" t="s">
        <v>2744</v>
      </c>
      <c r="K103" s="305"/>
      <c r="L103" s="309"/>
      <c r="M103" s="310" t="s">
        <v>115</v>
      </c>
      <c r="N103" s="73" t="str">
        <f t="array" ref="N103">IFERROR(INDEX(All_User!H:H,MATCH(Old_List!B103,All_User!B:B,0)),"퇴사자?")</f>
        <v>5CD5179KHS</v>
      </c>
      <c r="O103" s="274"/>
      <c r="P103" s="274" t="str">
        <f t="array" ref="P103">IFERROR(INDEX(All_User!D:D,MATCH(Old_List!B103,All_User!B:B,0)),"퇴사자?")</f>
        <v>kyu.choi@stryker.com</v>
      </c>
    </row>
    <row r="104" spans="1:16" ht="15">
      <c r="A104" s="304" t="s">
        <v>850</v>
      </c>
      <c r="B104" s="305" t="s">
        <v>228</v>
      </c>
      <c r="C104" s="305" t="s">
        <v>2259</v>
      </c>
      <c r="D104" s="305" t="s">
        <v>882</v>
      </c>
      <c r="E104" s="306" t="s">
        <v>28</v>
      </c>
      <c r="F104" s="307" t="s">
        <v>2650</v>
      </c>
      <c r="G104" s="305"/>
      <c r="H104" s="308">
        <v>16711053</v>
      </c>
      <c r="I104" s="304">
        <v>421977</v>
      </c>
      <c r="J104" s="305" t="s">
        <v>2745</v>
      </c>
      <c r="K104" s="305"/>
      <c r="L104" s="309"/>
      <c r="M104" s="310" t="s">
        <v>115</v>
      </c>
      <c r="N104" s="73" t="str">
        <f t="array" ref="N104">IFERROR(INDEX(All_User!H:H,MATCH(Old_List!B104,All_User!B:B,0)),"퇴사자?")</f>
        <v>없음</v>
      </c>
      <c r="O104" s="274"/>
      <c r="P104" s="274" t="str">
        <f t="array" ref="P104">IFERROR(INDEX(All_User!D:D,MATCH(Old_List!B104,All_User!B:B,0)),"퇴사자?")</f>
        <v>lucas.jeon@stryker.com</v>
      </c>
    </row>
    <row r="105" spans="1:16" ht="15">
      <c r="A105" s="275" t="s">
        <v>833</v>
      </c>
      <c r="B105" s="276" t="s">
        <v>414</v>
      </c>
      <c r="C105" s="303" t="s">
        <v>2259</v>
      </c>
      <c r="D105" s="277" t="s">
        <v>882</v>
      </c>
      <c r="E105" s="278" t="s">
        <v>28</v>
      </c>
      <c r="F105" s="288" t="s">
        <v>2650</v>
      </c>
      <c r="G105" s="277"/>
      <c r="H105" s="279">
        <v>16711043</v>
      </c>
      <c r="I105" s="275">
        <v>421960</v>
      </c>
      <c r="J105" s="277" t="s">
        <v>2746</v>
      </c>
      <c r="K105" s="277"/>
      <c r="L105" s="65"/>
      <c r="M105" s="85" t="s">
        <v>115</v>
      </c>
      <c r="N105" s="73" t="str">
        <f t="array" ref="N105">IFERROR(INDEX(All_User!H:H,MATCH(Old_List!B105,All_User!B:B,0)),"퇴사자?")</f>
        <v>없음</v>
      </c>
      <c r="O105" s="274"/>
      <c r="P105" s="274" t="str">
        <f t="array" ref="P105">IFERROR(INDEX(All_User!D:D,MATCH(Old_List!B105,All_User!B:B,0)),"퇴사자?")</f>
        <v>david.kim3@stryker.com</v>
      </c>
    </row>
    <row r="106" spans="1:16" ht="15" hidden="1">
      <c r="A106" s="275" t="s">
        <v>884</v>
      </c>
      <c r="B106" s="276" t="s">
        <v>1776</v>
      </c>
      <c r="C106" s="303" t="s">
        <v>2259</v>
      </c>
      <c r="D106" s="277" t="s">
        <v>882</v>
      </c>
      <c r="E106" s="278"/>
      <c r="F106" s="288" t="s">
        <v>2650</v>
      </c>
      <c r="G106" s="277"/>
      <c r="H106" s="279"/>
      <c r="I106" s="275">
        <v>421975</v>
      </c>
      <c r="J106" s="277" t="s">
        <v>2747</v>
      </c>
      <c r="K106" s="277"/>
      <c r="L106" s="65"/>
      <c r="M106" s="85" t="s">
        <v>115</v>
      </c>
      <c r="N106" s="73" t="str">
        <f t="array" ref="N106">IFERROR(INDEX(All_User!H:H,MATCH(Old_List!B106,All_User!B:B,0)),"퇴사자?")</f>
        <v>퇴사자?</v>
      </c>
      <c r="O106" s="274"/>
      <c r="P106" s="274" t="str">
        <f t="array" ref="P106">IFERROR(INDEX(All_User!D:D,MATCH(Old_List!B106,All_User!B:B,0)),"퇴사자?")</f>
        <v>퇴사자?</v>
      </c>
    </row>
    <row r="107" spans="1:16" ht="15" hidden="1">
      <c r="A107" s="275" t="s">
        <v>790</v>
      </c>
      <c r="B107" s="276" t="s">
        <v>2748</v>
      </c>
      <c r="C107" s="303" t="s">
        <v>2259</v>
      </c>
      <c r="D107" s="277" t="s">
        <v>882</v>
      </c>
      <c r="E107" s="278" t="s">
        <v>28</v>
      </c>
      <c r="F107" s="288" t="s">
        <v>2650</v>
      </c>
      <c r="G107" s="277"/>
      <c r="H107" s="279"/>
      <c r="I107" s="275">
        <v>421971</v>
      </c>
      <c r="J107" s="277"/>
      <c r="K107" s="277"/>
      <c r="L107" s="65"/>
      <c r="M107" s="85" t="s">
        <v>115</v>
      </c>
      <c r="N107" s="73" t="str">
        <f t="array" ref="N107">IFERROR(INDEX(All_User!H:H,MATCH(Old_List!B107,All_User!B:B,0)),"퇴사자?")</f>
        <v>퇴사자?</v>
      </c>
      <c r="O107" s="274"/>
      <c r="P107" s="274" t="str">
        <f t="array" ref="P107">IFERROR(INDEX(All_User!D:D,MATCH(Old_List!B107,All_User!B:B,0)),"퇴사자?")</f>
        <v>퇴사자?</v>
      </c>
    </row>
    <row r="108" spans="1:16" ht="15">
      <c r="A108" s="304" t="s">
        <v>850</v>
      </c>
      <c r="B108" s="305" t="s">
        <v>151</v>
      </c>
      <c r="C108" s="305" t="s">
        <v>2259</v>
      </c>
      <c r="D108" s="305" t="s">
        <v>882</v>
      </c>
      <c r="E108" s="306" t="s">
        <v>28</v>
      </c>
      <c r="F108" s="307" t="s">
        <v>2650</v>
      </c>
      <c r="G108" s="305"/>
      <c r="H108" s="308"/>
      <c r="I108" s="304">
        <v>421981</v>
      </c>
      <c r="J108" s="305" t="s">
        <v>2749</v>
      </c>
      <c r="K108" s="305"/>
      <c r="L108" s="309"/>
      <c r="M108" s="310" t="s">
        <v>115</v>
      </c>
      <c r="N108" s="73" t="str">
        <f t="array" ref="N108">IFERROR(INDEX(All_User!H:H,MATCH(Old_List!B108,All_User!B:B,0)),"퇴사자?")</f>
        <v>없음</v>
      </c>
      <c r="O108" s="274"/>
      <c r="P108" s="274" t="str">
        <f t="array" ref="P108">IFERROR(INDEX(All_User!D:D,MATCH(Old_List!B108,All_User!B:B,0)),"퇴사자?")</f>
        <v>emma.eun@stryker.com</v>
      </c>
    </row>
    <row r="109" spans="1:16" ht="15" hidden="1">
      <c r="A109" s="295" t="s">
        <v>2648</v>
      </c>
      <c r="B109" s="296" t="s">
        <v>494</v>
      </c>
      <c r="C109" s="296" t="s">
        <v>2259</v>
      </c>
      <c r="D109" s="296" t="s">
        <v>882</v>
      </c>
      <c r="E109" s="297" t="s">
        <v>496</v>
      </c>
      <c r="F109" s="298" t="s">
        <v>2650</v>
      </c>
      <c r="G109" s="296"/>
      <c r="H109" s="299"/>
      <c r="I109" s="295">
        <v>4211980</v>
      </c>
      <c r="J109" s="296" t="s">
        <v>498</v>
      </c>
      <c r="K109" s="296"/>
      <c r="L109" s="300"/>
      <c r="M109" s="301" t="s">
        <v>115</v>
      </c>
      <c r="N109" s="73" t="str">
        <f t="array" ref="N109">IFERROR(INDEX(All_User!H:H,MATCH(Old_List!B109,All_User!B:B,0)),"퇴사자?")</f>
        <v>5CD4305D91</v>
      </c>
      <c r="O109" s="274"/>
      <c r="P109" s="274" t="str">
        <f t="array" ref="P109">IFERROR(INDEX(All_User!D:D,MATCH(Old_List!B109,All_User!B:B,0)),"퇴사자?")</f>
        <v>eunji.lee@stryker.com</v>
      </c>
    </row>
    <row r="110" spans="1:16" ht="15" hidden="1">
      <c r="A110" s="275" t="s">
        <v>884</v>
      </c>
      <c r="B110" s="276" t="s">
        <v>917</v>
      </c>
      <c r="C110" s="303" t="s">
        <v>2259</v>
      </c>
      <c r="D110" s="277" t="s">
        <v>882</v>
      </c>
      <c r="E110" s="278" t="s">
        <v>28</v>
      </c>
      <c r="F110" s="288" t="s">
        <v>2650</v>
      </c>
      <c r="G110" s="277"/>
      <c r="H110" s="279"/>
      <c r="I110" s="275"/>
      <c r="J110" s="277"/>
      <c r="K110" s="277"/>
      <c r="L110" s="65"/>
      <c r="M110" s="85" t="s">
        <v>115</v>
      </c>
      <c r="N110" s="73" t="str">
        <f t="array" ref="N110">IFERROR(INDEX(All_User!H:H,MATCH(Old_List!B110,All_User!B:B,0)),"퇴사자?")</f>
        <v>퇴사자?</v>
      </c>
      <c r="O110" s="274"/>
      <c r="P110" s="274" t="str">
        <f t="array" ref="P110">IFERROR(INDEX(All_User!D:D,MATCH(Old_List!B110,All_User!B:B,0)),"퇴사자?")</f>
        <v>퇴사자?</v>
      </c>
    </row>
    <row r="111" spans="1:16" ht="15" hidden="1">
      <c r="A111" s="275" t="s">
        <v>884</v>
      </c>
      <c r="B111" s="276" t="s">
        <v>917</v>
      </c>
      <c r="C111" s="303" t="s">
        <v>2259</v>
      </c>
      <c r="D111" s="277" t="s">
        <v>882</v>
      </c>
      <c r="E111" s="278" t="s">
        <v>28</v>
      </c>
      <c r="F111" s="288" t="s">
        <v>2650</v>
      </c>
      <c r="G111" s="277"/>
      <c r="H111" s="279"/>
      <c r="I111" s="275"/>
      <c r="J111" s="277"/>
      <c r="K111" s="277"/>
      <c r="L111" s="65"/>
      <c r="M111" s="85" t="s">
        <v>115</v>
      </c>
      <c r="N111" s="73" t="str">
        <f t="array" ref="N111">IFERROR(INDEX(All_User!H:H,MATCH(Old_List!B111,All_User!B:B,0)),"퇴사자?")</f>
        <v>퇴사자?</v>
      </c>
      <c r="O111" s="274"/>
      <c r="P111" s="274" t="str">
        <f t="array" ref="P111">IFERROR(INDEX(All_User!D:D,MATCH(Old_List!B111,All_User!B:B,0)),"퇴사자?")</f>
        <v>퇴사자?</v>
      </c>
    </row>
    <row r="112" spans="1:16" ht="15" hidden="1">
      <c r="A112" s="275" t="s">
        <v>884</v>
      </c>
      <c r="B112" s="276" t="s">
        <v>917</v>
      </c>
      <c r="C112" s="303" t="s">
        <v>2259</v>
      </c>
      <c r="D112" s="277" t="s">
        <v>882</v>
      </c>
      <c r="E112" s="278" t="s">
        <v>28</v>
      </c>
      <c r="F112" s="288" t="s">
        <v>2650</v>
      </c>
      <c r="G112" s="277"/>
      <c r="H112" s="279"/>
      <c r="I112" s="275"/>
      <c r="J112" s="277"/>
      <c r="K112" s="277"/>
      <c r="L112" s="65"/>
      <c r="M112" s="85" t="s">
        <v>115</v>
      </c>
      <c r="N112" s="73" t="str">
        <f t="array" ref="N112">IFERROR(INDEX(All_User!H:H,MATCH(Old_List!B112,All_User!B:B,0)),"퇴사자?")</f>
        <v>퇴사자?</v>
      </c>
      <c r="O112" s="274"/>
      <c r="P112" s="274" t="str">
        <f t="array" ref="P112">IFERROR(INDEX(All_User!D:D,MATCH(Old_List!B112,All_User!B:B,0)),"퇴사자?")</f>
        <v>퇴사자?</v>
      </c>
    </row>
    <row r="113" spans="1:16" ht="15" hidden="1">
      <c r="A113" s="275" t="s">
        <v>884</v>
      </c>
      <c r="B113" s="276" t="s">
        <v>917</v>
      </c>
      <c r="C113" s="303" t="s">
        <v>2259</v>
      </c>
      <c r="D113" s="277" t="s">
        <v>882</v>
      </c>
      <c r="E113" s="278" t="s">
        <v>28</v>
      </c>
      <c r="F113" s="288" t="s">
        <v>2650</v>
      </c>
      <c r="G113" s="277"/>
      <c r="H113" s="279"/>
      <c r="I113" s="275"/>
      <c r="J113" s="277"/>
      <c r="K113" s="277"/>
      <c r="L113" s="65"/>
      <c r="M113" s="85" t="s">
        <v>115</v>
      </c>
      <c r="N113" s="73" t="str">
        <f t="array" ref="N113">IFERROR(INDEX(All_User!H:H,MATCH(Old_List!B113,All_User!B:B,0)),"퇴사자?")</f>
        <v>퇴사자?</v>
      </c>
      <c r="O113" s="274"/>
      <c r="P113" s="274" t="str">
        <f t="array" ref="P113">IFERROR(INDEX(All_User!D:D,MATCH(Old_List!B113,All_User!B:B,0)),"퇴사자?")</f>
        <v>퇴사자?</v>
      </c>
    </row>
    <row r="114" spans="1:16" ht="15" hidden="1">
      <c r="A114" s="275" t="s">
        <v>884</v>
      </c>
      <c r="B114" s="276" t="s">
        <v>917</v>
      </c>
      <c r="C114" s="303" t="s">
        <v>2259</v>
      </c>
      <c r="D114" s="277" t="s">
        <v>882</v>
      </c>
      <c r="E114" s="278" t="s">
        <v>28</v>
      </c>
      <c r="F114" s="288" t="s">
        <v>2650</v>
      </c>
      <c r="G114" s="277"/>
      <c r="H114" s="279"/>
      <c r="I114" s="275"/>
      <c r="J114" s="277"/>
      <c r="K114" s="277"/>
      <c r="L114" s="65"/>
      <c r="M114" s="85" t="s">
        <v>115</v>
      </c>
      <c r="N114" s="73" t="str">
        <f t="array" ref="N114">IFERROR(INDEX(All_User!H:H,MATCH(Old_List!B114,All_User!B:B,0)),"퇴사자?")</f>
        <v>퇴사자?</v>
      </c>
      <c r="O114" s="274"/>
      <c r="P114" s="274" t="str">
        <f t="array" ref="P114">IFERROR(INDEX(All_User!D:D,MATCH(Old_List!B114,All_User!B:B,0)),"퇴사자?")</f>
        <v>퇴사자?</v>
      </c>
    </row>
    <row r="115" spans="1:16" ht="15" hidden="1">
      <c r="A115" s="275" t="s">
        <v>884</v>
      </c>
      <c r="B115" s="276" t="s">
        <v>917</v>
      </c>
      <c r="C115" s="303" t="s">
        <v>2259</v>
      </c>
      <c r="D115" s="277" t="s">
        <v>882</v>
      </c>
      <c r="E115" s="278" t="s">
        <v>28</v>
      </c>
      <c r="F115" s="288" t="s">
        <v>2650</v>
      </c>
      <c r="G115" s="277"/>
      <c r="H115" s="279"/>
      <c r="I115" s="275"/>
      <c r="J115" s="277"/>
      <c r="K115" s="277"/>
      <c r="L115" s="65"/>
      <c r="M115" s="85" t="s">
        <v>115</v>
      </c>
      <c r="N115" s="73" t="str">
        <f t="array" ref="N115">IFERROR(INDEX(All_User!H:H,MATCH(Old_List!B115,All_User!B:B,0)),"퇴사자?")</f>
        <v>퇴사자?</v>
      </c>
      <c r="O115" s="274"/>
      <c r="P115" s="274" t="str">
        <f t="array" ref="P115">IFERROR(INDEX(All_User!D:D,MATCH(Old_List!B115,All_User!B:B,0)),"퇴사자?")</f>
        <v>퇴사자?</v>
      </c>
    </row>
    <row r="116" spans="1:16" ht="15" hidden="1">
      <c r="A116" s="275" t="s">
        <v>884</v>
      </c>
      <c r="B116" s="276" t="s">
        <v>917</v>
      </c>
      <c r="C116" s="303" t="s">
        <v>2259</v>
      </c>
      <c r="D116" s="277" t="s">
        <v>882</v>
      </c>
      <c r="E116" s="278" t="s">
        <v>28</v>
      </c>
      <c r="F116" s="288" t="s">
        <v>2650</v>
      </c>
      <c r="G116" s="277"/>
      <c r="H116" s="279"/>
      <c r="I116" s="275"/>
      <c r="J116" s="277"/>
      <c r="K116" s="277"/>
      <c r="L116" s="65"/>
      <c r="M116" s="85" t="s">
        <v>115</v>
      </c>
      <c r="N116" s="73" t="str">
        <f t="array" ref="N116">IFERROR(INDEX(All_User!H:H,MATCH(Old_List!B116,All_User!B:B,0)),"퇴사자?")</f>
        <v>퇴사자?</v>
      </c>
      <c r="O116" s="274"/>
      <c r="P116" s="274" t="str">
        <f t="array" ref="P116">IFERROR(INDEX(All_User!D:D,MATCH(Old_List!B116,All_User!B:B,0)),"퇴사자?")</f>
        <v>퇴사자?</v>
      </c>
    </row>
    <row r="117" spans="1:16" ht="15" hidden="1">
      <c r="A117" s="275" t="s">
        <v>884</v>
      </c>
      <c r="B117" s="276" t="s">
        <v>917</v>
      </c>
      <c r="C117" s="303" t="s">
        <v>2259</v>
      </c>
      <c r="D117" s="277" t="s">
        <v>882</v>
      </c>
      <c r="E117" s="278" t="s">
        <v>28</v>
      </c>
      <c r="F117" s="288" t="s">
        <v>2650</v>
      </c>
      <c r="G117" s="277"/>
      <c r="H117" s="279"/>
      <c r="I117" s="275"/>
      <c r="J117" s="277"/>
      <c r="K117" s="277"/>
      <c r="L117" s="65"/>
      <c r="M117" s="85" t="s">
        <v>115</v>
      </c>
      <c r="N117" s="73" t="str">
        <f t="array" ref="N117">IFERROR(INDEX(All_User!H:H,MATCH(Old_List!B117,All_User!B:B,0)),"퇴사자?")</f>
        <v>퇴사자?</v>
      </c>
      <c r="O117" s="274"/>
      <c r="P117" s="274" t="str">
        <f t="array" ref="P117">IFERROR(INDEX(All_User!D:D,MATCH(Old_List!B117,All_User!B:B,0)),"퇴사자?")</f>
        <v>퇴사자?</v>
      </c>
    </row>
    <row r="118" spans="1:16" ht="15">
      <c r="A118" s="275" t="s">
        <v>884</v>
      </c>
      <c r="B118" s="276" t="s">
        <v>518</v>
      </c>
      <c r="C118" s="303" t="s">
        <v>2259</v>
      </c>
      <c r="D118" s="277" t="s">
        <v>882</v>
      </c>
      <c r="E118" s="278" t="s">
        <v>28</v>
      </c>
      <c r="F118" s="288" t="s">
        <v>2650</v>
      </c>
      <c r="G118" s="277"/>
      <c r="H118" s="279"/>
      <c r="I118" s="275"/>
      <c r="J118" s="277"/>
      <c r="K118" s="277"/>
      <c r="L118" s="65"/>
      <c r="M118" s="85" t="s">
        <v>115</v>
      </c>
      <c r="N118" s="73" t="str">
        <f t="array" ref="N118">IFERROR(INDEX(All_User!H:H,MATCH(Old_List!B118,All_User!B:B,0)),"퇴사자?")</f>
        <v>없음</v>
      </c>
      <c r="O118" s="274"/>
      <c r="P118" s="274" t="str">
        <f t="array" ref="P118">IFERROR(INDEX(All_User!D:D,MATCH(Old_List!B118,All_User!B:B,0)),"퇴사자?")</f>
        <v>kyle.lim@stryker.com</v>
      </c>
    </row>
    <row r="119" spans="1:16" ht="15">
      <c r="A119" s="275" t="s">
        <v>833</v>
      </c>
      <c r="B119" s="276" t="s">
        <v>231</v>
      </c>
      <c r="C119" s="303" t="s">
        <v>2259</v>
      </c>
      <c r="D119" s="277" t="s">
        <v>882</v>
      </c>
      <c r="E119" s="278" t="s">
        <v>28</v>
      </c>
      <c r="F119" s="288" t="s">
        <v>2650</v>
      </c>
      <c r="G119" s="277"/>
      <c r="H119" s="279"/>
      <c r="I119" s="275"/>
      <c r="J119" s="277"/>
      <c r="K119" s="277"/>
      <c r="L119" s="65"/>
      <c r="M119" s="85" t="s">
        <v>115</v>
      </c>
      <c r="N119" s="73" t="str">
        <f t="array" ref="N119">IFERROR(INDEX(All_User!H:H,MATCH(Old_List!B119,All_User!B:B,0)),"퇴사자?")</f>
        <v>없음</v>
      </c>
      <c r="O119" s="274"/>
      <c r="P119" s="274" t="str">
        <f t="array" ref="P119">IFERROR(INDEX(All_User!D:D,MATCH(Old_List!B119,All_User!B:B,0)),"퇴사자?")</f>
        <v>chan.jeon@stryker.com</v>
      </c>
    </row>
    <row r="120" spans="1:16" ht="13" hidden="1"/>
    <row r="121" spans="1:16" ht="13" hidden="1"/>
    <row r="122" spans="1:16" ht="13" hidden="1"/>
    <row r="123" spans="1:16" ht="13" hidden="1"/>
    <row r="124" spans="1:16" ht="13" hidden="1"/>
    <row r="125" spans="1:16" ht="13" hidden="1"/>
    <row r="126" spans="1:16" ht="13" hidden="1"/>
    <row r="127" spans="1:16" ht="13" hidden="1"/>
    <row r="128" spans="1:16" ht="13" hidden="1"/>
    <row r="129" ht="13" hidden="1"/>
    <row r="130" ht="13" hidden="1"/>
    <row r="131" ht="13" hidden="1"/>
    <row r="132" ht="13" hidden="1"/>
    <row r="133" ht="13" hidden="1"/>
    <row r="134" ht="13" hidden="1"/>
    <row r="135" ht="13" hidden="1"/>
    <row r="136" ht="13" hidden="1"/>
    <row r="137" ht="13" hidden="1"/>
    <row r="138" ht="13" hidden="1"/>
    <row r="139" ht="13" hidden="1"/>
    <row r="140" ht="13" hidden="1"/>
    <row r="141" ht="13" hidden="1"/>
    <row r="142" ht="13" hidden="1"/>
    <row r="143" ht="13" hidden="1"/>
    <row r="144" ht="13" hidden="1"/>
    <row r="145" ht="13" hidden="1"/>
    <row r="146" ht="13" hidden="1"/>
    <row r="147" ht="13" hidden="1"/>
    <row r="148" ht="13" hidden="1"/>
    <row r="149" ht="13" hidden="1"/>
    <row r="150" ht="13" hidden="1"/>
    <row r="151" ht="13" hidden="1"/>
    <row r="152" ht="13" hidden="1"/>
    <row r="153" ht="13" hidden="1"/>
    <row r="154" ht="13" hidden="1"/>
    <row r="155" ht="13" hidden="1"/>
    <row r="156" ht="13" hidden="1"/>
    <row r="157" ht="13" hidden="1"/>
    <row r="158" ht="13" hidden="1"/>
    <row r="159" ht="13" hidden="1"/>
    <row r="160" ht="13" hidden="1"/>
    <row r="161" ht="13" hidden="1"/>
    <row r="162" ht="13" hidden="1"/>
    <row r="163" ht="13" hidden="1"/>
    <row r="164" ht="13" hidden="1"/>
    <row r="165" ht="13" hidden="1"/>
    <row r="166" ht="13" hidden="1"/>
    <row r="167" ht="13" hidden="1"/>
    <row r="168" ht="13" hidden="1"/>
    <row r="169" ht="13" hidden="1"/>
    <row r="170" ht="13" hidden="1"/>
    <row r="171" ht="13" hidden="1"/>
    <row r="172" ht="13" hidden="1"/>
    <row r="173" ht="13" hidden="1"/>
    <row r="174" ht="13" hidden="1"/>
    <row r="175" ht="13" hidden="1"/>
    <row r="176" ht="13" hidden="1"/>
    <row r="177" ht="13" hidden="1"/>
    <row r="178" ht="13" hidden="1"/>
    <row r="179" ht="13" hidden="1"/>
    <row r="180" ht="13" hidden="1"/>
    <row r="181" ht="13" hidden="1"/>
    <row r="182" ht="13" hidden="1"/>
    <row r="183" ht="13" hidden="1"/>
    <row r="184" ht="13" hidden="1"/>
    <row r="185" ht="13" hidden="1"/>
    <row r="186" ht="13" hidden="1"/>
    <row r="187" ht="13" hidden="1"/>
    <row r="188" ht="13" hidden="1"/>
    <row r="189" ht="13" hidden="1"/>
    <row r="190" ht="13" hidden="1"/>
    <row r="191" ht="13" hidden="1"/>
    <row r="192" ht="13" hidden="1"/>
    <row r="193" ht="13" hidden="1"/>
    <row r="194" ht="13" hidden="1"/>
    <row r="195" ht="13" hidden="1"/>
    <row r="196" ht="13" hidden="1"/>
    <row r="197" ht="13" hidden="1"/>
    <row r="198" ht="13" hidden="1"/>
    <row r="199" ht="13" hidden="1"/>
    <row r="200" ht="13" hidden="1"/>
    <row r="201" ht="13" hidden="1"/>
    <row r="202" ht="13" hidden="1"/>
    <row r="203" ht="13" hidden="1"/>
    <row r="204" ht="13" hidden="1"/>
    <row r="205" ht="13" hidden="1"/>
    <row r="206" ht="13" hidden="1"/>
    <row r="207" ht="13" hidden="1"/>
    <row r="208" ht="13" hidden="1"/>
    <row r="209" ht="13" hidden="1"/>
    <row r="210" ht="13" hidden="1"/>
    <row r="211" ht="13" hidden="1"/>
    <row r="212" ht="13" hidden="1"/>
    <row r="213" ht="13" hidden="1"/>
    <row r="214" ht="13" hidden="1"/>
    <row r="215" ht="13" hidden="1"/>
    <row r="216" ht="13" hidden="1"/>
    <row r="217" ht="13" hidden="1"/>
    <row r="218" ht="13" hidden="1"/>
    <row r="219" ht="13" hidden="1"/>
    <row r="220" ht="13" hidden="1"/>
    <row r="221" ht="13" hidden="1"/>
    <row r="222" ht="13" hidden="1"/>
    <row r="223" ht="13" hidden="1"/>
    <row r="224" ht="13" hidden="1"/>
    <row r="225" ht="13" hidden="1"/>
    <row r="226" ht="13" hidden="1"/>
    <row r="227" ht="13" hidden="1"/>
    <row r="228" ht="13" hidden="1"/>
    <row r="229" ht="13" hidden="1"/>
    <row r="230" ht="13" hidden="1"/>
    <row r="231" ht="13" hidden="1"/>
    <row r="232" ht="13" hidden="1"/>
    <row r="233" ht="13" hidden="1"/>
    <row r="234" ht="13" hidden="1"/>
    <row r="235" ht="13" hidden="1"/>
    <row r="236" ht="13" hidden="1"/>
    <row r="237" ht="13" hidden="1"/>
    <row r="238" ht="13" hidden="1"/>
    <row r="239" ht="13" hidden="1"/>
    <row r="240" ht="13" hidden="1"/>
    <row r="241" ht="13" hidden="1"/>
    <row r="242" ht="13" hidden="1"/>
    <row r="243" ht="13" hidden="1"/>
    <row r="244" ht="13" hidden="1"/>
    <row r="245" ht="13" hidden="1"/>
    <row r="246" ht="13" hidden="1"/>
    <row r="247" ht="13" hidden="1"/>
    <row r="248" ht="13" hidden="1"/>
    <row r="249" ht="13" hidden="1"/>
    <row r="250" ht="13" hidden="1"/>
    <row r="251" ht="13" hidden="1"/>
    <row r="252" ht="13" hidden="1"/>
    <row r="253" ht="13" hidden="1"/>
    <row r="254" ht="13" hidden="1"/>
    <row r="255" ht="13" hidden="1"/>
    <row r="256" ht="13" hidden="1"/>
    <row r="257" ht="13" hidden="1"/>
    <row r="258" ht="13" hidden="1"/>
    <row r="259" ht="13" hidden="1"/>
    <row r="260" ht="13" hidden="1"/>
    <row r="261" ht="13" hidden="1"/>
    <row r="262" ht="13" hidden="1"/>
    <row r="263" ht="13" hidden="1"/>
    <row r="264" ht="13" hidden="1"/>
    <row r="265" ht="13" hidden="1"/>
    <row r="266" ht="13" hidden="1"/>
    <row r="267" ht="13" hidden="1"/>
    <row r="268" ht="13" hidden="1"/>
    <row r="269" ht="13" hidden="1"/>
    <row r="270" ht="13" hidden="1"/>
    <row r="271" ht="13" hidden="1"/>
    <row r="272" ht="13" hidden="1"/>
    <row r="273" ht="13" hidden="1"/>
    <row r="274" ht="13" hidden="1"/>
    <row r="275" ht="13" hidden="1"/>
    <row r="276" ht="13" hidden="1"/>
    <row r="277" ht="13" hidden="1"/>
    <row r="278" ht="13" hidden="1"/>
    <row r="279" ht="13" hidden="1"/>
    <row r="280" ht="13" hidden="1"/>
    <row r="281" ht="13" hidden="1"/>
    <row r="282" ht="13" hidden="1"/>
    <row r="283" ht="13" hidden="1"/>
    <row r="284" ht="13" hidden="1"/>
    <row r="285" ht="13" hidden="1"/>
    <row r="286" ht="13" hidden="1"/>
    <row r="287" ht="13" hidden="1"/>
    <row r="288" ht="13" hidden="1"/>
    <row r="289" ht="13" hidden="1"/>
    <row r="290" ht="13" hidden="1"/>
    <row r="291" ht="13" hidden="1"/>
    <row r="292" ht="13" hidden="1"/>
    <row r="293" ht="13" hidden="1"/>
    <row r="294" ht="13" hidden="1"/>
    <row r="295" ht="13" hidden="1"/>
    <row r="296" ht="13" hidden="1"/>
    <row r="297" ht="13" hidden="1"/>
    <row r="298" ht="13" hidden="1"/>
    <row r="299" ht="13" hidden="1"/>
    <row r="300" ht="13" hidden="1"/>
    <row r="301" ht="13" hidden="1"/>
    <row r="302" ht="13" hidden="1"/>
    <row r="303" ht="13" hidden="1"/>
    <row r="304" ht="13" hidden="1"/>
    <row r="305" ht="13" hidden="1"/>
    <row r="306" ht="13" hidden="1"/>
    <row r="307" ht="13" hidden="1"/>
    <row r="308" ht="13" hidden="1"/>
    <row r="309" ht="13" hidden="1"/>
    <row r="310" ht="13" hidden="1"/>
    <row r="311" ht="13" hidden="1"/>
    <row r="312" ht="13" hidden="1"/>
    <row r="313" ht="13" hidden="1"/>
    <row r="314" ht="13" hidden="1"/>
    <row r="315" ht="13" hidden="1"/>
    <row r="316" ht="13" hidden="1"/>
    <row r="317" ht="13" hidden="1"/>
    <row r="318" ht="13" hidden="1"/>
    <row r="319" ht="13" hidden="1"/>
    <row r="320" ht="13" hidden="1"/>
    <row r="321" ht="13" hidden="1"/>
    <row r="322" ht="13" hidden="1"/>
    <row r="323" ht="13" hidden="1"/>
    <row r="324" ht="13" hidden="1"/>
    <row r="325" ht="13" hidden="1"/>
    <row r="326" ht="13" hidden="1"/>
    <row r="327" ht="13" hidden="1"/>
    <row r="328" ht="13" hidden="1"/>
    <row r="329" ht="13" hidden="1"/>
    <row r="330" ht="13" hidden="1"/>
    <row r="331" ht="13" hidden="1"/>
    <row r="332" ht="13" hidden="1"/>
    <row r="333" ht="13" hidden="1"/>
    <row r="334" ht="13" hidden="1"/>
    <row r="335" ht="13" hidden="1"/>
    <row r="336" ht="13" hidden="1"/>
    <row r="337" ht="13" hidden="1"/>
    <row r="338" ht="13" hidden="1"/>
    <row r="339" ht="13" hidden="1"/>
    <row r="340" ht="13" hidden="1"/>
    <row r="341" ht="13" hidden="1"/>
    <row r="342" ht="13" hidden="1"/>
    <row r="343" ht="13" hidden="1"/>
    <row r="344" ht="13" hidden="1"/>
    <row r="345" ht="13" hidden="1"/>
    <row r="346" ht="13" hidden="1"/>
    <row r="347" ht="13" hidden="1"/>
    <row r="348" ht="13" hidden="1"/>
    <row r="349" ht="13" hidden="1"/>
    <row r="350" ht="13" hidden="1"/>
    <row r="351" ht="13" hidden="1"/>
    <row r="352" ht="13" hidden="1"/>
    <row r="353" ht="13" hidden="1"/>
    <row r="354" ht="13" hidden="1"/>
    <row r="355" ht="13" hidden="1"/>
    <row r="356" ht="13" hidden="1"/>
    <row r="357" ht="13" hidden="1"/>
    <row r="358" ht="13" hidden="1"/>
    <row r="359" ht="13" hidden="1"/>
    <row r="360" ht="13" hidden="1"/>
    <row r="361" ht="13" hidden="1"/>
    <row r="362" ht="13" hidden="1"/>
    <row r="363" ht="13" hidden="1"/>
    <row r="364" ht="13" hidden="1"/>
    <row r="365" ht="13" hidden="1"/>
    <row r="366" ht="13" hidden="1"/>
    <row r="367" ht="13" hidden="1"/>
    <row r="368" ht="13" hidden="1"/>
    <row r="369" ht="13" hidden="1"/>
    <row r="370" ht="13" hidden="1"/>
    <row r="371" ht="13" hidden="1"/>
    <row r="372" ht="13" hidden="1"/>
    <row r="373" ht="13" hidden="1"/>
    <row r="374" ht="13" hidden="1"/>
    <row r="375" ht="13" hidden="1"/>
    <row r="376" ht="13" hidden="1"/>
    <row r="377" ht="13" hidden="1"/>
    <row r="378" ht="13" hidden="1"/>
    <row r="379" ht="13" hidden="1"/>
    <row r="380" ht="13" hidden="1"/>
    <row r="381" ht="13" hidden="1"/>
    <row r="382" ht="13" hidden="1"/>
    <row r="383" ht="13" hidden="1"/>
    <row r="384" ht="13" hidden="1"/>
    <row r="385" ht="13" hidden="1"/>
    <row r="386" ht="13" hidden="1"/>
    <row r="387" ht="13" hidden="1"/>
    <row r="388" ht="13" hidden="1"/>
    <row r="389" ht="13" hidden="1"/>
    <row r="390" ht="13" hidden="1"/>
    <row r="391" ht="13" hidden="1"/>
    <row r="392" ht="13" hidden="1"/>
    <row r="393" ht="13" hidden="1"/>
    <row r="394" ht="13" hidden="1"/>
    <row r="395" ht="13" hidden="1"/>
    <row r="396" ht="13" hidden="1"/>
    <row r="397" ht="13" hidden="1"/>
    <row r="398" ht="13" hidden="1"/>
    <row r="399" ht="13" hidden="1"/>
    <row r="400" ht="13" hidden="1"/>
    <row r="401" ht="13" hidden="1"/>
    <row r="402" ht="13" hidden="1"/>
    <row r="403" ht="13" hidden="1"/>
    <row r="404" ht="13" hidden="1"/>
    <row r="405" ht="13" hidden="1"/>
    <row r="406" ht="13" hidden="1"/>
    <row r="407" ht="13" hidden="1"/>
    <row r="408" ht="13" hidden="1"/>
    <row r="409" ht="13" hidden="1"/>
    <row r="410" ht="13" hidden="1"/>
    <row r="411" ht="13" hidden="1"/>
    <row r="412" ht="13" hidden="1"/>
    <row r="413" ht="13" hidden="1"/>
    <row r="414" ht="13" hidden="1"/>
    <row r="415" ht="13" hidden="1"/>
    <row r="416" ht="13" hidden="1"/>
    <row r="417" ht="13" hidden="1"/>
    <row r="418" ht="13" hidden="1"/>
    <row r="419" ht="13" hidden="1"/>
    <row r="420" ht="13" hidden="1"/>
    <row r="421" ht="13" hidden="1"/>
    <row r="422" ht="13" hidden="1"/>
    <row r="423" ht="13" hidden="1"/>
    <row r="424" ht="13" hidden="1"/>
    <row r="425" ht="13" hidden="1"/>
    <row r="426" ht="13" hidden="1"/>
    <row r="427" ht="13" hidden="1"/>
    <row r="428" ht="13" hidden="1"/>
    <row r="429" ht="13" hidden="1"/>
    <row r="430" ht="13" hidden="1"/>
    <row r="431" ht="13" hidden="1"/>
    <row r="432" ht="13" hidden="1"/>
    <row r="433" ht="13" hidden="1"/>
    <row r="434" ht="13" hidden="1"/>
    <row r="435" ht="13" hidden="1"/>
    <row r="436" ht="13" hidden="1"/>
    <row r="437" ht="13" hidden="1"/>
    <row r="438" ht="13" hidden="1"/>
    <row r="439" ht="13" hidden="1"/>
    <row r="440" ht="13" hidden="1"/>
    <row r="441" ht="13" hidden="1"/>
    <row r="442" ht="13" hidden="1"/>
    <row r="443" ht="13" hidden="1"/>
    <row r="444" ht="13" hidden="1"/>
    <row r="445" ht="13" hidden="1"/>
    <row r="446" ht="13" hidden="1"/>
    <row r="447" ht="13" hidden="1"/>
    <row r="448" ht="13" hidden="1"/>
    <row r="449" ht="13" hidden="1"/>
    <row r="450" ht="13" hidden="1"/>
    <row r="451" ht="13" hidden="1"/>
    <row r="452" ht="13" hidden="1"/>
    <row r="453" ht="13" hidden="1"/>
    <row r="454" ht="13" hidden="1"/>
    <row r="455" ht="13" hidden="1"/>
    <row r="456" ht="13" hidden="1"/>
    <row r="457" ht="13" hidden="1"/>
    <row r="458" ht="13" hidden="1"/>
    <row r="459" ht="13" hidden="1"/>
    <row r="460" ht="13" hidden="1"/>
    <row r="461" ht="13" hidden="1"/>
    <row r="462" ht="13" hidden="1"/>
    <row r="463" ht="13" hidden="1"/>
    <row r="464" ht="13" hidden="1"/>
    <row r="465" ht="13" hidden="1"/>
    <row r="466" ht="13" hidden="1"/>
    <row r="467" ht="13" hidden="1"/>
    <row r="468" ht="13" hidden="1"/>
    <row r="469" ht="13" hidden="1"/>
    <row r="470" ht="13" hidden="1"/>
    <row r="471" ht="13" hidden="1"/>
    <row r="472" ht="13" hidden="1"/>
    <row r="473" ht="13" hidden="1"/>
    <row r="474" ht="13" hidden="1"/>
    <row r="475" ht="13" hidden="1"/>
    <row r="476" ht="13" hidden="1"/>
    <row r="477" ht="13" hidden="1"/>
    <row r="478" ht="13" hidden="1"/>
    <row r="479" ht="13" hidden="1"/>
    <row r="480" ht="13" hidden="1"/>
    <row r="481" ht="13" hidden="1"/>
    <row r="482" ht="13" hidden="1"/>
    <row r="483" ht="13" hidden="1"/>
    <row r="484" ht="13" hidden="1"/>
    <row r="485" ht="13" hidden="1"/>
    <row r="486" ht="13" hidden="1"/>
    <row r="487" ht="13" hidden="1"/>
    <row r="488" ht="13" hidden="1"/>
    <row r="489" ht="13" hidden="1"/>
    <row r="490" ht="13" hidden="1"/>
    <row r="491" ht="13" hidden="1"/>
    <row r="492" ht="13" hidden="1"/>
    <row r="493" ht="13" hidden="1"/>
    <row r="494" ht="13" hidden="1"/>
    <row r="495" ht="13" hidden="1"/>
    <row r="496" ht="13" hidden="1"/>
    <row r="497" ht="13" hidden="1"/>
    <row r="498" ht="13" hidden="1"/>
    <row r="499" ht="13" hidden="1"/>
    <row r="500" ht="13" hidden="1"/>
    <row r="501" ht="13" hidden="1"/>
    <row r="502" ht="13" hidden="1"/>
    <row r="503" ht="13" hidden="1"/>
    <row r="504" ht="13" hidden="1"/>
    <row r="505" ht="13" hidden="1"/>
    <row r="506" ht="13" hidden="1"/>
    <row r="507" ht="13" hidden="1"/>
    <row r="508" ht="13" hidden="1"/>
    <row r="509" ht="13" hidden="1"/>
    <row r="510" ht="13" hidden="1"/>
    <row r="511" ht="13" hidden="1"/>
    <row r="512" ht="13" hidden="1"/>
    <row r="513" ht="13" hidden="1"/>
    <row r="514" ht="13" hidden="1"/>
    <row r="515" ht="13" hidden="1"/>
    <row r="516" ht="13" hidden="1"/>
    <row r="517" ht="13" hidden="1"/>
    <row r="518" ht="13" hidden="1"/>
    <row r="519" ht="13" hidden="1"/>
    <row r="520" ht="13" hidden="1"/>
    <row r="521" ht="13" hidden="1"/>
    <row r="522" ht="13" hidden="1"/>
    <row r="523" ht="13" hidden="1"/>
    <row r="524" ht="13" hidden="1"/>
    <row r="525" ht="13" hidden="1"/>
    <row r="526" ht="13" hidden="1"/>
    <row r="527" ht="13" hidden="1"/>
    <row r="528" ht="13" hidden="1"/>
    <row r="529" ht="13" hidden="1"/>
    <row r="530" ht="13" hidden="1"/>
    <row r="531" ht="13" hidden="1"/>
    <row r="532" ht="13" hidden="1"/>
    <row r="533" ht="13" hidden="1"/>
    <row r="534" ht="13" hidden="1"/>
    <row r="535" ht="13" hidden="1"/>
    <row r="536" ht="13" hidden="1"/>
    <row r="537" ht="13" hidden="1"/>
    <row r="538" ht="13" hidden="1"/>
    <row r="539" ht="13" hidden="1"/>
    <row r="540" ht="13" hidden="1"/>
    <row r="541" ht="13" hidden="1"/>
    <row r="542" ht="13" hidden="1"/>
    <row r="543" ht="13" hidden="1"/>
    <row r="544" ht="13" hidden="1"/>
    <row r="545" ht="13" hidden="1"/>
    <row r="546" ht="13" hidden="1"/>
    <row r="547" ht="13" hidden="1"/>
    <row r="548" ht="13" hidden="1"/>
    <row r="549" ht="13" hidden="1"/>
    <row r="550" ht="13" hidden="1"/>
    <row r="551" ht="13" hidden="1"/>
    <row r="552" ht="13" hidden="1"/>
    <row r="553" ht="13" hidden="1"/>
    <row r="554" ht="13" hidden="1"/>
    <row r="555" ht="13" hidden="1"/>
    <row r="556" ht="13" hidden="1"/>
    <row r="557" ht="13" hidden="1"/>
    <row r="558" ht="13" hidden="1"/>
    <row r="559" ht="13" hidden="1"/>
    <row r="560" ht="13" hidden="1"/>
    <row r="561" ht="13" hidden="1"/>
    <row r="562" ht="13" hidden="1"/>
    <row r="563" ht="13" hidden="1"/>
    <row r="564" ht="13" hidden="1"/>
    <row r="565" ht="13" hidden="1"/>
    <row r="566" ht="13" hidden="1"/>
    <row r="567" ht="13" hidden="1"/>
    <row r="568" ht="13" hidden="1"/>
    <row r="569" ht="13" hidden="1"/>
    <row r="570" ht="13" hidden="1"/>
    <row r="571" ht="13" hidden="1"/>
    <row r="572" ht="13" hidden="1"/>
    <row r="573" ht="13" hidden="1"/>
    <row r="574" ht="13" hidden="1"/>
    <row r="575" ht="13" hidden="1"/>
    <row r="576" ht="13" hidden="1"/>
    <row r="577" ht="13" hidden="1"/>
    <row r="578" ht="13" hidden="1"/>
    <row r="579" ht="13" hidden="1"/>
    <row r="580" ht="13" hidden="1"/>
    <row r="581" ht="13" hidden="1"/>
    <row r="582" ht="13" hidden="1"/>
    <row r="583" ht="13" hidden="1"/>
    <row r="584" ht="13" hidden="1"/>
    <row r="585" ht="13" hidden="1"/>
    <row r="586" ht="13" hidden="1"/>
    <row r="587" ht="13" hidden="1"/>
    <row r="588" ht="13" hidden="1"/>
    <row r="589" ht="13" hidden="1"/>
    <row r="590" ht="13" hidden="1"/>
    <row r="591" ht="13" hidden="1"/>
    <row r="592" ht="13" hidden="1"/>
    <row r="593" ht="13" hidden="1"/>
    <row r="594" ht="13" hidden="1"/>
    <row r="595" ht="13" hidden="1"/>
    <row r="596" ht="13" hidden="1"/>
    <row r="597" ht="13" hidden="1"/>
    <row r="598" ht="13" hidden="1"/>
    <row r="599" ht="13" hidden="1"/>
    <row r="600" ht="13" hidden="1"/>
    <row r="601" ht="13" hidden="1"/>
    <row r="602" ht="13" hidden="1"/>
    <row r="603" ht="13" hidden="1"/>
    <row r="604" ht="13" hidden="1"/>
    <row r="605" ht="13" hidden="1"/>
    <row r="606" ht="13" hidden="1"/>
    <row r="607" ht="13" hidden="1"/>
    <row r="608" ht="13" hidden="1"/>
    <row r="609" ht="13" hidden="1"/>
    <row r="610" ht="13" hidden="1"/>
    <row r="611" ht="13" hidden="1"/>
    <row r="612" ht="13" hidden="1"/>
    <row r="613" ht="13" hidden="1"/>
    <row r="614" ht="13" hidden="1"/>
    <row r="615" ht="13" hidden="1"/>
    <row r="616" ht="13" hidden="1"/>
    <row r="617" ht="13" hidden="1"/>
    <row r="618" ht="13" hidden="1"/>
    <row r="619" ht="13" hidden="1"/>
    <row r="620" ht="13" hidden="1"/>
    <row r="621" ht="13" hidden="1"/>
    <row r="622" ht="13" hidden="1"/>
    <row r="623" ht="13" hidden="1"/>
    <row r="624" ht="13" hidden="1"/>
    <row r="625" ht="13" hidden="1"/>
    <row r="626" ht="13" hidden="1"/>
    <row r="627" ht="13" hidden="1"/>
    <row r="628" ht="13" hidden="1"/>
    <row r="629" ht="13" hidden="1"/>
    <row r="630" ht="13" hidden="1"/>
    <row r="631" ht="13" hidden="1"/>
    <row r="632" ht="13" hidden="1"/>
    <row r="633" ht="13" hidden="1"/>
    <row r="634" ht="13" hidden="1"/>
    <row r="635" ht="13" hidden="1"/>
    <row r="636" ht="13" hidden="1"/>
    <row r="637" ht="13" hidden="1"/>
    <row r="638" ht="13" hidden="1"/>
    <row r="639" ht="13" hidden="1"/>
    <row r="640" ht="13" hidden="1"/>
    <row r="641" ht="13" hidden="1"/>
    <row r="642" ht="13" hidden="1"/>
    <row r="643" ht="13" hidden="1"/>
    <row r="644" ht="13" hidden="1"/>
    <row r="645" ht="13" hidden="1"/>
    <row r="646" ht="13" hidden="1"/>
    <row r="647" ht="13" hidden="1"/>
    <row r="648" ht="13" hidden="1"/>
    <row r="649" ht="13" hidden="1"/>
    <row r="650" ht="13" hidden="1"/>
    <row r="651" ht="13" hidden="1"/>
    <row r="652" ht="13" hidden="1"/>
    <row r="653" ht="13" hidden="1"/>
    <row r="654" ht="13" hidden="1"/>
    <row r="655" ht="13" hidden="1"/>
    <row r="656" ht="13" hidden="1"/>
    <row r="657" ht="13" hidden="1"/>
    <row r="658" ht="13" hidden="1"/>
    <row r="659" ht="13" hidden="1"/>
    <row r="660" ht="13" hidden="1"/>
    <row r="661" ht="13" hidden="1"/>
    <row r="662" ht="13" hidden="1"/>
    <row r="663" ht="13" hidden="1"/>
    <row r="664" ht="13" hidden="1"/>
    <row r="665" ht="13" hidden="1"/>
    <row r="666" ht="13" hidden="1"/>
    <row r="667" ht="13" hidden="1"/>
    <row r="668" ht="13" hidden="1"/>
    <row r="669" ht="13" hidden="1"/>
    <row r="670" ht="13" hidden="1"/>
    <row r="671" ht="13" hidden="1"/>
    <row r="672" ht="13" hidden="1"/>
    <row r="673" ht="13" hidden="1"/>
    <row r="674" ht="13" hidden="1"/>
    <row r="675" ht="13" hidden="1"/>
    <row r="676" ht="13" hidden="1"/>
    <row r="677" ht="13" hidden="1"/>
    <row r="678" ht="13" hidden="1"/>
    <row r="679" ht="13" hidden="1"/>
    <row r="680" ht="13" hidden="1"/>
    <row r="681" ht="13" hidden="1"/>
    <row r="682" ht="13" hidden="1"/>
    <row r="683" ht="13" hidden="1"/>
    <row r="684" ht="13" hidden="1"/>
    <row r="685" ht="13" hidden="1"/>
    <row r="686" ht="13" hidden="1"/>
    <row r="687" ht="13" hidden="1"/>
    <row r="688" ht="13" hidden="1"/>
    <row r="689" ht="13" hidden="1"/>
    <row r="690" ht="13" hidden="1"/>
    <row r="691" ht="13" hidden="1"/>
    <row r="692" ht="13" hidden="1"/>
    <row r="693" ht="13" hidden="1"/>
    <row r="694" ht="13" hidden="1"/>
    <row r="695" ht="13" hidden="1"/>
    <row r="696" ht="13" hidden="1"/>
    <row r="697" ht="13" hidden="1"/>
    <row r="698" ht="13" hidden="1"/>
    <row r="699" ht="13" hidden="1"/>
    <row r="700" ht="13" hidden="1"/>
    <row r="701" ht="13" hidden="1"/>
    <row r="702" ht="13" hidden="1"/>
    <row r="703" ht="13" hidden="1"/>
    <row r="704" ht="13" hidden="1"/>
    <row r="705" ht="13" hidden="1"/>
    <row r="706" ht="13" hidden="1"/>
    <row r="707" ht="13" hidden="1"/>
    <row r="708" ht="13" hidden="1"/>
    <row r="709" ht="13" hidden="1"/>
    <row r="710" ht="13" hidden="1"/>
    <row r="711" ht="13" hidden="1"/>
    <row r="712" ht="13" hidden="1"/>
    <row r="713" ht="13" hidden="1"/>
    <row r="714" ht="13" hidden="1"/>
    <row r="715" ht="13" hidden="1"/>
    <row r="716" ht="13" hidden="1"/>
    <row r="717" ht="13" hidden="1"/>
    <row r="718" ht="13" hidden="1"/>
    <row r="719" ht="13" hidden="1"/>
    <row r="720" ht="13" hidden="1"/>
    <row r="721" ht="13" hidden="1"/>
    <row r="722" ht="13" hidden="1"/>
    <row r="723" ht="13" hidden="1"/>
    <row r="724" ht="13" hidden="1"/>
    <row r="725" ht="13" hidden="1"/>
    <row r="726" ht="13" hidden="1"/>
    <row r="727" ht="13" hidden="1"/>
    <row r="728" ht="13" hidden="1"/>
    <row r="729" ht="13" hidden="1"/>
    <row r="730" ht="13" hidden="1"/>
    <row r="731" ht="13" hidden="1"/>
    <row r="732" ht="13" hidden="1"/>
    <row r="733" ht="13" hidden="1"/>
    <row r="734" ht="13" hidden="1"/>
    <row r="735" ht="13" hidden="1"/>
    <row r="736" ht="13" hidden="1"/>
    <row r="737" ht="13" hidden="1"/>
    <row r="738" ht="13" hidden="1"/>
    <row r="739" ht="13" hidden="1"/>
    <row r="740" ht="13" hidden="1"/>
    <row r="741" ht="13" hidden="1"/>
    <row r="742" ht="13" hidden="1"/>
    <row r="743" ht="13" hidden="1"/>
    <row r="744" ht="13" hidden="1"/>
    <row r="745" ht="13" hidden="1"/>
    <row r="746" ht="13" hidden="1"/>
    <row r="747" ht="13" hidden="1"/>
    <row r="748" ht="13" hidden="1"/>
    <row r="749" ht="13" hidden="1"/>
    <row r="750" ht="13" hidden="1"/>
    <row r="751" ht="13" hidden="1"/>
    <row r="752" ht="13" hidden="1"/>
    <row r="753" ht="13" hidden="1"/>
    <row r="754" ht="13" hidden="1"/>
    <row r="755" ht="13" hidden="1"/>
    <row r="756" ht="13" hidden="1"/>
    <row r="757" ht="13" hidden="1"/>
    <row r="758" ht="13" hidden="1"/>
    <row r="759" ht="13" hidden="1"/>
    <row r="760" ht="13" hidden="1"/>
    <row r="761" ht="13" hidden="1"/>
    <row r="762" ht="13" hidden="1"/>
    <row r="763" ht="13" hidden="1"/>
    <row r="764" ht="13" hidden="1"/>
    <row r="765" ht="13" hidden="1"/>
    <row r="766" ht="13" hidden="1"/>
    <row r="767" ht="13" hidden="1"/>
    <row r="768" ht="13" hidden="1"/>
    <row r="769" ht="13" hidden="1"/>
    <row r="770" ht="13" hidden="1"/>
    <row r="771" ht="13" hidden="1"/>
    <row r="772" ht="13" hidden="1"/>
    <row r="773" ht="13" hidden="1"/>
    <row r="774" ht="13" hidden="1"/>
    <row r="775" ht="13" hidden="1"/>
    <row r="776" ht="13" hidden="1"/>
    <row r="777" ht="13" hidden="1"/>
    <row r="778" ht="13" hidden="1"/>
    <row r="779" ht="13" hidden="1"/>
    <row r="780" ht="13" hidden="1"/>
    <row r="781" ht="13" hidden="1"/>
    <row r="782" ht="13" hidden="1"/>
    <row r="783" ht="13" hidden="1"/>
    <row r="784" ht="13" hidden="1"/>
    <row r="785" ht="13" hidden="1"/>
    <row r="786" ht="13" hidden="1"/>
    <row r="787" ht="13" hidden="1"/>
    <row r="788" ht="13" hidden="1"/>
    <row r="789" ht="13" hidden="1"/>
    <row r="790" ht="13" hidden="1"/>
    <row r="791" ht="13" hidden="1"/>
    <row r="792" ht="13" hidden="1"/>
    <row r="793" ht="13" hidden="1"/>
    <row r="794" ht="13" hidden="1"/>
    <row r="795" ht="13" hidden="1"/>
    <row r="796" ht="13" hidden="1"/>
    <row r="797" ht="13" hidden="1"/>
    <row r="798" ht="13" hidden="1"/>
    <row r="799" ht="13" hidden="1"/>
    <row r="800" ht="13" hidden="1"/>
    <row r="801" ht="13" hidden="1"/>
    <row r="802" ht="13" hidden="1"/>
    <row r="803" ht="13" hidden="1"/>
    <row r="804" ht="13" hidden="1"/>
    <row r="805" ht="13" hidden="1"/>
    <row r="806" ht="13" hidden="1"/>
    <row r="807" ht="13" hidden="1"/>
    <row r="808" ht="13" hidden="1"/>
    <row r="809" ht="13" hidden="1"/>
    <row r="810" ht="13" hidden="1"/>
    <row r="811" ht="13" hidden="1"/>
    <row r="812" ht="13" hidden="1"/>
    <row r="813" ht="13" hidden="1"/>
    <row r="814" ht="13" hidden="1"/>
    <row r="815" ht="13" hidden="1"/>
    <row r="816" ht="13" hidden="1"/>
    <row r="817" ht="13" hidden="1"/>
    <row r="818" ht="13" hidden="1"/>
    <row r="819" ht="13" hidden="1"/>
    <row r="820" ht="13" hidden="1"/>
    <row r="821" ht="13" hidden="1"/>
    <row r="822" ht="13" hidden="1"/>
    <row r="823" ht="13" hidden="1"/>
    <row r="824" ht="13" hidden="1"/>
    <row r="825" ht="13" hidden="1"/>
    <row r="826" ht="13" hidden="1"/>
    <row r="827" ht="13" hidden="1"/>
    <row r="828" ht="13" hidden="1"/>
    <row r="829" ht="13" hidden="1"/>
    <row r="830" ht="13" hidden="1"/>
    <row r="831" ht="13" hidden="1"/>
    <row r="832" ht="13" hidden="1"/>
    <row r="833" ht="13" hidden="1"/>
    <row r="834" ht="13" hidden="1"/>
    <row r="835" ht="13" hidden="1"/>
    <row r="836" ht="13" hidden="1"/>
    <row r="837" ht="13" hidden="1"/>
    <row r="838" ht="13" hidden="1"/>
    <row r="839" ht="13" hidden="1"/>
    <row r="840" ht="13" hidden="1"/>
    <row r="841" ht="13" hidden="1"/>
    <row r="842" ht="13" hidden="1"/>
    <row r="843" ht="13" hidden="1"/>
    <row r="844" ht="13" hidden="1"/>
    <row r="845" ht="13" hidden="1"/>
    <row r="846" ht="13" hidden="1"/>
    <row r="847" ht="13" hidden="1"/>
    <row r="848" ht="13" hidden="1"/>
    <row r="849" ht="13" hidden="1"/>
    <row r="850" ht="13" hidden="1"/>
    <row r="851" ht="13" hidden="1"/>
    <row r="852" ht="13" hidden="1"/>
    <row r="853" ht="13" hidden="1"/>
    <row r="854" ht="13" hidden="1"/>
    <row r="855" ht="13" hidden="1"/>
    <row r="856" ht="13" hidden="1"/>
    <row r="857" ht="13" hidden="1"/>
    <row r="858" ht="13" hidden="1"/>
    <row r="859" ht="13" hidden="1"/>
    <row r="860" ht="13" hidden="1"/>
    <row r="861" ht="13" hidden="1"/>
    <row r="862" ht="13" hidden="1"/>
    <row r="863" ht="13" hidden="1"/>
    <row r="864" ht="13" hidden="1"/>
    <row r="865" ht="13" hidden="1"/>
    <row r="866" ht="13" hidden="1"/>
    <row r="867" ht="13" hidden="1"/>
    <row r="868" ht="13" hidden="1"/>
    <row r="869" ht="13" hidden="1"/>
    <row r="870" ht="13" hidden="1"/>
    <row r="871" ht="13" hidden="1"/>
    <row r="872" ht="13" hidden="1"/>
    <row r="873" ht="13" hidden="1"/>
    <row r="874" ht="13" hidden="1"/>
    <row r="875" ht="13" hidden="1"/>
    <row r="876" ht="13" hidden="1"/>
    <row r="877" ht="13" hidden="1"/>
    <row r="878" ht="13" hidden="1"/>
    <row r="879" ht="13" hidden="1"/>
    <row r="880" ht="13" hidden="1"/>
    <row r="881" ht="13" hidden="1"/>
    <row r="882" ht="13" hidden="1"/>
    <row r="883" ht="13" hidden="1"/>
    <row r="884" ht="13" hidden="1"/>
    <row r="885" ht="13" hidden="1"/>
    <row r="886" ht="13" hidden="1"/>
    <row r="887" ht="13" hidden="1"/>
    <row r="888" ht="13" hidden="1"/>
    <row r="889" ht="13" hidden="1"/>
    <row r="890" ht="13" hidden="1"/>
    <row r="891" ht="13" hidden="1"/>
    <row r="892" ht="13" hidden="1"/>
    <row r="893" ht="13" hidden="1"/>
    <row r="894" ht="13" hidden="1"/>
    <row r="895" ht="13" hidden="1"/>
    <row r="896" ht="13" hidden="1"/>
    <row r="897" ht="13" hidden="1"/>
    <row r="898" ht="13" hidden="1"/>
    <row r="899" ht="13" hidden="1"/>
    <row r="900" ht="13" hidden="1"/>
    <row r="901" ht="13" hidden="1"/>
    <row r="902" ht="13" hidden="1"/>
  </sheetData>
  <autoFilter ref="A1:P902" xr:uid="{00000000-0009-0000-0000-00000E000000}">
    <filterColumn colId="13">
      <filters>
        <filter val="5CD409908N"/>
        <filter val="5CD4232BFQ"/>
        <filter val="5CD4232BFS"/>
        <filter val="5CD5179KJ6"/>
        <filter val="5CG53403CW"/>
        <filter val="없음"/>
      </filters>
    </filterColumn>
  </autoFilter>
  <phoneticPr fontId="7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I9"/>
  <sheetViews>
    <sheetView workbookViewId="0"/>
  </sheetViews>
  <sheetFormatPr baseColWidth="10" defaultColWidth="12.6640625" defaultRowHeight="15.75" customHeight="1"/>
  <sheetData>
    <row r="1" spans="1:9" ht="15.75" customHeight="1">
      <c r="A1" s="68" t="s">
        <v>874</v>
      </c>
      <c r="B1" s="68" t="s">
        <v>875</v>
      </c>
      <c r="C1" s="68" t="s">
        <v>876</v>
      </c>
      <c r="D1" s="68" t="s">
        <v>877</v>
      </c>
      <c r="E1" s="68" t="s">
        <v>878</v>
      </c>
      <c r="F1" s="68" t="s">
        <v>2638</v>
      </c>
      <c r="G1" s="70" t="s">
        <v>879</v>
      </c>
      <c r="H1" s="70" t="s">
        <v>2146</v>
      </c>
      <c r="I1" s="68" t="s">
        <v>880</v>
      </c>
    </row>
    <row r="2" spans="1:9" ht="15.75" customHeight="1">
      <c r="A2" s="51" t="s">
        <v>881</v>
      </c>
      <c r="B2" s="65" t="s">
        <v>882</v>
      </c>
      <c r="C2" s="72"/>
      <c r="D2" s="65" t="s">
        <v>883</v>
      </c>
      <c r="E2" s="73">
        <v>40931</v>
      </c>
      <c r="F2" s="65" t="s">
        <v>884</v>
      </c>
      <c r="G2" s="58" t="s">
        <v>885</v>
      </c>
      <c r="H2" s="58" t="s">
        <v>1053</v>
      </c>
      <c r="I2" s="74" t="s">
        <v>886</v>
      </c>
    </row>
    <row r="3" spans="1:9" ht="15.75" customHeight="1">
      <c r="A3" s="51" t="s">
        <v>881</v>
      </c>
      <c r="B3" s="65" t="s">
        <v>882</v>
      </c>
      <c r="C3" s="72"/>
      <c r="D3" s="65" t="s">
        <v>942</v>
      </c>
      <c r="E3" s="85" t="s">
        <v>936</v>
      </c>
      <c r="F3" s="65" t="s">
        <v>884</v>
      </c>
      <c r="G3" s="59" t="s">
        <v>885</v>
      </c>
      <c r="H3" s="58" t="s">
        <v>1053</v>
      </c>
      <c r="I3" s="92" t="s">
        <v>2750</v>
      </c>
    </row>
    <row r="4" spans="1:9" ht="15.75" customHeight="1">
      <c r="A4" s="51" t="s">
        <v>881</v>
      </c>
      <c r="B4" s="51" t="s">
        <v>882</v>
      </c>
      <c r="C4" s="77"/>
      <c r="D4" s="51" t="s">
        <v>1015</v>
      </c>
      <c r="E4" s="90" t="s">
        <v>1016</v>
      </c>
      <c r="F4" s="51" t="s">
        <v>884</v>
      </c>
      <c r="G4" s="58" t="s">
        <v>885</v>
      </c>
      <c r="H4" s="58" t="s">
        <v>1053</v>
      </c>
      <c r="I4" s="92" t="s">
        <v>2751</v>
      </c>
    </row>
    <row r="5" spans="1:9" ht="15.75" customHeight="1">
      <c r="A5" s="65" t="s">
        <v>881</v>
      </c>
      <c r="B5" s="65" t="s">
        <v>882</v>
      </c>
      <c r="C5" s="72">
        <v>445016</v>
      </c>
      <c r="D5" s="65" t="s">
        <v>1052</v>
      </c>
      <c r="E5" s="85" t="s">
        <v>1016</v>
      </c>
      <c r="F5" s="65" t="s">
        <v>884</v>
      </c>
      <c r="G5" s="59" t="s">
        <v>885</v>
      </c>
      <c r="H5" s="59"/>
      <c r="I5" s="92" t="s">
        <v>2752</v>
      </c>
    </row>
    <row r="6" spans="1:9" ht="15.75" customHeight="1">
      <c r="A6" s="65" t="s">
        <v>1090</v>
      </c>
      <c r="B6" s="65" t="s">
        <v>882</v>
      </c>
      <c r="C6" s="72"/>
      <c r="D6" s="65" t="s">
        <v>1167</v>
      </c>
      <c r="E6" s="85" t="s">
        <v>1124</v>
      </c>
      <c r="F6" s="65" t="s">
        <v>884</v>
      </c>
      <c r="G6" s="59" t="s">
        <v>885</v>
      </c>
      <c r="H6" s="311"/>
      <c r="I6" s="103" t="s">
        <v>2753</v>
      </c>
    </row>
    <row r="7" spans="1:9" ht="15.75" customHeight="1">
      <c r="A7" s="312" t="s">
        <v>881</v>
      </c>
      <c r="B7" s="65" t="s">
        <v>882</v>
      </c>
      <c r="C7" s="72"/>
      <c r="D7" s="65" t="s">
        <v>974</v>
      </c>
      <c r="E7" s="85" t="s">
        <v>970</v>
      </c>
      <c r="F7" s="65" t="s">
        <v>884</v>
      </c>
      <c r="G7" s="59" t="s">
        <v>885</v>
      </c>
      <c r="H7" s="59" t="s">
        <v>1053</v>
      </c>
      <c r="I7" s="92" t="s">
        <v>2754</v>
      </c>
    </row>
    <row r="8" spans="1:9" ht="15.75" customHeight="1">
      <c r="A8" s="312" t="s">
        <v>881</v>
      </c>
      <c r="B8" s="65" t="s">
        <v>882</v>
      </c>
      <c r="C8" s="72"/>
      <c r="D8" s="65" t="s">
        <v>969</v>
      </c>
      <c r="E8" s="85" t="s">
        <v>970</v>
      </c>
      <c r="F8" s="65" t="s">
        <v>884</v>
      </c>
      <c r="G8" s="59" t="s">
        <v>943</v>
      </c>
      <c r="H8" s="79" t="s">
        <v>2755</v>
      </c>
      <c r="I8" s="79" t="s">
        <v>2756</v>
      </c>
    </row>
    <row r="9" spans="1:9" ht="15.75" customHeight="1">
      <c r="A9" s="65" t="s">
        <v>1090</v>
      </c>
      <c r="B9" s="65" t="s">
        <v>882</v>
      </c>
      <c r="C9" s="72"/>
      <c r="D9" s="51" t="s">
        <v>1134</v>
      </c>
      <c r="E9" s="85" t="s">
        <v>1124</v>
      </c>
      <c r="F9" s="65" t="s">
        <v>790</v>
      </c>
      <c r="G9" s="59" t="s">
        <v>788</v>
      </c>
      <c r="H9" s="79" t="s">
        <v>2757</v>
      </c>
      <c r="I9" s="103" t="s">
        <v>2758</v>
      </c>
    </row>
  </sheetData>
  <phoneticPr fontId="72" type="noConversion"/>
  <hyperlinks>
    <hyperlink ref="H8" r:id="rId1" xr:uid="{00000000-0004-0000-0F00-000000000000}"/>
    <hyperlink ref="I8" r:id="rId2" xr:uid="{00000000-0004-0000-0F00-000001000000}"/>
    <hyperlink ref="H9" r:id="rId3" xr:uid="{00000000-0004-0000-0F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All_User</vt:lpstr>
      <vt:lpstr>Lease_List</vt:lpstr>
      <vt:lpstr>TeamsNumber</vt:lpstr>
      <vt:lpstr>Ipad_List</vt:lpstr>
      <vt:lpstr>Printer</vt:lpstr>
      <vt:lpstr>Monitor</vt:lpstr>
      <vt:lpstr>LEASE_PC_SETTING</vt:lpstr>
      <vt:lpstr>신규입사자</vt:lpstr>
      <vt:lpstr>rEfRESH</vt:lpstr>
      <vt:lpstr>sales</vt:lpstr>
      <vt:lpstr>퇴사자</vt:lpstr>
      <vt:lpstr>퇴사자_임시</vt:lpstr>
      <vt:lpstr>부서명칭</vt:lpstr>
      <vt:lpstr>시트20</vt:lpstr>
      <vt:lpstr>Old_List</vt:lpstr>
      <vt:lpstr>파손 히스토리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Lee, Kale</cp:lastModifiedBy>
  <dcterms:created xsi:type="dcterms:W3CDTF">2025-11-28T04:49:56Z</dcterms:created>
  <dcterms:modified xsi:type="dcterms:W3CDTF">2025-11-28T04:49:56Z</dcterms:modified>
</cp:coreProperties>
</file>