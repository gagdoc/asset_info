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_User" sheetId="1" r:id="rId5"/>
    <sheet state="visible" name="부서" sheetId="2" r:id="rId6"/>
    <sheet state="visible" name="Lease_List" sheetId="3" r:id="rId7"/>
    <sheet state="visible" name="TeamsNumber" sheetId="4" r:id="rId8"/>
    <sheet state="visible" name="Ipad_List" sheetId="5" r:id="rId9"/>
    <sheet state="visible" name="Monitor" sheetId="6" r:id="rId10"/>
    <sheet state="visible" name="Printer" sheetId="7" r:id="rId11"/>
    <sheet state="visible" name="LEASE_PC_SETTING" sheetId="8" r:id="rId12"/>
    <sheet state="visible" name="All_User_backup" sheetId="9" r:id="rId13"/>
    <sheet state="visible" name="신규입사자" sheetId="10" r:id="rId14"/>
    <sheet state="visible" name="퇴사자" sheetId="11" r:id="rId15"/>
    <sheet state="visible" name="rEfRESH" sheetId="12" r:id="rId16"/>
    <sheet state="visible" name="sales" sheetId="13" r:id="rId17"/>
    <sheet state="visible" name="휴직자" sheetId="14" r:id="rId18"/>
    <sheet state="visible" name="퇴사자_임시" sheetId="15" r:id="rId19"/>
    <sheet state="visible" name="시트20" sheetId="16" r:id="rId20"/>
    <sheet state="visible" name="Old_List" sheetId="17" r:id="rId21"/>
    <sheet state="visible" name="파손 히스토리" sheetId="18" r:id="rId22"/>
  </sheets>
  <definedNames>
    <definedName hidden="1" localSheetId="0" name="_xlnm._FilterDatabase">All_User!$A$1:$R$1054</definedName>
    <definedName hidden="1" localSheetId="2" name="_xlnm._FilterDatabase">Lease_List!$A$1:$I$252</definedName>
    <definedName hidden="1" localSheetId="3" name="_xlnm._FilterDatabase">TeamsNumber!$A$1:$Z$1000</definedName>
    <definedName hidden="1" localSheetId="4" name="_xlnm._FilterDatabase">Ipad_List!$A$1:$M$131</definedName>
    <definedName hidden="1" localSheetId="6" name="_xlnm._FilterDatabase">Printer!$A$1:$Z$993</definedName>
    <definedName hidden="1" localSheetId="7" name="_xlnm._FilterDatabase">LEASE_PC_SETTING!$A$1:$Z$998</definedName>
    <definedName hidden="1" localSheetId="8" name="_xlnm._FilterDatabase">All_User_backup!$A$1:$R$1060</definedName>
    <definedName hidden="1" localSheetId="11" name="_xlnm._FilterDatabase">rEfRESH!$B$1:$Z$977</definedName>
    <definedName hidden="1" localSheetId="12" name="_xlnm._FilterDatabase">sales!$A$1:$V$999</definedName>
    <definedName hidden="1" localSheetId="15" name="_xlnm._FilterDatabase">'시트20'!$A$1:$Z$998</definedName>
    <definedName hidden="1" localSheetId="16" name="_xlnm._FilterDatabase">Old_List!$A$1:$P$902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1">
      <text>
        <t xml:space="preserve">Lease List에 정보가 있는지 확인</t>
      </text>
    </comment>
    <comment authorId="0" ref="I1">
      <text>
        <t xml:space="preserve">Old_List(옛날 옛날 피시 리스트에서 뽑은 데이터들)</t>
      </text>
    </comment>
    <comment authorId="0" ref="J1">
      <text>
        <t xml:space="preserve">Lease_List / Old_List 2개 데이터에서도 못 찾는 놈들 서비스 나우에서 검색해서 찾은 놈 폐기해야 할 피씨들임 </t>
      </text>
    </comment>
    <comment authorId="0" ref="K1">
      <text>
        <t xml:space="preserve">Ipad List 자료와 일치하는지 확인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32">
      <text>
        <t xml:space="preserve">"2024/11월 퇴사
 3개월 연장으로 노트북 후에 반납"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1">
      <text>
        <t xml:space="preserve">Lease List에 정보가 있는지 확인</t>
      </text>
    </comment>
    <comment authorId="0" ref="I1">
      <text>
        <t xml:space="preserve">Old_List(옛날 옛날 피시 리스트에서 뽑은 데이터들)</t>
      </text>
    </comment>
    <comment authorId="0" ref="J1">
      <text>
        <t xml:space="preserve">Lease_List / Old_List 2개 데이터에서도 못 찾는 놈들 서비스 나우에서 검색해서 찾은 놈 폐기해야 할 피씨들임 </t>
      </text>
    </comment>
    <comment authorId="0" ref="K1">
      <text>
        <t xml:space="preserve">Ipad List 자료와 일치하는지 확인</t>
      </text>
    </comment>
  </commentList>
</comments>
</file>

<file path=xl/sharedStrings.xml><?xml version="1.0" encoding="utf-8"?>
<sst xmlns="http://schemas.openxmlformats.org/spreadsheetml/2006/main" count="10354" uniqueCount="3095">
  <si>
    <t>NO</t>
  </si>
  <si>
    <t>NAME</t>
  </si>
  <si>
    <t>이름</t>
  </si>
  <si>
    <t>email</t>
  </si>
  <si>
    <t>Business Title</t>
  </si>
  <si>
    <t>BU</t>
  </si>
  <si>
    <t>ROLE</t>
  </si>
  <si>
    <t>Lease_List</t>
  </si>
  <si>
    <t>Old_List</t>
  </si>
  <si>
    <t>ADD_data</t>
  </si>
  <si>
    <t>Ipad_List</t>
  </si>
  <si>
    <t>TeamsNum</t>
  </si>
  <si>
    <t>Printer</t>
  </si>
  <si>
    <t>Monitor</t>
  </si>
  <si>
    <t>영업자 구분</t>
  </si>
  <si>
    <t>퇴사정보</t>
  </si>
  <si>
    <t>Dong Jun Ahn</t>
  </si>
  <si>
    <t>안동준</t>
  </si>
  <si>
    <t>dj.ahn@stryker.com</t>
  </si>
  <si>
    <t>Sales Manager, Neurovascular</t>
  </si>
  <si>
    <t>NV</t>
  </si>
  <si>
    <t>Sales manager</t>
  </si>
  <si>
    <t>5CG2181LW7</t>
  </si>
  <si>
    <t>Jiyong Ahn</t>
  </si>
  <si>
    <t>안지용</t>
  </si>
  <si>
    <t>gd.ahn@stryker.com</t>
  </si>
  <si>
    <t>Senior Mako Product Specialist</t>
  </si>
  <si>
    <t>Mako</t>
  </si>
  <si>
    <t>MPS</t>
  </si>
  <si>
    <t>없음</t>
  </si>
  <si>
    <t>Andrew Ahn</t>
  </si>
  <si>
    <t>안별</t>
  </si>
  <si>
    <t>andrew.ahn@stryker.com</t>
  </si>
  <si>
    <t>Senior Field Service Engineer Medical</t>
  </si>
  <si>
    <t>Market Access / TS</t>
  </si>
  <si>
    <t>TS</t>
  </si>
  <si>
    <t>04/13/22</t>
  </si>
  <si>
    <t>Ryan Ahn</t>
  </si>
  <si>
    <t>안성현</t>
  </si>
  <si>
    <t>ryan.ahn@stryker.com</t>
  </si>
  <si>
    <t>Senior Kit Representative</t>
  </si>
  <si>
    <t>Operation</t>
  </si>
  <si>
    <t>Materials</t>
  </si>
  <si>
    <t>Hyeran An</t>
  </si>
  <si>
    <t>안혜란</t>
  </si>
  <si>
    <t>hyeran.an@stryker.com</t>
  </si>
  <si>
    <t>Customer Service Specialist</t>
  </si>
  <si>
    <t>CS</t>
  </si>
  <si>
    <t>Sophie Bae</t>
  </si>
  <si>
    <t>배지현</t>
  </si>
  <si>
    <t>sophie.bae@stryker.com</t>
  </si>
  <si>
    <t>Business Operation Specialist, Neurovascular</t>
  </si>
  <si>
    <t>Medsurg</t>
  </si>
  <si>
    <t>Sales</t>
  </si>
  <si>
    <t>Vincent Bae</t>
  </si>
  <si>
    <t>배성빈</t>
  </si>
  <si>
    <t>vincent.bae@stryker.com</t>
  </si>
  <si>
    <t>Associate Mako Product Specialist</t>
  </si>
  <si>
    <t>Chloe Baek</t>
  </si>
  <si>
    <t>백경남</t>
  </si>
  <si>
    <t>chloe.baek@stryker.com</t>
  </si>
  <si>
    <t>Lead Specialist, Demand Planning, MedSurg</t>
  </si>
  <si>
    <t>Planning</t>
  </si>
  <si>
    <t>Alicia Bang</t>
  </si>
  <si>
    <t>방은영</t>
  </si>
  <si>
    <t>alicia.bang@stryker.com</t>
  </si>
  <si>
    <t>Senior RA Specialist</t>
  </si>
  <si>
    <t>RAQA</t>
  </si>
  <si>
    <t>RA</t>
  </si>
  <si>
    <t>Bella Bang</t>
  </si>
  <si>
    <t>방선희</t>
  </si>
  <si>
    <t>bella.bang@stryker.com</t>
  </si>
  <si>
    <t>Mako Product Specialist</t>
  </si>
  <si>
    <t>Sung Hoon Bang</t>
  </si>
  <si>
    <t>방성훈</t>
  </si>
  <si>
    <t>sunghoon.bang@stryker.com</t>
  </si>
  <si>
    <t>Lead Sales Representative</t>
  </si>
  <si>
    <t>Implants</t>
  </si>
  <si>
    <t>Jisoo Byeon</t>
  </si>
  <si>
    <t>변지수</t>
  </si>
  <si>
    <t>jisoo.byeon@stryker.com</t>
  </si>
  <si>
    <t>Business Operation Coordinator</t>
  </si>
  <si>
    <t>Sales Support</t>
  </si>
  <si>
    <t>Jun Seong Byun</t>
  </si>
  <si>
    <t>변준성</t>
  </si>
  <si>
    <t>junseong.byun@stryker.com</t>
  </si>
  <si>
    <t>Bruce Cha</t>
  </si>
  <si>
    <t>차철민</t>
  </si>
  <si>
    <t>Bruce.Cha@stryker.com</t>
  </si>
  <si>
    <t>Mako Account Manager</t>
  </si>
  <si>
    <t>Carl Cha</t>
  </si>
  <si>
    <t>차영훈</t>
  </si>
  <si>
    <t>carl.cha@stryker.com</t>
  </si>
  <si>
    <t>Technical Service Engineer</t>
  </si>
  <si>
    <t>TS Engineer</t>
  </si>
  <si>
    <t>5CD32871LG</t>
  </si>
  <si>
    <t>Willy Chang</t>
  </si>
  <si>
    <t>장훈</t>
  </si>
  <si>
    <t>Willy.Chang@stryker.com</t>
  </si>
  <si>
    <t>5CG2181LVJ</t>
  </si>
  <si>
    <t>Heesun Cho</t>
  </si>
  <si>
    <t>조희선</t>
  </si>
  <si>
    <t>heesun.cho@stryker.com</t>
  </si>
  <si>
    <t>Finance Director, Korea</t>
  </si>
  <si>
    <t>Finance</t>
  </si>
  <si>
    <t>KLT</t>
  </si>
  <si>
    <t>Martin Cho</t>
  </si>
  <si>
    <t>조명수</t>
  </si>
  <si>
    <t>martin.cho@stryker.com</t>
  </si>
  <si>
    <t>Sales Representative, MedSurg, Korea</t>
  </si>
  <si>
    <t>5CG2181LW1</t>
  </si>
  <si>
    <t>Jungshin Cho</t>
  </si>
  <si>
    <t>조정신</t>
  </si>
  <si>
    <t>jungshin.cho@stryker.com</t>
  </si>
  <si>
    <t>CS Manager</t>
  </si>
  <si>
    <t>Roy Choi</t>
  </si>
  <si>
    <t>최호정</t>
  </si>
  <si>
    <t>roy.choi@stryker.com</t>
  </si>
  <si>
    <t>07/25/23</t>
  </si>
  <si>
    <t>Claire Choi</t>
  </si>
  <si>
    <t>claire.choi@stryker.com</t>
  </si>
  <si>
    <t>C6CS1Z2(델?)</t>
  </si>
  <si>
    <t>Brad Choi</t>
  </si>
  <si>
    <t>최동혁</t>
  </si>
  <si>
    <t>brad.choi@stryker.com</t>
  </si>
  <si>
    <t>Senior Sales Representative</t>
  </si>
  <si>
    <t>Kyu Choi</t>
  </si>
  <si>
    <t>최규범</t>
  </si>
  <si>
    <t>kyu.choi@stryker.com</t>
  </si>
  <si>
    <t>Sales Representative, NV</t>
  </si>
  <si>
    <t>Mason Choi</t>
  </si>
  <si>
    <t>최민우</t>
  </si>
  <si>
    <t>mason.choi@stryker.com</t>
  </si>
  <si>
    <t>Jaewook Chung</t>
  </si>
  <si>
    <t>정재욱</t>
  </si>
  <si>
    <t>jae.chung@stryker.com</t>
  </si>
  <si>
    <t>Senior Product Manager</t>
  </si>
  <si>
    <t>MKT</t>
  </si>
  <si>
    <t>David Chung</t>
  </si>
  <si>
    <t>정석우</t>
  </si>
  <si>
    <t>david.chung@stryker.com</t>
  </si>
  <si>
    <t>Sales Representative</t>
  </si>
  <si>
    <t>Knee</t>
  </si>
  <si>
    <t>Amy Chung</t>
  </si>
  <si>
    <t>정채연</t>
  </si>
  <si>
    <t>amy.chung@stryker.com</t>
  </si>
  <si>
    <t>RA Specialist</t>
  </si>
  <si>
    <t>Nathan Eom</t>
  </si>
  <si>
    <t>엄태영</t>
  </si>
  <si>
    <t>Nathan.Eom@stryker.com</t>
  </si>
  <si>
    <t>Sales Manager</t>
  </si>
  <si>
    <t>Jack Eum</t>
  </si>
  <si>
    <t>엄재원</t>
  </si>
  <si>
    <t>jack.eum@stryker.com</t>
  </si>
  <si>
    <t>5CG2261LCR</t>
  </si>
  <si>
    <t>Emma Eun</t>
  </si>
  <si>
    <t>은예석</t>
  </si>
  <si>
    <t>emma.eun@stryker.com</t>
  </si>
  <si>
    <t>Gyolim Gu</t>
  </si>
  <si>
    <t>구교림</t>
  </si>
  <si>
    <t>gyolim.gu@stryker.com</t>
  </si>
  <si>
    <t>Senior Planner</t>
  </si>
  <si>
    <t>5CG2181LVR</t>
  </si>
  <si>
    <t>Alice Han</t>
  </si>
  <si>
    <t>한민주</t>
  </si>
  <si>
    <t>alice.han@stryker.com</t>
  </si>
  <si>
    <t>5CG2181LXB</t>
  </si>
  <si>
    <t>Leo Han</t>
  </si>
  <si>
    <t>한현준</t>
  </si>
  <si>
    <t>leo.han@stryker.com</t>
  </si>
  <si>
    <t>Mihee Han</t>
  </si>
  <si>
    <t>한미희</t>
  </si>
  <si>
    <t>mihee.han@stryker.com</t>
  </si>
  <si>
    <t>Associate Manager, FICM</t>
  </si>
  <si>
    <t>Associate Manager</t>
  </si>
  <si>
    <t>5CG10801FQ(retired)</t>
  </si>
  <si>
    <t>Arum Han</t>
  </si>
  <si>
    <t>한아름</t>
  </si>
  <si>
    <t>arum.han@stryker.com</t>
  </si>
  <si>
    <t>QA Manager</t>
  </si>
  <si>
    <t>QA</t>
  </si>
  <si>
    <t>Yejin Heo</t>
  </si>
  <si>
    <t>허예진</t>
  </si>
  <si>
    <t>yejin.heo@stryker.com</t>
  </si>
  <si>
    <t>5CD32081ZB</t>
  </si>
  <si>
    <t>Ashley Hong</t>
  </si>
  <si>
    <t>홍윤경</t>
  </si>
  <si>
    <t>ashley.hong@stryker.com</t>
  </si>
  <si>
    <t>Seo Yeong Hong</t>
  </si>
  <si>
    <t>홍서영</t>
  </si>
  <si>
    <t>seoyeong.hong@stryker.com</t>
  </si>
  <si>
    <t>Operations Specialist, Medical</t>
  </si>
  <si>
    <t>Logistics</t>
  </si>
  <si>
    <t>Cozy Huh</t>
  </si>
  <si>
    <t>허 소현</t>
  </si>
  <si>
    <t>cozy.huh@stryker.com</t>
  </si>
  <si>
    <t>Business Operation Specialist</t>
  </si>
  <si>
    <t>5CD32871LL</t>
  </si>
  <si>
    <t>Sung Youn Hur</t>
  </si>
  <si>
    <t>허성연</t>
  </si>
  <si>
    <t>sungyoun.hur@stryker.com</t>
  </si>
  <si>
    <t>ICM Manager</t>
  </si>
  <si>
    <t>ICM</t>
  </si>
  <si>
    <t>Sales Strategy</t>
  </si>
  <si>
    <t>Oscar Hwang</t>
  </si>
  <si>
    <t>황해수</t>
  </si>
  <si>
    <t>oscar.hwang@stryker.com</t>
  </si>
  <si>
    <t>Senior Technical Service Engineer</t>
  </si>
  <si>
    <t>Young Hwang</t>
  </si>
  <si>
    <t>황우영</t>
  </si>
  <si>
    <t>young.hwang@stryker.com</t>
  </si>
  <si>
    <t>Senior Sales Representative, Neurovascular, Korea</t>
  </si>
  <si>
    <t>5CG2181LWL</t>
  </si>
  <si>
    <t>Theo Hwang</t>
  </si>
  <si>
    <t>황현택</t>
  </si>
  <si>
    <t>theo.hwang@stryker.com</t>
  </si>
  <si>
    <t>Senior Sales Representative, MedSurg</t>
  </si>
  <si>
    <t>Daniel Jang</t>
  </si>
  <si>
    <t>장동혁</t>
  </si>
  <si>
    <t>daniel.jang@stryker.com</t>
  </si>
  <si>
    <t>Ethan Jang</t>
  </si>
  <si>
    <t>장찬희</t>
  </si>
  <si>
    <t>ethan.jang@stryker.com</t>
  </si>
  <si>
    <t>Field Service Engineer</t>
  </si>
  <si>
    <t>Eunhyang Jeon</t>
  </si>
  <si>
    <t>전은향</t>
  </si>
  <si>
    <t>cindy.jeon@stryker.com</t>
  </si>
  <si>
    <t>Lead Specialist, Demand Planning, Orthopedics</t>
  </si>
  <si>
    <t>Lucas Jeon</t>
  </si>
  <si>
    <t>전혁구</t>
  </si>
  <si>
    <t>lucas.jeon@stryker.com</t>
  </si>
  <si>
    <t>Chan Jeon</t>
  </si>
  <si>
    <t>전일찬</t>
  </si>
  <si>
    <t>chan.jeon@stryker.com</t>
  </si>
  <si>
    <t>Yoonbee Jeong</t>
  </si>
  <si>
    <t>정윤비</t>
  </si>
  <si>
    <t>yoonbee.jeong@stryker.com</t>
  </si>
  <si>
    <t>Senior Marketing Specialist, Mako</t>
  </si>
  <si>
    <t>Somi Jeong</t>
  </si>
  <si>
    <t>정소미</t>
  </si>
  <si>
    <t>somi.jeong@stryker.com</t>
  </si>
  <si>
    <t>Dahye Jeong</t>
  </si>
  <si>
    <t>정다혜</t>
  </si>
  <si>
    <t>dahye.jeong@stryker.com</t>
  </si>
  <si>
    <t>HanGil Jeong</t>
  </si>
  <si>
    <t>정한길</t>
  </si>
  <si>
    <t>hangil.jeong@stryker.com</t>
  </si>
  <si>
    <t>Logistics Manager</t>
  </si>
  <si>
    <t>Sunglee Jeun</t>
  </si>
  <si>
    <t>전성이</t>
  </si>
  <si>
    <t>sungyi.jeon@stryker.com</t>
  </si>
  <si>
    <t>FP&amp;A Manager</t>
  </si>
  <si>
    <t>Financial Planning and Analysis</t>
  </si>
  <si>
    <t>JH Ji</t>
  </si>
  <si>
    <t>지정훈</t>
  </si>
  <si>
    <t>jh.ji@stryker.com</t>
  </si>
  <si>
    <t>Commercial Excellence Director</t>
  </si>
  <si>
    <t>Market Access</t>
  </si>
  <si>
    <t>Jay Ji</t>
  </si>
  <si>
    <t>지정은</t>
  </si>
  <si>
    <t>jay.ji@stryker.com</t>
  </si>
  <si>
    <t>Product Manager, Shoulder</t>
  </si>
  <si>
    <t>Scott Jo</t>
  </si>
  <si>
    <t>조상혁</t>
  </si>
  <si>
    <t>scott.jo@stryker.com</t>
  </si>
  <si>
    <t>Irene Jun</t>
  </si>
  <si>
    <t>전신영</t>
  </si>
  <si>
    <t>irene.jun@stryker.com</t>
  </si>
  <si>
    <t>Lead Specialist, Regulatory Affairs</t>
  </si>
  <si>
    <t>Jade Jung</t>
  </si>
  <si>
    <t>정지운</t>
  </si>
  <si>
    <t>jade.jung@stryker.com</t>
  </si>
  <si>
    <t>Jenny Jung</t>
  </si>
  <si>
    <t>정진희</t>
  </si>
  <si>
    <t>jenny.jung@stryker.com</t>
  </si>
  <si>
    <t>Associate Marketing Manager</t>
  </si>
  <si>
    <t>Suhwan Jung</t>
  </si>
  <si>
    <t>정수환</t>
  </si>
  <si>
    <t>suhwan.jung@stryker.com</t>
  </si>
  <si>
    <t>Celine Jung</t>
  </si>
  <si>
    <t>정혜빈</t>
  </si>
  <si>
    <t>celine.jung@stryker.com</t>
  </si>
  <si>
    <t>Regulatory Affairs Specialist</t>
  </si>
  <si>
    <t>Sol Jung</t>
  </si>
  <si>
    <t>정솔</t>
  </si>
  <si>
    <t>sol.jung@stryker.com</t>
  </si>
  <si>
    <t>5CD32081Z7</t>
  </si>
  <si>
    <t>Louis Kang</t>
  </si>
  <si>
    <t>강원영</t>
  </si>
  <si>
    <t>louis.kang@stryker.com</t>
  </si>
  <si>
    <t>5CG2181LVF</t>
  </si>
  <si>
    <t>Chloe Kang</t>
  </si>
  <si>
    <t>강혜영</t>
  </si>
  <si>
    <t>chloe.kang@stryker.com</t>
  </si>
  <si>
    <t>Executive Assistant &amp; Office Manager</t>
  </si>
  <si>
    <t>HR</t>
  </si>
  <si>
    <t>Office Manager</t>
  </si>
  <si>
    <t>Leslie Kim</t>
  </si>
  <si>
    <t>김지연</t>
  </si>
  <si>
    <t>Leslie.kim@stryker.com</t>
  </si>
  <si>
    <t>Director, RA/QA and Reimbursement</t>
  </si>
  <si>
    <t>Justin Kim</t>
  </si>
  <si>
    <t>김정오</t>
  </si>
  <si>
    <t>Justin.Kim@stryker.com</t>
  </si>
  <si>
    <t>Mako Capital Sales Manager</t>
  </si>
  <si>
    <t>Sue Kim</t>
  </si>
  <si>
    <t>김정숙</t>
  </si>
  <si>
    <t>Sue.Kim@stryker.com</t>
  </si>
  <si>
    <t>Business Unit Director</t>
  </si>
  <si>
    <t>Danny Kim</t>
  </si>
  <si>
    <t>김문호</t>
  </si>
  <si>
    <t>danny.kim@stryker.com</t>
  </si>
  <si>
    <t>Rayna Kim</t>
  </si>
  <si>
    <t>Rayna.Kim@stryker.com</t>
  </si>
  <si>
    <t>Senior Marketing Specialist, Neurovascular, Korea</t>
  </si>
  <si>
    <t>Advertising/Marketing Communications</t>
  </si>
  <si>
    <t>5CG2181LCT</t>
  </si>
  <si>
    <t>Suhyun Kim</t>
  </si>
  <si>
    <t>김수현</t>
  </si>
  <si>
    <t>Suhyun.Kim@stryker.com</t>
  </si>
  <si>
    <t>Associate Sales Manager</t>
  </si>
  <si>
    <t>Yoori Kim</t>
  </si>
  <si>
    <t>김유리</t>
  </si>
  <si>
    <t>yoori.kim@stryker.com</t>
  </si>
  <si>
    <t>HR Director, Korea and East Asia Functions</t>
  </si>
  <si>
    <t>Songmin Kim</t>
  </si>
  <si>
    <t>김송민</t>
  </si>
  <si>
    <t>songmin.kim@stryker.com</t>
  </si>
  <si>
    <t>Manager, Market Access</t>
  </si>
  <si>
    <t>Healthcare Economics</t>
  </si>
  <si>
    <t>Jackson Kim</t>
  </si>
  <si>
    <t>김정연</t>
  </si>
  <si>
    <t>jackson.kim@stryker.com</t>
  </si>
  <si>
    <t>Product Manager, Neurovascular</t>
  </si>
  <si>
    <t>5CG2181LXH</t>
  </si>
  <si>
    <t>Genie Kim</t>
  </si>
  <si>
    <t>김현진</t>
  </si>
  <si>
    <t>genie.kim@stryker.com</t>
  </si>
  <si>
    <t>5CG2181LW3</t>
  </si>
  <si>
    <t>Jason Kim</t>
  </si>
  <si>
    <t>김재헌</t>
  </si>
  <si>
    <t>jason.kim1@stryker.com</t>
  </si>
  <si>
    <t>5CG2181LVN</t>
  </si>
  <si>
    <t>Henry Kim</t>
  </si>
  <si>
    <t>김한성</t>
  </si>
  <si>
    <t>henry.kim1@stryker.com</t>
  </si>
  <si>
    <t>Yeonjoo Kim</t>
  </si>
  <si>
    <t>김연주</t>
  </si>
  <si>
    <t>yeonjoo.kim@stryker.com</t>
  </si>
  <si>
    <t>Product Manager</t>
  </si>
  <si>
    <t>William Kim</t>
  </si>
  <si>
    <t>김성진</t>
  </si>
  <si>
    <t>william.kim1@stryker.com</t>
  </si>
  <si>
    <t>Finance Manager</t>
  </si>
  <si>
    <t>Accounting</t>
  </si>
  <si>
    <t>Terry Kim</t>
  </si>
  <si>
    <t>김용석</t>
  </si>
  <si>
    <t>terry.kim@stryker.com</t>
  </si>
  <si>
    <t>Lead FP&amp;A Analyst, Finance</t>
  </si>
  <si>
    <t>Ahyoung Kim</t>
  </si>
  <si>
    <t>김아영</t>
  </si>
  <si>
    <t>ahyoung.kim@stryker.com</t>
  </si>
  <si>
    <t>Lead Specialist Regulatory Affairs Quality Assurance</t>
  </si>
  <si>
    <t>RAQA Compliance</t>
  </si>
  <si>
    <t>Jayden Kim</t>
  </si>
  <si>
    <t>김민재</t>
  </si>
  <si>
    <t>jayden.kim@stryker.com</t>
  </si>
  <si>
    <t>Dongkyu Kim</t>
  </si>
  <si>
    <t>김동규</t>
  </si>
  <si>
    <t>dongkyu.kim@stryker.com</t>
  </si>
  <si>
    <t>Minki Kim</t>
  </si>
  <si>
    <t>김민기</t>
  </si>
  <si>
    <t>minki.kim@stryker.com</t>
  </si>
  <si>
    <t>Marketing Manager, Implants, Korea</t>
  </si>
  <si>
    <t>Soyoun Kim</t>
  </si>
  <si>
    <t>김소연</t>
  </si>
  <si>
    <t>soyoun.kim@stryker.com</t>
  </si>
  <si>
    <t>Compliance Officer, East Asia</t>
  </si>
  <si>
    <t>Legal</t>
  </si>
  <si>
    <t>5CG2181LW5</t>
  </si>
  <si>
    <t>Hailey Kim</t>
  </si>
  <si>
    <t>김정화</t>
  </si>
  <si>
    <t>hailey.kim@stryker.com</t>
  </si>
  <si>
    <t>Senior Accountant</t>
  </si>
  <si>
    <t>5CG2181LXO</t>
  </si>
  <si>
    <t>Mason Kim</t>
  </si>
  <si>
    <t>김오현</t>
  </si>
  <si>
    <t>mason.kim1@stryker.com</t>
  </si>
  <si>
    <t>Associate MAKO Product Specialist</t>
  </si>
  <si>
    <t>Mindo Kim</t>
  </si>
  <si>
    <t>김민도</t>
  </si>
  <si>
    <t>mindo.kim@stryker.com</t>
  </si>
  <si>
    <t>5CG2261LCV</t>
  </si>
  <si>
    <t>Aspyn Kim</t>
  </si>
  <si>
    <t>김주희</t>
  </si>
  <si>
    <t>aspyn.kim@stryker.com</t>
  </si>
  <si>
    <t>5CG2181LWV</t>
  </si>
  <si>
    <t>Lina Kim</t>
  </si>
  <si>
    <t>김인아</t>
  </si>
  <si>
    <t>lina.kim@stryker.com</t>
  </si>
  <si>
    <t>David Kim</t>
  </si>
  <si>
    <t>김성준</t>
  </si>
  <si>
    <t>david.kim3@stryker.com</t>
  </si>
  <si>
    <t>James Kim</t>
  </si>
  <si>
    <t>김재철</t>
  </si>
  <si>
    <t>james.kim@stryker.com</t>
  </si>
  <si>
    <t>5CD32871LF</t>
  </si>
  <si>
    <t>Hannah Kim</t>
  </si>
  <si>
    <t>김예림</t>
  </si>
  <si>
    <t>hannah.kim@stryker.com</t>
  </si>
  <si>
    <t>Greg Kim</t>
  </si>
  <si>
    <t>김형근</t>
  </si>
  <si>
    <t>greg.kim@stryker.com</t>
  </si>
  <si>
    <t>Regional Legal Counsel</t>
  </si>
  <si>
    <t>Legal Generalist</t>
  </si>
  <si>
    <t>Theo Kim</t>
  </si>
  <si>
    <t>김덕영</t>
  </si>
  <si>
    <t>theo.kim@stryker.com</t>
  </si>
  <si>
    <t>Commercial Reporting Administrator</t>
  </si>
  <si>
    <t>Market Access/CR</t>
  </si>
  <si>
    <t>Technical Customer Support</t>
  </si>
  <si>
    <t>Daphne Kim</t>
  </si>
  <si>
    <t>김다영</t>
  </si>
  <si>
    <t>daphne.kim@stryker.com</t>
  </si>
  <si>
    <t>Customer Service Representative</t>
  </si>
  <si>
    <t>Ara Ko</t>
  </si>
  <si>
    <t>고아라</t>
  </si>
  <si>
    <t>ara.ko@stryker.com</t>
  </si>
  <si>
    <t>Wondae Ko</t>
  </si>
  <si>
    <t>고원대</t>
  </si>
  <si>
    <t>wondae.ko@stryker.com</t>
  </si>
  <si>
    <t>Kit Specialist</t>
  </si>
  <si>
    <t>Arin Ko</t>
  </si>
  <si>
    <t>고현경</t>
  </si>
  <si>
    <t>arin.ko@stryker.com</t>
  </si>
  <si>
    <t>Marketing Assistant</t>
  </si>
  <si>
    <t>Administrator</t>
  </si>
  <si>
    <t>Allen Ku</t>
  </si>
  <si>
    <t>구교빈</t>
  </si>
  <si>
    <t>allen.ku@stryker.com</t>
  </si>
  <si>
    <t>5S2Z1Z2</t>
  </si>
  <si>
    <t>Jeff Lee</t>
  </si>
  <si>
    <t>이종원</t>
  </si>
  <si>
    <t>Jeff.Lee@stryker.com</t>
  </si>
  <si>
    <t>BU Director, Mako</t>
  </si>
  <si>
    <t>Joy Lee</t>
  </si>
  <si>
    <t>이윤선</t>
  </si>
  <si>
    <t>joy.lee@stryker.com</t>
  </si>
  <si>
    <t>Demian Lee</t>
  </si>
  <si>
    <t>이동석</t>
  </si>
  <si>
    <t>demian.lee@stryker.com</t>
  </si>
  <si>
    <t>Manager, Credit Control</t>
  </si>
  <si>
    <t>Credit and Collections</t>
  </si>
  <si>
    <t>Chloe Lee</t>
  </si>
  <si>
    <t>이효성</t>
  </si>
  <si>
    <t>chloe.lee@stryker.com</t>
  </si>
  <si>
    <t>Senior RAQA Manager</t>
  </si>
  <si>
    <t>David Lee</t>
  </si>
  <si>
    <t>이상화</t>
  </si>
  <si>
    <t>david.lee4@stryker.com</t>
  </si>
  <si>
    <t>Associate Manager, Field Service</t>
  </si>
  <si>
    <t>Nathan Lee</t>
  </si>
  <si>
    <t>이인재</t>
  </si>
  <si>
    <t>nathan.lee@stryker.com</t>
  </si>
  <si>
    <t>Rosie Lee</t>
  </si>
  <si>
    <t>이지해</t>
  </si>
  <si>
    <t>rosie.lee@stryker.com</t>
  </si>
  <si>
    <t>Daniel Lee</t>
  </si>
  <si>
    <t>이승용</t>
  </si>
  <si>
    <t>daniel.lee1@stryker.com</t>
  </si>
  <si>
    <t>Senior Field Service Engineer, Technical Service</t>
  </si>
  <si>
    <t>Henry Lee</t>
  </si>
  <si>
    <t>이봉학</t>
  </si>
  <si>
    <t>henry.lee@stryker.com</t>
  </si>
  <si>
    <t>Ayaan Lee</t>
  </si>
  <si>
    <t>이근필</t>
  </si>
  <si>
    <t>ayaan.lee@stryker.com</t>
  </si>
  <si>
    <t>5CD3027S4T</t>
  </si>
  <si>
    <t>Jaekyeong Lee</t>
  </si>
  <si>
    <t>이재경</t>
  </si>
  <si>
    <t>jaekyeong.lee@stryker.com</t>
  </si>
  <si>
    <t>Senior Specialist, Market Access &amp; Clinical Research</t>
  </si>
  <si>
    <t>Eunji Lee</t>
  </si>
  <si>
    <t>이은지</t>
  </si>
  <si>
    <t>eunji.lee@stryker.com</t>
  </si>
  <si>
    <t>Planner</t>
  </si>
  <si>
    <t>5CG32871LS</t>
  </si>
  <si>
    <t>Annie Lee</t>
  </si>
  <si>
    <t>이채원</t>
  </si>
  <si>
    <t>annie.lee@stryker.com</t>
  </si>
  <si>
    <t>Suhan Lee</t>
  </si>
  <si>
    <t>이수한</t>
  </si>
  <si>
    <t>suhan.lee@stryker.com</t>
  </si>
  <si>
    <t>TS Coordinator</t>
  </si>
  <si>
    <t>Bruce Lee</t>
  </si>
  <si>
    <t>이현우</t>
  </si>
  <si>
    <t>bruce.lee@stryker.com</t>
  </si>
  <si>
    <t>Associate Manager, Supply Planning</t>
  </si>
  <si>
    <t>Kylie Leem</t>
  </si>
  <si>
    <t>임덕희</t>
  </si>
  <si>
    <t>kylie.leem@stryker.com</t>
  </si>
  <si>
    <t>Roy Lim</t>
  </si>
  <si>
    <t>임영환</t>
  </si>
  <si>
    <t>roy.lim@stryker.com</t>
  </si>
  <si>
    <t>Business Director, MedSurg, Korea</t>
  </si>
  <si>
    <t>5CG136B93K</t>
  </si>
  <si>
    <t>Kyle Lim</t>
  </si>
  <si>
    <t>임채홍</t>
  </si>
  <si>
    <t>kyle.lim@stryker.com</t>
  </si>
  <si>
    <t>Senior Customer Service Specialist</t>
  </si>
  <si>
    <t>Serene Ma</t>
  </si>
  <si>
    <t>마성원</t>
  </si>
  <si>
    <t>serene.ma@stryker.com</t>
  </si>
  <si>
    <t>Senior HR Specialist</t>
  </si>
  <si>
    <t>HR Generalist</t>
  </si>
  <si>
    <t>Jay Moon</t>
  </si>
  <si>
    <t>문지윤</t>
  </si>
  <si>
    <t>jay.moon@stryker.com</t>
  </si>
  <si>
    <t>Manager, Finance Indirect Channel Management</t>
  </si>
  <si>
    <t>Ethan Na</t>
  </si>
  <si>
    <t>나성일</t>
  </si>
  <si>
    <t>ethan.na@stryker.com</t>
  </si>
  <si>
    <t>Changkyu Oh</t>
  </si>
  <si>
    <t>오창규</t>
  </si>
  <si>
    <t>david.oh@stryker.com</t>
  </si>
  <si>
    <t>Peter Oh</t>
  </si>
  <si>
    <t>오인혁</t>
  </si>
  <si>
    <t>peter.oh@stryker.com</t>
  </si>
  <si>
    <t xml:space="preserve">BU Director, Knee•Sales and Marketing
</t>
  </si>
  <si>
    <t>Mason Oh</t>
  </si>
  <si>
    <t>오승민</t>
  </si>
  <si>
    <t>mason.oh@stryker.com</t>
  </si>
  <si>
    <t>Senior Sales Representative, Shoulder</t>
  </si>
  <si>
    <t>01/23/23</t>
  </si>
  <si>
    <t>Joon Oh</t>
  </si>
  <si>
    <t>오준환</t>
  </si>
  <si>
    <t>joon.oh@stryker.com</t>
  </si>
  <si>
    <t>Senior Marketing Specialist</t>
  </si>
  <si>
    <t>5CG2181LXK</t>
  </si>
  <si>
    <t>Jennifer Paek</t>
  </si>
  <si>
    <t>백영수</t>
  </si>
  <si>
    <t>jennifer.paek@stryker.com</t>
  </si>
  <si>
    <t>RA &amp; Market Access Manager</t>
  </si>
  <si>
    <t>Jiyoung Park</t>
  </si>
  <si>
    <t>박지영</t>
  </si>
  <si>
    <t>jy.park@stryker.com</t>
  </si>
  <si>
    <t>Senior Business Operation Specialist</t>
  </si>
  <si>
    <t>5CG1171H62(retired)</t>
  </si>
  <si>
    <t>Tyler Park</t>
  </si>
  <si>
    <t>박래수</t>
  </si>
  <si>
    <t>tyler.park@stryker.com</t>
  </si>
  <si>
    <t>Associate Sales Manager, Neurovascular</t>
  </si>
  <si>
    <t>5CG2181LWT</t>
  </si>
  <si>
    <t>Julie Park</t>
  </si>
  <si>
    <t>박정언</t>
  </si>
  <si>
    <t>julie.park@stryker.com</t>
  </si>
  <si>
    <t>Marketing Manager, Neurovascular Korea</t>
  </si>
  <si>
    <t>Jinny Park</t>
  </si>
  <si>
    <t>박경진</t>
  </si>
  <si>
    <t>jinny.park@stryker.com</t>
  </si>
  <si>
    <t>Commercial Reporting Specialist</t>
  </si>
  <si>
    <t>James Park</t>
  </si>
  <si>
    <t>박종욱</t>
  </si>
  <si>
    <t>james.park@stryker.com</t>
  </si>
  <si>
    <t>IBP Manager, Instruments and Endoscopy</t>
  </si>
  <si>
    <t>5CG2181LW6</t>
  </si>
  <si>
    <t>Jackson Park</t>
  </si>
  <si>
    <t>박준영</t>
  </si>
  <si>
    <t>jackson.park@stryker.com</t>
  </si>
  <si>
    <t>Owen Park</t>
  </si>
  <si>
    <t>박기완</t>
  </si>
  <si>
    <t>owen.park@stryker.com</t>
  </si>
  <si>
    <t>Freddy Park</t>
  </si>
  <si>
    <t>박현상</t>
  </si>
  <si>
    <t>freddy.park@stryker.com</t>
  </si>
  <si>
    <t>Associate Finance Manager</t>
  </si>
  <si>
    <t>Peter Park</t>
  </si>
  <si>
    <t>박영철</t>
  </si>
  <si>
    <t>peter.park@stryker.com</t>
  </si>
  <si>
    <t>5CG2181LWN</t>
  </si>
  <si>
    <t>Michelle Park</t>
  </si>
  <si>
    <t>박민영</t>
  </si>
  <si>
    <t>michelle.park@stryker.com</t>
  </si>
  <si>
    <t>Regional Partnership Manager</t>
  </si>
  <si>
    <t>-</t>
  </si>
  <si>
    <t>Jin Park</t>
  </si>
  <si>
    <t>박진</t>
  </si>
  <si>
    <t>jin.park@stryker.com</t>
  </si>
  <si>
    <t>Associate ENT Business Development Manager, MedSurg, Korea</t>
  </si>
  <si>
    <t>5CG2181LW9</t>
  </si>
  <si>
    <t>Jack Park</t>
  </si>
  <si>
    <t>박상민</t>
  </si>
  <si>
    <t>jack.park@stryker.com</t>
  </si>
  <si>
    <t>Senior QA Specialist</t>
  </si>
  <si>
    <t>5CG2181LVQ</t>
  </si>
  <si>
    <t>Daniel Park</t>
  </si>
  <si>
    <t>박종문</t>
  </si>
  <si>
    <t>daniel.park@stryker.com</t>
  </si>
  <si>
    <t xml:space="preserve">5CG2181LWB </t>
  </si>
  <si>
    <t>5CG2181LWB</t>
  </si>
  <si>
    <t>Hyoseon Park</t>
  </si>
  <si>
    <t>박효선</t>
  </si>
  <si>
    <t>hyoseon.park@stryker.com</t>
  </si>
  <si>
    <t>Sujin Park</t>
  </si>
  <si>
    <t>박수진</t>
  </si>
  <si>
    <t>sujin.park@stryker.com</t>
  </si>
  <si>
    <t>Marketing Specialist, Mako</t>
  </si>
  <si>
    <t>Lucia Park</t>
  </si>
  <si>
    <t>박지현</t>
  </si>
  <si>
    <t>lucia.park@stryker.com</t>
  </si>
  <si>
    <t>YJ Seo</t>
  </si>
  <si>
    <t>서영준</t>
  </si>
  <si>
    <t>yj.seo@stryker.com</t>
  </si>
  <si>
    <t>Director East Asia Planning</t>
  </si>
  <si>
    <t>5CD32081Z9</t>
  </si>
  <si>
    <t>Gregory Seo</t>
  </si>
  <si>
    <t>서진호</t>
  </si>
  <si>
    <t>Gregory.Seo@stryker.com</t>
  </si>
  <si>
    <t>New Technology Manager, Neurovascular</t>
  </si>
  <si>
    <t>5CG2181LX4</t>
  </si>
  <si>
    <t>Junghoon Seo</t>
  </si>
  <si>
    <t>서정훈</t>
  </si>
  <si>
    <t>junghoon.seo@stryker.com</t>
  </si>
  <si>
    <t>Commercial Reporting Manager, CE</t>
  </si>
  <si>
    <t>Jaehee Seo</t>
  </si>
  <si>
    <t>서재희</t>
  </si>
  <si>
    <t>jaehee.seo@stryker.com</t>
  </si>
  <si>
    <t>Compliance Manager, East Asia</t>
  </si>
  <si>
    <t>Compliance</t>
  </si>
  <si>
    <t>5CG2181LWJ</t>
  </si>
  <si>
    <t>Kevin Shim</t>
  </si>
  <si>
    <t>심현우</t>
  </si>
  <si>
    <t>kevin.shim@stryker.com</t>
  </si>
  <si>
    <t>Managing Director, Stryker Korea</t>
  </si>
  <si>
    <t>Executive and GM Job Family Group</t>
  </si>
  <si>
    <t>Division Leadership</t>
  </si>
  <si>
    <t>Chris Shin</t>
  </si>
  <si>
    <t>신승용</t>
  </si>
  <si>
    <t>chris.shin@stryker.com</t>
  </si>
  <si>
    <t>검색안됨</t>
  </si>
  <si>
    <t>Hansol Shin</t>
  </si>
  <si>
    <t>신한솔</t>
  </si>
  <si>
    <t>hansol.shin@stryker.com</t>
  </si>
  <si>
    <t>HR Business Partner, Manager</t>
  </si>
  <si>
    <t>Dana Shin</t>
  </si>
  <si>
    <t>신수민</t>
  </si>
  <si>
    <t>dana.shin@stryker.com</t>
  </si>
  <si>
    <t>5CG2181LXJ</t>
  </si>
  <si>
    <t>Huey Sim</t>
  </si>
  <si>
    <t>심종훈</t>
  </si>
  <si>
    <t>Huey.Sim@stryker.com</t>
  </si>
  <si>
    <t>Repair Center (East Asia) &amp; Technical Service (Korea) Manager</t>
  </si>
  <si>
    <t>5CG32871LB</t>
  </si>
  <si>
    <t>Simon Sin</t>
  </si>
  <si>
    <t>신정헌</t>
  </si>
  <si>
    <t>Simon.sin@stryker.com</t>
  </si>
  <si>
    <t>Sales Manager, MedSurg</t>
  </si>
  <si>
    <t>5CG2181LWS</t>
  </si>
  <si>
    <t>Amy Son</t>
  </si>
  <si>
    <t>손현경</t>
  </si>
  <si>
    <t>amy.son@stryker.com</t>
  </si>
  <si>
    <t>Sales &amp; Partnership Coordinator and Translator</t>
  </si>
  <si>
    <t>Mi Na Song</t>
  </si>
  <si>
    <t>송미나</t>
  </si>
  <si>
    <t>mina.song@stryker.com</t>
  </si>
  <si>
    <t>Senior Business Manager, Neurovascular, Korea</t>
  </si>
  <si>
    <t>5CG2181LVH</t>
  </si>
  <si>
    <t>Jun Song</t>
  </si>
  <si>
    <t>송혁준</t>
  </si>
  <si>
    <t>jun.song@stryker.com</t>
  </si>
  <si>
    <t>Senior Manager, IT Business Partner</t>
  </si>
  <si>
    <t>IT</t>
  </si>
  <si>
    <t>Jina Song</t>
  </si>
  <si>
    <t>송주연</t>
  </si>
  <si>
    <t>jina.song@stryker.com</t>
  </si>
  <si>
    <t>Jayden Song</t>
  </si>
  <si>
    <t>송지현</t>
  </si>
  <si>
    <t>jayden.song@stryker.com</t>
  </si>
  <si>
    <t>5CG2181LWM</t>
  </si>
  <si>
    <t>Ethan Song</t>
  </si>
  <si>
    <t>송주영</t>
  </si>
  <si>
    <t>ethan.song@stryker.com</t>
  </si>
  <si>
    <t>Rosey Song</t>
  </si>
  <si>
    <t>송수진</t>
  </si>
  <si>
    <t>rosey.song@stryker.com</t>
  </si>
  <si>
    <t>Hailey Song</t>
  </si>
  <si>
    <t>송하영</t>
  </si>
  <si>
    <t>hailey.song@stryker.com</t>
  </si>
  <si>
    <t>Imsun Won</t>
  </si>
  <si>
    <t>원임선</t>
  </si>
  <si>
    <t>imsun.won@stryker.com</t>
  </si>
  <si>
    <t>Associate Supply and Customs Manager</t>
  </si>
  <si>
    <t>Import/Export</t>
  </si>
  <si>
    <t>David Yang</t>
  </si>
  <si>
    <t>양승현</t>
  </si>
  <si>
    <t>David.Yang@stryker.com</t>
  </si>
  <si>
    <t>Manager</t>
  </si>
  <si>
    <t>5CG2181LVY</t>
  </si>
  <si>
    <t>Owen Yang</t>
  </si>
  <si>
    <t>양희광</t>
  </si>
  <si>
    <t>owen.yang@stryker.com</t>
  </si>
  <si>
    <t>Kit Supervisor</t>
  </si>
  <si>
    <t>5CD32871LQ</t>
  </si>
  <si>
    <t>Jisoo Yang</t>
  </si>
  <si>
    <t>양지수</t>
  </si>
  <si>
    <t>jisoo.yang@stryker.com</t>
  </si>
  <si>
    <t>Lead Talent Acquisition Business Partner, East Asia</t>
  </si>
  <si>
    <t>Recruiting</t>
  </si>
  <si>
    <t>Minsu Yi</t>
  </si>
  <si>
    <t>이민수</t>
  </si>
  <si>
    <t>minsu.yi@stryker.com</t>
  </si>
  <si>
    <t>Head of Operations, Korea</t>
  </si>
  <si>
    <t>Jiwon Yoo</t>
  </si>
  <si>
    <t>유지원</t>
  </si>
  <si>
    <t>jiwon.yoo@stryker.com</t>
  </si>
  <si>
    <t>Associate Manager, Regulatory Affairs</t>
  </si>
  <si>
    <t>Jiho Yoo</t>
  </si>
  <si>
    <t>류지호</t>
  </si>
  <si>
    <t>jiho.yoo@stryker.com</t>
  </si>
  <si>
    <t>5CG2181LVZ</t>
  </si>
  <si>
    <t>Jungmin Yoo</t>
  </si>
  <si>
    <t>유정민</t>
  </si>
  <si>
    <t>jenna.yoo@stryker.com</t>
  </si>
  <si>
    <t>Finance Analyst</t>
  </si>
  <si>
    <t>Bella Yoon</t>
  </si>
  <si>
    <t>윤수연</t>
  </si>
  <si>
    <t>bella.yoon@stryker.com</t>
  </si>
  <si>
    <t>Ayaan Yoon</t>
  </si>
  <si>
    <t>윤채훈</t>
  </si>
  <si>
    <t>ayaan.yoon@stryker.com</t>
  </si>
  <si>
    <t>JW Yoon</t>
  </si>
  <si>
    <t>윤주원</t>
  </si>
  <si>
    <t>jw.yoon@stryker.com</t>
  </si>
  <si>
    <t>Senior BD Manager, Knee, Korea</t>
  </si>
  <si>
    <t>Sales / BD Manager</t>
  </si>
  <si>
    <t>Aaron Yoon</t>
  </si>
  <si>
    <t>윤현석</t>
  </si>
  <si>
    <t>aaron.yoon@stryker.com</t>
  </si>
  <si>
    <t>Sarah Youn</t>
  </si>
  <si>
    <t>윤정인</t>
  </si>
  <si>
    <t>sarah.youn@stryker.com</t>
  </si>
  <si>
    <t>Product Manager, Implants</t>
  </si>
  <si>
    <t>5CG051C6S8(retired)</t>
  </si>
  <si>
    <t>kale.lee</t>
  </si>
  <si>
    <t>kale.lee@stryker.com</t>
  </si>
  <si>
    <t>IT Support Analyst</t>
  </si>
  <si>
    <t>IT Engineer</t>
  </si>
  <si>
    <t>0월 0일</t>
  </si>
  <si>
    <t>CIS</t>
  </si>
  <si>
    <t>yongma05(깡통)</t>
  </si>
  <si>
    <t>Yongma</t>
  </si>
  <si>
    <t>order</t>
  </si>
  <si>
    <t>yongma01(깡통)</t>
  </si>
  <si>
    <t>Demoadmin.ym</t>
  </si>
  <si>
    <t>demoadmin.ym@stryker.com</t>
  </si>
  <si>
    <t>eric.kim</t>
  </si>
  <si>
    <t>eric.kim@stryker.com</t>
  </si>
  <si>
    <t>Yongma, WMS4 /Kit</t>
  </si>
  <si>
    <t>yongma03(깡통)</t>
  </si>
  <si>
    <t>Yongma, Stryker</t>
  </si>
  <si>
    <t>yongma02(깡통)</t>
  </si>
  <si>
    <t>8CC2250YBL</t>
  </si>
  <si>
    <t>Daniel.Han</t>
  </si>
  <si>
    <t>daniel.han@stryker.com</t>
  </si>
  <si>
    <t>ts.korea</t>
  </si>
  <si>
    <t>ts.korea@stryker.com</t>
  </si>
  <si>
    <t>WMS2 /MedSurg</t>
  </si>
  <si>
    <t>yongma04(깡통)</t>
  </si>
  <si>
    <t>neal kim</t>
  </si>
  <si>
    <t>김푸른강</t>
  </si>
  <si>
    <t>neal.kim@stryker.com</t>
  </si>
  <si>
    <t>orderadmin1.ym</t>
  </si>
  <si>
    <t>orderadmin1.ym@stryker.com</t>
  </si>
  <si>
    <t>medsurg.ym</t>
  </si>
  <si>
    <t>medsurg.ym@stryker.com</t>
  </si>
  <si>
    <t>recon.ym</t>
  </si>
  <si>
    <t>recon.ym@stryker.com</t>
  </si>
  <si>
    <t>stella hwang</t>
  </si>
  <si>
    <t>황지영</t>
  </si>
  <si>
    <t>stella.hwang@stryker.com</t>
  </si>
  <si>
    <t>Administrator / Product Manager</t>
  </si>
  <si>
    <t>label.ym</t>
  </si>
  <si>
    <t>label.ym@stryker.com</t>
  </si>
  <si>
    <t>orderadmin2.ym</t>
  </si>
  <si>
    <t>orderadmin2.ym@stryker.com</t>
  </si>
  <si>
    <t>NV.SKL(1)</t>
  </si>
  <si>
    <t>NV.SKL@stryker.com-1</t>
  </si>
  <si>
    <t>NV.SKL(2)</t>
  </si>
  <si>
    <t>NV.SKL@stryker.com-2</t>
  </si>
  <si>
    <t>lucas heo</t>
  </si>
  <si>
    <t>lucas.heo@stryker.com</t>
  </si>
  <si>
    <t>cis2.ym</t>
  </si>
  <si>
    <t>cis2.ym@stryker.com</t>
  </si>
  <si>
    <t>cis6.ym</t>
  </si>
  <si>
    <t>cis6.ym@stryker.com</t>
  </si>
  <si>
    <t>cis1.ym</t>
  </si>
  <si>
    <t>cis1.ym@stryker.com</t>
  </si>
  <si>
    <t>cis7.ym</t>
  </si>
  <si>
    <t>cis7.ym@stryker.com</t>
  </si>
  <si>
    <t>cis3.ym</t>
  </si>
  <si>
    <t>cis3.ym@stryker.com</t>
  </si>
  <si>
    <t>kit.ym</t>
  </si>
  <si>
    <t>kit.ym@stryker.com</t>
  </si>
  <si>
    <t>grn.ym</t>
  </si>
  <si>
    <t>grn.ym@stryker.com</t>
  </si>
  <si>
    <t>fixation.ym</t>
  </si>
  <si>
    <t>fixation.ym@stryker.com</t>
  </si>
  <si>
    <t>Gyowon Jeong</t>
  </si>
  <si>
    <t>정교원</t>
  </si>
  <si>
    <t>gyowon.jeong@stryker.com</t>
  </si>
  <si>
    <t>Dawn Kim</t>
  </si>
  <si>
    <t>김다은</t>
  </si>
  <si>
    <t>dawn.kim@stryker.com</t>
  </si>
  <si>
    <t>Bryan park</t>
  </si>
  <si>
    <t>박효현</t>
  </si>
  <si>
    <t>bryan.park@stryker.com</t>
  </si>
  <si>
    <t>Bomin Kim</t>
  </si>
  <si>
    <t>김보민</t>
  </si>
  <si>
    <t>Bomin.kim@stryker.com</t>
  </si>
  <si>
    <t>kmultiuser</t>
  </si>
  <si>
    <t>kmultiuser@stryker.com</t>
  </si>
  <si>
    <t>Sally Choi</t>
  </si>
  <si>
    <t>최수빈</t>
  </si>
  <si>
    <t>sally.choi@stryker.com</t>
  </si>
  <si>
    <t>Senior ICM Specialist•Sales Operations</t>
  </si>
  <si>
    <t>Sales Operations</t>
  </si>
  <si>
    <t>Ian hwang</t>
  </si>
  <si>
    <t>황인재</t>
  </si>
  <si>
    <t>ian.hwang@stryker.com</t>
  </si>
  <si>
    <t xml:space="preserve">Sales Representative, Neurovascular
</t>
  </si>
  <si>
    <t>Financeadmin3.SKL</t>
  </si>
  <si>
    <t>Financeadmin3.SKL@stryker.com</t>
  </si>
  <si>
    <t>Outsourcing (도원)</t>
  </si>
  <si>
    <t>Financeadmin4.SKL</t>
  </si>
  <si>
    <t>Financeadmin4.SKL@stryker.com</t>
  </si>
  <si>
    <t>Shawn Kim</t>
  </si>
  <si>
    <t>김근호</t>
  </si>
  <si>
    <t>shawn.kim@stryker.com</t>
  </si>
  <si>
    <t>chloe kang(아르바이트)</t>
  </si>
  <si>
    <t>아르바이트</t>
  </si>
  <si>
    <t>ab-chloe.kang@stryker.com</t>
  </si>
  <si>
    <t>지평</t>
  </si>
  <si>
    <t>Kunji Yun</t>
  </si>
  <si>
    <t>jpcustoms.skl@stryker.com</t>
  </si>
  <si>
    <t>Outsourcing (지평)</t>
  </si>
  <si>
    <t>Andy Kim</t>
  </si>
  <si>
    <t>김건우</t>
  </si>
  <si>
    <t>andy.kim@stryker.com</t>
  </si>
  <si>
    <t>지문등록</t>
  </si>
  <si>
    <t>SYKAdmin</t>
  </si>
  <si>
    <t>kitp.ym</t>
  </si>
  <si>
    <r>
      <rPr>
        <rFont val="Helvetica Neue"/>
        <color rgb="FF1155CC"/>
        <u/>
      </rPr>
      <t>kitp.ym@stryker.com</t>
    </r>
  </si>
  <si>
    <t>wms4 /kit/yongma03(깡통)</t>
  </si>
  <si>
    <t>kit</t>
  </si>
  <si>
    <t>Antonio Cho</t>
  </si>
  <si>
    <t>조홍준</t>
  </si>
  <si>
    <t>antonio.cho@stryker.com</t>
  </si>
  <si>
    <t>Sales administrator</t>
  </si>
  <si>
    <t>administrator</t>
  </si>
  <si>
    <t>Chung yoon</t>
  </si>
  <si>
    <t>정윤</t>
  </si>
  <si>
    <t>yoon.chung@stryker.com</t>
  </si>
  <si>
    <t>Marketing Administrator•Administration</t>
  </si>
  <si>
    <t>Jennifer Jang</t>
  </si>
  <si>
    <t>장진영</t>
  </si>
  <si>
    <t>jennifer.jang@stryker.com</t>
  </si>
  <si>
    <t>BU Director, Implants • Sales and Marketing</t>
  </si>
  <si>
    <t>Jeff Park</t>
  </si>
  <si>
    <t>박준현</t>
  </si>
  <si>
    <t>jeff.park@stryker.com</t>
  </si>
  <si>
    <t>Jiwon Kang</t>
  </si>
  <si>
    <t>강지원</t>
  </si>
  <si>
    <t>jiwon.kang@stryker.com</t>
  </si>
  <si>
    <t>junhyeok ko</t>
  </si>
  <si>
    <t>고준혁</t>
  </si>
  <si>
    <t>junhyeok.ko@stryker.com</t>
  </si>
  <si>
    <t>부서</t>
  </si>
  <si>
    <t>KLT - Jeff Lee</t>
  </si>
  <si>
    <t>Commercial</t>
  </si>
  <si>
    <t>KLT - Ji JH</t>
  </si>
  <si>
    <t>KLT - Minsu Yi</t>
  </si>
  <si>
    <t>KLT - Peter Oh</t>
  </si>
  <si>
    <t>CR</t>
  </si>
  <si>
    <t>Kit</t>
  </si>
  <si>
    <t>Mako Manager</t>
  </si>
  <si>
    <t>TS Manager</t>
  </si>
  <si>
    <t>CS Manaer</t>
  </si>
  <si>
    <t>Specialist</t>
  </si>
  <si>
    <t>CR Engineer</t>
  </si>
  <si>
    <t>KLT - Heesun Cho</t>
  </si>
  <si>
    <t>KLT - Roy Lim</t>
  </si>
  <si>
    <t>KLT - Jennifer Jang</t>
  </si>
  <si>
    <t>KLT - Sue Kim</t>
  </si>
  <si>
    <t>Finance Indirect Channel Management</t>
  </si>
  <si>
    <t>KLT - Yoori Kim</t>
  </si>
  <si>
    <t>KLT - Leslie Kim</t>
  </si>
  <si>
    <t>KLT - YJ Seo</t>
  </si>
  <si>
    <t>KLT - Soyoun Kim</t>
  </si>
  <si>
    <t>HR Manager</t>
  </si>
  <si>
    <t>RAQA Manager</t>
  </si>
  <si>
    <t>RA Manager</t>
  </si>
  <si>
    <t>IBP Manager</t>
  </si>
  <si>
    <t>QA Specialist</t>
  </si>
  <si>
    <t>KLT - Jun Song</t>
  </si>
  <si>
    <t>Medical</t>
  </si>
  <si>
    <t>Model</t>
  </si>
  <si>
    <t>종류</t>
  </si>
  <si>
    <t>SNOW Tag</t>
  </si>
  <si>
    <t>S/N</t>
  </si>
  <si>
    <t>lease Date</t>
  </si>
  <si>
    <t>User</t>
  </si>
  <si>
    <t>Additional Information</t>
  </si>
  <si>
    <t>HP Elitebook 640 G10</t>
  </si>
  <si>
    <t>Laptop</t>
  </si>
  <si>
    <t>00430518</t>
  </si>
  <si>
    <t>5CD3469HCY</t>
  </si>
  <si>
    <t>STOCK</t>
  </si>
  <si>
    <t>액정파손 수리 완료 / choi kyu(고장) 화면 번짐</t>
  </si>
  <si>
    <t>00430513</t>
  </si>
  <si>
    <t>5CD3469HD2</t>
  </si>
  <si>
    <t>00430514</t>
  </si>
  <si>
    <t>5CD3469HCX</t>
  </si>
  <si>
    <t>00430521</t>
  </si>
  <si>
    <t>5CD3469HCZ</t>
  </si>
  <si>
    <t>00430525</t>
  </si>
  <si>
    <t>5CD3469HD0</t>
  </si>
  <si>
    <t>00430510</t>
  </si>
  <si>
    <t>5CD3469HD1</t>
  </si>
  <si>
    <t>00430517</t>
  </si>
  <si>
    <t>5CD3469HD3</t>
  </si>
  <si>
    <t>20260112 /sungyi.jeon@stryker.com 반납대기</t>
  </si>
  <si>
    <r>
      <rPr>
        <color rgb="FF1155CC"/>
        <u/>
      </rPr>
      <t>00430522</t>
    </r>
  </si>
  <si>
    <t>5CD3469HD4</t>
  </si>
  <si>
    <t>00430526</t>
  </si>
  <si>
    <t>5CD3469HD5</t>
  </si>
  <si>
    <t>Jackson park</t>
  </si>
  <si>
    <t>00430511</t>
  </si>
  <si>
    <t>5CD3469HD6</t>
  </si>
  <si>
    <t>00430515</t>
  </si>
  <si>
    <t>5CD3469HD7</t>
  </si>
  <si>
    <t>RA&amp;QA</t>
  </si>
  <si>
    <t>00430519</t>
  </si>
  <si>
    <t>5CD3469HD8</t>
  </si>
  <si>
    <t>jenna.yoo</t>
  </si>
  <si>
    <t>00430523</t>
  </si>
  <si>
    <t>5CD3469HD9</t>
  </si>
  <si>
    <t>david.oh</t>
  </si>
  <si>
    <r>
      <rPr>
        <rFont val="&quot;맑은 고딕&quot;, monospace"/>
        <color rgb="FF1155CC"/>
        <sz val="11.0"/>
        <u/>
      </rPr>
      <t>david.oh@stryker.com</t>
    </r>
  </si>
  <si>
    <t>00430528</t>
  </si>
  <si>
    <t>5CD3469HDB</t>
  </si>
  <si>
    <t>mihee.han</t>
  </si>
  <si>
    <r>
      <rPr>
        <rFont val="&quot;맑은 고딕&quot;, monospace"/>
        <color rgb="FF1155CC"/>
        <sz val="11.0"/>
        <u/>
      </rPr>
      <t>mihee.han@stryker.com</t>
    </r>
  </si>
  <si>
    <t>00430512</t>
  </si>
  <si>
    <t>5CD3469HDC</t>
  </si>
  <si>
    <t>00430516</t>
  </si>
  <si>
    <t>5CD3469HDD</t>
  </si>
  <si>
    <t>CA</t>
  </si>
  <si>
    <t>00430520</t>
  </si>
  <si>
    <t>5CD3469HDF</t>
  </si>
  <si>
    <t>annie.lee</t>
  </si>
  <si>
    <t>00430529</t>
  </si>
  <si>
    <t>5CD3469HDH</t>
  </si>
  <si>
    <t>00430527</t>
  </si>
  <si>
    <t>5CD3469HDJ</t>
  </si>
  <si>
    <t>00430530</t>
  </si>
  <si>
    <t>5CD3469HDK</t>
  </si>
  <si>
    <t>00430531</t>
  </si>
  <si>
    <t>5CD3469HDL</t>
  </si>
  <si>
    <t>블루스크린 PC 반납</t>
  </si>
  <si>
    <t>00430532</t>
  </si>
  <si>
    <t>5CD3469HDM</t>
  </si>
  <si>
    <t>00430533</t>
  </si>
  <si>
    <t>5CD3469HDN</t>
  </si>
  <si>
    <t>00430534</t>
  </si>
  <si>
    <t>5CD3469HDP</t>
  </si>
  <si>
    <t>도원</t>
  </si>
  <si>
    <t>financeadmin4.skl@stryker.com</t>
  </si>
  <si>
    <t>00430535</t>
  </si>
  <si>
    <t>5CD3469HDQ</t>
  </si>
  <si>
    <t>Kang Jiwon</t>
  </si>
  <si>
    <t>5CD3469HDR</t>
  </si>
  <si>
    <t>5CD3469HDS</t>
  </si>
  <si>
    <t>김포</t>
  </si>
  <si>
    <t>wondae.koh</t>
  </si>
  <si>
    <t>20260122/wondae.ko@stryker.com/반납대기</t>
  </si>
  <si>
    <t>5CD3469HDT</t>
  </si>
  <si>
    <t>5CD3469HDV</t>
  </si>
  <si>
    <t>5CD3469HDG</t>
  </si>
  <si>
    <t>5CD409908H</t>
  </si>
  <si>
    <t>04/22/24</t>
  </si>
  <si>
    <t>missing</t>
  </si>
  <si>
    <t>5CD409908K</t>
  </si>
  <si>
    <t>5CD409908M</t>
  </si>
  <si>
    <t>5CD409908J</t>
  </si>
  <si>
    <t>5CD409908L</t>
  </si>
  <si>
    <t>5CD409908N</t>
  </si>
  <si>
    <t>Kmultiuser</t>
  </si>
  <si>
    <t>5CD4145N3F</t>
  </si>
  <si>
    <r>
      <rPr>
        <rFont val="&quot;맑은 고딕&quot;, monospace"/>
        <color rgb="FF1155CC"/>
        <sz val="11.0"/>
        <u/>
      </rPr>
      <t>demoadmin.ym@stryker.com</t>
    </r>
  </si>
  <si>
    <t>5CD4145N3M</t>
  </si>
  <si>
    <t>키보드 교체(한글 스티커)</t>
  </si>
  <si>
    <t>5CD4145N3Q</t>
  </si>
  <si>
    <t>Bitlocker Error (KB00216607 참고)
 KB00216607 에러 발생 &gt; 조치 카탈로그 KB13320 또한 에러 발생</t>
  </si>
  <si>
    <t>435615</t>
  </si>
  <si>
    <t>5CD4145N3G</t>
  </si>
  <si>
    <t>5CD4145N3S</t>
  </si>
  <si>
    <t>jay.moon</t>
  </si>
  <si>
    <t>20260127/jay.moon@stryker.com/반납대기</t>
  </si>
  <si>
    <t>5CD4145N3N</t>
  </si>
  <si>
    <t>Hyeran AN</t>
  </si>
  <si>
    <t>20260122/hyeran.an@stryker.com/반납대기</t>
  </si>
  <si>
    <t>5CD4145N3P</t>
  </si>
  <si>
    <t>5CD4145N3K</t>
  </si>
  <si>
    <t>5CD4145N3R</t>
  </si>
  <si>
    <t>hangil.jeong</t>
  </si>
  <si>
    <t>20260122/hangil.jeong@stryker.com/반납대기</t>
  </si>
  <si>
    <t>5CD4145N3H</t>
  </si>
  <si>
    <t>5CD4145N3J</t>
  </si>
  <si>
    <t>5CD4145N3L</t>
  </si>
  <si>
    <t>5CD4145N3T</t>
  </si>
  <si>
    <t>20260126/james.park@stryker.com/반납</t>
  </si>
  <si>
    <t>5CD4145N3V</t>
  </si>
  <si>
    <t>5CD4232BF6</t>
  </si>
  <si>
    <t>06/20/24</t>
  </si>
  <si>
    <r>
      <rPr>
        <rFont val="&quot;맑은 고딕&quot;, monospace"/>
        <color rgb="FF1155CC"/>
        <sz val="11.0"/>
        <u/>
      </rPr>
      <t>kmultiuser@stryker.com</t>
    </r>
  </si>
  <si>
    <r>
      <rPr>
        <rFont val="&quot;맑은 고딕&quot;, monospace"/>
        <color rgb="FF1155CC"/>
        <sz val="11.0"/>
        <u/>
      </rPr>
      <t>(보드손상 수리)</t>
    </r>
  </si>
  <si>
    <t>chloe님 아르바이트 대여</t>
  </si>
  <si>
    <t>5CD4232BF5</t>
  </si>
  <si>
    <t>kitp.ym@stryker.com</t>
  </si>
  <si>
    <t>5CD4232BF7</t>
  </si>
  <si>
    <t>MAKO</t>
  </si>
  <si>
    <t>yeonjoo.kim</t>
  </si>
  <si>
    <r>
      <rPr>
        <rFont val="&quot;맑은 고딕&quot;, monospace"/>
        <color rgb="FF1155CC"/>
        <sz val="11.0"/>
        <u/>
      </rPr>
      <t>yeonjoo.kim@stryker.com</t>
    </r>
  </si>
  <si>
    <t>5CD4232BFQ</t>
  </si>
  <si>
    <t>5CD4232BFS</t>
  </si>
  <si>
    <t>5CD4232BFP</t>
  </si>
  <si>
    <t>5CD4232BF1</t>
  </si>
  <si>
    <t>david.chung</t>
  </si>
  <si>
    <t>5CD4232BFN</t>
  </si>
  <si>
    <t>5CD4232BFF</t>
  </si>
  <si>
    <t>5CD4232BF9</t>
  </si>
  <si>
    <t>GM</t>
  </si>
  <si>
    <t>5CD4232BFG</t>
  </si>
  <si>
    <t>5CD4232BFC</t>
  </si>
  <si>
    <t>20260108 / peter.oh@stryker.com /반납대기</t>
  </si>
  <si>
    <t>5CD4232BFT</t>
  </si>
  <si>
    <t>Ara ko</t>
  </si>
  <si>
    <t>5CD4232BFB</t>
  </si>
  <si>
    <t>RA NV</t>
  </si>
  <si>
    <t>jennifer.paek</t>
  </si>
  <si>
    <t>5CD4232BFM</t>
  </si>
  <si>
    <t>5CD4232BF3</t>
  </si>
  <si>
    <t>5CD4232BFD</t>
  </si>
  <si>
    <t>전원 고장</t>
  </si>
  <si>
    <t>5CD4232BF2</t>
  </si>
  <si>
    <t>SCCM</t>
  </si>
  <si>
    <t>5CD4232BFL</t>
  </si>
  <si>
    <t>GD Ahn</t>
  </si>
  <si>
    <t>5CD4232BFH</t>
  </si>
  <si>
    <t>Ko Arin</t>
  </si>
  <si>
    <t>438728</t>
  </si>
  <si>
    <t>5CD4232BF8</t>
  </si>
  <si>
    <t>WMS4 /Kit/yongma03(깡통)</t>
  </si>
  <si>
    <t>5CD4232BFV</t>
  </si>
  <si>
    <t>Hong Ashley</t>
  </si>
  <si>
    <t>5CD4232BFK</t>
  </si>
  <si>
    <t>5CD4232BFJ</t>
  </si>
  <si>
    <t>5CD4232BFR</t>
  </si>
  <si>
    <t>kylie.leem</t>
  </si>
  <si>
    <t>5CD4232BF4</t>
  </si>
  <si>
    <t>sungyoun.hur@stryker.com - 노트북 마이크 노이즈</t>
  </si>
  <si>
    <t>445036</t>
  </si>
  <si>
    <t>5CD4305D8G</t>
  </si>
  <si>
    <t>08/20/24</t>
  </si>
  <si>
    <t>5CD4305D8W</t>
  </si>
  <si>
    <t>5CD4305D8P</t>
  </si>
  <si>
    <t>설치중</t>
  </si>
  <si>
    <t>5CD4305D8F</t>
  </si>
  <si>
    <t>MedSurg</t>
  </si>
  <si>
    <t>bella yoon</t>
  </si>
  <si>
    <t>445026</t>
  </si>
  <si>
    <t>5CD4305D8J</t>
  </si>
  <si>
    <t>2월 2일 대기</t>
  </si>
  <si>
    <t>5CD4305D88</t>
  </si>
  <si>
    <t>기존 노트북 미반환</t>
  </si>
  <si>
    <t>5CD4305D8Q</t>
  </si>
  <si>
    <t>5CD4305D94</t>
  </si>
  <si>
    <t xml:space="preserve">퇴사자 Jung seohyun </t>
  </si>
  <si>
    <t>5CD4305D85</t>
  </si>
  <si>
    <t>sunghoon.bang</t>
  </si>
  <si>
    <t>445046</t>
  </si>
  <si>
    <t>5CD4305D92</t>
  </si>
  <si>
    <t>5CD4305D8V</t>
  </si>
  <si>
    <t>5CD4305D8T</t>
  </si>
  <si>
    <t>suhan.lee</t>
  </si>
  <si>
    <t>5CD4305D91</t>
  </si>
  <si>
    <t>2026120/반납대기</t>
  </si>
  <si>
    <t>5CD4305D8L</t>
  </si>
  <si>
    <t>Son Amy</t>
  </si>
  <si>
    <t>20260113/ amy.son@stryker.com / 반납 예정</t>
  </si>
  <si>
    <t>445043</t>
  </si>
  <si>
    <t>5CD4305D8S</t>
  </si>
  <si>
    <t>5CD4305D8R</t>
  </si>
  <si>
    <t>Ma Serene</t>
  </si>
  <si>
    <t>5CD4305D81</t>
  </si>
  <si>
    <t>dongkyu.kim</t>
  </si>
  <si>
    <t>5CD4305D83</t>
  </si>
  <si>
    <t>사무용 / 캐드용과 중복 계정</t>
  </si>
  <si>
    <t>5CD4305D8C</t>
  </si>
  <si>
    <t>445016</t>
  </si>
  <si>
    <t>5CD4305D7Z</t>
  </si>
  <si>
    <t>USB 포트 인식 X</t>
  </si>
  <si>
    <t>5CD4305D8B</t>
  </si>
  <si>
    <t>OrderAdmin1</t>
  </si>
  <si>
    <t>5CD4305D8X</t>
  </si>
  <si>
    <t>5CD4305D84</t>
  </si>
  <si>
    <t>5CD4305D87</t>
  </si>
  <si>
    <t>20260129/demian.lee@stryker.com/반납</t>
  </si>
  <si>
    <t>5CD4305D8M</t>
  </si>
  <si>
    <t>5CD4305D82</t>
  </si>
  <si>
    <t>Clare Yang</t>
  </si>
  <si>
    <t>clare.yang@stryker.com</t>
  </si>
  <si>
    <t>430532</t>
  </si>
  <si>
    <t>5CD4305D8D</t>
  </si>
  <si>
    <t>Ko Junhyeok</t>
  </si>
  <si>
    <t>5CD4305D96</t>
  </si>
  <si>
    <t>imsum.won</t>
  </si>
  <si>
    <t>5CD4305D80</t>
  </si>
  <si>
    <t>D키 파손</t>
  </si>
  <si>
    <t>5CD4305D93</t>
  </si>
  <si>
    <r>
      <rPr>
        <rFont val="&quot;맑은 고딕&quot;, monospace"/>
        <color rgb="FF1155CC"/>
        <sz val="11.0"/>
        <u/>
      </rPr>
      <t>kmultiuser@stryker.com</t>
    </r>
  </si>
  <si>
    <t>5CD4305D8K</t>
  </si>
  <si>
    <t>5CD4305D95</t>
  </si>
  <si>
    <t>Han Arum</t>
  </si>
  <si>
    <t>445038</t>
  </si>
  <si>
    <t>5CD4305D8H</t>
  </si>
  <si>
    <t>Hong, Seo Yeong</t>
  </si>
  <si>
    <t>5CD4305D89</t>
  </si>
  <si>
    <t>chloe kang</t>
  </si>
  <si>
    <t>알바용</t>
  </si>
  <si>
    <t>5CD4305D86</t>
  </si>
  <si>
    <t>5CD4305D90</t>
  </si>
  <si>
    <t>alicia.bang@stryker.com -10/27 G1i 교체 후 반납대기</t>
  </si>
  <si>
    <t>5CD4305D8Y</t>
  </si>
  <si>
    <t>5CD4305D8N</t>
  </si>
  <si>
    <t>Yi Minsu</t>
  </si>
  <si>
    <t>5CD4305D8Z</t>
  </si>
  <si>
    <t>HP Elitebook 640 G11</t>
  </si>
  <si>
    <t>5CD442C07G</t>
  </si>
  <si>
    <t>5CD442C07F</t>
  </si>
  <si>
    <t>minki kim</t>
  </si>
  <si>
    <r>
      <rPr>
        <rFont val="&quot;맑은 고딕&quot;, monospace"/>
        <color rgb="FF1155CC"/>
        <sz val="11.0"/>
        <u/>
      </rPr>
      <t>minki.kim@stryker.com</t>
    </r>
  </si>
  <si>
    <t>서비스나우 2개 검색됨</t>
  </si>
  <si>
    <t>5CD442C074</t>
  </si>
  <si>
    <t>Junseong Byun</t>
  </si>
  <si>
    <t>5CD442C07C</t>
  </si>
  <si>
    <t>마지막 사용자 : cho jungshin</t>
  </si>
  <si>
    <t>5CD442C078</t>
  </si>
  <si>
    <t>00449476</t>
  </si>
  <si>
    <t>5CD442C075</t>
  </si>
  <si>
    <t>yongma, icn</t>
  </si>
  <si>
    <t>yongma.icn@stryker.com</t>
  </si>
  <si>
    <t>5CD442C07L</t>
  </si>
  <si>
    <t>Joy lee</t>
  </si>
  <si>
    <t>5CD442C071</t>
  </si>
  <si>
    <t>김포/OPS</t>
  </si>
  <si>
    <t>5CD442C079</t>
  </si>
  <si>
    <t>5CD442C07B</t>
  </si>
  <si>
    <t>5CD442C07H</t>
  </si>
  <si>
    <t>5CD442C07D</t>
  </si>
  <si>
    <t>daniel jang</t>
  </si>
  <si>
    <t>5CD442C072</t>
  </si>
  <si>
    <t>Jae Chung</t>
  </si>
  <si>
    <t>5CD442C07K</t>
  </si>
  <si>
    <t>Jeff.lee@stryker.com</t>
  </si>
  <si>
    <t>5CD442C076</t>
  </si>
  <si>
    <t>5CD442C077</t>
  </si>
  <si>
    <r>
      <rPr>
        <rFont val="&quot;맑은 고딕&quot;, monospace"/>
        <color rgb="FF1155CC"/>
        <sz val="11.0"/>
        <u/>
      </rPr>
      <t>bruce.lee@stryker.com</t>
    </r>
  </si>
  <si>
    <t>5CD442C073</t>
  </si>
  <si>
    <t>Park Hyoseon</t>
  </si>
  <si>
    <t>5CD442C07J</t>
  </si>
  <si>
    <t>456123</t>
  </si>
  <si>
    <t>5CD5062YDS</t>
  </si>
  <si>
    <t>02/13/25</t>
  </si>
  <si>
    <r>
      <rPr>
        <rFont val="&quot;맑은 고딕&quot;, monospace"/>
        <color rgb="FF1155CC"/>
        <sz val="11.0"/>
        <u/>
      </rPr>
      <t>label.ym@stryker.com</t>
    </r>
  </si>
  <si>
    <t>5CD5062YDZ</t>
  </si>
  <si>
    <t>daniel.lee</t>
  </si>
  <si>
    <t>5CD5062YF5</t>
  </si>
  <si>
    <t>5CD5062YDX</t>
  </si>
  <si>
    <t>CR(장지동)</t>
  </si>
  <si>
    <r>
      <rPr>
        <rFont val="&quot;맑은 고딕&quot;, monospace"/>
        <color rgb="FF1155CC"/>
        <sz val="11.0"/>
        <u/>
      </rPr>
      <t>jinny.park@stryker.com</t>
    </r>
  </si>
  <si>
    <t>5CD5062YF4</t>
  </si>
  <si>
    <t>mason choi</t>
  </si>
  <si>
    <t>5CD5062YDN</t>
  </si>
  <si>
    <t>액정 파손 / Neal kim</t>
  </si>
  <si>
    <t>5CD5062YDG</t>
  </si>
  <si>
    <t>jason kim</t>
  </si>
  <si>
    <t>5CD5062YF8</t>
  </si>
  <si>
    <t>Jung Sol</t>
  </si>
  <si>
    <t>5CD5062YDT</t>
  </si>
  <si>
    <t>456126</t>
  </si>
  <si>
    <t>5CD5062YDH</t>
  </si>
  <si>
    <t>전원 고장/ orderadmin</t>
  </si>
  <si>
    <t>5CD5062YDP</t>
  </si>
  <si>
    <t>lucia park</t>
  </si>
  <si>
    <r>
      <rPr>
        <rFont val="&quot;맑은 고딕&quot;, monospace"/>
        <color rgb="FF1155CC"/>
        <sz val="11.0"/>
        <u/>
      </rPr>
      <t>lucia.park@stryker.com</t>
    </r>
  </si>
  <si>
    <t>456121</t>
  </si>
  <si>
    <t>5CD5062YDR</t>
  </si>
  <si>
    <t>Yang, Jisoo</t>
  </si>
  <si>
    <t>456115</t>
  </si>
  <si>
    <t>5CD5062YDL</t>
  </si>
  <si>
    <r>
      <rPr>
        <rFont val="&quot;맑은 고딕&quot;, monospace"/>
        <color rgb="FF1155CC"/>
        <sz val="11.0"/>
        <u/>
      </rPr>
      <t>medsurg.ym@stryker.com</t>
    </r>
  </si>
  <si>
    <t>5CD5062YDM</t>
  </si>
  <si>
    <t>daphne kim</t>
  </si>
  <si>
    <r>
      <rPr>
        <rFont val="&quot;맑은 고딕&quot;, monospace"/>
        <color rgb="FF1155CC"/>
        <sz val="11.0"/>
        <u/>
      </rPr>
      <t>daphne.kim@stryker.com</t>
    </r>
  </si>
  <si>
    <t>5CD5062YDW</t>
  </si>
  <si>
    <t>TS(장지동)</t>
  </si>
  <si>
    <t>ethan jang</t>
  </si>
  <si>
    <r>
      <rPr>
        <rFont val="&quot;맑은 고딕&quot;, monospace"/>
        <color rgb="FF1155CC"/>
        <sz val="11.0"/>
        <u/>
      </rPr>
      <t>ethan.jang@stryker.com</t>
    </r>
  </si>
  <si>
    <t>5CD5062YF1</t>
  </si>
  <si>
    <t>justin kim</t>
  </si>
  <si>
    <r>
      <rPr>
        <rFont val="&quot;맑은 고딕&quot;, monospace"/>
        <color rgb="FF1155CC"/>
        <sz val="11.0"/>
        <u/>
      </rPr>
      <t>justin.kim@stryker.com</t>
    </r>
  </si>
  <si>
    <t>5CD5062YDV</t>
  </si>
  <si>
    <t>andy.kim</t>
  </si>
  <si>
    <t>456139</t>
  </si>
  <si>
    <t>5CD5062YF7</t>
  </si>
  <si>
    <r>
      <rPr>
        <rFont val="&quot;맑은 고딕&quot;, monospace"/>
        <color rgb="FF1155CC"/>
        <sz val="11.0"/>
        <u/>
      </rPr>
      <t>recon.ym@stryker.com</t>
    </r>
  </si>
  <si>
    <t>456113</t>
  </si>
  <si>
    <t>5CD5062YF9</t>
  </si>
  <si>
    <r>
      <rPr>
        <rFont val="&quot;맑은 고딕&quot;, monospace"/>
        <color rgb="FF1155CC"/>
        <sz val="11.0"/>
        <u/>
      </rPr>
      <t>stella.hwang@stryker.com</t>
    </r>
  </si>
  <si>
    <t>5CD5062YDD</t>
  </si>
  <si>
    <t>Ian Hwang</t>
  </si>
  <si>
    <t>456136</t>
  </si>
  <si>
    <t>5CD5062YF2</t>
  </si>
  <si>
    <t>jeong, Gyowon</t>
  </si>
  <si>
    <t>456119</t>
  </si>
  <si>
    <t>5CD5062YDQ</t>
  </si>
  <si>
    <r>
      <rPr>
        <rFont val="&quot;맑은 고딕&quot;, monospace"/>
        <color rgb="FF1155CC"/>
        <sz val="11.0"/>
        <u/>
      </rPr>
      <t>orderadmin2.ym@stryker.com</t>
    </r>
  </si>
  <si>
    <t>456128</t>
  </si>
  <si>
    <t>5CD5062YDJ</t>
  </si>
  <si>
    <r>
      <rPr>
        <rFont val="&quot;맑은 고딕&quot;, monospace"/>
        <color rgb="FF1155CC"/>
        <sz val="11.0"/>
        <u/>
      </rPr>
      <t>NV.SKL@stryker.com-1</t>
    </r>
  </si>
  <si>
    <t>5CD5062YDK</t>
  </si>
  <si>
    <t>aaron yoon</t>
  </si>
  <si>
    <t>456138</t>
  </si>
  <si>
    <t>5CD5062YF3</t>
  </si>
  <si>
    <r>
      <rPr>
        <rFont val="&quot;맑은 고딕&quot;, monospace"/>
        <color rgb="FF1155CC"/>
        <sz val="11.0"/>
        <u/>
      </rPr>
      <t>NV.SKL@stryker.com-2</t>
    </r>
  </si>
  <si>
    <t>5CD5062YF0</t>
  </si>
  <si>
    <t>hannah kim</t>
  </si>
  <si>
    <r>
      <rPr>
        <rFont val="&quot;맑은 고딕&quot;, monospace"/>
        <color rgb="FF1155CC"/>
        <sz val="11.0"/>
        <u/>
      </rPr>
      <t>hannah.kim@stryker.com</t>
    </r>
  </si>
  <si>
    <t>5CD5062YF6</t>
  </si>
  <si>
    <t>Ji Jay</t>
  </si>
  <si>
    <t>5CD5062YDY</t>
  </si>
  <si>
    <t>vincent bae</t>
  </si>
  <si>
    <r>
      <rPr>
        <rFont val="&quot;맑은 고딕&quot;, monospace"/>
        <color rgb="FF1155CC"/>
        <sz val="11.0"/>
        <u/>
      </rPr>
      <t>vincent.bae@stryker.com</t>
    </r>
  </si>
  <si>
    <t>5CD5062YDF</t>
  </si>
  <si>
    <r>
      <rPr>
        <rFont val="&quot;맑은 고딕&quot;, monospace"/>
        <color rgb="FF1155CC"/>
        <sz val="11.0"/>
        <u/>
      </rPr>
      <t>lucas.heo@stryker.com</t>
    </r>
  </si>
  <si>
    <t>465308</t>
  </si>
  <si>
    <t>5CD5179KHP</t>
  </si>
  <si>
    <t>04/22/25</t>
  </si>
  <si>
    <r>
      <rPr>
        <rFont val="&quot;맑은 고딕&quot;, monospace"/>
        <color rgb="FF1155CC"/>
        <sz val="11.0"/>
        <u/>
      </rPr>
      <t>hailey.song@stryker.com</t>
    </r>
  </si>
  <si>
    <t>465326</t>
  </si>
  <si>
    <t>5CD5179KJ0</t>
  </si>
  <si>
    <t>soyeon.park@stryker.com</t>
  </si>
  <si>
    <t>Cozy Huh(인수인계 노트북 소유중)</t>
  </si>
  <si>
    <t>465292</t>
  </si>
  <si>
    <t>5CD5179KH4</t>
  </si>
  <si>
    <r>
      <rPr>
        <rFont val="&quot;맑은 고딕&quot;, monospace"/>
        <color rgb="FF1155CC"/>
        <sz val="11.0"/>
        <u/>
      </rPr>
      <t>sujin.park@stryker.com</t>
    </r>
  </si>
  <si>
    <t>465300</t>
  </si>
  <si>
    <t>5CD5179KHB</t>
  </si>
  <si>
    <r>
      <rPr>
        <rFont val="&quot;맑은 고딕&quot;, monospace"/>
        <color rgb="FF1155CC"/>
        <sz val="11.0"/>
        <u/>
      </rPr>
      <t>cis2.ym@stryker.com</t>
    </r>
  </si>
  <si>
    <t>465331</t>
  </si>
  <si>
    <t>5CD5179KJD</t>
  </si>
  <si>
    <r>
      <rPr>
        <rFont val="&quot;맑은 고딕&quot;, monospace"/>
        <color rgb="FF1155CC"/>
        <sz val="11.0"/>
        <u/>
      </rPr>
      <t>cis6.ym@stryker.com</t>
    </r>
  </si>
  <si>
    <t>465321</t>
  </si>
  <si>
    <t>5CD5179KHV</t>
  </si>
  <si>
    <r>
      <rPr>
        <rFont val="&quot;맑은 고딕&quot;, monospace"/>
        <color rgb="FF1155CC"/>
        <sz val="11.0"/>
        <u/>
      </rPr>
      <t>cis1.ym@stryker.com</t>
    </r>
  </si>
  <si>
    <t>465320</t>
  </si>
  <si>
    <t>5CD5179KHY</t>
  </si>
  <si>
    <t>465332</t>
  </si>
  <si>
    <t>5CD5179KJ3</t>
  </si>
  <si>
    <t>465333</t>
  </si>
  <si>
    <t>5CD5179KJ4</t>
  </si>
  <si>
    <t>465294</t>
  </si>
  <si>
    <t>5CD5179KH6</t>
  </si>
  <si>
    <t>465312</t>
  </si>
  <si>
    <t>5CD5179KHH</t>
  </si>
  <si>
    <t>5CD5179KHZ</t>
  </si>
  <si>
    <t>465314</t>
  </si>
  <si>
    <t>5CD5179KHJ</t>
  </si>
  <si>
    <t>Kim, Terry</t>
  </si>
  <si>
    <r>
      <rPr>
        <rFont val="&quot;맑은 고딕&quot;, monospace"/>
        <color rgb="FF1155CC"/>
        <sz val="11.0"/>
        <u/>
      </rPr>
      <t>terry.kim@stryker.com</t>
    </r>
  </si>
  <si>
    <t>465322</t>
  </si>
  <si>
    <t>5CD5179KJ8</t>
  </si>
  <si>
    <r>
      <rPr>
        <rFont val="&quot;맑은 고딕&quot;, monospace"/>
        <color rgb="FF1155CC"/>
        <sz val="11.0"/>
        <u/>
      </rPr>
      <t>neal.kim@stryker.com</t>
    </r>
  </si>
  <si>
    <t>465328</t>
  </si>
  <si>
    <t>5CD5179KJ1</t>
  </si>
  <si>
    <t>465293</t>
  </si>
  <si>
    <t>5CD5179KH5</t>
  </si>
  <si>
    <r>
      <rPr>
        <rFont val="&quot;맑은 고딕&quot;, monospace"/>
        <color rgb="FF1155CC"/>
        <sz val="11.0"/>
        <u/>
      </rPr>
      <t>cis7.ym@stryker.com</t>
    </r>
  </si>
  <si>
    <t>5CD5179KH3</t>
  </si>
  <si>
    <t>465289</t>
  </si>
  <si>
    <t>5CD5179KJ5</t>
  </si>
  <si>
    <r>
      <rPr>
        <rFont val="&quot;맑은 고딕&quot;, monospace"/>
        <color rgb="FF1155CC"/>
        <sz val="11.0"/>
        <u/>
      </rPr>
      <t>cis3.ym@stryker.com</t>
    </r>
  </si>
  <si>
    <t>5CD5179KGZ</t>
  </si>
  <si>
    <t>Ahn, Dong Jun</t>
  </si>
  <si>
    <t>20260122/dj.ahn@stryker.com/수령/미반납(구형)</t>
  </si>
  <si>
    <t>5CD5179KH1</t>
  </si>
  <si>
    <t>465319</t>
  </si>
  <si>
    <t>5CD5179KJ7</t>
  </si>
  <si>
    <t>Kim Bomin</t>
  </si>
  <si>
    <r>
      <rPr>
        <rFont val="&quot;맑은 고딕&quot;, monospace"/>
        <color rgb="FF1155CC"/>
        <sz val="11.0"/>
        <u/>
      </rPr>
      <t>Bomin.kim@stryker.com</t>
    </r>
  </si>
  <si>
    <t>465309</t>
  </si>
  <si>
    <t>5CD5179KHG</t>
  </si>
  <si>
    <t>465302</t>
  </si>
  <si>
    <t>5CD5179KHC</t>
  </si>
  <si>
    <t>465329</t>
  </si>
  <si>
    <t>5CD5179KJC</t>
  </si>
  <si>
    <t>465298</t>
  </si>
  <si>
    <t>5CD5179KH9</t>
  </si>
  <si>
    <t>미반납</t>
  </si>
  <si>
    <t>465324</t>
  </si>
  <si>
    <t>5CD5179KHW</t>
  </si>
  <si>
    <t>Madsurg</t>
  </si>
  <si>
    <t>465305</t>
  </si>
  <si>
    <t>5CD5179KHD</t>
  </si>
  <si>
    <t>Jeong Dahye</t>
  </si>
  <si>
    <r>
      <rPr>
        <rFont val="&quot;맑은 고딕&quot;, monospace"/>
        <color rgb="FF1155CC"/>
        <sz val="11.0"/>
        <u/>
      </rPr>
      <t>dahye.jeong@stryker.com</t>
    </r>
  </si>
  <si>
    <t>465303</t>
  </si>
  <si>
    <t>5CD5179KHL</t>
  </si>
  <si>
    <t>465315</t>
  </si>
  <si>
    <t>5CD5179KHX</t>
  </si>
  <si>
    <t>465299</t>
  </si>
  <si>
    <t>5CD5179KH0</t>
  </si>
  <si>
    <t>구 노트북 미반납</t>
  </si>
  <si>
    <t>465327</t>
  </si>
  <si>
    <t>5CD5179KJB</t>
  </si>
  <si>
    <r>
      <rPr>
        <rFont val="&quot;맑은 고딕&quot;, monospace"/>
        <color rgb="FF1155CC"/>
        <sz val="11.0"/>
        <u/>
      </rPr>
      <t>rayna.kim@stryker.com</t>
    </r>
  </si>
  <si>
    <t>465330</t>
  </si>
  <si>
    <t>5CD5179KJ2</t>
  </si>
  <si>
    <t>465290</t>
  </si>
  <si>
    <t>5CD5179KH2</t>
  </si>
  <si>
    <t>5CD5179KJ6</t>
  </si>
  <si>
    <t>Abdrew.Ahn</t>
  </si>
  <si>
    <t>465313</t>
  </si>
  <si>
    <t>5CD5179KHS</t>
  </si>
  <si>
    <t>Choi, Kyu</t>
  </si>
  <si>
    <t>465310</t>
  </si>
  <si>
    <t>5CD5179KHQ</t>
  </si>
  <si>
    <t>Shoulder</t>
  </si>
  <si>
    <r>
      <rPr>
        <rFont val="&quot;맑은 고딕&quot;, monospace"/>
        <color rgb="FF1155CC"/>
        <sz val="11.0"/>
        <u/>
      </rPr>
      <t>james.kim@stryker.com</t>
    </r>
  </si>
  <si>
    <t>465306</t>
  </si>
  <si>
    <t>5CD5179KHN</t>
  </si>
  <si>
    <r>
      <rPr>
        <rFont val="&quot;맑은 고딕&quot;, monospace"/>
        <color rgb="FF1155CC"/>
        <sz val="11.0"/>
        <u/>
      </rPr>
      <t>sally.choi@stryker.com</t>
    </r>
  </si>
  <si>
    <t>465296</t>
  </si>
  <si>
    <t>5CD5179KH8</t>
  </si>
  <si>
    <t>465325</t>
  </si>
  <si>
    <t>5CD5179KJ9</t>
  </si>
  <si>
    <t>Bryan Park</t>
  </si>
  <si>
    <r>
      <rPr>
        <rFont val="&quot;맑은 고딕&quot;, monospace"/>
        <color rgb="FF1155CC"/>
        <sz val="11.0"/>
        <u/>
      </rPr>
      <t>bryan.park@stryker.com</t>
    </r>
  </si>
  <si>
    <t>465318</t>
  </si>
  <si>
    <t>5CD5179KHT</t>
  </si>
  <si>
    <r>
      <rPr>
        <rFont val="&quot;맑은 고딕&quot;, monospace"/>
        <color rgb="FF1155CC"/>
        <sz val="11.0"/>
        <u/>
      </rPr>
      <t>kit.ym@stryker.com</t>
    </r>
  </si>
  <si>
    <t>465317</t>
  </si>
  <si>
    <t>5CD5179KHK</t>
  </si>
  <si>
    <r>
      <rPr>
        <rFont val="&quot;맑은 고딕&quot;, monospace"/>
        <color rgb="FF1155CC"/>
        <sz val="11.0"/>
        <u/>
      </rPr>
      <t>grn.ym@stryker.com</t>
    </r>
  </si>
  <si>
    <t>465307</t>
  </si>
  <si>
    <t>5CD5179KHF</t>
  </si>
  <si>
    <r>
      <rPr>
        <rFont val="&quot;맑은 고딕&quot;, monospace"/>
        <color rgb="FF1155CC"/>
        <sz val="11.0"/>
        <u/>
      </rPr>
      <t>fixation.ym@stryker.com</t>
    </r>
  </si>
  <si>
    <t>465311</t>
  </si>
  <si>
    <t>5CD5179KHR</t>
  </si>
  <si>
    <r>
      <rPr>
        <rFont val="&quot;맑은 고딕&quot;, monospace"/>
        <color rgb="FF1155CC"/>
        <sz val="11.0"/>
        <u/>
      </rPr>
      <t>alice.han@stryker.com</t>
    </r>
  </si>
  <si>
    <t>465295</t>
  </si>
  <si>
    <t>5CD5179KH7</t>
  </si>
  <si>
    <t>Sim Huey</t>
  </si>
  <si>
    <r>
      <rPr>
        <rFont val="&quot;맑은 고딕&quot;, monospace"/>
        <color rgb="FF1155CC"/>
        <sz val="11.0"/>
        <u/>
      </rPr>
      <t>huey.sim@stryker.com</t>
    </r>
  </si>
  <si>
    <t>465304</t>
  </si>
  <si>
    <t>5CD5179KHM</t>
  </si>
  <si>
    <t>HP EB8 G1i 14</t>
  </si>
  <si>
    <t>477072</t>
  </si>
  <si>
    <t>5CG53403CW</t>
  </si>
  <si>
    <t>08/30/25</t>
  </si>
  <si>
    <t>00477068</t>
  </si>
  <si>
    <t>5CG53403CX</t>
  </si>
  <si>
    <t>SCCM/20260116/jay.moon@stryker.com/수령/미반납</t>
  </si>
  <si>
    <t>00477054</t>
  </si>
  <si>
    <t>5CG53403CY</t>
  </si>
  <si>
    <t>eunji lee</t>
  </si>
  <si>
    <t>SCCM/20260120/eunji.lee@stryker.com/수령/미반납</t>
  </si>
  <si>
    <t>477070</t>
  </si>
  <si>
    <t>5CG53403CZ</t>
  </si>
  <si>
    <t>SCCM/20260114/ minsu.yi@stryker.com/배정</t>
  </si>
  <si>
    <t>477057</t>
  </si>
  <si>
    <t>5CG53403D0</t>
  </si>
  <si>
    <t>alicia.bang</t>
  </si>
  <si>
    <t>00477075</t>
  </si>
  <si>
    <t>5CG53403D1</t>
  </si>
  <si>
    <t>hailey.kim</t>
  </si>
  <si>
    <t>00477056</t>
  </si>
  <si>
    <t>5CG53403D2</t>
  </si>
  <si>
    <t>20260122/chloe.baek@stryker.com/수령/미반납</t>
  </si>
  <si>
    <t>477064</t>
  </si>
  <si>
    <t>5CG53403D3</t>
  </si>
  <si>
    <t>sarah.youn</t>
  </si>
  <si>
    <t>477066</t>
  </si>
  <si>
    <t>5CG53403D4</t>
  </si>
  <si>
    <t>JY Park</t>
  </si>
  <si>
    <t>00477059</t>
  </si>
  <si>
    <t>5CG53403D5</t>
  </si>
  <si>
    <t>20260122/cindy.jeon@stryker.com/수령/미반납</t>
  </si>
  <si>
    <t>477061</t>
  </si>
  <si>
    <t>5CG53403D6</t>
  </si>
  <si>
    <t>5CG53403D7</t>
  </si>
  <si>
    <t>5CG53403D8</t>
  </si>
  <si>
    <t>20260128/kylie.leem@stryker.com/수령/미반납</t>
  </si>
  <si>
    <t>00477076</t>
  </si>
  <si>
    <t>5CG53403D9</t>
  </si>
  <si>
    <t>20260123/james.park@stryker.com/수령/미반납</t>
  </si>
  <si>
    <t>477060</t>
  </si>
  <si>
    <t>5CG53403DB</t>
  </si>
  <si>
    <t>00477062</t>
  </si>
  <si>
    <t>5CG53403DC</t>
  </si>
  <si>
    <t>SCCM/20260116/imsun.won@stryker.com/배정</t>
  </si>
  <si>
    <t>00477065</t>
  </si>
  <si>
    <t>5CG53403DD</t>
  </si>
  <si>
    <t>SCCM/20260120/kyle.lim@stryker.com/수령/미반납</t>
  </si>
  <si>
    <t>00477069</t>
  </si>
  <si>
    <t>5CG53403DF</t>
  </si>
  <si>
    <t>SCCM/20260122/demian.lee@stryker.com/수령/배정</t>
  </si>
  <si>
    <t>477077</t>
  </si>
  <si>
    <t>5CG53403DG</t>
  </si>
  <si>
    <t>Cho, Jungshin</t>
  </si>
  <si>
    <t>00477071</t>
  </si>
  <si>
    <t>5CG53403DH</t>
  </si>
  <si>
    <t>Sungyi Jeon</t>
  </si>
  <si>
    <t>기존 노트북(G10 미반납)</t>
  </si>
  <si>
    <t>00477074</t>
  </si>
  <si>
    <t>5CG53403DJ</t>
  </si>
  <si>
    <t>SCCM/20260119/hyeran.an@stryker.com/배정</t>
  </si>
  <si>
    <t>00477055</t>
  </si>
  <si>
    <t>5CG53403DK</t>
  </si>
  <si>
    <t>SCCM/20260120/annie.lee@stryker.com/배정</t>
  </si>
  <si>
    <t>00477078</t>
  </si>
  <si>
    <t>5CG53403DL</t>
  </si>
  <si>
    <t>Implant</t>
  </si>
  <si>
    <t>peter.park</t>
  </si>
  <si>
    <t>477073</t>
  </si>
  <si>
    <t>5CG53403DM</t>
  </si>
  <si>
    <t>SCCM/20260114/hangil.jeong@stryker.com/배정</t>
  </si>
  <si>
    <t>00477067</t>
  </si>
  <si>
    <t>5CG53403DN</t>
  </si>
  <si>
    <t>SCCM/20260114/wondae.ko@stryker.com/배정</t>
  </si>
  <si>
    <t>5CG5430CQG</t>
  </si>
  <si>
    <t>00481973</t>
  </si>
  <si>
    <t>5CG5430CQ6</t>
  </si>
  <si>
    <t>00481974</t>
  </si>
  <si>
    <t>5CG5430CQ5</t>
  </si>
  <si>
    <t>SCCM/20260120/jenna.yoo@stryker.com/배정</t>
  </si>
  <si>
    <t>5CG5430CQ2</t>
  </si>
  <si>
    <t>5CG5430CQ1</t>
  </si>
  <si>
    <t>5CG5430CPY</t>
  </si>
  <si>
    <t>5CG5430CQ4</t>
  </si>
  <si>
    <t>5CG5430CQ9</t>
  </si>
  <si>
    <t>5CG5430CQ0</t>
  </si>
  <si>
    <t>5CG5430CPX</t>
  </si>
  <si>
    <t>5CG5430CQ7</t>
  </si>
  <si>
    <t>00481977</t>
  </si>
  <si>
    <t>5CG5430CQ3</t>
  </si>
  <si>
    <t>5CG5430CQC</t>
  </si>
  <si>
    <t>00481972</t>
  </si>
  <si>
    <t>5CG5430CQH</t>
  </si>
  <si>
    <t>SCCM/20260126/freddy.park/배정</t>
  </si>
  <si>
    <t>00481970</t>
  </si>
  <si>
    <t>5CG5430CQ8</t>
  </si>
  <si>
    <t>5CG5430CQD</t>
  </si>
  <si>
    <t>5CG5430CQF</t>
  </si>
  <si>
    <t>5CG5430CPZ</t>
  </si>
  <si>
    <t>5CG5430CQB</t>
  </si>
  <si>
    <t>HP ZBOOK</t>
  </si>
  <si>
    <t>5CD5428PHM</t>
  </si>
  <si>
    <t>10/30/25</t>
  </si>
  <si>
    <t>캐드용으로 / 사무용과 중복 계정</t>
  </si>
  <si>
    <t>Extension</t>
  </si>
  <si>
    <t>LineURI</t>
  </si>
  <si>
    <t>Number formated for Country</t>
  </si>
  <si>
    <t>ID</t>
  </si>
  <si>
    <t>tel:+82234517500</t>
  </si>
  <si>
    <t>=+82 2 3451 7500</t>
  </si>
  <si>
    <t>대표번호 할당 불가</t>
  </si>
  <si>
    <t>tel:+82234517501</t>
  </si>
  <si>
    <t>=+82 2 3451 7501</t>
  </si>
  <si>
    <t>tel:+82234517502</t>
  </si>
  <si>
    <t>=+82 2 3451 7502</t>
  </si>
  <si>
    <t>tel:+82234517503</t>
  </si>
  <si>
    <t>=+82 2 3451 7503</t>
  </si>
  <si>
    <t>hr.sklasem@stryker.com</t>
  </si>
  <si>
    <t>tel:+82234517504</t>
  </si>
  <si>
    <t>=+82 2 3451 7504</t>
  </si>
  <si>
    <t>leadership.sklasem@stryker.com</t>
  </si>
  <si>
    <t>tel:+82234517505</t>
  </si>
  <si>
    <t>=+82 2 3451 7505</t>
  </si>
  <si>
    <t>mahwah.sklasem@stryker.com</t>
  </si>
  <si>
    <t>tel:+82234517506</t>
  </si>
  <si>
    <t>=+82 2 3451 7506</t>
  </si>
  <si>
    <t>mako.sklasem@stryker.com</t>
  </si>
  <si>
    <t>tel:+82234517507</t>
  </si>
  <si>
    <t>=+82 2 3451 7507</t>
  </si>
  <si>
    <t>nv.sklasem@stryker.com</t>
  </si>
  <si>
    <t>tel:+82234517508</t>
  </si>
  <si>
    <t>=+82 2 3451 7508</t>
  </si>
  <si>
    <t>raqa.sklasem@stryker.com</t>
  </si>
  <si>
    <t>tel:+82234517509</t>
  </si>
  <si>
    <t>=+82 2 3451 7509</t>
  </si>
  <si>
    <t>target.sklasem@stryker.com</t>
  </si>
  <si>
    <t>tel:+82234517510</t>
  </si>
  <si>
    <t>=+82 2 3451 7510</t>
  </si>
  <si>
    <t>drsouthkorea.teams@stryker.com</t>
  </si>
  <si>
    <t>tel:+82234517511</t>
  </si>
  <si>
    <t>=+82 2 3451 7511</t>
  </si>
  <si>
    <t>tel:+82234517512</t>
  </si>
  <si>
    <t>=+82 2 3451 7512</t>
  </si>
  <si>
    <t>tel:+82234517513</t>
  </si>
  <si>
    <t>=+82 2 3451 7513</t>
  </si>
  <si>
    <t>tel:+82234517514</t>
  </si>
  <si>
    <t>=+82 2 3451 7514</t>
  </si>
  <si>
    <t>triathlon.sklasem@stryker.com</t>
  </si>
  <si>
    <t>tel:+82234517515</t>
  </si>
  <si>
    <t>=+82 2 3451 7515</t>
  </si>
  <si>
    <t>tel:+82234517516</t>
  </si>
  <si>
    <t>=+82 2 3451 7516</t>
  </si>
  <si>
    <t>JasonHan/KLT/사용하던것</t>
  </si>
  <si>
    <t>tel:+82234517517</t>
  </si>
  <si>
    <t>=+82 2 3451 7517</t>
  </si>
  <si>
    <t>tel:+82234517518</t>
  </si>
  <si>
    <t>=+82 2 3451 7518</t>
  </si>
  <si>
    <t>kita.ym@stryker.com</t>
  </si>
  <si>
    <t>용마 키트 Admin</t>
  </si>
  <si>
    <t>tel:+82234517519</t>
  </si>
  <si>
    <t>=+82 2 3451 7519</t>
  </si>
  <si>
    <t>tel:+82234517520</t>
  </si>
  <si>
    <t>=+82 2 3451 7520</t>
  </si>
  <si>
    <t>tel:+82234517521</t>
  </si>
  <si>
    <t>=+82 2 3451 7521</t>
  </si>
  <si>
    <t>tel:+82234517522</t>
  </si>
  <si>
    <t>=+82 2 3451 7522</t>
  </si>
  <si>
    <t>tel:+82234517523</t>
  </si>
  <si>
    <t>=+82 2 3451 7523</t>
  </si>
  <si>
    <t>tel:+82234517524</t>
  </si>
  <si>
    <t>=+82 2 3451 7524</t>
  </si>
  <si>
    <t>leslie.kim@stryker.com</t>
  </si>
  <si>
    <t>tel:+82234517525</t>
  </si>
  <si>
    <t>=+82 2 3451 7525</t>
  </si>
  <si>
    <t>tel:+82234517526</t>
  </si>
  <si>
    <t>=+82 2 3451 7526</t>
  </si>
  <si>
    <t>tel:+82234517527</t>
  </si>
  <si>
    <t>=+82 2 3451 7527</t>
  </si>
  <si>
    <t>tel:+82234517528</t>
  </si>
  <si>
    <t>=+82 2 3451 7528</t>
  </si>
  <si>
    <t>tel:+82234517529</t>
  </si>
  <si>
    <t>=+82 2 3451 7529</t>
  </si>
  <si>
    <t>tel:+82234517530</t>
  </si>
  <si>
    <t>=+82 2 3451 7530</t>
  </si>
  <si>
    <t>tel:+82234517531</t>
  </si>
  <si>
    <t>=+82 2 3451 7531</t>
  </si>
  <si>
    <t>tel:+82234517532</t>
  </si>
  <si>
    <t>=+82 2 3451 7532</t>
  </si>
  <si>
    <t>tel:+82234517533</t>
  </si>
  <si>
    <t>=+82 2 3451 7533</t>
  </si>
  <si>
    <t>david.yang@stryker.com</t>
  </si>
  <si>
    <t>tel:+82234517534</t>
  </si>
  <si>
    <t>=+82 2 3451 7534</t>
  </si>
  <si>
    <t>Shoulder KLT 사용하던 것</t>
  </si>
  <si>
    <t>&lt; 티켓 진행중 1월 6일</t>
  </si>
  <si>
    <t>tel:+82234517535</t>
  </si>
  <si>
    <t>=+82 2 3451 7535</t>
  </si>
  <si>
    <t>tel:+82234517536</t>
  </si>
  <si>
    <t>=+82 2 3451 7536</t>
  </si>
  <si>
    <t>tel:+82234517537</t>
  </si>
  <si>
    <t>=+82 2 3451 7537</t>
  </si>
  <si>
    <t>tel:+82234517538</t>
  </si>
  <si>
    <t>=+82 2 3451 7538</t>
  </si>
  <si>
    <t>Elin KIM / knee 사용</t>
  </si>
  <si>
    <t>tel:+82234517539</t>
  </si>
  <si>
    <t>=+82 2 3451 7539</t>
  </si>
  <si>
    <t>Legal KLT 사용하던 것</t>
  </si>
  <si>
    <t>tel:+82234517540</t>
  </si>
  <si>
    <t>=+82 2 3451 7540</t>
  </si>
  <si>
    <t>tel:+82234517541</t>
  </si>
  <si>
    <t>=+82 2 3451 7541</t>
  </si>
  <si>
    <t>tel:+82234517542</t>
  </si>
  <si>
    <t>=+82 2 3451 7542</t>
  </si>
  <si>
    <t>tel:+82234517543</t>
  </si>
  <si>
    <t>=+82 2 3451 7543</t>
  </si>
  <si>
    <t>tel:+82234517544</t>
  </si>
  <si>
    <t>=+82 2 3451 7544</t>
  </si>
  <si>
    <t>tel:+82234517545</t>
  </si>
  <si>
    <t>=+82 2 3451 7545</t>
  </si>
  <si>
    <t>tel:+82234517546</t>
  </si>
  <si>
    <t>=+82 2 3451 7546</t>
  </si>
  <si>
    <t>tel:+82234517547</t>
  </si>
  <si>
    <t>=+82 2 3451 7547</t>
  </si>
  <si>
    <t>jeff.lee@stryker.com</t>
  </si>
  <si>
    <t>tel:+82234517548</t>
  </si>
  <si>
    <t>=+82 2 3451 7548</t>
  </si>
  <si>
    <t>gregory.seo@stryker.com</t>
  </si>
  <si>
    <t>tel:+82234517549</t>
  </si>
  <si>
    <t>=+82 2 3451 7549</t>
  </si>
  <si>
    <t>bruce.cha@stryker.com</t>
  </si>
  <si>
    <t>tel:+82234517550</t>
  </si>
  <si>
    <t>=+82 2 3451 7550</t>
  </si>
  <si>
    <t>tel:+82234517551</t>
  </si>
  <si>
    <t>=+82 2 3451 7551</t>
  </si>
  <si>
    <t>tel:+82234517552</t>
  </si>
  <si>
    <t>=+82 2 3451 7552</t>
  </si>
  <si>
    <t>tel:+82234517553</t>
  </si>
  <si>
    <t>=+82 2 3451 7553</t>
  </si>
  <si>
    <t>tel:+82234517554</t>
  </si>
  <si>
    <t>=+82 2 3451 7554</t>
  </si>
  <si>
    <t>Sales/tony.kang@stryker.com</t>
  </si>
  <si>
    <t>tel:+82234517555</t>
  </si>
  <si>
    <t>=+82 2 3451 7555</t>
  </si>
  <si>
    <t>tel:+82234517556</t>
  </si>
  <si>
    <t>=+82 2 3451 7556</t>
  </si>
  <si>
    <t>tel:+82234517557</t>
  </si>
  <si>
    <t>=+82 2 3451 7557</t>
  </si>
  <si>
    <t>willy.chang@stryker.com</t>
  </si>
  <si>
    <t>tel:+82234517558</t>
  </si>
  <si>
    <t>=+82 2 3451 7558</t>
  </si>
  <si>
    <t>justin.kim@stryker.com</t>
  </si>
  <si>
    <t>tel:+82234517559</t>
  </si>
  <si>
    <t>=+82 2 3451 7559</t>
  </si>
  <si>
    <t>tel:+82234517560</t>
  </si>
  <si>
    <t>=+82 2 3451 7560</t>
  </si>
  <si>
    <t>tel:+82234517561</t>
  </si>
  <si>
    <t>=+82 2 3451 7561</t>
  </si>
  <si>
    <t>Bella.yoon@stryker.com</t>
  </si>
  <si>
    <t>tel:+82234517562</t>
  </si>
  <si>
    <t>=+82 2 3451 7562</t>
  </si>
  <si>
    <t>tel:+82234517563</t>
  </si>
  <si>
    <t>=+82 2 3451 7563</t>
  </si>
  <si>
    <t>tel:+82234517564</t>
  </si>
  <si>
    <t>=+82 2 3451 7564</t>
  </si>
  <si>
    <t>tel:+82234517565</t>
  </si>
  <si>
    <t>=+82 2 3451 7565</t>
  </si>
  <si>
    <t>Sales Manager / william.chai@stryker.com</t>
  </si>
  <si>
    <t>tel:+82234517566</t>
  </si>
  <si>
    <t>=+82 2 3451 7566</t>
  </si>
  <si>
    <t>tel:+82234517567</t>
  </si>
  <si>
    <t>=+82 2 3451 7567</t>
  </si>
  <si>
    <t>tel:+82234517568</t>
  </si>
  <si>
    <t>=+82 2 3451 7568</t>
  </si>
  <si>
    <t>tel:+82234517569</t>
  </si>
  <si>
    <t>=+82 2 3451 7569</t>
  </si>
  <si>
    <t>tel:+82234517570</t>
  </si>
  <si>
    <t>=+82 2 3451 7570</t>
  </si>
  <si>
    <t xml:space="preserve">마지막 사용자 : KLT , Jame Kang </t>
  </si>
  <si>
    <t>tel:+82234517571</t>
  </si>
  <si>
    <t>=+82 2 3451 7571</t>
  </si>
  <si>
    <t>tel:+82234517572</t>
  </si>
  <si>
    <t>=+82 2 3451 7572</t>
  </si>
  <si>
    <t>tel:+82234517573</t>
  </si>
  <si>
    <t>=+82 2 3451 7573</t>
  </si>
  <si>
    <t>tel:+82234517574</t>
  </si>
  <si>
    <t>=+82 2 3451 7574</t>
  </si>
  <si>
    <t>마지막 사용자 : MPS , seohyun.jung@stryker.com</t>
  </si>
  <si>
    <t>tel:+82234517575</t>
  </si>
  <si>
    <t>=+82 2 3451 7575</t>
  </si>
  <si>
    <t>tel:+82234517576</t>
  </si>
  <si>
    <t>=+82 2 3451 7576</t>
  </si>
  <si>
    <t>tel:+82234517577</t>
  </si>
  <si>
    <t>=+82 2 3451 7577</t>
  </si>
  <si>
    <t>tel:+82234517578</t>
  </si>
  <si>
    <t>=+82 2 3451 7578</t>
  </si>
  <si>
    <t>tel:+82234517579</t>
  </si>
  <si>
    <t>=+82 2 3451 7579</t>
  </si>
  <si>
    <t>tel:+82234517580</t>
  </si>
  <si>
    <t>=+82 2 3451 7580</t>
  </si>
  <si>
    <t>tel:+82234517581</t>
  </si>
  <si>
    <t>=+82 2 3451 7581</t>
  </si>
  <si>
    <t>tel:+82234517582</t>
  </si>
  <si>
    <t>=+82 2 3451 7582</t>
  </si>
  <si>
    <t>tel:+82234517583</t>
  </si>
  <si>
    <t>=+82 2 3451 7583</t>
  </si>
  <si>
    <t>tel:+82234517584</t>
  </si>
  <si>
    <t>=+82 2 3451 7584</t>
  </si>
  <si>
    <t>tel:+82234517585</t>
  </si>
  <si>
    <t>=+82 2 3451 7585</t>
  </si>
  <si>
    <t>tel:+82234517586</t>
  </si>
  <si>
    <t>=+82 2 3451 7586</t>
  </si>
  <si>
    <t>tel:+82234517587</t>
  </si>
  <si>
    <t>=+82 2 3451 7587</t>
  </si>
  <si>
    <t>tel:+82234517588</t>
  </si>
  <si>
    <t>=+82 2 3451 7588</t>
  </si>
  <si>
    <t>tel:+82234517589</t>
  </si>
  <si>
    <t>=+82 2 3451 7589</t>
  </si>
  <si>
    <t>tel:+82234517590</t>
  </si>
  <si>
    <t>=+82 2 3451 7590</t>
  </si>
  <si>
    <t>tel:+82234517591</t>
  </si>
  <si>
    <t>=+82 2 3451 7591</t>
  </si>
  <si>
    <t>tel:+82234517592</t>
  </si>
  <si>
    <t>=+82 2 3451 7592</t>
  </si>
  <si>
    <t>simon.sin@stryker.com</t>
  </si>
  <si>
    <t>tel:+82234517593</t>
  </si>
  <si>
    <t>=+82 2 3451 7593</t>
  </si>
  <si>
    <t>tel:+82234517594</t>
  </si>
  <si>
    <t>=+82 2 3451 7594</t>
  </si>
  <si>
    <t>tel:+82234517595</t>
  </si>
  <si>
    <t>=+82 2 3451 7595</t>
  </si>
  <si>
    <t>tel:+82234517596</t>
  </si>
  <si>
    <t>=+82 2 3451 7596</t>
  </si>
  <si>
    <t>tel:+82234517597</t>
  </si>
  <si>
    <t>=+82 2 3451 7597</t>
  </si>
  <si>
    <t>tel:+82234517598</t>
  </si>
  <si>
    <t>=+82 2 3451 7598</t>
  </si>
  <si>
    <t>suhyun.kim@stryker.com</t>
  </si>
  <si>
    <t>tel:+82234517599</t>
  </si>
  <si>
    <t>=+82 2 3451 7599</t>
  </si>
  <si>
    <t>Medsurg / harim shin 사용하던것</t>
  </si>
  <si>
    <t>tel:+82234517600</t>
  </si>
  <si>
    <t>=+82 2 3451 7600</t>
  </si>
  <si>
    <t>tel:+82234517601</t>
  </si>
  <si>
    <t>=+82 2 3451 7601</t>
  </si>
  <si>
    <t>tel:+82234517602</t>
  </si>
  <si>
    <t>=+82 2 3451 7602</t>
  </si>
  <si>
    <t>Medsurg / shin yoojin shin 사용하던것</t>
  </si>
  <si>
    <t>tel:+82234517603</t>
  </si>
  <si>
    <t>=+82 2 3451 7603</t>
  </si>
  <si>
    <t>tel:+82234517604</t>
  </si>
  <si>
    <t>=+82 2 3451 7604</t>
  </si>
  <si>
    <t>tel:+82234517605</t>
  </si>
  <si>
    <t>=+82 2 3451 7605</t>
  </si>
  <si>
    <t>Jenny.jung@stryker.com</t>
  </si>
  <si>
    <t>tel:+82234517606</t>
  </si>
  <si>
    <t>=+82 2 3451 7606</t>
  </si>
  <si>
    <t>tel:+82234517607</t>
  </si>
  <si>
    <t>=+82 2 3451 7607</t>
  </si>
  <si>
    <t>tel:+82234517608</t>
  </si>
  <si>
    <t>=+82 2 3451 7608</t>
  </si>
  <si>
    <t>tel:+82234517609</t>
  </si>
  <si>
    <t>=+82 2 3451 7609</t>
  </si>
  <si>
    <t>tel:+82234517610</t>
  </si>
  <si>
    <t>=+82 2 3451 7610</t>
  </si>
  <si>
    <t>tel:+82234517611</t>
  </si>
  <si>
    <t>=+82 2 3451 7611</t>
  </si>
  <si>
    <t>nathan.eom@stryker.com</t>
  </si>
  <si>
    <t>tel:+82234517612</t>
  </si>
  <si>
    <t>=+82 2 3451 7612</t>
  </si>
  <si>
    <t>tel:+82234517613</t>
  </si>
  <si>
    <t>=+82 2 3451 7613</t>
  </si>
  <si>
    <t>tel:+82234517614</t>
  </si>
  <si>
    <t>=+82 2 3451 7614</t>
  </si>
  <si>
    <t>tel:+82234517615</t>
  </si>
  <si>
    <t>=+82 2 3451 7615</t>
  </si>
  <si>
    <t>tel:+82234517616</t>
  </si>
  <si>
    <t>=+82 2 3451 7616</t>
  </si>
  <si>
    <t>tel:+82234517617</t>
  </si>
  <si>
    <t>=+82 2 3451 7617</t>
  </si>
  <si>
    <t>tel:+82234517618</t>
  </si>
  <si>
    <t>=+82 2 3451 7618</t>
  </si>
  <si>
    <t>tel:+82234517619</t>
  </si>
  <si>
    <t>=+82 2 3451 7619</t>
  </si>
  <si>
    <t>tel:+82234517620</t>
  </si>
  <si>
    <t>=+82 2 3451 7620</t>
  </si>
  <si>
    <t>tel:+82234517621</t>
  </si>
  <si>
    <t>=+82 2 3451 7621</t>
  </si>
  <si>
    <t>Medsurg / jayden shin 사용하던것</t>
  </si>
  <si>
    <t>tel:+82234517622</t>
  </si>
  <si>
    <t>=+82 2 3451 7622</t>
  </si>
  <si>
    <t>tel:+82234517623</t>
  </si>
  <si>
    <t>=+82 2 3451 7623</t>
  </si>
  <si>
    <t>tel:+82234517624</t>
  </si>
  <si>
    <t>=+82 2 3451 7624</t>
  </si>
  <si>
    <t>tel:+82234517625</t>
  </si>
  <si>
    <t>=+82 2 3451 7625</t>
  </si>
  <si>
    <t>tel:+82234517626</t>
  </si>
  <si>
    <t>=+82 2 3451 7626</t>
  </si>
  <si>
    <t>daeun.kim@stryker.com</t>
  </si>
  <si>
    <t>tel:+82234517627</t>
  </si>
  <si>
    <t>=+82 2 3451 7627</t>
  </si>
  <si>
    <t>tel:+82234517628</t>
  </si>
  <si>
    <t>=+82 2 3451 7628</t>
  </si>
  <si>
    <t>minjeong.kim@stryker.com</t>
  </si>
  <si>
    <t>tel:+82234517629</t>
  </si>
  <si>
    <t>=+82 2 3451 7629</t>
  </si>
  <si>
    <t>Medsurg / johnny choi 사용하던것</t>
  </si>
  <si>
    <t>tel:+82234517630</t>
  </si>
  <si>
    <t>=+82 2 3451 7630</t>
  </si>
  <si>
    <t>tel:+82234517631</t>
  </si>
  <si>
    <t>=+82 2 3451 7631</t>
  </si>
  <si>
    <t>tel:+82234517632</t>
  </si>
  <si>
    <t>=+82 2 3451 7632</t>
  </si>
  <si>
    <t>tel:+82234517633</t>
  </si>
  <si>
    <t>=+82 2 3451 7633</t>
  </si>
  <si>
    <t>tel:+82234517634</t>
  </si>
  <si>
    <t>=+82 2 3451 7634</t>
  </si>
  <si>
    <t>tel:+82234517635</t>
  </si>
  <si>
    <t>=+82 2 3451 7635</t>
  </si>
  <si>
    <t>tel:+82234517636</t>
  </si>
  <si>
    <t>=+82 2 3451 7636</t>
  </si>
  <si>
    <t>tel:+82234517637</t>
  </si>
  <si>
    <t>=+82 2 3451 7637</t>
  </si>
  <si>
    <t>tel:+82234517638</t>
  </si>
  <si>
    <t>=+82 2 3451 7638</t>
  </si>
  <si>
    <t>tel:+82234517639</t>
  </si>
  <si>
    <t>=+82 2 3451 7639</t>
  </si>
  <si>
    <t>tel:+82234517640</t>
  </si>
  <si>
    <t>=+82 2 3451 7640</t>
  </si>
  <si>
    <t>tel:+82234517641</t>
  </si>
  <si>
    <t>=+82 2 3451 7641</t>
  </si>
  <si>
    <t>cs / donna.park@stryker.com</t>
  </si>
  <si>
    <t>tel:+82234517642</t>
  </si>
  <si>
    <t>=+82 2 3451 7642</t>
  </si>
  <si>
    <t>tel:+82234517643</t>
  </si>
  <si>
    <t>=+82 2 3451 7643</t>
  </si>
  <si>
    <t>tel:+82234517644</t>
  </si>
  <si>
    <t>=+82 2 3451 7644</t>
  </si>
  <si>
    <t>tel:+82234517645</t>
  </si>
  <si>
    <t>=+82 2 3451 7645</t>
  </si>
  <si>
    <t>tel:+82234517646</t>
  </si>
  <si>
    <t>=+82 2 3451 7646</t>
  </si>
  <si>
    <t>tel:+82234517647</t>
  </si>
  <si>
    <t>=+82 2 3451 7647</t>
  </si>
  <si>
    <t>tel:+82234517648</t>
  </si>
  <si>
    <t>=+82 2 3451 7648</t>
  </si>
  <si>
    <t>tel:+82234517649</t>
  </si>
  <si>
    <t>=+82 2 3451 7649</t>
  </si>
  <si>
    <t>tel:+82234517650</t>
  </si>
  <si>
    <t>=+82 2 3451 7650</t>
  </si>
  <si>
    <t>tel:+82234517651</t>
  </si>
  <si>
    <t>=+82 2 3451 7651</t>
  </si>
  <si>
    <t>tel:+82234517652</t>
  </si>
  <si>
    <t>=+82 2 3451 7652</t>
  </si>
  <si>
    <t>이전 사용자 파이넨스 부서 chaerin님</t>
  </si>
  <si>
    <t>tel:+82234517653</t>
  </si>
  <si>
    <t>=+82 2 3451 7653</t>
  </si>
  <si>
    <t>tel:+82234517654</t>
  </si>
  <si>
    <t>=+82 2 3451 7654</t>
  </si>
  <si>
    <t>tel:+82234517655</t>
  </si>
  <si>
    <t>=+82 2 3451 7655</t>
  </si>
  <si>
    <t>tel:+82234517656</t>
  </si>
  <si>
    <t>=+82 2 3451 7656</t>
  </si>
  <si>
    <t>tel:+82234517657</t>
  </si>
  <si>
    <t>=+82 2 3451 7657</t>
  </si>
  <si>
    <t>tel:+82234517658</t>
  </si>
  <si>
    <t>=+82 2 3451 7658</t>
  </si>
  <si>
    <t>tel:+82234517659</t>
  </si>
  <si>
    <t>=+82 2 3451 7659</t>
  </si>
  <si>
    <t>tel:+82234517660</t>
  </si>
  <si>
    <t>=+82 2 3451 7660</t>
  </si>
  <si>
    <t>tel:+82234517661</t>
  </si>
  <si>
    <t>=+82 2 3451 7661</t>
  </si>
  <si>
    <t>tel:+82234517662</t>
  </si>
  <si>
    <t>=+82 2 3451 7662</t>
  </si>
  <si>
    <t>tel:+82234517663</t>
  </si>
  <si>
    <t>=+82 2 3451 7663</t>
  </si>
  <si>
    <t>tel:+82234517664</t>
  </si>
  <si>
    <t>=+82 2 3451 7664</t>
  </si>
  <si>
    <t>tel:+82234517665</t>
  </si>
  <si>
    <t>=+82 2 3451 7665</t>
  </si>
  <si>
    <t>tel:+82234517666</t>
  </si>
  <si>
    <t>=+82 2 3451 7666</t>
  </si>
  <si>
    <t>tel:+82234517667</t>
  </si>
  <si>
    <t>=+82 2 3451 7667</t>
  </si>
  <si>
    <t>huey.sim@stryker.com</t>
  </si>
  <si>
    <t>tel:+82234517668</t>
  </si>
  <si>
    <t>=+82 2 3451 7668</t>
  </si>
  <si>
    <t>tel:+82234517669</t>
  </si>
  <si>
    <t>=+82 2 3451 7669</t>
  </si>
  <si>
    <t>tel:+82234517670</t>
  </si>
  <si>
    <t>=+82 2 3451 7670</t>
  </si>
  <si>
    <t>hr_korea_aa@stryker.onmicrosoft.com</t>
  </si>
  <si>
    <t>tel:+82234517671</t>
  </si>
  <si>
    <t>=+82 2 3451 7671</t>
  </si>
  <si>
    <t>tel:+82234517672</t>
  </si>
  <si>
    <t>=+82 2 3451 7672</t>
  </si>
  <si>
    <t>tel:+82234517673</t>
  </si>
  <si>
    <t>=+82 2 3451 7673</t>
  </si>
  <si>
    <t>tel:+82234517674</t>
  </si>
  <si>
    <t>=+82 2 3451 7674</t>
  </si>
  <si>
    <t>tel:+82234517675</t>
  </si>
  <si>
    <t>=+82 2 3451 7675</t>
  </si>
  <si>
    <t>ts.sklasem@stryker.com</t>
  </si>
  <si>
    <t>tel:+82234517676</t>
  </si>
  <si>
    <t>=+82 2 3451 7676</t>
  </si>
  <si>
    <t>sue.kim@stryker.com</t>
  </si>
  <si>
    <t>tel:+82234517677</t>
  </si>
  <si>
    <t>=+82 2 3451 7677</t>
  </si>
  <si>
    <t>Senior IT Support Analyst</t>
  </si>
  <si>
    <t>tel:+82234517678</t>
  </si>
  <si>
    <t>=+82 2 3451 7678</t>
  </si>
  <si>
    <t>tel:+82234517679</t>
  </si>
  <si>
    <t>=+82 2 3451 7679</t>
  </si>
  <si>
    <t>tel:+82234517680</t>
  </si>
  <si>
    <t>=+82 2 3451 7680</t>
  </si>
  <si>
    <t>rayna.kim@stryker.com</t>
  </si>
  <si>
    <t>tel:+82234517681</t>
  </si>
  <si>
    <t>=+82 2 3451 7681</t>
  </si>
  <si>
    <t>tel:+82234517682</t>
  </si>
  <si>
    <t>=+82 2 3451 7682</t>
  </si>
  <si>
    <t>tel:+82234517683</t>
  </si>
  <si>
    <t>=+82 2 3451 7683</t>
  </si>
  <si>
    <t>tel:+82234517684</t>
  </si>
  <si>
    <t>=+82 2 3451 7684</t>
  </si>
  <si>
    <t>tel:+82234517685</t>
  </si>
  <si>
    <t>=+82 2 3451 7685</t>
  </si>
  <si>
    <t>tel:+82234517686</t>
  </si>
  <si>
    <t>=+82 2 3451 7686</t>
  </si>
  <si>
    <t>tel:+82234517687</t>
  </si>
  <si>
    <t>=+82 2 3451 7687</t>
  </si>
  <si>
    <t>tel:+82234517688</t>
  </si>
  <si>
    <t>=+82 2 3451 7688</t>
  </si>
  <si>
    <t>tel:+82234517689</t>
  </si>
  <si>
    <t>=+82 2 3451 7689</t>
  </si>
  <si>
    <t>tel:+82234517690</t>
  </si>
  <si>
    <t>=+82 2 3451 7690</t>
  </si>
  <si>
    <t>tel:+82234517691</t>
  </si>
  <si>
    <t>=+82 2 3451 7691</t>
  </si>
  <si>
    <t>tel:+82234517692</t>
  </si>
  <si>
    <t>=+82 2 3451 7692</t>
  </si>
  <si>
    <t>tel:+82234517693</t>
  </si>
  <si>
    <t>=+82 2 3451 7693</t>
  </si>
  <si>
    <t>RAQA julie.son 사용하던 것</t>
  </si>
  <si>
    <t>tel:+82234517694</t>
  </si>
  <si>
    <t>=+82 2 3451 7694</t>
  </si>
  <si>
    <t>tel:+82234517695</t>
  </si>
  <si>
    <t>=+82 2 3451 7695</t>
  </si>
  <si>
    <t>tel:+82234517696</t>
  </si>
  <si>
    <t>=+82 2 3451 7696</t>
  </si>
  <si>
    <t>tel:+82234517697</t>
  </si>
  <si>
    <t>=+82 2 3451 7697</t>
  </si>
  <si>
    <t>tel:+82234517698</t>
  </si>
  <si>
    <t>=+82 2 3451 7698</t>
  </si>
  <si>
    <t>tel:+82234517699</t>
  </si>
  <si>
    <t>=+82 2 3451 7699</t>
  </si>
  <si>
    <t>개수</t>
  </si>
  <si>
    <t>Date</t>
  </si>
  <si>
    <t>전화 번호</t>
  </si>
  <si>
    <t>애플펜슬 2세대</t>
  </si>
  <si>
    <t>Role</t>
  </si>
  <si>
    <t>해지유무</t>
  </si>
  <si>
    <t>참고</t>
  </si>
  <si>
    <t>iPAD_Pro_12.9_Gen3_64</t>
  </si>
  <si>
    <t>DLXZX04QKC5Q</t>
  </si>
  <si>
    <t>010-4352-6949</t>
  </si>
  <si>
    <t>Johnny Choi 반납 / 펜슬 미반납</t>
  </si>
  <si>
    <t>해지완료</t>
  </si>
  <si>
    <t>2025.03.19 재약정 / 위약금 발생</t>
  </si>
  <si>
    <t>iPAD_Air_Gen5_256</t>
  </si>
  <si>
    <t>KG27H3Q1J1</t>
  </si>
  <si>
    <t>010-6681-6949</t>
  </si>
  <si>
    <t>stock</t>
  </si>
  <si>
    <t>jason.han 반납한것</t>
  </si>
  <si>
    <t>2025.03.19 재약정</t>
  </si>
  <si>
    <t>DLXCC00MKC43</t>
  </si>
  <si>
    <t>010-9984-6182</t>
  </si>
  <si>
    <t>DLXCC0M0KC43</t>
  </si>
  <si>
    <t>해지 완료</t>
  </si>
  <si>
    <t>IPADP4_11-128</t>
  </si>
  <si>
    <t>FQ29PC2NKJ</t>
  </si>
  <si>
    <t>010-6878-0164</t>
  </si>
  <si>
    <t>Spare</t>
  </si>
  <si>
    <t>TESTing by Jun</t>
  </si>
  <si>
    <t>K9J441WF9W</t>
  </si>
  <si>
    <t>010-6878-0172</t>
  </si>
  <si>
    <t>Sujin park</t>
  </si>
  <si>
    <r>
      <rPr>
        <rFont val="&quot;맑은 고딕&quot;, monospace"/>
        <color rgb="FF1155CC"/>
        <sz val="11.0"/>
        <u/>
      </rPr>
      <t>sujin.park@stryker.com</t>
    </r>
  </si>
  <si>
    <t>J1XWPW66YY</t>
  </si>
  <si>
    <t>Kale Lee</t>
  </si>
  <si>
    <r>
      <rPr>
        <rFont val="&quot;맑은 고딕&quot;, monospace"/>
        <color rgb="FF1155CC"/>
        <sz val="11.0"/>
        <u/>
      </rPr>
      <t>kale.lee@stryker.com</t>
    </r>
  </si>
  <si>
    <t>CK7JHKH443</t>
  </si>
  <si>
    <t>010-6878-0256</t>
  </si>
  <si>
    <t>lina.kim</t>
  </si>
  <si>
    <t>수리완료</t>
  </si>
  <si>
    <t>G9YWDFP14H</t>
  </si>
  <si>
    <t>010-6878-0276</t>
  </si>
  <si>
    <t>HL7Q0T6MHW</t>
  </si>
  <si>
    <t>010-6878-0299</t>
  </si>
  <si>
    <t>Vincent Bea</t>
  </si>
  <si>
    <r>
      <rPr>
        <rFont val="&quot;맑은 고딕&quot;, monospace"/>
        <color rgb="FF1155CC"/>
        <sz val="11.0"/>
        <u/>
      </rPr>
      <t>vincent.bae@stryker.com</t>
    </r>
  </si>
  <si>
    <t>J2Y7TQ0Y79</t>
  </si>
  <si>
    <t>010-6878-0340</t>
  </si>
  <si>
    <t>Tony Kang 쓰던거
IPAD부족할때 사용</t>
  </si>
  <si>
    <t>MP2C9F46FN</t>
  </si>
  <si>
    <t>010-6878-0446</t>
  </si>
  <si>
    <t>J9157FQXYM</t>
  </si>
  <si>
    <t>010-6878-0449</t>
  </si>
  <si>
    <t>D50QVTWX76</t>
  </si>
  <si>
    <t>010-6878-0457</t>
  </si>
  <si>
    <t>GXDWV9GT62</t>
  </si>
  <si>
    <t>010-6878-0458</t>
  </si>
  <si>
    <t>david oh</t>
  </si>
  <si>
    <r>
      <rPr>
        <rFont val="&quot;맑은 고딕&quot;, monospace"/>
        <color rgb="FF1155CC"/>
        <sz val="11.0"/>
        <u/>
      </rPr>
      <t>david.oh@stryker.com</t>
    </r>
  </si>
  <si>
    <t>G09WDG49T4</t>
  </si>
  <si>
    <t>010-6878-0459</t>
  </si>
  <si>
    <t>Sol jung</t>
  </si>
  <si>
    <t>M9CN2VYJ46</t>
  </si>
  <si>
    <t>010-6878-0463</t>
  </si>
  <si>
    <t>C14X1226DV</t>
  </si>
  <si>
    <t>010-6878-0464</t>
  </si>
  <si>
    <t>TRW5JJG7JP</t>
  </si>
  <si>
    <t>010-6878-0465</t>
  </si>
  <si>
    <t>J6YXV33LDP</t>
  </si>
  <si>
    <t>010-6878-0359</t>
  </si>
  <si>
    <t>KJ44CP93XQ</t>
  </si>
  <si>
    <t>010-6878-0381</t>
  </si>
  <si>
    <t>HW21HF1YCH</t>
  </si>
  <si>
    <t>010-6878-0382</t>
  </si>
  <si>
    <t>MA</t>
  </si>
  <si>
    <t>KXDGGF9C90</t>
  </si>
  <si>
    <t>010-6878-0389</t>
  </si>
  <si>
    <t>Medusrg</t>
  </si>
  <si>
    <t>HC0FP2JHG7</t>
  </si>
  <si>
    <t>010-6878-0392</t>
  </si>
  <si>
    <t>DG3XL2W5VX</t>
  </si>
  <si>
    <t>010-6878-0394</t>
  </si>
  <si>
    <t>C19HH7PP2V</t>
  </si>
  <si>
    <t>010-6878-0395</t>
  </si>
  <si>
    <t>Jung seohyun 반납</t>
  </si>
  <si>
    <t>KVKXR477HX</t>
  </si>
  <si>
    <t>010-6878-0398</t>
  </si>
  <si>
    <t>william chai 사용한것</t>
  </si>
  <si>
    <t>JN14143DQC</t>
  </si>
  <si>
    <t>010-6878-0437</t>
  </si>
  <si>
    <t>C2QFHGVW92</t>
  </si>
  <si>
    <t>010-6878-0443</t>
  </si>
  <si>
    <t>DP77MWKXNR</t>
  </si>
  <si>
    <t>010-6878-0534</t>
  </si>
  <si>
    <t>GWR3CYT2GJ</t>
  </si>
  <si>
    <t>010-6878-0536</t>
  </si>
  <si>
    <t>HYC714DK25</t>
  </si>
  <si>
    <t>010-6878-0541</t>
  </si>
  <si>
    <t>L4J4KPXGPN</t>
  </si>
  <si>
    <t>010-6878-0548</t>
  </si>
  <si>
    <t>김자영마지막 : Legal / KLT
IPAD부족할때 사용</t>
  </si>
  <si>
    <t>L2717D33PM</t>
  </si>
  <si>
    <t>010-6878-0562</t>
  </si>
  <si>
    <r>
      <rPr>
        <rFont val="&quot;맑은 고딕&quot;, monospace"/>
        <color rgb="FF1155CC"/>
        <sz val="11.0"/>
        <u/>
      </rPr>
      <t>lucia.park@stryker.com</t>
    </r>
  </si>
  <si>
    <t>CXVPVQXG09</t>
  </si>
  <si>
    <t>010-6878-0481</t>
  </si>
  <si>
    <t>P7Q3X0HYFW</t>
  </si>
  <si>
    <t>010-6878-0483</t>
  </si>
  <si>
    <t>CQ0MQK66GM</t>
  </si>
  <si>
    <t>010-6878-0485</t>
  </si>
  <si>
    <t>XCYDTQ4H1F</t>
  </si>
  <si>
    <t>010-6878-0487</t>
  </si>
  <si>
    <t>LR4DPX93T4</t>
  </si>
  <si>
    <t>010-6878-0490</t>
  </si>
  <si>
    <t>JWXX9D7C0H</t>
  </si>
  <si>
    <t>010-6878-0491</t>
  </si>
  <si>
    <t>D1HJ9KM7XJ</t>
  </si>
  <si>
    <t>010-6878-0492</t>
  </si>
  <si>
    <t>M6T0VJHK6P</t>
  </si>
  <si>
    <t>010-6878-0496</t>
  </si>
  <si>
    <t>DWFLMWX243</t>
  </si>
  <si>
    <t>010-6878-0498</t>
  </si>
  <si>
    <t>H7Q22YXYWF</t>
  </si>
  <si>
    <t>010-6878-0499</t>
  </si>
  <si>
    <t>J99N6MMPMT</t>
  </si>
  <si>
    <t>010-6878-0461</t>
  </si>
  <si>
    <t>JYVMXW3RWV</t>
  </si>
  <si>
    <t>010-6878-0467</t>
  </si>
  <si>
    <t>데이터0</t>
  </si>
  <si>
    <t>M2FKP9T7QX</t>
  </si>
  <si>
    <t>010-6878-0469</t>
  </si>
  <si>
    <t>CJ66CPWXQ2</t>
  </si>
  <si>
    <t>010-6878-0471</t>
  </si>
  <si>
    <t>JFK7CC9090</t>
  </si>
  <si>
    <t>010-6878-0472</t>
  </si>
  <si>
    <t>MK21Q5L65C</t>
  </si>
  <si>
    <t>010-6878-0473</t>
  </si>
  <si>
    <t>GXK670F7DH</t>
  </si>
  <si>
    <t>010-6878-0474</t>
  </si>
  <si>
    <t>F9XWF4345F</t>
  </si>
  <si>
    <t>010-6878-0475</t>
  </si>
  <si>
    <t>DXP5W6NH22</t>
  </si>
  <si>
    <t>010-6878-0476</t>
  </si>
  <si>
    <t>MNPXXL2C5X</t>
  </si>
  <si>
    <t>010-6878-0479</t>
  </si>
  <si>
    <t>JJWL6VTHKK</t>
  </si>
  <si>
    <t>010-6878-0571</t>
  </si>
  <si>
    <t>DFC7V7Q9X3</t>
  </si>
  <si>
    <t>010-6878-0568</t>
  </si>
  <si>
    <t>K9NWHMWT44</t>
  </si>
  <si>
    <t>010-6878-0573</t>
  </si>
  <si>
    <t>11/28 Kim Minjeong 반납</t>
  </si>
  <si>
    <t>LY9JGJQMTP</t>
  </si>
  <si>
    <t>010-6878-0348</t>
  </si>
  <si>
    <t>DYQP729JPM</t>
  </si>
  <si>
    <t>010-6878-0575</t>
  </si>
  <si>
    <t>FQPW2GVP7C</t>
  </si>
  <si>
    <t>010-6878-0640</t>
  </si>
  <si>
    <t>GYGG3N90Y4</t>
  </si>
  <si>
    <t>010-6878-0644</t>
  </si>
  <si>
    <t>MX224565CF</t>
  </si>
  <si>
    <t>010-6878-0649</t>
  </si>
  <si>
    <t>DMW34MWM7C</t>
  </si>
  <si>
    <t>010-6878-0652</t>
  </si>
  <si>
    <t>GGWR7NXY2D</t>
  </si>
  <si>
    <t>010-6878-0657</t>
  </si>
  <si>
    <t>C4RQH3W74V</t>
  </si>
  <si>
    <t>010-6878-0659</t>
  </si>
  <si>
    <t>LHJDGDMQCH</t>
  </si>
  <si>
    <t>010-6878-0670</t>
  </si>
  <si>
    <t>HYFKQFR4RD</t>
  </si>
  <si>
    <t>010-6878-0672</t>
  </si>
  <si>
    <t>iPadP4_11-128GB</t>
  </si>
  <si>
    <t>GD2WG3K71P</t>
  </si>
  <si>
    <t>010-6878-0138</t>
  </si>
  <si>
    <t>MKTFHJRWT2</t>
  </si>
  <si>
    <t>010-6878-0237</t>
  </si>
  <si>
    <t>Q4VGFW40QV</t>
  </si>
  <si>
    <t>010-6878-0769</t>
  </si>
  <si>
    <t>IPADP_M4-11-256</t>
  </si>
  <si>
    <t>XYGFK42KQP</t>
  </si>
  <si>
    <t>010-6804-6949</t>
  </si>
  <si>
    <t>Q5M6F1YX19</t>
  </si>
  <si>
    <t>010-7306-6949</t>
  </si>
  <si>
    <t>GW245H3KYL</t>
  </si>
  <si>
    <t>010-5168-6949</t>
  </si>
  <si>
    <t>VHJMJWTK6N</t>
  </si>
  <si>
    <t>010-4339-6949</t>
  </si>
  <si>
    <t>kim hannah</t>
  </si>
  <si>
    <r>
      <rPr>
        <rFont val="&quot;맑은 고딕&quot;, monospace"/>
        <color rgb="FF1155CC"/>
        <sz val="11.0"/>
        <u/>
      </rPr>
      <t>hannah.kim@stryker.com</t>
    </r>
  </si>
  <si>
    <t>YWFN4L7RQJ</t>
  </si>
  <si>
    <t>010-9528-6949</t>
  </si>
  <si>
    <t>J7J79LY961</t>
  </si>
  <si>
    <t>010-9627-6949</t>
  </si>
  <si>
    <t>LD0W924NX3</t>
  </si>
  <si>
    <t>010-6847-6949</t>
  </si>
  <si>
    <t>QT422FMH26</t>
  </si>
  <si>
    <t>010-7434-6949</t>
  </si>
  <si>
    <t>P40KK7NLQG</t>
  </si>
  <si>
    <t>010-9725-6949</t>
  </si>
  <si>
    <t>M90KHK7Y1F</t>
  </si>
  <si>
    <t>010-3414-6949</t>
  </si>
  <si>
    <t>L2Q9F70301</t>
  </si>
  <si>
    <t>010-6704-6949</t>
  </si>
  <si>
    <t>OQ2GGXF3FK</t>
  </si>
  <si>
    <t>010-9548-6949</t>
  </si>
  <si>
    <t>sung hoon bang</t>
  </si>
  <si>
    <t>Q9JKF6RRK4</t>
  </si>
  <si>
    <t>010-6725-6949</t>
  </si>
  <si>
    <t>Daniel jang</t>
  </si>
  <si>
    <t>MXK59D7LPL</t>
  </si>
  <si>
    <t>010-9787-6949</t>
  </si>
  <si>
    <t>M7WVNHQ0YQ</t>
  </si>
  <si>
    <t>010-4459-6949</t>
  </si>
  <si>
    <t>XGH27YLWQM</t>
  </si>
  <si>
    <t>010-7458-6949</t>
  </si>
  <si>
    <t>VKGPQR7276</t>
  </si>
  <si>
    <t>010-7254-6949</t>
  </si>
  <si>
    <t>마지막 사용자 : James Kang</t>
  </si>
  <si>
    <t>RVF25297YV</t>
  </si>
  <si>
    <t>010-6860-6949</t>
  </si>
  <si>
    <t>MQ6X021QX2</t>
  </si>
  <si>
    <t>010-4468-6949</t>
  </si>
  <si>
    <t>GHL46K1F9M</t>
  </si>
  <si>
    <t>010-9723-6949</t>
  </si>
  <si>
    <t>10/28 esim삭제로 재등록 , 비용 2700원 발생 /Jayden Shin 반납한것</t>
  </si>
  <si>
    <t>FNP3C7WRP2</t>
  </si>
  <si>
    <t>010-6852-6949</t>
  </si>
  <si>
    <t>FWJG39XV9Q</t>
  </si>
  <si>
    <t>010-7350-6949</t>
  </si>
  <si>
    <t>FN47DRXYYW</t>
  </si>
  <si>
    <t>010-9594-6949</t>
  </si>
  <si>
    <t>W6RQPLQLJY</t>
  </si>
  <si>
    <t>010-9606-6949</t>
  </si>
  <si>
    <t>HP6F2M6GJ7</t>
  </si>
  <si>
    <t>010-3409-6949</t>
  </si>
  <si>
    <t>Kyu choi</t>
  </si>
  <si>
    <t>THD6Q4W3LT</t>
  </si>
  <si>
    <t>010-4365-6949</t>
  </si>
  <si>
    <t>WR34FVRW4C</t>
  </si>
  <si>
    <t>010-6517-6949</t>
  </si>
  <si>
    <r>
      <rPr>
        <rFont val="&quot;맑은 고딕&quot;, monospace"/>
        <color rgb="FF1155CC"/>
        <sz val="11.0"/>
        <u/>
      </rPr>
      <t>bryan.park@stryker.com</t>
    </r>
  </si>
  <si>
    <t>Shoulder KLT 사용하던것</t>
  </si>
  <si>
    <t>L69V0Q1VT3</t>
  </si>
  <si>
    <t>010-9604-6949</t>
  </si>
  <si>
    <t>RFJJ97J4YG</t>
  </si>
  <si>
    <t>010-9539-6949</t>
  </si>
  <si>
    <t>GMF3VLXNKG</t>
  </si>
  <si>
    <t>010-4467-6949</t>
  </si>
  <si>
    <t>JWR90CCXJ3</t>
  </si>
  <si>
    <t>010-6816-6949</t>
  </si>
  <si>
    <t>VCF25MJ6YY</t>
  </si>
  <si>
    <t>010-3448-6949</t>
  </si>
  <si>
    <t>DDPWWYNVPX</t>
  </si>
  <si>
    <t>010-5167-6949</t>
  </si>
  <si>
    <t>D64QK42W36</t>
  </si>
  <si>
    <t>010-4462-6949</t>
  </si>
  <si>
    <t>본인사유로 분실 중</t>
  </si>
  <si>
    <t>GVYCM2VJKW</t>
  </si>
  <si>
    <t>010-7415-6949</t>
  </si>
  <si>
    <t>dahye jeong</t>
  </si>
  <si>
    <t>R75T7C9N17</t>
  </si>
  <si>
    <t>010-9667-6949</t>
  </si>
  <si>
    <t>QC36D93T16</t>
  </si>
  <si>
    <t>010-2542-6949</t>
  </si>
  <si>
    <t>Choi Mason</t>
  </si>
  <si>
    <r>
      <rPr>
        <rFont val="&quot;맑은 고딕&quot;, monospace"/>
        <color rgb="FF1155CC"/>
        <sz val="11.0"/>
        <u/>
      </rPr>
      <t>mason.choi@stryker.com</t>
    </r>
  </si>
  <si>
    <t>F3720LW0J0</t>
  </si>
  <si>
    <t>010-2638-6949</t>
  </si>
  <si>
    <r>
      <rPr>
        <rFont val="&quot;맑은 고딕&quot;, monospace"/>
        <color rgb="FF1155CC"/>
        <sz val="11.0"/>
        <u/>
      </rPr>
      <t>rosey.song@stryker.com</t>
    </r>
  </si>
  <si>
    <t>Q4VMC2579N</t>
  </si>
  <si>
    <t>010-2653-6949</t>
  </si>
  <si>
    <t>Willy chang</t>
  </si>
  <si>
    <t>T32JYKMQQF</t>
  </si>
  <si>
    <t>010-2657-6949</t>
  </si>
  <si>
    <t>QWG7C19T9N</t>
  </si>
  <si>
    <t>010-2670-6949</t>
  </si>
  <si>
    <t>DJ Ahn(2)</t>
  </si>
  <si>
    <t>TK79FYYWPV</t>
  </si>
  <si>
    <t>010-2671-6949</t>
  </si>
  <si>
    <t>LXDC4F97QM</t>
  </si>
  <si>
    <t>010-2681-6949</t>
  </si>
  <si>
    <t>DY5F770LQ3</t>
  </si>
  <si>
    <t>010-2687-6949</t>
  </si>
  <si>
    <t>QXKLQ74WYW</t>
  </si>
  <si>
    <t>010-2688-6949</t>
  </si>
  <si>
    <t>DPX6TM2FG4</t>
  </si>
  <si>
    <t>010-2732-6949</t>
  </si>
  <si>
    <t>F2PL7Y4JWM</t>
  </si>
  <si>
    <t>010-2738-6949</t>
  </si>
  <si>
    <t>XD791W017Y</t>
  </si>
  <si>
    <t>010-2745-6949</t>
  </si>
  <si>
    <t>R34F5XVT2M</t>
  </si>
  <si>
    <t>010-2753-6949</t>
  </si>
  <si>
    <t>WHYPLVY40L</t>
  </si>
  <si>
    <t>010-2761-6949</t>
  </si>
  <si>
    <t>FHTK4GJCF9</t>
  </si>
  <si>
    <t>010-2763-6949</t>
  </si>
  <si>
    <r>
      <rPr>
        <rFont val="&quot;맑은 고딕&quot;, monospace"/>
        <color rgb="FF1155CC"/>
        <sz val="11.0"/>
        <u/>
      </rPr>
      <t>neal.kim@stryker.com</t>
    </r>
  </si>
  <si>
    <t>Q0C6LC7F3X</t>
  </si>
  <si>
    <t>010-2768-6949</t>
  </si>
  <si>
    <t>G2N40G61WM</t>
  </si>
  <si>
    <t>010-2781-6949</t>
  </si>
  <si>
    <t>신규입사자 배정예정</t>
  </si>
  <si>
    <t>M90G1Q6XFP</t>
  </si>
  <si>
    <t>010-2784-6949</t>
  </si>
  <si>
    <t>G7CV2M99YM</t>
  </si>
  <si>
    <t>010-2793-6949</t>
  </si>
  <si>
    <t>H2JWWY6V5C</t>
  </si>
  <si>
    <t>010-2796-6949</t>
  </si>
  <si>
    <r>
      <rPr>
        <rFont val="&quot;맑은 고딕&quot;, monospace"/>
        <color rgb="FF1155CC"/>
        <sz val="11.0"/>
        <u/>
      </rPr>
      <t>lucas.heo@stryker.com</t>
    </r>
  </si>
  <si>
    <t>DWJX4VVTX2</t>
  </si>
  <si>
    <t>010-2819-6949</t>
  </si>
  <si>
    <r>
      <rPr>
        <rFont val="&quot;맑은 고딕&quot;, monospace"/>
        <color rgb="FF1155CC"/>
        <sz val="11.0"/>
        <u/>
      </rPr>
      <t>david.chung@stryker.com</t>
    </r>
  </si>
  <si>
    <t>D4C9Q50Q09</t>
  </si>
  <si>
    <t>010-2826-6949</t>
  </si>
  <si>
    <t>IPAD Air 4세대</t>
  </si>
  <si>
    <t xml:space="preserve">F6PHK00AQ195 </t>
  </si>
  <si>
    <t>Daniel Han</t>
  </si>
  <si>
    <t>액정 손상</t>
  </si>
  <si>
    <t>LCD 모니터</t>
  </si>
  <si>
    <t>HP 모니터</t>
  </si>
  <si>
    <t>Shinhye Park</t>
  </si>
  <si>
    <t>퇴사</t>
  </si>
  <si>
    <t>Seran Jung</t>
  </si>
  <si>
    <t>Julie Son</t>
  </si>
  <si>
    <t>julie.son@stryker.com</t>
  </si>
  <si>
    <t>Ju Lee</t>
  </si>
  <si>
    <t>반납완료</t>
  </si>
  <si>
    <t>TS 장지동</t>
  </si>
  <si>
    <t>jay ji</t>
  </si>
  <si>
    <t>Kim Lina</t>
  </si>
  <si>
    <r>
      <rPr>
        <rFont val="&quot;맑은 고딕&quot;, monospace"/>
        <color rgb="FF1155CC"/>
        <sz val="11.0"/>
        <u/>
      </rPr>
      <t>lina.kim@stryker.com</t>
    </r>
  </si>
  <si>
    <t>won imsun</t>
  </si>
  <si>
    <r>
      <rPr>
        <rFont val="&quot;맑은 고딕&quot;, monospace"/>
        <color rgb="FF1155CC"/>
        <sz val="11.0"/>
        <u/>
      </rPr>
      <t>imsun.won@stryker.com</t>
    </r>
  </si>
  <si>
    <t>Hwang Stella</t>
  </si>
  <si>
    <r>
      <rPr>
        <rFont val="&quot;맑은 고딕&quot;, monospace"/>
        <color rgb="FF1155CC"/>
        <sz val="11.0"/>
        <u/>
      </rPr>
      <t>stella.hwang@stryker.com</t>
    </r>
  </si>
  <si>
    <t>E2422H</t>
  </si>
  <si>
    <t>용마</t>
  </si>
  <si>
    <t>보유 모니터 지급</t>
  </si>
  <si>
    <t>SE2425H</t>
  </si>
  <si>
    <t>sally choi</t>
  </si>
  <si>
    <t>기존 모니터 파손으로 인한 교체</t>
  </si>
  <si>
    <t>andy kim</t>
  </si>
  <si>
    <t>Andy.kim@stryker.com</t>
  </si>
  <si>
    <t>sujin park</t>
  </si>
  <si>
    <t>date</t>
  </si>
  <si>
    <t>Additional Information 2</t>
  </si>
  <si>
    <t>카트리지 사용 내역</t>
  </si>
  <si>
    <t>삼성복합기</t>
  </si>
  <si>
    <t>SL-C486FW</t>
  </si>
  <si>
    <t>OA Room</t>
  </si>
  <si>
    <t>아셈타워</t>
  </si>
  <si>
    <t>oa</t>
  </si>
  <si>
    <t>2차 조사 정보 없음</t>
  </si>
  <si>
    <t>반납</t>
  </si>
  <si>
    <t>SL-C563W</t>
  </si>
  <si>
    <t>SCLT-510Y (1)</t>
  </si>
  <si>
    <t>2023년 9월 4색토너</t>
  </si>
  <si>
    <t>SL-C438W</t>
  </si>
  <si>
    <r>
      <rPr>
        <rFont val="&quot;맑은 고딕&quot;, monospace"/>
        <color rgb="FF1155CC"/>
        <sz val="11.0"/>
        <u/>
      </rPr>
      <t>james.kim@stryker.com</t>
    </r>
  </si>
  <si>
    <t>SL-C483FW</t>
  </si>
  <si>
    <t>2023년 12월 4색 토너</t>
  </si>
  <si>
    <t>SL-C565W / SL-C563W</t>
  </si>
  <si>
    <t>&lt; 12.26 일 새 복합기 지급(563W)/ 기존복합기 자체폐기</t>
  </si>
  <si>
    <t>SL-C565FW</t>
  </si>
  <si>
    <t>&lt; 01.20 일 새 복합기 지급(563W)/ 기존복합기 미반납</t>
  </si>
  <si>
    <t>David Oh</t>
  </si>
  <si>
    <r>
      <rPr>
        <rFont val="&quot;맑은 고딕&quot;, monospace"/>
        <color rgb="FF1155CC"/>
        <sz val="11.0"/>
        <u/>
      </rPr>
      <t>david.oh@stryker.com</t>
    </r>
  </si>
  <si>
    <r>
      <rPr>
        <rFont val="&quot;맑은 고딕&quot;, monospace"/>
        <color rgb="FF1155CC"/>
        <sz val="11.0"/>
        <u/>
      </rPr>
      <t>gd.ahn@stryker.com</t>
    </r>
  </si>
  <si>
    <t>폐기</t>
  </si>
  <si>
    <t>&lt; 01.09 일 새 복합기 지급(563W) / 기존 복합기 미반납</t>
  </si>
  <si>
    <t>SL-C483W</t>
  </si>
  <si>
    <t>SCLT-510Y, C, M (3)</t>
  </si>
  <si>
    <t>Jayden Shin</t>
  </si>
  <si>
    <t>jayden.shin@stryker.com</t>
  </si>
  <si>
    <t>C486</t>
  </si>
  <si>
    <t>SL-C565W</t>
  </si>
  <si>
    <t>SL-M2035</t>
  </si>
  <si>
    <t>DJ Ahn</t>
  </si>
  <si>
    <t>24년 2월 22일 4색 토너</t>
  </si>
  <si>
    <t>24년 8월 지급</t>
  </si>
  <si>
    <t>Commercial Excellence</t>
  </si>
  <si>
    <t>23년 8월 4색 토너</t>
  </si>
  <si>
    <t>기술부</t>
  </si>
  <si>
    <t>Song Rosey</t>
  </si>
  <si>
    <r>
      <rPr>
        <rFont val="&quot;맑은 고딕&quot;, monospace"/>
        <color rgb="FF1155CC"/>
        <sz val="11.0"/>
        <u/>
      </rPr>
      <t>Rosey.song@stryker.com</t>
    </r>
  </si>
  <si>
    <t>Cha Bruce</t>
  </si>
  <si>
    <r>
      <rPr>
        <rFont val="&quot;맑은 고딕&quot;, monospace"/>
        <color rgb="FF1155CC"/>
        <sz val="11.0"/>
        <u/>
      </rPr>
      <t>Bruce.Cha@stryker.com</t>
    </r>
  </si>
  <si>
    <t>Kim Neal</t>
  </si>
  <si>
    <r>
      <rPr>
        <rFont val="&quot;맑은 고딕&quot;, monospace"/>
        <color rgb="FF1155CC"/>
        <sz val="11.0"/>
        <u/>
      </rPr>
      <t>neal.kim@stryker.com</t>
    </r>
  </si>
  <si>
    <t>TS 창고</t>
  </si>
  <si>
    <t>기술부1</t>
  </si>
  <si>
    <t>기술부2</t>
  </si>
  <si>
    <t>기술부3</t>
  </si>
  <si>
    <t xml:space="preserve">아셈 </t>
  </si>
  <si>
    <t>아셈</t>
  </si>
  <si>
    <t>jun song</t>
  </si>
  <si>
    <t>spare</t>
  </si>
  <si>
    <t>dept</t>
  </si>
  <si>
    <t>EMAIL</t>
  </si>
  <si>
    <t>셋팅완료</t>
  </si>
  <si>
    <t>수령일자</t>
  </si>
  <si>
    <t>기존노트북 반납</t>
  </si>
  <si>
    <t>PW</t>
  </si>
  <si>
    <t>HWP사용</t>
  </si>
  <si>
    <t>account</t>
  </si>
  <si>
    <t>공유폴더</t>
  </si>
  <si>
    <t>추가사항</t>
  </si>
  <si>
    <t>작업자</t>
  </si>
  <si>
    <r>
      <rPr>
        <rFont val="&quot;맑은 고딕&quot;, monospace"/>
        <color rgb="FF1155CC"/>
        <sz val="8.0"/>
        <u/>
      </rPr>
      <t>Gregory.Seo@stryker.com</t>
    </r>
  </si>
  <si>
    <t>---</t>
  </si>
  <si>
    <t>O</t>
  </si>
  <si>
    <t>Poiu1234</t>
  </si>
  <si>
    <t>YES</t>
  </si>
  <si>
    <t>kkhjang</t>
  </si>
  <si>
    <t>Asdf4321</t>
  </si>
  <si>
    <t>kkshyang</t>
  </si>
  <si>
    <t>Asdf1234##</t>
  </si>
  <si>
    <t>JYoo1</t>
  </si>
  <si>
    <t>Qwer1111</t>
  </si>
  <si>
    <t>kkwykang</t>
  </si>
  <si>
    <t>Dnwk135135!!!!</t>
  </si>
  <si>
    <t>yhwang</t>
  </si>
  <si>
    <t>Jason Han</t>
  </si>
  <si>
    <t>jason.han@stryker.com</t>
  </si>
  <si>
    <t>Kuntaman4$</t>
  </si>
  <si>
    <t>jhan</t>
  </si>
  <si>
    <t>Faith0327</t>
  </si>
  <si>
    <t>skim10</t>
  </si>
  <si>
    <t>Instrument</t>
  </si>
  <si>
    <t>WHAUDTN199!!</t>
  </si>
  <si>
    <t>mcho1</t>
  </si>
  <si>
    <t>Sumin126!!</t>
  </si>
  <si>
    <t>dshin1</t>
  </si>
  <si>
    <t>Jhse2222@</t>
  </si>
  <si>
    <t>jseo2</t>
  </si>
  <si>
    <t>James Kang</t>
  </si>
  <si>
    <t>James.Kang@stryker.com</t>
  </si>
  <si>
    <t>Kelly2324$</t>
  </si>
  <si>
    <t>kfjykang</t>
  </si>
  <si>
    <r>
      <rPr>
        <rFont val="&quot;맑은 고딕&quot;, monospace"/>
        <color rgb="FF1155CC"/>
        <sz val="8.0"/>
        <u/>
      </rPr>
      <t>henry.lee@stryker.com</t>
    </r>
  </si>
  <si>
    <t>nEEEEEEEa*521478</t>
  </si>
  <si>
    <t>hlee6</t>
  </si>
  <si>
    <t>Asdf1234</t>
  </si>
  <si>
    <t>Qwer1234</t>
  </si>
  <si>
    <t>Stryker2#</t>
  </si>
  <si>
    <t>koyjseo</t>
  </si>
  <si>
    <t>kkjhsim</t>
  </si>
  <si>
    <t>!Shoulder1</t>
  </si>
  <si>
    <t>jkim22</t>
  </si>
  <si>
    <r>
      <rPr>
        <rFont val="&quot;맑은 고딕&quot;, monospace"/>
        <color rgb="FF1155CC"/>
        <sz val="8.0"/>
        <u/>
      </rPr>
      <t>kyu.choi@stryker.com</t>
    </r>
  </si>
  <si>
    <t>Lindermen7&amp;</t>
  </si>
  <si>
    <t>kchoi2</t>
  </si>
  <si>
    <t>주소 : 서울시 강남구 언주로 110 10동 102호
 성함 : 최규범
 연락처 : 010-8910-2798</t>
  </si>
  <si>
    <t>Kim Yeonjoo</t>
  </si>
  <si>
    <t>Stryker9</t>
  </si>
  <si>
    <t>ykim3</t>
  </si>
  <si>
    <t>Mihee han</t>
  </si>
  <si>
    <r>
      <rPr>
        <rFont val="&quot;맑은 고딕&quot;, monospace"/>
        <color rgb="FF1155CC"/>
        <sz val="8.0"/>
        <u/>
      </rPr>
      <t>mihee.han@stryker.com</t>
    </r>
  </si>
  <si>
    <t>Icandoit202509!!</t>
  </si>
  <si>
    <t>mhan1</t>
  </si>
  <si>
    <r>
      <rPr>
        <rFont val="&quot;맑은 고딕&quot;, monospace"/>
        <color rgb="FF1155CC"/>
        <sz val="8.0"/>
        <u/>
      </rPr>
      <t>minki.kim@stryker.com</t>
    </r>
  </si>
  <si>
    <t>Happywombat93!</t>
  </si>
  <si>
    <t>kradmin</t>
  </si>
  <si>
    <t>Perform!@!@</t>
  </si>
  <si>
    <t>ppark</t>
  </si>
  <si>
    <t>ZBOOK</t>
  </si>
  <si>
    <t>kts</t>
  </si>
  <si>
    <t>sjeon</t>
  </si>
  <si>
    <t>belmore1!</t>
  </si>
  <si>
    <t>hkim6</t>
  </si>
  <si>
    <t>용마 이천용</t>
  </si>
  <si>
    <t>신규</t>
  </si>
  <si>
    <t xml:space="preserve">Stryker4@
</t>
  </si>
  <si>
    <t>no</t>
  </si>
  <si>
    <t>POh</t>
  </si>
  <si>
    <t>1어디로가!</t>
  </si>
  <si>
    <t>syoun</t>
  </si>
  <si>
    <t>jeong yoonbee</t>
  </si>
  <si>
    <t>Stryker3</t>
  </si>
  <si>
    <t>yjeong</t>
  </si>
  <si>
    <t>WKim1</t>
  </si>
  <si>
    <t>BATERINAjj19!</t>
  </si>
  <si>
    <t>alee25</t>
  </si>
  <si>
    <t>https://drive.google.com/file/d/1m13h8Gw4RsttYTZ0HPrw0GjBFP-7LoZW/view?usp=drive_link</t>
  </si>
  <si>
    <t>Mnbv1234567</t>
  </si>
  <si>
    <t>fpark</t>
  </si>
  <si>
    <t>https://drive.google.com/file/d/1TLLu-bqjD4MgL0ELiiITR0xAJMJuSCAc/view?usp=drive_link</t>
  </si>
  <si>
    <t>Zpdl2026!</t>
  </si>
  <si>
    <t>JYoo4</t>
  </si>
  <si>
    <t>https://drive.google.com/file/d/1PyXU7WAyQc_fn_m0qurkGzd_7_n-_vij/view?usp=drive_link</t>
  </si>
  <si>
    <t>single-0206</t>
  </si>
  <si>
    <t>kfdslee</t>
  </si>
  <si>
    <t>https://drive.google.com/file/d/1_k4hWxKrSe32TSdzsamQrDdHknunzPMk/view?usp=drive_link</t>
  </si>
  <si>
    <t>alalzhzh486!</t>
  </si>
  <si>
    <t>jmoon4</t>
  </si>
  <si>
    <t>https://drive.google.com/file/d/1EJLplMtvUg6XhSC96Xbq723xVgg4Hyd9/view?usp=drive_link</t>
  </si>
  <si>
    <t>Alstnek76!!</t>
  </si>
  <si>
    <t>myi1</t>
  </si>
  <si>
    <t>https://drive.google.com/file/d/1JyUZP0aQ5OUTTHrDg75J8JkMDvysVuLJ/view?usp=sharing</t>
  </si>
  <si>
    <t>00477058</t>
  </si>
  <si>
    <t>Asdf12341!</t>
  </si>
  <si>
    <t>kleem</t>
  </si>
  <si>
    <t>https://drive.google.com/file/d/1jpHYeDpWEEZTxUushU4MFjULPU9Ofr0p/view?usp=drive_link</t>
  </si>
  <si>
    <t>Welcome7&amp;</t>
  </si>
  <si>
    <t>klim1</t>
  </si>
  <si>
    <t>https://drive.google.com/file/d/14gxxctoULNTQz5SAqoIMr-y4t5UZtncC/view?usp=drive_link</t>
  </si>
  <si>
    <t>Star1127</t>
  </si>
  <si>
    <t>han1</t>
  </si>
  <si>
    <t>https://drive.google.com/file/d/1-y8o8MbxkT2k7qEsDkZUVZT-owAnIWho/view?usp=drive_link</t>
  </si>
  <si>
    <t>경기 광주시 태봉로 13번길 37, 태전경남아너스빌 104동 2202호 , 010-6863-1127</t>
  </si>
  <si>
    <t>Dasom77!!</t>
  </si>
  <si>
    <t>hjeong1</t>
  </si>
  <si>
    <t>안씀</t>
  </si>
  <si>
    <t>경기도 김포시 고촌읍 아라육로78 스트라이커 정한길 01068475987</t>
  </si>
  <si>
    <t xml:space="preserve"> rhdnjseo@123</t>
  </si>
  <si>
    <t>wko</t>
  </si>
  <si>
    <t>https://drive.google.com/file/d/1yK2Ho3c-SRbh1x4MtRh5ECx98C2c05o5/view?usp=drive_link</t>
  </si>
  <si>
    <t>경기도 김포시 고촌읍 아라육로78 스트라이커 고원대 01077283659</t>
  </si>
  <si>
    <t>돼게한다1@</t>
  </si>
  <si>
    <t>iwon</t>
  </si>
  <si>
    <t>https://drive.google.com/file/d/1KgtCnJ6YDFhJ2rkIQge4y0uRvtDw9Ytp/view?usp=drive_link</t>
  </si>
  <si>
    <t>2월 수령예정</t>
  </si>
  <si>
    <t>shong</t>
  </si>
  <si>
    <t>qp10qp10!</t>
  </si>
  <si>
    <t>elee6</t>
  </si>
  <si>
    <t>https://drive.google.com/file/d/1-mcfOWeJvOeyEzHlyYmJXxy43EmQ58rc/view?usp=drive_link</t>
  </si>
  <si>
    <t>Demantra1!</t>
  </si>
  <si>
    <t>koknbaek</t>
  </si>
  <si>
    <t>https://drive.google.com/file/d/175XL42VMdBi2aeZEcOnUWQLXEcM2XYjk/view?usp=drive_link</t>
  </si>
  <si>
    <t>Aaa123!!</t>
  </si>
  <si>
    <t>CJeon</t>
  </si>
  <si>
    <t>https://drive.google.com/file/d/1s-Pzh0wyQFGtX-KLNi6sKq04VReR383j/view?usp=drive_link</t>
  </si>
  <si>
    <t>Perspectitude1!</t>
  </si>
  <si>
    <t>jpark6</t>
  </si>
  <si>
    <t>https://drive.google.com/file/d/1bHo1y6paX-ZtzSu6_VJxB9qKDzVX5OSh/view?usp=drive_link</t>
  </si>
  <si>
    <t>Password7</t>
  </si>
  <si>
    <t>AHND</t>
  </si>
  <si>
    <t>Sales and Marketing Job Family Group</t>
  </si>
  <si>
    <t>Direct Sales</t>
  </si>
  <si>
    <t>Medical Education</t>
  </si>
  <si>
    <t>Customer Services Job Family Group</t>
  </si>
  <si>
    <t>Supply Chain Job Family Group</t>
  </si>
  <si>
    <t>Customer Services</t>
  </si>
  <si>
    <t>Supply Planning</t>
  </si>
  <si>
    <t>RAQA Job Family Group</t>
  </si>
  <si>
    <t>Regulatory Affairs</t>
  </si>
  <si>
    <t>Indirect Sales</t>
  </si>
  <si>
    <t>Finance Job Family Group</t>
  </si>
  <si>
    <t>Product Management</t>
  </si>
  <si>
    <t>한준석</t>
  </si>
  <si>
    <t>BU Director, Knee, Korea</t>
  </si>
  <si>
    <t>Sales and Marketing</t>
  </si>
  <si>
    <t>5CG2181LWF</t>
  </si>
  <si>
    <t>Quality</t>
  </si>
  <si>
    <t>Seo Hyun Jung</t>
  </si>
  <si>
    <t>정서현</t>
  </si>
  <si>
    <t>seohyun.jung@stryker.com</t>
  </si>
  <si>
    <t>Director, ICM, East Asia</t>
  </si>
  <si>
    <t>5CG2181LCX</t>
  </si>
  <si>
    <t>Administration</t>
  </si>
  <si>
    <t>Human Resources Job Family Group</t>
  </si>
  <si>
    <t>Human Resources Generalist</t>
  </si>
  <si>
    <t>Compliance Job Family Group</t>
  </si>
  <si>
    <t>Accounts Payable/Receivable</t>
  </si>
  <si>
    <t>Minjeong Kim</t>
  </si>
  <si>
    <t>김민정</t>
  </si>
  <si>
    <t>Legal Affairs Job Family Group</t>
  </si>
  <si>
    <t>BU Director, Implants</t>
  </si>
  <si>
    <t>Supply Chain and Logistics</t>
  </si>
  <si>
    <t>Soyeon Park</t>
  </si>
  <si>
    <t>박소연</t>
  </si>
  <si>
    <t>Marketing Administrator</t>
  </si>
  <si>
    <t>5CG32871LJ</t>
  </si>
  <si>
    <t>Information Systems Job Family Group</t>
  </si>
  <si>
    <t>Business Systems Analysis</t>
  </si>
  <si>
    <t>양희영</t>
  </si>
  <si>
    <t>Ellen Oh</t>
  </si>
  <si>
    <t>ellen.oh@stryker.com</t>
  </si>
  <si>
    <t>Sales Medsurge</t>
  </si>
  <si>
    <t>Daeun Kim</t>
  </si>
  <si>
    <t>Marko</t>
  </si>
  <si>
    <t>Lia Jung</t>
  </si>
  <si>
    <t>정예진</t>
  </si>
  <si>
    <t>lia.jung@stryker.com</t>
  </si>
  <si>
    <t>Sazy Park</t>
  </si>
  <si>
    <t>박성희</t>
  </si>
  <si>
    <t>sazy.park@stryker.com</t>
  </si>
  <si>
    <t>지문 관리 피시</t>
  </si>
  <si>
    <t xml:space="preserve">클로이 </t>
  </si>
  <si>
    <t>sykadmin</t>
  </si>
  <si>
    <r>
      <rPr>
        <rFont val="Helvetica Neue"/>
        <color rgb="FF1155CC"/>
        <u/>
      </rPr>
      <t>kitp.ym@stryker.com</t>
    </r>
  </si>
  <si>
    <r>
      <rPr>
        <rFont val="Helvetica Neue"/>
        <color rgb="FF1155CC"/>
        <u/>
      </rPr>
      <t>antonio.cho@stryker.com</t>
    </r>
  </si>
  <si>
    <r>
      <rPr>
        <rFont val="Helvetica Neue"/>
        <color rgb="FF1155CC"/>
        <u/>
      </rPr>
      <t>yoon.chung@stryker.com</t>
    </r>
  </si>
  <si>
    <t>jihee.kang</t>
  </si>
  <si>
    <t>강지희</t>
  </si>
  <si>
    <t>jihee.kang@stryker.com</t>
  </si>
  <si>
    <t xml:space="preserve"> Jennifer Jang</t>
  </si>
  <si>
    <t>년</t>
  </si>
  <si>
    <t>월</t>
  </si>
  <si>
    <t>날짜</t>
  </si>
  <si>
    <t>FTE/Cont.</t>
  </si>
  <si>
    <t>노트북</t>
  </si>
  <si>
    <t>아이패드</t>
  </si>
  <si>
    <t>모니터</t>
  </si>
  <si>
    <t>복합기</t>
  </si>
  <si>
    <t>Teams</t>
  </si>
  <si>
    <r>
      <rPr>
        <rFont val="&quot;맑은 고딕&quot;, monospace"/>
        <color rgb="FF1155CC"/>
        <sz val="11.0"/>
        <u/>
      </rPr>
      <t>kale.lee@stryker.com</t>
    </r>
  </si>
  <si>
    <t>샘플 삭제 금지</t>
  </si>
  <si>
    <r>
      <rPr>
        <rFont val="&quot;맑은 고딕&quot;, monospace"/>
        <color rgb="FF1155CC"/>
        <sz val="11.0"/>
        <u/>
      </rPr>
      <t>jihee.kang@stryker.com</t>
    </r>
  </si>
  <si>
    <t>5개월 계약</t>
  </si>
  <si>
    <t>bruce.lee</t>
  </si>
  <si>
    <r>
      <rPr>
        <rFont val="&quot;맑은 고딕&quot;, monospace"/>
        <color rgb="FF1155CC"/>
        <sz val="11.0"/>
        <u/>
      </rPr>
      <t>bruce.lee@stryker.com</t>
    </r>
  </si>
  <si>
    <t>FTE</t>
  </si>
  <si>
    <t>neal.kim</t>
  </si>
  <si>
    <r>
      <rPr>
        <rFont val="&quot;맑은 고딕&quot;, monospace"/>
        <color rgb="FF1155CC"/>
        <sz val="11.0"/>
        <u/>
      </rPr>
      <t>neal.kim@stryker.com</t>
    </r>
  </si>
  <si>
    <t>허윤재</t>
  </si>
  <si>
    <t>lucas.heo</t>
  </si>
  <si>
    <r>
      <rPr>
        <rFont val="&quot;맑은 고딕&quot;, monospace"/>
        <color rgb="FF1155CC"/>
        <sz val="11.0"/>
        <u/>
      </rPr>
      <t>lucas.heo@stryker.com</t>
    </r>
  </si>
  <si>
    <t>Stella Hwang</t>
  </si>
  <si>
    <r>
      <rPr>
        <rFont val="&quot;맑은 고딕&quot;, monospace"/>
        <color rgb="FF1155CC"/>
        <sz val="11.0"/>
        <u/>
      </rPr>
      <t>stella.hwang@stryker.com</t>
    </r>
  </si>
  <si>
    <t>1년 계약(Contingent)</t>
  </si>
  <si>
    <r>
      <rPr>
        <rFont val="&quot;맑은 고딕&quot;, monospace"/>
        <color rgb="FF1155CC"/>
        <sz val="11.0"/>
        <u/>
      </rPr>
      <t>gyowon.jeong@stryker.com</t>
    </r>
  </si>
  <si>
    <t>6개월 계약</t>
  </si>
  <si>
    <r>
      <rPr>
        <rFont val="&quot;맑은 고딕&quot;, monospace"/>
        <color rgb="FF1155CC"/>
        <sz val="11.0"/>
        <u/>
      </rPr>
      <t>kmultiuser@stryker.com</t>
    </r>
  </si>
  <si>
    <t>1개월 계약</t>
  </si>
  <si>
    <r>
      <rPr>
        <rFont val="&quot;맑은 고딕&quot;, monospace"/>
        <color rgb="FF1155CC"/>
        <sz val="11.0"/>
        <u/>
      </rPr>
      <t>Bomin.kim@stryker.com</t>
    </r>
  </si>
  <si>
    <r>
      <rPr>
        <rFont val="&quot;맑은 고딕&quot;, monospace"/>
        <color rgb="FF1155CC"/>
        <sz val="11.0"/>
        <u/>
      </rPr>
      <t>sally.choi@stryker.com</t>
    </r>
  </si>
  <si>
    <t>schoi2</t>
  </si>
  <si>
    <t>인턴</t>
  </si>
  <si>
    <t>ihwang</t>
  </si>
  <si>
    <r>
      <rPr>
        <rFont val="&quot;맑은 고딕&quot;, monospace"/>
        <color rgb="FF1155CC"/>
        <sz val="11.0"/>
        <u/>
      </rPr>
      <t>lia.jung@stryker.com</t>
    </r>
  </si>
  <si>
    <t>ljung2</t>
  </si>
  <si>
    <r>
      <rPr>
        <rFont val="&quot;맑은 고딕&quot;, monospace"/>
        <color rgb="FF1155CC"/>
        <sz val="11.0"/>
        <u/>
      </rPr>
      <t>sazy.park@stryker.com</t>
    </r>
  </si>
  <si>
    <t>spark10</t>
  </si>
  <si>
    <t>shawn.kim</t>
  </si>
  <si>
    <t>1년 계약</t>
  </si>
  <si>
    <t>Admin</t>
  </si>
  <si>
    <t>Yoon Chung</t>
  </si>
  <si>
    <t>vip</t>
  </si>
  <si>
    <t>jkang3</t>
  </si>
  <si>
    <t>junhyeok Ko</t>
  </si>
  <si>
    <t>jko1</t>
  </si>
  <si>
    <t>jpark17</t>
  </si>
  <si>
    <t>Irene</t>
  </si>
  <si>
    <t>F</t>
  </si>
  <si>
    <t>설명</t>
  </si>
  <si>
    <t>Yeji Lee</t>
  </si>
  <si>
    <t>yeji.lee@stryker.com</t>
  </si>
  <si>
    <t>퇴사자</t>
  </si>
  <si>
    <t>Dell 반납</t>
  </si>
  <si>
    <t>Hyeonjin YU</t>
  </si>
  <si>
    <t>hyeonjin.yoo@stryker.com</t>
  </si>
  <si>
    <t>Inyoung Baek</t>
  </si>
  <si>
    <t>inyoung.baek@stryker.com</t>
  </si>
  <si>
    <t>Hailey Na</t>
  </si>
  <si>
    <r>
      <rPr>
        <rFont val="&quot;맑은 고딕&quot;, monospace"/>
        <color rgb="FF1155CC"/>
        <sz val="11.0"/>
        <u/>
      </rPr>
      <t>hailey.na@stryker.com</t>
    </r>
  </si>
  <si>
    <t>Seyeon Choi</t>
  </si>
  <si>
    <r>
      <rPr>
        <rFont val="&quot;맑은 고딕&quot;, monospace"/>
        <color rgb="FF1155CC"/>
        <sz val="11.0"/>
        <u/>
      </rPr>
      <t>seyeon.choi@stryker.com</t>
    </r>
  </si>
  <si>
    <t>Dawn Lim</t>
  </si>
  <si>
    <r>
      <rPr>
        <rFont val="&quot;맑은 고딕&quot;, monospace"/>
        <color rgb="FF1155CC"/>
        <sz val="11.0"/>
        <u/>
      </rPr>
      <t>dawn.lim@stryker.com</t>
    </r>
  </si>
  <si>
    <t>복합기, 모니터 반납완료</t>
  </si>
  <si>
    <t>Kim, Dohyeon</t>
  </si>
  <si>
    <t>dohyeon.kim@stryker.com</t>
  </si>
  <si>
    <t>Mo Yunju</t>
  </si>
  <si>
    <r>
      <rPr>
        <rFont val="&quot;맑은 고딕&quot;, monospace"/>
        <color rgb="FF1155CC"/>
        <sz val="11.0"/>
        <u/>
      </rPr>
      <t>yunju.mo@stryker.com</t>
    </r>
  </si>
  <si>
    <t>Stacy Im</t>
  </si>
  <si>
    <r>
      <rPr>
        <rFont val="&quot;맑은 고딕&quot;, monospace"/>
        <color rgb="FF1155CC"/>
        <sz val="11.0"/>
        <u/>
      </rPr>
      <t>stacy.im@stryker.com</t>
    </r>
  </si>
  <si>
    <t>Lucy Han</t>
  </si>
  <si>
    <r>
      <rPr>
        <rFont val="&quot;맑은 고딕&quot;, monospace"/>
        <color rgb="FF1155CC"/>
        <sz val="11.0"/>
        <u/>
      </rPr>
      <t>lucy.han@stryker.com</t>
    </r>
  </si>
  <si>
    <t>모니터 반납 완료</t>
  </si>
  <si>
    <t>Jayoung Kim</t>
  </si>
  <si>
    <r>
      <rPr>
        <rFont val="&quot;맑은 고딕&quot;, monospace"/>
        <color rgb="FF1155CC"/>
        <sz val="11.0"/>
        <u/>
      </rPr>
      <t>jayoung.kim@stryker.com</t>
    </r>
  </si>
  <si>
    <t>Harim Shin</t>
  </si>
  <si>
    <r>
      <rPr>
        <rFont val="&quot;맑은 고딕&quot;, monospace"/>
        <color rgb="FF1155CC"/>
        <sz val="11.0"/>
        <u/>
      </rPr>
      <t>harim.shin@stryker.com</t>
    </r>
  </si>
  <si>
    <t>Yulie Choi</t>
  </si>
  <si>
    <r>
      <rPr>
        <rFont val="&quot;맑은 고딕&quot;, monospace"/>
        <color rgb="FF1155CC"/>
        <sz val="11.0"/>
        <u/>
      </rPr>
      <t>yulie.choi@stryker.com</t>
    </r>
  </si>
  <si>
    <t>Tony Kang</t>
  </si>
  <si>
    <r>
      <rPr>
        <rFont val="&quot;맑은 고딕&quot;, monospace"/>
        <color rgb="FF1155CC"/>
        <sz val="11.0"/>
        <u/>
      </rPr>
      <t>tony.kang@stryker.com</t>
    </r>
  </si>
  <si>
    <t>복합기 반납완료</t>
  </si>
  <si>
    <t>Elin Kim</t>
  </si>
  <si>
    <r>
      <rPr>
        <rFont val="&quot;맑은 고딕&quot;, monospace"/>
        <color rgb="FF1155CC"/>
        <sz val="11.0"/>
        <u/>
      </rPr>
      <t>elin.kim@stryker.com</t>
    </r>
  </si>
  <si>
    <t>아이패드 반납완료</t>
  </si>
  <si>
    <t>William Chai</t>
  </si>
  <si>
    <r>
      <rPr>
        <rFont val="&quot;맑은 고딕&quot;, monospace"/>
        <color rgb="FF1155CC"/>
        <sz val="11.0"/>
        <u/>
      </rPr>
      <t>chai.william@stryker.com</t>
    </r>
  </si>
  <si>
    <t>아이패드, 복합기 반납완료</t>
  </si>
  <si>
    <t>Donna Park</t>
  </si>
  <si>
    <r>
      <rPr>
        <rFont val="&quot;맑은 고딕&quot;, monospace"/>
        <color rgb="FF1155CC"/>
        <sz val="11.0"/>
        <u/>
      </rPr>
      <t>donna.park@stryker.com</t>
    </r>
  </si>
  <si>
    <t>Operations</t>
  </si>
  <si>
    <r>
      <rPr>
        <rFont val="&quot;맑은 고딕&quot;, monospace"/>
        <color rgb="FF1155CC"/>
        <sz val="11.0"/>
        <u/>
      </rPr>
      <t>julie.son@stryker.com</t>
    </r>
  </si>
  <si>
    <r>
      <rPr>
        <rFont val="&quot;맑은 고딕&quot;, monospace"/>
        <color rgb="FF1155CC"/>
        <sz val="11.0"/>
        <u/>
      </rPr>
      <t>jayden.shin@stryker.com</t>
    </r>
  </si>
  <si>
    <t>폐기함</t>
  </si>
  <si>
    <t>복합기는 사용 7년 폐기함</t>
  </si>
  <si>
    <t>Yoojin.Shin</t>
  </si>
  <si>
    <r>
      <rPr>
        <rFont val="&quot;맑은 고딕&quot;, monospace"/>
        <color rgb="FF1155CC"/>
        <sz val="11.0"/>
        <u/>
      </rPr>
      <t>shin.yoojin@stryker.com</t>
    </r>
  </si>
  <si>
    <t>Johnny Choi</t>
  </si>
  <si>
    <r>
      <rPr>
        <rFont val="&quot;맑은 고딕&quot;, monospace"/>
        <color rgb="FF1155CC"/>
        <sz val="11.0"/>
        <u/>
      </rPr>
      <t>johnny.choi@stryker.com</t>
    </r>
  </si>
  <si>
    <t>아이패드반납완료/복합기 없다고함</t>
  </si>
  <si>
    <t>Kang Jihee</t>
  </si>
  <si>
    <t>대기</t>
  </si>
  <si>
    <t>Minjeon Kim</t>
  </si>
  <si>
    <t>james.kang@stryker.com</t>
  </si>
  <si>
    <t>Han Arum (인수인계 노트북 소유중)</t>
  </si>
  <si>
    <t>&lt; 여기까지 지문, 복합기 삭제 완료</t>
  </si>
  <si>
    <t>name</t>
  </si>
  <si>
    <t>model</t>
  </si>
  <si>
    <t>ROle</t>
  </si>
  <si>
    <t>HP Elitebook 840 G8</t>
  </si>
  <si>
    <t>HP Elitebook 640 G9</t>
  </si>
  <si>
    <t>모델명 확인 불가</t>
  </si>
  <si>
    <t>Caps PC</t>
  </si>
  <si>
    <t>IT ROOM</t>
  </si>
  <si>
    <t>HP EliteDesk G6 Mini</t>
  </si>
  <si>
    <t>SeoYeon Hong</t>
  </si>
  <si>
    <t>Workday ID</t>
  </si>
  <si>
    <t>Preferred Name</t>
  </si>
  <si>
    <t>Category 1</t>
  </si>
  <si>
    <t>Job Title</t>
  </si>
  <si>
    <t>프린터정보</t>
  </si>
  <si>
    <t>IPAD</t>
  </si>
  <si>
    <t>확인</t>
  </si>
  <si>
    <t>Willy Chang （장훈）</t>
  </si>
  <si>
    <t>완료</t>
  </si>
  <si>
    <t>David Yang （양승현）</t>
  </si>
  <si>
    <t>Mi Na Song （송미나）</t>
  </si>
  <si>
    <t>DJ Ahn （안동준）</t>
  </si>
  <si>
    <t>Nathan Eom （엄태영）</t>
  </si>
  <si>
    <t>Bruce Cha （차철민）</t>
  </si>
  <si>
    <t>Danny Kim （김문호）</t>
  </si>
  <si>
    <t>Simon Sin （신정헌）</t>
  </si>
  <si>
    <t>Suhyun Kim （김수현）</t>
  </si>
  <si>
    <t>Tyler Park （박래수）</t>
  </si>
  <si>
    <t>Joy Lee （이윤선）</t>
  </si>
  <si>
    <t>Justin Kim （김정오）</t>
  </si>
  <si>
    <t>Louis Kang （강원영）</t>
  </si>
  <si>
    <t>Ethan Na （나성일）</t>
  </si>
  <si>
    <t>Genie Kim （김현진）</t>
  </si>
  <si>
    <t>Jason Kim （김재헌）</t>
  </si>
  <si>
    <t>Jiho Yoo （류지호）</t>
  </si>
  <si>
    <t>Henry Kim （김한성）</t>
  </si>
  <si>
    <t>Changkyu Oh （오창규）</t>
  </si>
  <si>
    <t>Bella Bang （방선희）</t>
  </si>
  <si>
    <t>Young Hwang （황우영）</t>
  </si>
  <si>
    <t>Jade Jung （정지운）</t>
  </si>
  <si>
    <t>Ethan Song （송주영）</t>
  </si>
  <si>
    <t>Nathan Lee （이인재）</t>
  </si>
  <si>
    <t>Rosey Song （송수진）</t>
  </si>
  <si>
    <t>Jackson Park （박준영）</t>
  </si>
  <si>
    <t>Allen Ku （구교빈）</t>
  </si>
  <si>
    <t>Suhwan Jung （정수환）</t>
  </si>
  <si>
    <t>Hailey Song （송하영）</t>
  </si>
  <si>
    <t>Ashley Hong （홍윤경）</t>
  </si>
  <si>
    <t>Jayden Kim （김민재）</t>
  </si>
  <si>
    <t>Chris Shin （신승용）</t>
  </si>
  <si>
    <t>Ara Ko （고아라）</t>
  </si>
  <si>
    <t>Leo Han （한현준）</t>
  </si>
  <si>
    <t>Claire Choi （최윤하）</t>
  </si>
  <si>
    <t>Ayaan Yoon （윤채훈）</t>
  </si>
  <si>
    <t>Peter Park （박영철）</t>
  </si>
  <si>
    <t>Michelle Park （박민영）</t>
  </si>
  <si>
    <t>Seo Hyun Jung （정서현）</t>
  </si>
  <si>
    <t>Jun Seong Byun （변준성）</t>
  </si>
  <si>
    <t>Jin Park （박진）</t>
  </si>
  <si>
    <t>Dana Shin （신수민）</t>
  </si>
  <si>
    <t>Martin Cho （조명수）</t>
  </si>
  <si>
    <t>JW Yoon （윤주원）</t>
  </si>
  <si>
    <t>Henry Lee （이봉학）</t>
  </si>
  <si>
    <t>Somi Jeong （정소미）</t>
  </si>
  <si>
    <t>Mindo Kim （김민도）</t>
  </si>
  <si>
    <t>Aspyn Kim （김주희）</t>
  </si>
  <si>
    <t>Minjeong Kim （김민정）</t>
  </si>
  <si>
    <t>Jack Eum （엄재원）</t>
  </si>
  <si>
    <t>Daniel Park （박종문）</t>
  </si>
  <si>
    <t>Mason Oh （오승민）</t>
  </si>
  <si>
    <t>Brad Choi （최동혁）</t>
  </si>
  <si>
    <t>Ayaan Lee （이근필 - 李根馝）</t>
  </si>
  <si>
    <t>Scott Jo （조상혁）</t>
  </si>
  <si>
    <t>Sol Jung （정솔）</t>
  </si>
  <si>
    <t>Hyoseon Park （박효선）</t>
  </si>
  <si>
    <t>Yejin Heo （허예진）</t>
  </si>
  <si>
    <t>James Kim （김재철）</t>
  </si>
  <si>
    <t>David Kim （김성준）</t>
  </si>
  <si>
    <t>Lucas Jeon （전혁구）</t>
  </si>
  <si>
    <t>Kyu Choi （최규범）</t>
  </si>
  <si>
    <t>Theo Hwang （황현택）</t>
  </si>
  <si>
    <t>Chan Jeon （전일찬）</t>
  </si>
  <si>
    <t>Mason Kim （김오현）</t>
  </si>
  <si>
    <t>Dahye Jeong （정다혜）</t>
  </si>
  <si>
    <t>David Chung （정석우）</t>
  </si>
  <si>
    <t>Sung Hoon Bang （방성훈）</t>
  </si>
  <si>
    <t>Daniel Jang （장동혁）</t>
  </si>
  <si>
    <t>Dongkyu Kim （김동규）</t>
  </si>
  <si>
    <t>Mason Choi （최민우）</t>
  </si>
  <si>
    <t>Aaron Yoon （윤현석）</t>
  </si>
  <si>
    <t>Hannah Kim （김예림）</t>
  </si>
  <si>
    <t>Vincent Bae （배성빈）</t>
  </si>
  <si>
    <t>Lucia Park （박지현）</t>
  </si>
  <si>
    <t>Neal Kim （김푸른강）</t>
  </si>
  <si>
    <t>Lucas Heo （허윤재）</t>
  </si>
  <si>
    <t>Bryan Park （박효현）</t>
  </si>
  <si>
    <t>출산휴가</t>
  </si>
  <si>
    <t>Oh Peter</t>
  </si>
  <si>
    <t>Implate</t>
  </si>
  <si>
    <t>Park JY</t>
  </si>
  <si>
    <t>Type</t>
  </si>
  <si>
    <t>Leave Start Date</t>
  </si>
  <si>
    <t>Leave End Date</t>
  </si>
  <si>
    <t>복직일</t>
  </si>
  <si>
    <t>육아휴직</t>
  </si>
  <si>
    <t>산전후휴가</t>
  </si>
  <si>
    <t>이후 육아휴직 예정</t>
  </si>
  <si>
    <t>병가/ 육아휴직</t>
  </si>
  <si>
    <t>채원병</t>
  </si>
  <si>
    <t>william.chai@stryker.com</t>
  </si>
  <si>
    <t>8/31 퇴사</t>
  </si>
  <si>
    <t>최승수</t>
  </si>
  <si>
    <t>johnny.choi@stryker.com</t>
  </si>
  <si>
    <t>Marketing Manager</t>
  </si>
  <si>
    <t>5CG2181LWD</t>
  </si>
  <si>
    <t>최율리</t>
  </si>
  <si>
    <t>yulie.choi@stryker.com</t>
  </si>
  <si>
    <t>한승주</t>
  </si>
  <si>
    <t>lucy.han@stryker.com</t>
  </si>
  <si>
    <t>Planning Data Analyst</t>
  </si>
  <si>
    <t>임세임</t>
  </si>
  <si>
    <t>stacy.im@stryker.com</t>
  </si>
  <si>
    <t>ICM Administrator</t>
  </si>
  <si>
    <t>강병국</t>
  </si>
  <si>
    <t>tony.kang@stryker.com</t>
  </si>
  <si>
    <t>Senior Mako Account Manager</t>
  </si>
  <si>
    <t>5CG2181LW2</t>
  </si>
  <si>
    <t>Jihee Kang</t>
  </si>
  <si>
    <t>Administration Job Family Group</t>
  </si>
  <si>
    <t>김서윤</t>
  </si>
  <si>
    <r>
      <rPr>
        <rFont val="&quot;맑은 고딕&quot;, monospace"/>
        <color rgb="FF1155CC"/>
        <sz val="11.0"/>
        <u/>
      </rPr>
      <t>elin.kim@stryker.com</t>
    </r>
  </si>
  <si>
    <t>김자영</t>
  </si>
  <si>
    <t>jayoung.kim@stryker.com</t>
  </si>
  <si>
    <t>Senior Regional Counsel, East Asia</t>
  </si>
  <si>
    <t>박동은</t>
  </si>
  <si>
    <t>donna.park@stryker.com</t>
  </si>
  <si>
    <t>신준상</t>
  </si>
  <si>
    <t>5CG10801FS(retired)</t>
  </si>
  <si>
    <t>신하림</t>
  </si>
  <si>
    <t>harim.shin@stryker.com</t>
  </si>
  <si>
    <t>Marketing Coordinator</t>
  </si>
  <si>
    <t>Yoojin Shin</t>
  </si>
  <si>
    <t>신유진</t>
  </si>
  <si>
    <t>yoojin.shin@stryker.com</t>
  </si>
  <si>
    <t>Sales Administrator</t>
  </si>
  <si>
    <t>손지원</t>
  </si>
  <si>
    <t>5CG2181LVL</t>
  </si>
  <si>
    <t>메일 주소</t>
  </si>
  <si>
    <t>Sin, Simon</t>
  </si>
  <si>
    <t>Kim, Suhyun</t>
  </si>
  <si>
    <t>Kim, Rayna</t>
  </si>
  <si>
    <t>Seo, Gregory</t>
  </si>
  <si>
    <t>Cha, Bruce</t>
  </si>
  <si>
    <t>Song, Mi Na</t>
  </si>
  <si>
    <t>Sim, Huey</t>
  </si>
  <si>
    <t>Lee, Jeff</t>
  </si>
  <si>
    <t>Chang, Willy</t>
  </si>
  <si>
    <t>Kim, Jung Sook</t>
  </si>
  <si>
    <t>Kim, Leslie</t>
  </si>
  <si>
    <t>Kim, Danny</t>
  </si>
  <si>
    <t>Yang, David</t>
  </si>
  <si>
    <t>Song, Jun</t>
  </si>
  <si>
    <t>Eom, Nathan</t>
  </si>
  <si>
    <t>Kang, James</t>
  </si>
  <si>
    <t>Park, JY</t>
  </si>
  <si>
    <t>Seo, YJ</t>
  </si>
  <si>
    <t>Park, Tyler</t>
  </si>
  <si>
    <t>Baek, Chloe</t>
  </si>
  <si>
    <t>Lee, Joy</t>
  </si>
  <si>
    <t>Kim, Yoori</t>
  </si>
  <si>
    <t>Jung, Jade</t>
  </si>
  <si>
    <t>Kim, Justin</t>
  </si>
  <si>
    <t>Yang, Owen</t>
  </si>
  <si>
    <t>Korea, Kmultiuser</t>
  </si>
  <si>
    <t>Choi, Roy</t>
  </si>
  <si>
    <t>Lee, Demian</t>
  </si>
  <si>
    <t>Bang, Alicia</t>
  </si>
  <si>
    <t>Kang, Louis</t>
  </si>
  <si>
    <t>Na, Ethan</t>
  </si>
  <si>
    <t>Yoo, Jiwon</t>
  </si>
  <si>
    <t>Lee, Chloe</t>
  </si>
  <si>
    <t>Kim, Songmin</t>
  </si>
  <si>
    <t>Kim, Jackson</t>
  </si>
  <si>
    <t>Kim, Genie</t>
  </si>
  <si>
    <t>Shim, Kevin</t>
  </si>
  <si>
    <t>Chung, Jae</t>
  </si>
  <si>
    <t>Song, Jina</t>
  </si>
  <si>
    <t>Ahn, GD</t>
  </si>
  <si>
    <t>Jeon, Cindy</t>
  </si>
  <si>
    <t>Park, Julie</t>
  </si>
  <si>
    <t>Oh, David</t>
  </si>
  <si>
    <t>Park, Jinny</t>
  </si>
  <si>
    <t>Hwang, Oscar</t>
  </si>
  <si>
    <t>Yoo, Jiho</t>
  </si>
  <si>
    <t>Cho, Heesun</t>
  </si>
  <si>
    <t>Kim, Jason</t>
  </si>
  <si>
    <t>Kim, Henry</t>
  </si>
  <si>
    <t>Bang, Bella</t>
  </si>
  <si>
    <t>Song, Jayden</t>
  </si>
  <si>
    <t>Kim, Yeonjoo</t>
  </si>
  <si>
    <t>Hwang, Young</t>
  </si>
  <si>
    <t>Lee, David</t>
  </si>
  <si>
    <t>Park, James</t>
  </si>
  <si>
    <t>Han, Alice</t>
  </si>
  <si>
    <t>Song, Ethan</t>
  </si>
  <si>
    <t>Lee, Nathan</t>
  </si>
  <si>
    <t>Park, Jackson</t>
  </si>
  <si>
    <t>Song, Rosey</t>
  </si>
  <si>
    <t>Rosey.song@stryker.com</t>
  </si>
  <si>
    <t>Ku, Allen</t>
  </si>
  <si>
    <t>Jun, Irene</t>
  </si>
  <si>
    <t>Kim, William</t>
  </si>
  <si>
    <t>Park, Owen</t>
  </si>
  <si>
    <t>Ji, JH</t>
  </si>
  <si>
    <t>Jung, Jenny</t>
  </si>
  <si>
    <t>Yoon, Bella</t>
  </si>
  <si>
    <t>Youn, Sarah</t>
  </si>
  <si>
    <t>Kim, Ahyoung</t>
  </si>
  <si>
    <t>Oh, Peter</t>
  </si>
  <si>
    <t>Han, Leo</t>
  </si>
  <si>
    <t>Ko, Ara</t>
  </si>
  <si>
    <t>Jeong, Yoonbee</t>
  </si>
  <si>
    <t>Song, Hailey</t>
  </si>
  <si>
    <t>Choi, Claire</t>
  </si>
  <si>
    <t>Jung, Suhwan</t>
  </si>
  <si>
    <t>Shin, Chris</t>
  </si>
  <si>
    <t>Kim, Jayden</t>
  </si>
  <si>
    <t>Hong, Ashley</t>
  </si>
  <si>
    <t>Yang, Clare</t>
  </si>
  <si>
    <t>Lee, Rosie</t>
  </si>
  <si>
    <t>Han, Mihee</t>
  </si>
  <si>
    <t>Shin, Hansol</t>
  </si>
  <si>
    <t>Kang, Chloe</t>
  </si>
  <si>
    <t>Park, Freddy</t>
  </si>
  <si>
    <t>Jung, Celine</t>
  </si>
  <si>
    <t>Lee, Daniel</t>
  </si>
  <si>
    <t>Yoon, Ayaan</t>
  </si>
  <si>
    <t>Huh, Cozy</t>
  </si>
  <si>
    <t>Park, Peter</t>
  </si>
  <si>
    <t>Seo, Junghoon</t>
  </si>
  <si>
    <t>Lim, Roy</t>
  </si>
  <si>
    <t>Kim, Min Ki</t>
  </si>
  <si>
    <t>Park, Michelle</t>
  </si>
  <si>
    <t>Jung, Seo Hyun</t>
  </si>
  <si>
    <t>Byun, Jun Seong</t>
  </si>
  <si>
    <t>Park, Jin</t>
  </si>
  <si>
    <t>Han, Jason</t>
  </si>
  <si>
    <t>Kim, Hailey</t>
  </si>
  <si>
    <t>Kim, Soyoun</t>
  </si>
  <si>
    <t>Yoo, Jenna</t>
  </si>
  <si>
    <t>Bae, Sophie</t>
  </si>
  <si>
    <t>Shin, Dana</t>
  </si>
  <si>
    <t>Cho, Martin</t>
  </si>
  <si>
    <t>Seo, Jaehee</t>
  </si>
  <si>
    <t>Yoon, JW</t>
  </si>
  <si>
    <t>Lee, Eunji</t>
  </si>
  <si>
    <t>Kim, Lina</t>
  </si>
  <si>
    <t>Ahn, Andrew</t>
  </si>
  <si>
    <t>Lee, Henry</t>
  </si>
  <si>
    <t>Park, Jack</t>
  </si>
  <si>
    <t>Ma, Serene</t>
  </si>
  <si>
    <t>Gu, Gyolim</t>
  </si>
  <si>
    <t>Kim, Mindo</t>
  </si>
  <si>
    <t>Jeong, somi</t>
  </si>
  <si>
    <t>Kim, Aspyn</t>
  </si>
  <si>
    <t>Ahn, Ryan</t>
  </si>
  <si>
    <t>Yi, Minsu</t>
  </si>
  <si>
    <t>Kim, Minjeong</t>
  </si>
  <si>
    <t>Park, Daniel</t>
  </si>
  <si>
    <t>Son, Amy</t>
  </si>
  <si>
    <t>Oh, Mason</t>
  </si>
  <si>
    <t>Eum, Jack</t>
  </si>
  <si>
    <t>Choi, Brad</t>
  </si>
  <si>
    <t>Jo, Scott</t>
  </si>
  <si>
    <t>Scott.Jo@stryker.com</t>
  </si>
  <si>
    <t>Lee, Ayaan</t>
  </si>
  <si>
    <t>Oh, Joon</t>
  </si>
  <si>
    <t>Jung, Sol</t>
  </si>
  <si>
    <t>Park, Hyoseon</t>
  </si>
  <si>
    <t>Heo, Yejin</t>
  </si>
  <si>
    <t>Kim, James</t>
  </si>
  <si>
    <t>Lee, Jaekyeong</t>
  </si>
  <si>
    <t>Park, Soyeon</t>
  </si>
  <si>
    <t>Kim, David</t>
  </si>
  <si>
    <t>Jeon, Lucas</t>
  </si>
  <si>
    <t>Hwang, Theo</t>
  </si>
  <si>
    <t>Eun, Emma</t>
  </si>
  <si>
    <t>Cha, Carl</t>
  </si>
  <si>
    <t>Lim, Kyle</t>
  </si>
  <si>
    <t>Jeon, Chan</t>
  </si>
  <si>
    <t>Moon, Jay</t>
  </si>
  <si>
    <t>Kim, Greg</t>
  </si>
  <si>
    <t>Jeon, Sungyi</t>
  </si>
  <si>
    <t>Lee, Annie</t>
  </si>
  <si>
    <t>Kim, Mason</t>
  </si>
  <si>
    <t>AN, Hyeran</t>
  </si>
  <si>
    <t>Hur, Sung Youn</t>
  </si>
  <si>
    <t>Jeong, Dahye</t>
  </si>
  <si>
    <t>Byeon, Jisoo</t>
  </si>
  <si>
    <t>Leem, Kylie</t>
  </si>
  <si>
    <t>Paek, Jennifer</t>
  </si>
  <si>
    <t>Chung, David</t>
  </si>
  <si>
    <t>Jeong, HanGil</t>
  </si>
  <si>
    <t>Bang, Sung Hoon</t>
  </si>
  <si>
    <t>Ko, Wondae</t>
  </si>
  <si>
    <t>Jang, Daniel</t>
  </si>
  <si>
    <t>Han, Daniel</t>
  </si>
  <si>
    <t>Han, Arum</t>
  </si>
  <si>
    <t>Lee, Suhan</t>
  </si>
  <si>
    <t>Won, Imsun</t>
  </si>
  <si>
    <t>Kim, DongKyu</t>
  </si>
  <si>
    <t>Jang, Ethan</t>
  </si>
  <si>
    <t>Choi, Mason</t>
  </si>
  <si>
    <t>Yoon, Aaron</t>
  </si>
  <si>
    <t>Chung, Amy</t>
  </si>
  <si>
    <t>Amy.Chung@stryker.com</t>
  </si>
  <si>
    <t>Ji, Jay</t>
  </si>
  <si>
    <t>Park, Sujin</t>
  </si>
  <si>
    <t>Bae, Vincent</t>
  </si>
  <si>
    <t>Kim, Daphne</t>
  </si>
  <si>
    <t>Park, Lucia</t>
  </si>
  <si>
    <t>Kim, Hannah</t>
  </si>
  <si>
    <t>Lee, Bruce</t>
  </si>
  <si>
    <t>Kim, Neal</t>
  </si>
  <si>
    <t>Heo, Lucas</t>
  </si>
  <si>
    <t>Jeong, Gyowon</t>
  </si>
  <si>
    <t>Park, Bryan</t>
  </si>
  <si>
    <t>Kim, Dawn</t>
  </si>
  <si>
    <t>Kim, Bomin</t>
  </si>
  <si>
    <t>Bomin.Kim@stryker.com</t>
  </si>
  <si>
    <t>Hwang, Ian</t>
  </si>
  <si>
    <t>Choi, Sally</t>
  </si>
  <si>
    <t>Jung, Lia</t>
  </si>
  <si>
    <t>Park, Sazy</t>
  </si>
  <si>
    <t>Kim, Shawn</t>
  </si>
  <si>
    <t>Kim, Andy</t>
  </si>
  <si>
    <t>Department</t>
  </si>
  <si>
    <t>Status</t>
  </si>
  <si>
    <t>위치</t>
  </si>
  <si>
    <t>Asset</t>
  </si>
  <si>
    <t>JDE Asset</t>
  </si>
  <si>
    <t>IT Tag</t>
  </si>
  <si>
    <t>Laptop/Desktop</t>
  </si>
  <si>
    <t>Remark</t>
  </si>
  <si>
    <t>All_Uer_Lease</t>
  </si>
  <si>
    <t>Email</t>
  </si>
  <si>
    <t>Ops</t>
  </si>
  <si>
    <t>HP Elitebook 840 G9</t>
  </si>
  <si>
    <t>서버룸</t>
  </si>
  <si>
    <t>교체 안함 /계속 사용하길 원함(2024년 4월)</t>
  </si>
  <si>
    <t>지급</t>
  </si>
  <si>
    <t>Jacky 퇴사 후 회수</t>
  </si>
  <si>
    <t>5CG2181LWH</t>
  </si>
  <si>
    <t>Haley Choi</t>
  </si>
  <si>
    <t>5CG2181LWZ</t>
  </si>
  <si>
    <t>2025년 Q2 교체 예정자</t>
  </si>
  <si>
    <t>5CG2181LX3</t>
  </si>
  <si>
    <t>Sean Jang</t>
  </si>
  <si>
    <t>Phil Lee</t>
  </si>
  <si>
    <t>5CG2181LW0</t>
  </si>
  <si>
    <t>Heeyeong Lee</t>
  </si>
  <si>
    <t>5CG2181LVX</t>
  </si>
  <si>
    <t>Olivia Seo</t>
  </si>
  <si>
    <t>5CG2181LX2</t>
  </si>
  <si>
    <t>Isabella Moon</t>
  </si>
  <si>
    <t>5CG2181LVV</t>
  </si>
  <si>
    <t>Austin Kim</t>
  </si>
  <si>
    <t>5CG2181LWK</t>
  </si>
  <si>
    <t>Junghun Kim</t>
  </si>
  <si>
    <t>25-05-15 반납(Jennifer Park)
 Deprovisioned 24-Feb-25</t>
  </si>
  <si>
    <t>5CG2181LWC</t>
  </si>
  <si>
    <t>5CG2181LWW</t>
  </si>
  <si>
    <t>2024/4/29 jinny 반납</t>
  </si>
  <si>
    <t>5CG2181LWY</t>
  </si>
  <si>
    <t>OPS(Jipyeong)</t>
  </si>
  <si>
    <t>Kwanwoo Lee</t>
  </si>
  <si>
    <t>지평 사무실</t>
  </si>
  <si>
    <t>5CG2181LWQ</t>
  </si>
  <si>
    <t>Isabel Jung</t>
  </si>
  <si>
    <t>5CG2181LVS</t>
  </si>
  <si>
    <t>Yongma, 반납</t>
  </si>
  <si>
    <t>5CG2181LVM</t>
  </si>
  <si>
    <t>5CG2181LVK</t>
  </si>
  <si>
    <t>Linda Kim</t>
  </si>
  <si>
    <t>5CG2181LWG</t>
  </si>
  <si>
    <t>Celine Lee</t>
  </si>
  <si>
    <t>5CG2181LXG</t>
  </si>
  <si>
    <t>5CG2181LWR</t>
  </si>
  <si>
    <t>5CG2181LCV</t>
  </si>
  <si>
    <t>Kunji Yun
 jpcustoms.skl</t>
  </si>
  <si>
    <t>5CG2181LCW</t>
  </si>
  <si>
    <t>5CG2261LCY(5CG2181LCY)</t>
  </si>
  <si>
    <t>5CG2181LVG</t>
  </si>
  <si>
    <t>5CG2181LX5</t>
  </si>
  <si>
    <t>5CG2181LVT</t>
  </si>
  <si>
    <t>5CG2181LVW</t>
  </si>
  <si>
    <t>5CG2181LX7</t>
  </si>
  <si>
    <t>Desktop</t>
  </si>
  <si>
    <t>용마 사무실</t>
  </si>
  <si>
    <t>8CC2250YBR</t>
  </si>
  <si>
    <t>YongMa, Recon</t>
  </si>
  <si>
    <t>8CC2250YBJ</t>
  </si>
  <si>
    <t>YongMa, Medsurg</t>
  </si>
  <si>
    <t>8CC2250YBM</t>
  </si>
  <si>
    <t>YongMa, Fixation</t>
  </si>
  <si>
    <t>8CC2250YBQ</t>
  </si>
  <si>
    <t>YongMa, Label</t>
  </si>
  <si>
    <t>8CC2250YBK</t>
  </si>
  <si>
    <t>Yongma, Operator</t>
  </si>
  <si>
    <t>8CC2250YBT</t>
  </si>
  <si>
    <t>YongMa, Operator01</t>
  </si>
  <si>
    <t>8CC2250YBV</t>
  </si>
  <si>
    <t>Yongma, Kit - Instrument /5.8 반납</t>
  </si>
  <si>
    <t>8CC2250YBS</t>
  </si>
  <si>
    <t>Yongma, Kit - Implant /5.8.반납</t>
  </si>
  <si>
    <t>8CC2250YBN</t>
  </si>
  <si>
    <t>Yongma, NV</t>
  </si>
  <si>
    <t>8CC2250YBP</t>
  </si>
  <si>
    <t>8CC2250YBW</t>
  </si>
  <si>
    <t>07/06/22</t>
  </si>
  <si>
    <t>Michelle Kim</t>
  </si>
  <si>
    <t>5CG2181LXD</t>
  </si>
  <si>
    <t>5CG2181LCR</t>
  </si>
  <si>
    <t>5CG2181LX8</t>
  </si>
  <si>
    <t>5CG2181LW4</t>
  </si>
  <si>
    <t>5CD3O27S4N</t>
  </si>
  <si>
    <t>5CD3O27S4T</t>
  </si>
  <si>
    <t>5CD3O27S4S</t>
  </si>
  <si>
    <t>Jason Son</t>
  </si>
  <si>
    <t>5CD3O27S4R</t>
  </si>
  <si>
    <t>SCG218ILXK</t>
  </si>
  <si>
    <t>5CD3O27S4V</t>
  </si>
  <si>
    <t>5CD32O81Z8</t>
  </si>
  <si>
    <t>Leo song</t>
  </si>
  <si>
    <t>HP EliteX360 830 G9</t>
  </si>
  <si>
    <t>5CG31941MQ</t>
  </si>
  <si>
    <t>5CD3027S4Q</t>
  </si>
  <si>
    <t>5CG32871LP</t>
  </si>
  <si>
    <t>5CG32871LW</t>
  </si>
  <si>
    <t>5CG32871LV</t>
  </si>
  <si>
    <t>5CG32871LX</t>
  </si>
  <si>
    <t>5CG32871LZ</t>
  </si>
  <si>
    <t>5CG32871LM</t>
  </si>
  <si>
    <t>5CG32871LR</t>
  </si>
  <si>
    <t>5CG32871LC</t>
  </si>
  <si>
    <t>5CG32871LL</t>
  </si>
  <si>
    <t>Seyoeng chun</t>
  </si>
  <si>
    <t>5CG32871LY</t>
  </si>
  <si>
    <t>액정파손 수리 완료 / choi kyu(고장)</t>
  </si>
  <si>
    <t>Yeonjoo Kim / 키보드 고장</t>
  </si>
  <si>
    <t>퇴사 Mo Yunju 반납/L키 빠짐</t>
  </si>
  <si>
    <t>chloe.kang / 노트북 M키 파손</t>
  </si>
  <si>
    <t>Sujin Park / 액정 파손</t>
  </si>
  <si>
    <t>6/9 액정파손(dahye.jeong)</t>
  </si>
  <si>
    <r>
      <rPr>
        <rFont val="&quot;맑은 고딕&quot;, monospace"/>
        <color rgb="FF1155CC"/>
        <sz val="11.0"/>
        <u/>
      </rPr>
      <t>kmultiuser@stryker.com</t>
    </r>
  </si>
  <si>
    <r>
      <rPr>
        <rFont val="&quot;맑은 고딕&quot;, monospace"/>
        <color rgb="FF1155CC"/>
        <sz val="11.0"/>
        <u/>
      </rPr>
      <t>(보드손상 수리) / william chai</t>
    </r>
  </si>
  <si>
    <r>
      <rPr>
        <rFont val="&quot;맑은 고딕&quot;, monospace"/>
        <color rgb="FF1155CC"/>
        <sz val="11.0"/>
        <u/>
      </rPr>
      <t>neal.kim@stryker.com</t>
    </r>
  </si>
  <si>
    <t>액정 파손 neal.kim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</si>
</sst>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m월 d일"/>
    <numFmt numFmtId="165" formatCode="yy/mm/dd"/>
    <numFmt numFmtId="166" formatCode="yyyy-mm-dd"/>
    <numFmt numFmtId="167" formatCode="yyyy년 m월"/>
    <numFmt numFmtId="168" formatCode="mm월 dd일"/>
    <numFmt numFmtId="169" formatCode="yyyy/mm/dd"/>
  </numFmts>
  <fonts count="91">
    <font>
      <sz val="10.0"/>
      <color rgb="FF000000"/>
      <name val="Arial"/>
      <scheme val="minor"/>
    </font>
    <font>
      <b/>
      <color theme="1"/>
      <name val="Microsoft GothicNeo"/>
    </font>
    <font>
      <b/>
      <color theme="1"/>
      <name val="Arial"/>
    </font>
    <font>
      <b/>
      <sz val="10.0"/>
      <color theme="1"/>
      <name val="Arial"/>
    </font>
    <font>
      <b/>
      <sz val="9.0"/>
      <color theme="1"/>
      <name val="Arial"/>
    </font>
    <font>
      <b/>
      <sz val="8.0"/>
      <color rgb="FF222222"/>
      <name val="Google Sans"/>
    </font>
    <font>
      <b/>
      <sz val="8.0"/>
      <color theme="1"/>
      <name val="Arial"/>
    </font>
    <font>
      <b/>
      <sz val="7.0"/>
      <color theme="1"/>
      <name val="Arial"/>
    </font>
    <font>
      <b/>
      <sz val="11.0"/>
      <color rgb="FF222222"/>
      <name val="Google Sans"/>
    </font>
    <font>
      <color rgb="FF000000"/>
      <name val="&quot;Microsoft GothicNeo&quot;"/>
    </font>
    <font>
      <color rgb="FF000000"/>
      <name val="Arial"/>
    </font>
    <font>
      <color theme="1"/>
      <name val="Arial"/>
    </font>
    <font>
      <sz val="10.0"/>
      <color rgb="FF000000"/>
      <name val="Arial"/>
    </font>
    <font>
      <sz val="8.0"/>
      <color rgb="FF1F1F1F"/>
      <name val="&quot;Google Sans Mono&quot;"/>
    </font>
    <font>
      <sz val="8.0"/>
      <color rgb="FF000000"/>
      <name val="Aptos"/>
    </font>
    <font>
      <sz val="7.0"/>
      <color theme="1"/>
      <name val="Arial"/>
      <scheme val="minor"/>
    </font>
    <font>
      <sz val="8.0"/>
      <color theme="1"/>
      <name val="Arial"/>
      <scheme val="minor"/>
    </font>
    <font>
      <color theme="1"/>
      <name val="Arial"/>
      <scheme val="minor"/>
    </font>
    <font>
      <sz val="10.0"/>
      <color rgb="FF000000"/>
      <name val="&quot;Microsoft GothicNeo&quot;"/>
    </font>
    <font>
      <sz val="11.0"/>
      <color rgb="FF000000"/>
      <name val="Calibri"/>
    </font>
    <font>
      <color rgb="FF000000"/>
      <name val="&quot;맑은 고딕&quot;"/>
    </font>
    <font>
      <sz val="10.0"/>
      <color rgb="FF000000"/>
      <name val="&quot;맑은 고딕&quot;"/>
    </font>
    <font>
      <sz val="9.0"/>
      <color rgb="FF252424"/>
      <name val="&quot;Malgun Gothic&quot;"/>
    </font>
    <font>
      <sz val="11.0"/>
      <color rgb="FF000000"/>
      <name val="&quot;맑은 고딕&quot;"/>
    </font>
    <font>
      <sz val="10.0"/>
      <color rgb="FF000000"/>
      <name val="Calibri"/>
    </font>
    <font>
      <color rgb="FF000000"/>
      <name val="Helvetica Neue"/>
    </font>
    <font>
      <u/>
      <color rgb="FF0000FF"/>
      <name val="Helvetica Neue"/>
    </font>
    <font>
      <sz val="10.0"/>
      <color rgb="FF000000"/>
      <name val="Helvetica Neue"/>
    </font>
    <font>
      <u/>
      <color rgb="FF0000FF"/>
      <name val="Helvetica Neue"/>
    </font>
    <font>
      <sz val="11.0"/>
      <color theme="1"/>
      <name val="&quot;맑은 고딕&quot;"/>
    </font>
    <font>
      <b/>
      <sz val="11.0"/>
      <color rgb="FF000000"/>
      <name val="Calibri"/>
    </font>
    <font>
      <b/>
      <sz val="11.0"/>
      <color rgb="FF000000"/>
      <name val="&quot;맑은 고딕&quot;"/>
    </font>
    <font>
      <sz val="9.0"/>
      <color theme="1"/>
      <name val="Calibri"/>
    </font>
    <font>
      <b/>
      <sz val="8.0"/>
      <color rgb="FF000000"/>
      <name val="&quot;맑은 고딕&quot;"/>
    </font>
    <font>
      <sz val="12.0"/>
      <color rgb="FF000000"/>
      <name val="Arial"/>
    </font>
    <font>
      <sz val="12.0"/>
      <color rgb="FF000000"/>
      <name val="&quot;Segoe UI&quot;"/>
    </font>
    <font>
      <u/>
      <color rgb="FF0000FF"/>
    </font>
    <font>
      <u/>
      <sz val="11.0"/>
      <color rgb="FF0000FF"/>
      <name val="&quot;맑은 고딕&quot;"/>
    </font>
    <font>
      <sz val="11.0"/>
      <color rgb="FF000000"/>
      <name val="&quot;Arial Unicode MS&quot;"/>
    </font>
    <font>
      <sz val="8.0"/>
      <color rgb="FF000000"/>
      <name val="&quot;맑은 고딕&quot;"/>
    </font>
    <font>
      <color theme="1"/>
      <name val="&quot;맑은 고딕&quot;"/>
    </font>
    <font>
      <u/>
      <sz val="11.0"/>
      <color rgb="FF0000FF"/>
      <name val="&quot;맑은 고딕&quot;"/>
    </font>
    <font>
      <u/>
      <sz val="11.0"/>
      <color rgb="FF0000FF"/>
      <name val="&quot;맑은 고딕&quot;"/>
    </font>
    <font>
      <u/>
      <sz val="11.0"/>
      <color rgb="FF0000FF"/>
      <name val="&quot;맑은 고딕&quot;"/>
    </font>
    <font>
      <u/>
      <sz val="11.0"/>
      <color rgb="FF0000FF"/>
      <name val="&quot;맑은 고딕&quot;"/>
    </font>
    <font>
      <color rgb="FF000000"/>
      <name val="Aptos"/>
    </font>
    <font>
      <sz val="11.0"/>
      <color theme="1"/>
      <name val="돋움"/>
    </font>
    <font>
      <u/>
      <sz val="11.0"/>
      <color rgb="FF0000FF"/>
      <name val="&quot;맑은 고딕&quot;"/>
    </font>
    <font>
      <u/>
      <sz val="11.0"/>
      <color rgb="FF0000FF"/>
      <name val="&quot;맑은 고딕&quot;"/>
    </font>
    <font>
      <sz val="11.0"/>
      <color rgb="FF242424"/>
      <name val="&quot;Segoe UI&quot;"/>
    </font>
    <font>
      <u/>
      <sz val="11.0"/>
      <color rgb="FF0000FF"/>
      <name val="&quot;맑은 고딕&quot;"/>
    </font>
    <font>
      <b/>
      <color rgb="FF000000"/>
      <name val="Calibri"/>
    </font>
    <font>
      <b/>
      <sz val="8.0"/>
      <color rgb="FF000000"/>
      <name val="Calibri"/>
    </font>
    <font>
      <sz val="8.0"/>
      <color theme="1"/>
      <name val="Calibri"/>
    </font>
    <font>
      <sz val="8.0"/>
      <color theme="1"/>
      <name val="&quot;맑은 고딕&quot;"/>
    </font>
    <font>
      <u/>
      <sz val="8.0"/>
      <color rgb="FF0000FF"/>
      <name val="&quot;맑은 고딕&quot;"/>
    </font>
    <font/>
    <font>
      <sz val="8.0"/>
      <color theme="1"/>
      <name val="Aptos"/>
    </font>
    <font>
      <u/>
      <sz val="8.0"/>
      <color rgb="FF0000FF"/>
      <name val="&quot;맑은 고딕&quot;"/>
    </font>
    <font>
      <sz val="8.0"/>
      <color rgb="FF000000"/>
      <name val="Calibri"/>
    </font>
    <font>
      <u/>
      <sz val="8.0"/>
      <color rgb="FF0000FF"/>
      <name val="&quot;맑은 고딕&quot;"/>
    </font>
    <font>
      <u/>
      <sz val="8.0"/>
      <color rgb="FF0000FF"/>
      <name val="&quot;맑은 고딕&quot;"/>
    </font>
    <font>
      <sz val="8.0"/>
      <color rgb="FF000000"/>
      <name val="&quot;Microsoft GothicNeo&quot;"/>
    </font>
    <font>
      <b/>
      <sz val="8.0"/>
      <color theme="1"/>
      <name val="Arial"/>
      <scheme val="minor"/>
    </font>
    <font>
      <u/>
      <sz val="8.0"/>
      <color rgb="FF0000FF"/>
    </font>
    <font>
      <u/>
      <sz val="8.0"/>
      <color rgb="FF0000FF"/>
    </font>
    <font>
      <sz val="8.0"/>
      <color rgb="FF000000"/>
      <name val="Arial"/>
      <scheme val="minor"/>
    </font>
    <font>
      <b/>
      <color rgb="FF000000"/>
      <name val="&quot;Microsoft GothicNeo&quot;"/>
    </font>
    <font>
      <u/>
      <color rgb="FF0000FF"/>
      <name val="Helvetica Neue"/>
    </font>
    <font>
      <u/>
      <sz val="11.0"/>
      <color rgb="FF0000FF"/>
      <name val="&quot;맑은 고딕&quot;"/>
    </font>
    <font>
      <u/>
      <sz val="11.0"/>
      <color rgb="FF0000FF"/>
      <name val="&quot;맑은 고딕&quot;"/>
    </font>
    <font>
      <u/>
      <sz val="11.0"/>
      <color rgb="FF0000FF"/>
      <name val="&quot;맑은 고딕&quot;"/>
    </font>
    <font>
      <sz val="11.0"/>
      <color theme="1"/>
      <name val="Arial"/>
      <scheme val="minor"/>
    </font>
    <font>
      <sz val="9.0"/>
      <color rgb="FF000000"/>
      <name val="Calibri"/>
    </font>
    <font>
      <sz val="9.0"/>
      <color theme="1"/>
      <name val="Arial"/>
      <scheme val="minor"/>
    </font>
    <font>
      <sz val="9.0"/>
      <color theme="1"/>
      <name val="&quot;Microsoft GothicNeo&quot;"/>
    </font>
    <font>
      <sz val="9.0"/>
      <color rgb="FF000000"/>
      <name val="&quot;Microsoft GothicNeo&quot;"/>
    </font>
    <font>
      <sz val="9.0"/>
      <color rgb="FF000000"/>
      <name val="Arial"/>
    </font>
    <font>
      <b/>
      <color theme="1"/>
      <name val="Arial"/>
      <scheme val="minor"/>
    </font>
    <font>
      <sz val="9.0"/>
      <color theme="1"/>
      <name val="Inherit"/>
    </font>
    <font>
      <sz val="9.0"/>
      <color rgb="FF000000"/>
      <name val="Arial"/>
      <scheme val="minor"/>
    </font>
    <font>
      <color theme="1"/>
      <name val="Microsoft GothicNeo"/>
    </font>
    <font>
      <color rgb="FF1F1F1F"/>
      <name val="Google Sans Mono"/>
    </font>
    <font>
      <u/>
      <sz val="11.0"/>
      <color rgb="FF1155CC"/>
      <name val="Arial"/>
    </font>
    <font>
      <sz val="11.0"/>
      <color rgb="FF000000"/>
      <name val="굴림"/>
    </font>
    <font>
      <sz val="11.0"/>
      <color rgb="FF000000"/>
      <name val="&quot;Microsoft Sans Serif&quot;"/>
    </font>
    <font>
      <b/>
      <sz val="11.0"/>
      <color rgb="FF000000"/>
      <name val="&quot;Arial Unicode MS&quot;"/>
    </font>
    <font>
      <b/>
      <sz val="11.0"/>
      <color rgb="FF000000"/>
      <name val="&quot;Microsoft Sans Serif&quot;"/>
    </font>
    <font>
      <b/>
      <sz val="9.0"/>
      <color theme="1"/>
      <name val="Calibri"/>
    </font>
    <font>
      <b/>
      <sz val="11.0"/>
      <color rgb="FF000000"/>
      <name val="굴림"/>
    </font>
    <font>
      <u/>
      <sz val="11.0"/>
      <color rgb="FF0000FF"/>
      <name val="&quot;맑은 고딕&quot;"/>
    </font>
  </fonts>
  <fills count="30">
    <fill>
      <patternFill patternType="none"/>
    </fill>
    <fill>
      <patternFill patternType="lightGray"/>
    </fill>
    <fill>
      <patternFill patternType="solid">
        <fgColor rgb="FF00B0F0"/>
        <bgColor rgb="FF00B0F0"/>
      </patternFill>
    </fill>
    <fill>
      <patternFill patternType="solid">
        <fgColor rgb="FF92D050"/>
        <bgColor rgb="FF92D050"/>
      </patternFill>
    </fill>
    <fill>
      <patternFill patternType="solid">
        <fgColor rgb="FFFF9900"/>
        <bgColor rgb="FFFF9900"/>
      </patternFill>
    </fill>
    <fill>
      <patternFill patternType="solid">
        <fgColor rgb="FFFFC000"/>
        <bgColor rgb="FFFFC000"/>
      </patternFill>
    </fill>
    <fill>
      <patternFill patternType="solid">
        <fgColor rgb="FFFFFFFF"/>
        <bgColor rgb="FFFFFFFF"/>
      </patternFill>
    </fill>
    <fill>
      <patternFill patternType="solid">
        <fgColor rgb="FFF0F4F9"/>
        <bgColor rgb="FFF0F4F9"/>
      </patternFill>
    </fill>
    <fill>
      <patternFill patternType="solid">
        <fgColor rgb="FFF2F2F2"/>
        <bgColor rgb="FFF2F2F2"/>
      </patternFill>
    </fill>
    <fill>
      <patternFill patternType="solid">
        <fgColor rgb="FFC1F0C8"/>
        <bgColor rgb="FFC1F0C8"/>
      </patternFill>
    </fill>
    <fill>
      <patternFill patternType="solid">
        <fgColor rgb="FFFFA500"/>
        <bgColor rgb="FFFFA5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DCE6F1"/>
        <bgColor rgb="FFDCE6F1"/>
      </patternFill>
    </fill>
    <fill>
      <patternFill patternType="solid">
        <fgColor rgb="FFCCCCCC"/>
        <bgColor rgb="FFCCCCCC"/>
      </patternFill>
    </fill>
    <fill>
      <patternFill patternType="solid">
        <fgColor theme="0"/>
        <bgColor theme="0"/>
      </patternFill>
    </fill>
    <fill>
      <patternFill patternType="solid">
        <fgColor rgb="FFFDE9D9"/>
        <bgColor rgb="FFFDE9D9"/>
      </patternFill>
    </fill>
    <fill>
      <patternFill patternType="solid">
        <fgColor rgb="FF4F81BD"/>
        <bgColor rgb="FF4F81BD"/>
      </patternFill>
    </fill>
    <fill>
      <patternFill patternType="solid">
        <fgColor rgb="FFB7B7B7"/>
        <bgColor rgb="FFB7B7B7"/>
      </patternFill>
    </fill>
    <fill>
      <patternFill patternType="solid">
        <fgColor rgb="FFDAEEF3"/>
        <bgColor rgb="FFDAEEF3"/>
      </patternFill>
    </fill>
    <fill>
      <patternFill patternType="solid">
        <fgColor rgb="FFEBF1DE"/>
        <bgColor rgb="FFEBF1DE"/>
      </patternFill>
    </fill>
    <fill>
      <patternFill patternType="solid">
        <fgColor rgb="FFFCD5B4"/>
        <bgColor rgb="FFFCD5B4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B7DEE8"/>
        <bgColor rgb="FFB7DEE8"/>
      </patternFill>
    </fill>
    <fill>
      <patternFill patternType="solid">
        <fgColor rgb="FFE6B8B7"/>
        <bgColor rgb="FFE6B8B7"/>
      </patternFill>
    </fill>
    <fill>
      <patternFill patternType="solid">
        <fgColor rgb="FFE4DFEC"/>
        <bgColor rgb="FFE4DFEC"/>
      </patternFill>
    </fill>
    <fill>
      <patternFill patternType="solid">
        <fgColor rgb="FFFABF8F"/>
        <bgColor rgb="FFFABF8F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4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2" fontId="2" numFmtId="0" xfId="0" applyAlignment="1" applyBorder="1" applyFont="1">
      <alignment horizontal="center" shrinkToFit="0" vertical="center" wrapText="1"/>
    </xf>
    <xf borderId="1" fillId="2" fontId="3" numFmtId="0" xfId="0" applyAlignment="1" applyBorder="1" applyFont="1">
      <alignment horizontal="center" shrinkToFit="0" vertical="center" wrapText="1"/>
    </xf>
    <xf borderId="1" fillId="2" fontId="4" numFmtId="0" xfId="0" applyAlignment="1" applyBorder="1" applyFont="1">
      <alignment horizontal="center" shrinkToFit="0" vertical="center" wrapText="1"/>
    </xf>
    <xf borderId="1" fillId="3" fontId="5" numFmtId="0" xfId="0" applyAlignment="1" applyBorder="1" applyFill="1" applyFont="1">
      <alignment horizontal="center" shrinkToFit="0" vertical="center" wrapText="1"/>
    </xf>
    <xf borderId="1" fillId="3" fontId="6" numFmtId="0" xfId="0" applyAlignment="1" applyBorder="1" applyFont="1">
      <alignment horizontal="center" shrinkToFit="0" vertical="center" wrapText="1"/>
    </xf>
    <xf borderId="1" fillId="3" fontId="7" numFmtId="0" xfId="0" applyAlignment="1" applyBorder="1" applyFont="1">
      <alignment horizontal="center" shrinkToFit="0" vertical="center" wrapText="1"/>
    </xf>
    <xf borderId="0" fillId="4" fontId="5" numFmtId="0" xfId="0" applyAlignment="1" applyFill="1" applyFont="1">
      <alignment horizontal="center" readingOrder="0" shrinkToFit="0" vertical="center" wrapText="1"/>
    </xf>
    <xf borderId="0" fillId="4" fontId="5" numFmtId="0" xfId="0" applyAlignment="1" applyFont="1">
      <alignment horizontal="center" shrinkToFit="0" vertical="center" wrapText="1"/>
    </xf>
    <xf borderId="0" fillId="5" fontId="2" numFmtId="0" xfId="0" applyAlignment="1" applyFill="1" applyFont="1">
      <alignment horizontal="center" readingOrder="0" vertical="center"/>
    </xf>
    <xf borderId="0" fillId="5" fontId="2" numFmtId="0" xfId="0" applyAlignment="1" applyFont="1">
      <alignment horizontal="center" vertical="center"/>
    </xf>
    <xf borderId="0" fillId="4" fontId="8" numFmtId="0" xfId="0" applyAlignment="1" applyFont="1">
      <alignment horizontal="center" shrinkToFit="0" vertical="center" wrapText="1"/>
    </xf>
    <xf borderId="1" fillId="6" fontId="9" numFmtId="0" xfId="0" applyAlignment="1" applyBorder="1" applyFill="1" applyFont="1">
      <alignment horizontal="center" readingOrder="0" shrinkToFit="0" wrapText="0"/>
    </xf>
    <xf borderId="1" fillId="6" fontId="10" numFmtId="0" xfId="0" applyAlignment="1" applyBorder="1" applyFont="1">
      <alignment readingOrder="0" shrinkToFit="0" wrapText="0"/>
    </xf>
    <xf borderId="1" fillId="6" fontId="9" numFmtId="0" xfId="0" applyAlignment="1" applyBorder="1" applyFont="1">
      <alignment readingOrder="0" shrinkToFit="0" wrapText="0"/>
    </xf>
    <xf borderId="1" fillId="6" fontId="11" numFmtId="0" xfId="0" applyAlignment="1" applyBorder="1" applyFont="1">
      <alignment readingOrder="0" shrinkToFit="0" wrapText="0"/>
    </xf>
    <xf borderId="1" fillId="6" fontId="12" numFmtId="0" xfId="0" applyAlignment="1" applyBorder="1" applyFont="1">
      <alignment readingOrder="0" shrinkToFit="0" wrapText="0"/>
    </xf>
    <xf borderId="1" fillId="6" fontId="10" numFmtId="0" xfId="0" applyAlignment="1" applyBorder="1" applyFont="1">
      <alignment readingOrder="0" shrinkToFit="0" wrapText="0"/>
    </xf>
    <xf borderId="1" fillId="7" fontId="13" numFmtId="0" xfId="0" applyAlignment="1" applyBorder="1" applyFill="1" applyFont="1">
      <alignment readingOrder="0"/>
    </xf>
    <xf borderId="1" fillId="0" fontId="14" numFmtId="0" xfId="0" applyAlignment="1" applyBorder="1" applyFont="1">
      <alignment readingOrder="0"/>
    </xf>
    <xf borderId="1" fillId="6" fontId="15" numFmtId="0" xfId="0" applyBorder="1" applyFont="1"/>
    <xf borderId="1" fillId="6" fontId="16" numFmtId="0" xfId="0" applyAlignment="1" applyBorder="1" applyFont="1">
      <alignment readingOrder="0"/>
    </xf>
    <xf borderId="0" fillId="6" fontId="16" numFmtId="0" xfId="0" applyAlignment="1" applyFont="1">
      <alignment readingOrder="0"/>
    </xf>
    <xf borderId="0" fillId="6" fontId="17" numFmtId="0" xfId="0" applyFont="1"/>
    <xf borderId="1" fillId="6" fontId="15" numFmtId="0" xfId="0" applyAlignment="1" applyBorder="1" applyFont="1">
      <alignment readingOrder="0"/>
    </xf>
    <xf borderId="1" fillId="6" fontId="9" numFmtId="0" xfId="0" applyAlignment="1" applyBorder="1" applyFont="1">
      <alignment shrinkToFit="0" wrapText="0"/>
    </xf>
    <xf borderId="1" fillId="6" fontId="18" numFmtId="0" xfId="0" applyAlignment="1" applyBorder="1" applyFont="1">
      <alignment readingOrder="0" shrinkToFit="0" wrapText="0"/>
    </xf>
    <xf borderId="1" fillId="0" fontId="9" numFmtId="0" xfId="0" applyAlignment="1" applyBorder="1" applyFont="1">
      <alignment horizontal="center" readingOrder="0" shrinkToFit="0" wrapText="0"/>
    </xf>
    <xf borderId="1" fillId="0" fontId="9" numFmtId="0" xfId="0" applyAlignment="1" applyBorder="1" applyFont="1">
      <alignment readingOrder="0" shrinkToFit="0" wrapText="0"/>
    </xf>
    <xf borderId="1" fillId="0" fontId="10" numFmtId="0" xfId="0" applyAlignment="1" applyBorder="1" applyFont="1">
      <alignment readingOrder="0" shrinkToFit="0" wrapText="0"/>
    </xf>
    <xf borderId="1" fillId="0" fontId="16" numFmtId="0" xfId="0" applyAlignment="1" applyBorder="1" applyFont="1">
      <alignment readingOrder="0"/>
    </xf>
    <xf borderId="1" fillId="0" fontId="15" numFmtId="0" xfId="0" applyBorder="1" applyFont="1"/>
    <xf borderId="1" fillId="0" fontId="12" numFmtId="0" xfId="0" applyAlignment="1" applyBorder="1" applyFont="1">
      <alignment horizontal="left" readingOrder="0" shrinkToFit="0" wrapText="0"/>
    </xf>
    <xf borderId="1" fillId="6" fontId="16" numFmtId="0" xfId="0" applyBorder="1" applyFont="1"/>
    <xf borderId="0" fillId="6" fontId="17" numFmtId="0" xfId="0" applyAlignment="1" applyFont="1">
      <alignment readingOrder="0"/>
    </xf>
    <xf borderId="1" fillId="8" fontId="19" numFmtId="0" xfId="0" applyAlignment="1" applyBorder="1" applyFill="1" applyFont="1">
      <alignment horizontal="left" readingOrder="0" shrinkToFit="0" wrapText="0"/>
    </xf>
    <xf borderId="1" fillId="0" fontId="12" numFmtId="0" xfId="0" applyAlignment="1" applyBorder="1" applyFont="1">
      <alignment readingOrder="0" shrinkToFit="0" wrapText="0"/>
    </xf>
    <xf borderId="1" fillId="0" fontId="15" numFmtId="0" xfId="0" applyAlignment="1" applyBorder="1" applyFont="1">
      <alignment readingOrder="0"/>
    </xf>
    <xf borderId="1" fillId="9" fontId="9" numFmtId="0" xfId="0" applyAlignment="1" applyBorder="1" applyFill="1" applyFont="1">
      <alignment horizontal="center" readingOrder="0" shrinkToFit="0" wrapText="0"/>
    </xf>
    <xf borderId="1" fillId="9" fontId="9" numFmtId="0" xfId="0" applyAlignment="1" applyBorder="1" applyFont="1">
      <alignment readingOrder="0" shrinkToFit="0" wrapText="0"/>
    </xf>
    <xf borderId="1" fillId="9" fontId="12" numFmtId="0" xfId="0" applyAlignment="1" applyBorder="1" applyFont="1">
      <alignment readingOrder="0" shrinkToFit="0" wrapText="0"/>
    </xf>
    <xf borderId="1" fillId="9" fontId="10" numFmtId="0" xfId="0" applyAlignment="1" applyBorder="1" applyFont="1">
      <alignment readingOrder="0" shrinkToFit="0" wrapText="0"/>
    </xf>
    <xf borderId="1" fillId="0" fontId="10" numFmtId="0" xfId="0" applyAlignment="1" applyBorder="1" applyFont="1">
      <alignment horizontal="left" readingOrder="0" shrinkToFit="0" wrapText="0"/>
    </xf>
    <xf borderId="1" fillId="0" fontId="9" numFmtId="0" xfId="0" applyAlignment="1" applyBorder="1" applyFont="1">
      <alignment horizontal="left" shrinkToFit="0" wrapText="0"/>
    </xf>
    <xf borderId="1" fillId="0" fontId="9" numFmtId="0" xfId="0" applyAlignment="1" applyBorder="1" applyFont="1">
      <alignment horizontal="left" readingOrder="0" shrinkToFit="0" wrapText="0"/>
    </xf>
    <xf borderId="0" fillId="0" fontId="17" numFmtId="0" xfId="0" applyAlignment="1" applyFont="1">
      <alignment readingOrder="0"/>
    </xf>
    <xf borderId="1" fillId="6" fontId="10" numFmtId="0" xfId="0" applyAlignment="1" applyBorder="1" applyFont="1">
      <alignment horizontal="left" readingOrder="0" shrinkToFit="0" wrapText="0"/>
    </xf>
    <xf borderId="1" fillId="6" fontId="9" numFmtId="0" xfId="0" applyAlignment="1" applyBorder="1" applyFont="1">
      <alignment horizontal="left" shrinkToFit="0" wrapText="0"/>
    </xf>
    <xf borderId="1" fillId="6" fontId="9" numFmtId="0" xfId="0" applyAlignment="1" applyBorder="1" applyFont="1">
      <alignment horizontal="left" readingOrder="0" shrinkToFit="0" wrapText="0"/>
    </xf>
    <xf borderId="1" fillId="6" fontId="19" numFmtId="0" xfId="0" applyAlignment="1" applyBorder="1" applyFont="1">
      <alignment horizontal="left" readingOrder="0" shrinkToFit="0" wrapText="0"/>
    </xf>
    <xf borderId="1" fillId="6" fontId="10" numFmtId="0" xfId="0" applyAlignment="1" applyBorder="1" applyFont="1">
      <alignment horizontal="left" readingOrder="0" shrinkToFit="0" wrapText="0"/>
    </xf>
    <xf borderId="1" fillId="6" fontId="20" numFmtId="0" xfId="0" applyAlignment="1" applyBorder="1" applyFont="1">
      <alignment readingOrder="0" shrinkToFit="0" wrapText="0"/>
    </xf>
    <xf borderId="1" fillId="6" fontId="11" numFmtId="0" xfId="0" applyAlignment="1" applyBorder="1" applyFont="1">
      <alignment horizontal="left" readingOrder="0" shrinkToFit="0" wrapText="0"/>
    </xf>
    <xf borderId="1" fillId="6" fontId="21" numFmtId="0" xfId="0" applyAlignment="1" applyBorder="1" applyFont="1">
      <alignment readingOrder="0" shrinkToFit="0" wrapText="0"/>
    </xf>
    <xf borderId="1" fillId="6" fontId="12" numFmtId="0" xfId="0" applyAlignment="1" applyBorder="1" applyFont="1">
      <alignment horizontal="left" readingOrder="0" shrinkToFit="0" wrapText="0"/>
    </xf>
    <xf borderId="1" fillId="0" fontId="11" numFmtId="0" xfId="0" applyAlignment="1" applyBorder="1" applyFont="1">
      <alignment horizontal="left" vertical="bottom"/>
    </xf>
    <xf borderId="1" fillId="6" fontId="21" numFmtId="0" xfId="0" applyAlignment="1" applyBorder="1" applyFont="1">
      <alignment horizontal="left" readingOrder="0" shrinkToFit="0" wrapText="0"/>
    </xf>
    <xf borderId="1" fillId="6" fontId="22" numFmtId="0" xfId="0" applyAlignment="1" applyBorder="1" applyFont="1">
      <alignment horizontal="left" readingOrder="0" shrinkToFit="0" wrapText="0"/>
    </xf>
    <xf borderId="1" fillId="0" fontId="12" numFmtId="0" xfId="0" applyAlignment="1" applyBorder="1" applyFont="1">
      <alignment horizontal="left" readingOrder="0" shrinkToFit="0" wrapText="0"/>
    </xf>
    <xf borderId="1" fillId="0" fontId="18" numFmtId="0" xfId="0" applyAlignment="1" applyBorder="1" applyFont="1">
      <alignment horizontal="left" readingOrder="0" shrinkToFit="0" wrapText="0"/>
    </xf>
    <xf borderId="1" fillId="0" fontId="9" numFmtId="0" xfId="0" applyAlignment="1" applyBorder="1" applyFont="1">
      <alignment shrinkToFit="0" wrapText="0"/>
    </xf>
    <xf borderId="1" fillId="0" fontId="18" numFmtId="0" xfId="0" applyAlignment="1" applyBorder="1" applyFont="1">
      <alignment readingOrder="0" shrinkToFit="0" wrapText="0"/>
    </xf>
    <xf borderId="1" fillId="0" fontId="10" numFmtId="0" xfId="0" applyAlignment="1" applyBorder="1" applyFont="1">
      <alignment horizontal="left" readingOrder="0" shrinkToFit="0" wrapText="0"/>
    </xf>
    <xf borderId="1" fillId="0" fontId="21" numFmtId="0" xfId="0" applyAlignment="1" applyBorder="1" applyFont="1">
      <alignment horizontal="left" readingOrder="0" shrinkToFit="0" wrapText="0"/>
    </xf>
    <xf borderId="1" fillId="0" fontId="18" numFmtId="0" xfId="0" applyAlignment="1" applyBorder="1" applyFont="1">
      <alignment horizontal="left" shrinkToFit="0" wrapText="0"/>
    </xf>
    <xf borderId="1" fillId="6" fontId="23" numFmtId="0" xfId="0" applyAlignment="1" applyBorder="1" applyFont="1">
      <alignment horizontal="left" readingOrder="0" shrinkToFit="0" wrapText="0"/>
    </xf>
    <xf borderId="1" fillId="0" fontId="16" numFmtId="0" xfId="0" applyBorder="1" applyFont="1"/>
    <xf borderId="1" fillId="0" fontId="24" numFmtId="0" xfId="0" applyAlignment="1" applyBorder="1" applyFont="1">
      <alignment horizontal="left" readingOrder="0" shrinkToFit="0" wrapText="0"/>
    </xf>
    <xf borderId="1" fillId="0" fontId="23" numFmtId="0" xfId="0" applyAlignment="1" applyBorder="1" applyFont="1">
      <alignment horizontal="left" readingOrder="0" shrinkToFit="0" wrapText="0"/>
    </xf>
    <xf borderId="1" fillId="0" fontId="12" numFmtId="0" xfId="0" applyAlignment="1" applyBorder="1" applyFont="1">
      <alignment horizontal="left" shrinkToFit="0" wrapText="0"/>
    </xf>
    <xf borderId="1" fillId="0" fontId="25" numFmtId="0" xfId="0" applyAlignment="1" applyBorder="1" applyFont="1">
      <alignment horizontal="left" readingOrder="0" vertical="top"/>
    </xf>
    <xf borderId="1" fillId="0" fontId="12" numFmtId="0" xfId="0" applyAlignment="1" applyBorder="1" applyFont="1">
      <alignment readingOrder="0" vertical="top"/>
    </xf>
    <xf borderId="1" fillId="0" fontId="10" numFmtId="0" xfId="0" applyAlignment="1" applyBorder="1" applyFont="1">
      <alignment readingOrder="0" vertical="top"/>
    </xf>
    <xf borderId="1" fillId="0" fontId="26" numFmtId="0" xfId="0" applyAlignment="1" applyBorder="1" applyFont="1">
      <alignment horizontal="left" readingOrder="0" vertical="top"/>
    </xf>
    <xf borderId="1" fillId="0" fontId="27" numFmtId="0" xfId="0" applyAlignment="1" applyBorder="1" applyFont="1">
      <alignment readingOrder="0" vertical="top"/>
    </xf>
    <xf borderId="1" fillId="0" fontId="25" numFmtId="0" xfId="0" applyAlignment="1" applyBorder="1" applyFont="1">
      <alignment readingOrder="0" vertical="top"/>
    </xf>
    <xf borderId="1" fillId="0" fontId="28" numFmtId="0" xfId="0" applyAlignment="1" applyBorder="1" applyFont="1">
      <alignment horizontal="left" readingOrder="0" vertical="top"/>
    </xf>
    <xf borderId="1" fillId="4" fontId="9" numFmtId="0" xfId="0" applyAlignment="1" applyBorder="1" applyFont="1">
      <alignment horizontal="center" readingOrder="0" shrinkToFit="0" wrapText="0"/>
    </xf>
    <xf borderId="1" fillId="4" fontId="9" numFmtId="0" xfId="0" applyAlignment="1" applyBorder="1" applyFont="1">
      <alignment readingOrder="0" shrinkToFit="0" wrapText="0"/>
    </xf>
    <xf borderId="1" fillId="4" fontId="10" numFmtId="0" xfId="0" applyAlignment="1" applyBorder="1" applyFont="1">
      <alignment readingOrder="0" shrinkToFit="0" wrapText="0"/>
    </xf>
    <xf borderId="0" fillId="4" fontId="9" numFmtId="0" xfId="0" applyAlignment="1" applyFont="1">
      <alignment readingOrder="0" shrinkToFit="0" wrapText="0"/>
    </xf>
    <xf borderId="1" fillId="4" fontId="18" numFmtId="0" xfId="0" applyAlignment="1" applyBorder="1" applyFont="1">
      <alignment readingOrder="0" shrinkToFit="0" wrapText="0"/>
    </xf>
    <xf borderId="1" fillId="4" fontId="13" numFmtId="0" xfId="0" applyAlignment="1" applyBorder="1" applyFont="1">
      <alignment readingOrder="0"/>
    </xf>
    <xf borderId="1" fillId="4" fontId="16" numFmtId="0" xfId="0" applyAlignment="1" applyBorder="1" applyFont="1">
      <alignment readingOrder="0"/>
    </xf>
    <xf borderId="1" fillId="4" fontId="15" numFmtId="0" xfId="0" applyBorder="1" applyFont="1"/>
    <xf borderId="0" fillId="4" fontId="17" numFmtId="0" xfId="0" applyAlignment="1" applyFont="1">
      <alignment readingOrder="0"/>
    </xf>
    <xf borderId="0" fillId="4" fontId="17" numFmtId="0" xfId="0" applyFont="1"/>
    <xf borderId="0" fillId="4" fontId="17" numFmtId="164" xfId="0" applyAlignment="1" applyFont="1" applyNumberFormat="1">
      <alignment readingOrder="0"/>
    </xf>
    <xf borderId="1" fillId="10" fontId="9" numFmtId="0" xfId="0" applyAlignment="1" applyBorder="1" applyFill="1" applyFont="1">
      <alignment horizontal="center" readingOrder="0" shrinkToFit="0" wrapText="0"/>
    </xf>
    <xf borderId="1" fillId="10" fontId="9" numFmtId="0" xfId="0" applyAlignment="1" applyBorder="1" applyFont="1">
      <alignment readingOrder="0" shrinkToFit="0" wrapText="0"/>
    </xf>
    <xf borderId="1" fillId="10" fontId="18" numFmtId="0" xfId="0" applyAlignment="1" applyBorder="1" applyFont="1">
      <alignment readingOrder="0" shrinkToFit="0" wrapText="0"/>
    </xf>
    <xf borderId="1" fillId="10" fontId="13" numFmtId="0" xfId="0" applyAlignment="1" applyBorder="1" applyFont="1">
      <alignment readingOrder="0"/>
    </xf>
    <xf borderId="1" fillId="10" fontId="16" numFmtId="0" xfId="0" applyAlignment="1" applyBorder="1" applyFont="1">
      <alignment readingOrder="0"/>
    </xf>
    <xf borderId="1" fillId="10" fontId="15" numFmtId="0" xfId="0" applyAlignment="1" applyBorder="1" applyFont="1">
      <alignment readingOrder="0"/>
    </xf>
    <xf borderId="0" fillId="10" fontId="17" numFmtId="0" xfId="0" applyAlignment="1" applyFont="1">
      <alignment readingOrder="0"/>
    </xf>
    <xf borderId="0" fillId="10" fontId="17" numFmtId="0" xfId="0" applyFont="1"/>
    <xf borderId="0" fillId="10" fontId="17" numFmtId="164" xfId="0" applyAlignment="1" applyFont="1" applyNumberFormat="1">
      <alignment readingOrder="0"/>
    </xf>
    <xf borderId="0" fillId="4" fontId="16" numFmtId="0" xfId="0" applyAlignment="1" applyFont="1">
      <alignment readingOrder="0"/>
    </xf>
    <xf borderId="1" fillId="10" fontId="15" numFmtId="0" xfId="0" applyBorder="1" applyFont="1"/>
    <xf borderId="1" fillId="4" fontId="9" numFmtId="0" xfId="0" applyAlignment="1" applyBorder="1" applyFont="1">
      <alignment shrinkToFit="0" wrapText="0"/>
    </xf>
    <xf borderId="1" fillId="10" fontId="29" numFmtId="0" xfId="0" applyAlignment="1" applyBorder="1" applyFont="1">
      <alignment horizontal="center" readingOrder="0" shrinkToFit="0" wrapText="0"/>
    </xf>
    <xf borderId="1" fillId="4" fontId="12" numFmtId="0" xfId="0" applyAlignment="1" applyBorder="1" applyFont="1">
      <alignment readingOrder="0" shrinkToFit="0" wrapText="0"/>
    </xf>
    <xf borderId="0" fillId="0" fontId="9" numFmtId="0" xfId="0" applyAlignment="1" applyFont="1">
      <alignment horizontal="center" readingOrder="0" shrinkToFit="0" wrapText="0"/>
    </xf>
    <xf borderId="0" fillId="0" fontId="10" numFmtId="0" xfId="0" applyAlignment="1" applyFont="1">
      <alignment horizontal="center" readingOrder="0" shrinkToFit="0" wrapText="0"/>
    </xf>
    <xf borderId="0" fillId="0" fontId="9" numFmtId="0" xfId="0" applyAlignment="1" applyFont="1">
      <alignment shrinkToFit="0" wrapText="0"/>
    </xf>
    <xf borderId="0" fillId="0" fontId="9" numFmtId="0" xfId="0" applyAlignment="1" applyFont="1">
      <alignment readingOrder="0" shrinkToFit="0" wrapText="0"/>
    </xf>
    <xf borderId="0" fillId="0" fontId="18" numFmtId="0" xfId="0" applyAlignment="1" applyFont="1">
      <alignment shrinkToFit="0" wrapText="0"/>
    </xf>
    <xf borderId="0" fillId="7" fontId="13" numFmtId="0" xfId="0" applyFont="1"/>
    <xf borderId="0" fillId="0" fontId="16" numFmtId="0" xfId="0" applyFont="1"/>
    <xf borderId="0" fillId="0" fontId="15" numFmtId="0" xfId="0" applyFont="1"/>
    <xf borderId="0" fillId="0" fontId="17" numFmtId="0" xfId="0" applyAlignment="1" applyFont="1">
      <alignment horizontal="center" readingOrder="0"/>
    </xf>
    <xf borderId="1" fillId="0" fontId="17" numFmtId="0" xfId="0" applyAlignment="1" applyBorder="1" applyFont="1">
      <alignment horizontal="center" readingOrder="0"/>
    </xf>
    <xf borderId="0" fillId="6" fontId="12" numFmtId="0" xfId="0" applyAlignment="1" applyFont="1">
      <alignment readingOrder="0" shrinkToFit="0" wrapText="0"/>
    </xf>
    <xf borderId="1" fillId="0" fontId="17" numFmtId="0" xfId="0" applyAlignment="1" applyBorder="1" applyFont="1">
      <alignment readingOrder="0"/>
    </xf>
    <xf borderId="1" fillId="11" fontId="17" numFmtId="0" xfId="0" applyAlignment="1" applyBorder="1" applyFill="1" applyFont="1">
      <alignment readingOrder="0"/>
    </xf>
    <xf borderId="1" fillId="11" fontId="12" numFmtId="0" xfId="0" applyAlignment="1" applyBorder="1" applyFont="1">
      <alignment horizontal="left" readingOrder="0" shrinkToFit="0" wrapText="0"/>
    </xf>
    <xf borderId="1" fillId="11" fontId="12" numFmtId="0" xfId="0" applyAlignment="1" applyBorder="1" applyFont="1">
      <alignment readingOrder="0" shrinkToFit="0" wrapText="0"/>
    </xf>
    <xf borderId="1" fillId="0" fontId="17" numFmtId="0" xfId="0" applyBorder="1" applyFont="1"/>
    <xf borderId="1" fillId="11" fontId="18" numFmtId="0" xfId="0" applyAlignment="1" applyBorder="1" applyFont="1">
      <alignment readingOrder="0" shrinkToFit="0" wrapText="0"/>
    </xf>
    <xf borderId="0" fillId="0" fontId="12" numFmtId="0" xfId="0" applyAlignment="1" applyFont="1">
      <alignment horizontal="left" readingOrder="0" shrinkToFit="0" wrapText="0"/>
    </xf>
    <xf borderId="1" fillId="3" fontId="30" numFmtId="0" xfId="0" applyAlignment="1" applyBorder="1" applyFont="1">
      <alignment horizontal="center" readingOrder="0" shrinkToFit="0" wrapText="0"/>
    </xf>
    <xf borderId="1" fillId="3" fontId="30" numFmtId="49" xfId="0" applyAlignment="1" applyBorder="1" applyFont="1" applyNumberFormat="1">
      <alignment horizontal="center" readingOrder="0" shrinkToFit="0" wrapText="0"/>
    </xf>
    <xf borderId="1" fillId="3" fontId="23" numFmtId="0" xfId="0" applyAlignment="1" applyBorder="1" applyFont="1">
      <alignment horizontal="center" readingOrder="0" shrinkToFit="0" wrapText="0"/>
    </xf>
    <xf borderId="1" fillId="3" fontId="31" numFmtId="0" xfId="0" applyAlignment="1" applyBorder="1" applyFont="1">
      <alignment horizontal="center" readingOrder="0" shrinkToFit="0" wrapText="0"/>
    </xf>
    <xf borderId="0" fillId="0" fontId="23" numFmtId="0" xfId="0" applyAlignment="1" applyFont="1">
      <alignment shrinkToFit="0" wrapText="0"/>
    </xf>
    <xf borderId="1" fillId="0" fontId="19" numFmtId="0" xfId="0" applyAlignment="1" applyBorder="1" applyFont="1">
      <alignment horizontal="center" readingOrder="0" shrinkToFit="0" wrapText="0"/>
    </xf>
    <xf borderId="1" fillId="0" fontId="23" numFmtId="49" xfId="0" applyAlignment="1" applyBorder="1" applyFont="1" applyNumberFormat="1">
      <alignment readingOrder="0" shrinkToFit="0" wrapText="0"/>
    </xf>
    <xf borderId="1" fillId="0" fontId="32" numFmtId="165" xfId="0" applyAlignment="1" applyBorder="1" applyFont="1" applyNumberFormat="1">
      <alignment horizontal="center" readingOrder="0" shrinkToFit="0" vertical="bottom" wrapText="0"/>
    </xf>
    <xf borderId="1" fillId="6" fontId="23" numFmtId="0" xfId="0" applyAlignment="1" applyBorder="1" applyFont="1">
      <alignment horizontal="center" readingOrder="0" shrinkToFit="0" wrapText="0"/>
    </xf>
    <xf borderId="1" fillId="12" fontId="33" numFmtId="0" xfId="0" applyAlignment="1" applyBorder="1" applyFill="1" applyFont="1">
      <alignment horizontal="center" readingOrder="0"/>
    </xf>
    <xf borderId="1" fillId="0" fontId="23" numFmtId="0" xfId="0" applyAlignment="1" applyBorder="1" applyFont="1">
      <alignment horizontal="center" readingOrder="0" shrinkToFit="0" wrapText="0"/>
    </xf>
    <xf borderId="1" fillId="0" fontId="34" numFmtId="0" xfId="0" applyAlignment="1" applyBorder="1" applyFont="1">
      <alignment horizontal="center" readingOrder="0" shrinkToFit="0" wrapText="0"/>
    </xf>
    <xf borderId="1" fillId="0" fontId="35" numFmtId="0" xfId="0" applyAlignment="1" applyBorder="1" applyFont="1">
      <alignment horizontal="center" shrinkToFit="0" wrapText="0"/>
    </xf>
    <xf borderId="1" fillId="0" fontId="23" numFmtId="0" xfId="0" applyAlignment="1" applyBorder="1" applyFont="1">
      <alignment horizontal="center" shrinkToFit="0" wrapText="0"/>
    </xf>
    <xf borderId="0" fillId="0" fontId="36" numFmtId="49" xfId="0" applyAlignment="1" applyFont="1" applyNumberFormat="1">
      <alignment readingOrder="0"/>
    </xf>
    <xf borderId="1" fillId="6" fontId="19" numFmtId="0" xfId="0" applyAlignment="1" applyBorder="1" applyFont="1">
      <alignment horizontal="center" readingOrder="0" shrinkToFit="0" wrapText="0"/>
    </xf>
    <xf borderId="1" fillId="6" fontId="23" numFmtId="49" xfId="0" applyAlignment="1" applyBorder="1" applyFont="1" applyNumberFormat="1">
      <alignment readingOrder="0" shrinkToFit="0" wrapText="0"/>
    </xf>
    <xf borderId="1" fillId="6" fontId="32" numFmtId="165" xfId="0" applyAlignment="1" applyBorder="1" applyFont="1" applyNumberFormat="1">
      <alignment horizontal="center" readingOrder="0" shrinkToFit="0" vertical="bottom" wrapText="0"/>
    </xf>
    <xf borderId="1" fillId="0" fontId="37" numFmtId="0" xfId="0" applyAlignment="1" applyBorder="1" applyFont="1">
      <alignment horizontal="center" readingOrder="0" shrinkToFit="0" wrapText="0"/>
    </xf>
    <xf borderId="1" fillId="6" fontId="31" numFmtId="0" xfId="0" applyAlignment="1" applyBorder="1" applyFont="1">
      <alignment horizontal="center"/>
    </xf>
    <xf borderId="1" fillId="0" fontId="35" numFmtId="0" xfId="0" applyAlignment="1" applyBorder="1" applyFont="1">
      <alignment horizontal="center" readingOrder="0" shrinkToFit="0" wrapText="0"/>
    </xf>
    <xf borderId="1" fillId="0" fontId="23" numFmtId="49" xfId="0" applyAlignment="1" applyBorder="1" applyFont="1" applyNumberFormat="1">
      <alignment shrinkToFit="0" wrapText="0"/>
    </xf>
    <xf borderId="1" fillId="0" fontId="19" numFmtId="0" xfId="0" applyAlignment="1" applyBorder="1" applyFont="1">
      <alignment horizontal="center" readingOrder="0" shrinkToFit="0" vertical="center" wrapText="0"/>
    </xf>
    <xf borderId="1" fillId="0" fontId="23" numFmtId="49" xfId="0" applyAlignment="1" applyBorder="1" applyFont="1" applyNumberFormat="1">
      <alignment shrinkToFit="0" vertical="center" wrapText="0"/>
    </xf>
    <xf borderId="1" fillId="0" fontId="32" numFmtId="0" xfId="0" applyAlignment="1" applyBorder="1" applyFont="1">
      <alignment horizontal="center" readingOrder="0" shrinkToFit="0" vertical="center" wrapText="0"/>
    </xf>
    <xf borderId="1" fillId="0" fontId="23" numFmtId="0" xfId="0" applyAlignment="1" applyBorder="1" applyFont="1">
      <alignment horizontal="center" readingOrder="0" shrinkToFit="0" vertical="center" wrapText="0"/>
    </xf>
    <xf borderId="1" fillId="0" fontId="23" numFmtId="0" xfId="0" applyAlignment="1" applyBorder="1" applyFont="1">
      <alignment horizontal="center" readingOrder="0" vertical="center"/>
    </xf>
    <xf borderId="1" fillId="0" fontId="32" numFmtId="0" xfId="0" applyAlignment="1" applyBorder="1" applyFont="1">
      <alignment horizontal="center" readingOrder="0" shrinkToFit="0" vertical="bottom" wrapText="0"/>
    </xf>
    <xf borderId="1" fillId="0" fontId="38" numFmtId="0" xfId="0" applyAlignment="1" applyBorder="1" applyFont="1">
      <alignment horizontal="center" readingOrder="0" shrinkToFit="0" wrapText="0"/>
    </xf>
    <xf borderId="0" fillId="0" fontId="23" numFmtId="0" xfId="0" applyAlignment="1" applyFont="1">
      <alignment horizontal="center" readingOrder="0" shrinkToFit="0" wrapText="0"/>
    </xf>
    <xf borderId="1" fillId="13" fontId="39" numFmtId="0" xfId="0" applyAlignment="1" applyBorder="1" applyFill="1" applyFont="1">
      <alignment horizontal="center" readingOrder="0"/>
    </xf>
    <xf borderId="1" fillId="6" fontId="23" numFmtId="49" xfId="0" applyAlignment="1" applyBorder="1" applyFont="1" applyNumberFormat="1">
      <alignment shrinkToFit="0" wrapText="0"/>
    </xf>
    <xf borderId="1" fillId="0" fontId="31" numFmtId="0" xfId="0" applyAlignment="1" applyBorder="1" applyFont="1">
      <alignment horizontal="center" shrinkToFit="0" wrapText="0"/>
    </xf>
    <xf borderId="1" fillId="0" fontId="32" numFmtId="0" xfId="0" applyAlignment="1" applyBorder="1" applyFont="1">
      <alignment horizontal="center" readingOrder="0" shrinkToFit="0" wrapText="0"/>
    </xf>
    <xf borderId="0" fillId="0" fontId="23" numFmtId="0" xfId="0" applyAlignment="1" applyFont="1">
      <alignment readingOrder="0" shrinkToFit="0" wrapText="0"/>
    </xf>
    <xf borderId="1" fillId="6" fontId="32" numFmtId="0" xfId="0" applyAlignment="1" applyBorder="1" applyFont="1">
      <alignment horizontal="center" readingOrder="0" shrinkToFit="0" vertical="bottom" wrapText="0"/>
    </xf>
    <xf borderId="0" fillId="0" fontId="40" numFmtId="0" xfId="0" applyAlignment="1" applyFont="1">
      <alignment readingOrder="0"/>
    </xf>
    <xf borderId="1" fillId="12" fontId="23" numFmtId="0" xfId="0" applyAlignment="1" applyBorder="1" applyFont="1">
      <alignment horizontal="center" readingOrder="0" shrinkToFit="0" wrapText="0"/>
    </xf>
    <xf borderId="1" fillId="0" fontId="31" numFmtId="0" xfId="0" applyAlignment="1" applyBorder="1" applyFont="1">
      <alignment horizontal="center" readingOrder="0" shrinkToFit="0" wrapText="0"/>
    </xf>
    <xf borderId="1" fillId="0" fontId="29" numFmtId="0" xfId="0" applyAlignment="1" applyBorder="1" applyFont="1">
      <alignment horizontal="center" readingOrder="0" shrinkToFit="0" wrapText="0"/>
    </xf>
    <xf borderId="1" fillId="0" fontId="19" numFmtId="49" xfId="0" applyAlignment="1" applyBorder="1" applyFont="1" applyNumberFormat="1">
      <alignment readingOrder="0" shrinkToFit="0" wrapText="0"/>
    </xf>
    <xf borderId="1" fillId="0" fontId="19" numFmtId="0" xfId="0" applyAlignment="1" applyBorder="1" applyFont="1">
      <alignment horizontal="center" shrinkToFit="0" wrapText="0"/>
    </xf>
    <xf borderId="1" fillId="6" fontId="31" numFmtId="0" xfId="0" applyAlignment="1" applyBorder="1" applyFont="1">
      <alignment horizontal="center" shrinkToFit="0" wrapText="0"/>
    </xf>
    <xf borderId="0" fillId="0" fontId="19" numFmtId="0" xfId="0" applyAlignment="1" applyFont="1">
      <alignment horizontal="center" readingOrder="0" shrinkToFit="0" wrapText="0"/>
    </xf>
    <xf borderId="1" fillId="14" fontId="23" numFmtId="0" xfId="0" applyAlignment="1" applyBorder="1" applyFill="1" applyFont="1">
      <alignment horizontal="center" readingOrder="0" shrinkToFit="0" wrapText="0"/>
    </xf>
    <xf borderId="1" fillId="15" fontId="19" numFmtId="0" xfId="0" applyAlignment="1" applyBorder="1" applyFill="1" applyFont="1">
      <alignment horizontal="center" readingOrder="0" shrinkToFit="0" wrapText="0"/>
    </xf>
    <xf borderId="1" fillId="15" fontId="23" numFmtId="49" xfId="0" applyAlignment="1" applyBorder="1" applyFont="1" applyNumberFormat="1">
      <alignment shrinkToFit="0" wrapText="0"/>
    </xf>
    <xf borderId="1" fillId="15" fontId="32" numFmtId="165" xfId="0" applyAlignment="1" applyBorder="1" applyFont="1" applyNumberFormat="1">
      <alignment horizontal="center" readingOrder="0" shrinkToFit="0" vertical="bottom" wrapText="0"/>
    </xf>
    <xf borderId="1" fillId="15" fontId="23" numFmtId="0" xfId="0" applyAlignment="1" applyBorder="1" applyFont="1">
      <alignment horizontal="center" readingOrder="0" shrinkToFit="0" wrapText="0"/>
    </xf>
    <xf borderId="1" fillId="15" fontId="41" numFmtId="0" xfId="0" applyAlignment="1" applyBorder="1" applyFont="1">
      <alignment horizontal="center" readingOrder="0" shrinkToFit="0" wrapText="0"/>
    </xf>
    <xf borderId="1" fillId="15" fontId="31" numFmtId="0" xfId="0" applyAlignment="1" applyBorder="1" applyFont="1">
      <alignment horizontal="center" readingOrder="0"/>
    </xf>
    <xf borderId="1" fillId="0" fontId="31" numFmtId="0" xfId="0" applyAlignment="1" applyBorder="1" applyFont="1">
      <alignment horizontal="center"/>
    </xf>
    <xf borderId="1" fillId="0" fontId="32" numFmtId="165" xfId="0" applyAlignment="1" applyBorder="1" applyFont="1" applyNumberFormat="1">
      <alignment horizontal="center" readingOrder="0" shrinkToFit="0" wrapText="0"/>
    </xf>
    <xf borderId="1" fillId="0" fontId="42" numFmtId="0" xfId="0" applyAlignment="1" applyBorder="1" applyFont="1">
      <alignment horizontal="center" shrinkToFit="0" wrapText="0"/>
    </xf>
    <xf borderId="1" fillId="12" fontId="31" numFmtId="0" xfId="0" applyAlignment="1" applyBorder="1" applyFont="1">
      <alignment horizontal="center" readingOrder="0" shrinkToFit="0" wrapText="0"/>
    </xf>
    <xf borderId="1" fillId="6" fontId="23" numFmtId="0" xfId="0" applyAlignment="1" applyBorder="1" applyFont="1">
      <alignment horizontal="center" shrinkToFit="0" wrapText="0"/>
    </xf>
    <xf borderId="1" fillId="6" fontId="43" numFmtId="0" xfId="0" applyAlignment="1" applyBorder="1" applyFont="1">
      <alignment horizontal="center" readingOrder="0" shrinkToFit="0" wrapText="0"/>
    </xf>
    <xf borderId="1" fillId="0" fontId="23" numFmtId="49" xfId="0" applyAlignment="1" applyBorder="1" applyFont="1" applyNumberFormat="1">
      <alignment horizontal="center" readingOrder="0" shrinkToFit="0" wrapText="0"/>
    </xf>
    <xf borderId="1" fillId="0" fontId="23" numFmtId="0" xfId="0" applyAlignment="1" applyBorder="1" applyFont="1">
      <alignment horizontal="center" readingOrder="0"/>
    </xf>
    <xf borderId="1" fillId="0" fontId="44" numFmtId="0" xfId="0" applyAlignment="1" applyBorder="1" applyFont="1">
      <alignment horizontal="center" readingOrder="0"/>
    </xf>
    <xf borderId="0" fillId="0" fontId="11" numFmtId="0" xfId="0" applyAlignment="1" applyFont="1">
      <alignment vertical="bottom"/>
    </xf>
    <xf borderId="1" fillId="0" fontId="23" numFmtId="49" xfId="0" applyAlignment="1" applyBorder="1" applyFont="1" applyNumberFormat="1">
      <alignment horizontal="center" shrinkToFit="0" wrapText="0"/>
    </xf>
    <xf borderId="1" fillId="0" fontId="23" numFmtId="0" xfId="0" applyAlignment="1" applyBorder="1" applyFont="1">
      <alignment horizontal="center" readingOrder="0" shrinkToFit="0" wrapText="0"/>
    </xf>
    <xf borderId="1" fillId="0" fontId="23" numFmtId="0" xfId="0" applyAlignment="1" applyBorder="1" applyFont="1">
      <alignment horizontal="center" readingOrder="0" vertical="top"/>
    </xf>
    <xf borderId="1" fillId="0" fontId="19" numFmtId="49" xfId="0" applyAlignment="1" applyBorder="1" applyFont="1" applyNumberFormat="1">
      <alignment horizontal="center" readingOrder="0" shrinkToFit="0" wrapText="0"/>
    </xf>
    <xf borderId="0" fillId="0" fontId="16" numFmtId="0" xfId="0" applyAlignment="1" applyFont="1">
      <alignment horizontal="center" readingOrder="0"/>
    </xf>
    <xf borderId="0" fillId="0" fontId="16" numFmtId="0" xfId="0" applyAlignment="1" applyFont="1">
      <alignment readingOrder="0"/>
    </xf>
    <xf borderId="1" fillId="0" fontId="19" numFmtId="49" xfId="0" applyAlignment="1" applyBorder="1" applyFont="1" applyNumberFormat="1">
      <alignment horizontal="center" shrinkToFit="0" wrapText="0"/>
    </xf>
    <xf borderId="0" fillId="0" fontId="19" numFmtId="49" xfId="0" applyAlignment="1" applyFont="1" applyNumberFormat="1">
      <alignment horizontal="center" shrinkToFit="0" wrapText="0"/>
    </xf>
    <xf borderId="0" fillId="0" fontId="32" numFmtId="0" xfId="0" applyAlignment="1" applyFont="1">
      <alignment horizontal="center" readingOrder="0" shrinkToFit="0" vertical="bottom" wrapText="0"/>
    </xf>
    <xf borderId="0" fillId="0" fontId="45" numFmtId="0" xfId="0" applyAlignment="1" applyFont="1">
      <alignment readingOrder="0"/>
    </xf>
    <xf borderId="0" fillId="0" fontId="17" numFmtId="49" xfId="0" applyAlignment="1" applyFont="1" applyNumberFormat="1">
      <alignment readingOrder="0"/>
    </xf>
    <xf quotePrefix="1" borderId="1" fillId="16" fontId="46" numFmtId="49" xfId="0" applyAlignment="1" applyBorder="1" applyFill="1" applyFont="1" applyNumberFormat="1">
      <alignment readingOrder="0" shrinkToFit="0" wrapText="0"/>
    </xf>
    <xf borderId="0" fillId="0" fontId="17" numFmtId="49" xfId="0" applyFont="1" applyNumberFormat="1"/>
    <xf borderId="2" fillId="3" fontId="30" numFmtId="0" xfId="0" applyAlignment="1" applyBorder="1" applyFont="1">
      <alignment horizontal="center" readingOrder="0" shrinkToFit="0" wrapText="0"/>
    </xf>
    <xf borderId="3" fillId="3" fontId="30" numFmtId="0" xfId="0" applyAlignment="1" applyBorder="1" applyFont="1">
      <alignment horizontal="center" readingOrder="0" shrinkToFit="0" wrapText="0"/>
    </xf>
    <xf borderId="4" fillId="3" fontId="30" numFmtId="0" xfId="0" applyAlignment="1" applyBorder="1" applyFont="1">
      <alignment horizontal="center" readingOrder="0" shrinkToFit="0" wrapText="0"/>
    </xf>
    <xf borderId="5" fillId="3" fontId="31" numFmtId="0" xfId="0" applyAlignment="1" applyBorder="1" applyFont="1">
      <alignment horizontal="center" readingOrder="0" shrinkToFit="0" wrapText="0"/>
    </xf>
    <xf borderId="1" fillId="0" fontId="23" numFmtId="0" xfId="0" applyAlignment="1" applyBorder="1" applyFont="1">
      <alignment horizontal="center" shrinkToFit="0" wrapText="0"/>
    </xf>
    <xf borderId="1" fillId="3" fontId="30" numFmtId="0" xfId="0" applyAlignment="1" applyBorder="1" applyFont="1">
      <alignment horizontal="center" shrinkToFit="0" wrapText="0"/>
    </xf>
    <xf borderId="1" fillId="17" fontId="20" numFmtId="0" xfId="0" applyAlignment="1" applyBorder="1" applyFill="1" applyFont="1">
      <alignment horizontal="center" shrinkToFit="0" wrapText="0"/>
    </xf>
    <xf borderId="1" fillId="17" fontId="23" numFmtId="0" xfId="0" applyAlignment="1" applyBorder="1" applyFont="1">
      <alignment horizontal="center" shrinkToFit="0" wrapText="0"/>
    </xf>
    <xf borderId="1" fillId="17" fontId="23" numFmtId="0" xfId="0" applyAlignment="1" applyBorder="1" applyFont="1">
      <alignment shrinkToFit="0" wrapText="0"/>
    </xf>
    <xf borderId="0" fillId="17" fontId="30" numFmtId="0" xfId="0" applyAlignment="1" applyFont="1">
      <alignment horizontal="center" shrinkToFit="0" wrapText="0"/>
    </xf>
    <xf borderId="0" fillId="17" fontId="31" numFmtId="0" xfId="0" applyAlignment="1" applyFont="1">
      <alignment horizontal="center" shrinkToFit="0" wrapText="0"/>
    </xf>
    <xf borderId="1" fillId="17" fontId="31" numFmtId="0" xfId="0" applyAlignment="1" applyBorder="1" applyFont="1">
      <alignment horizontal="center" shrinkToFit="0" wrapText="0"/>
    </xf>
    <xf borderId="1" fillId="0" fontId="20" numFmtId="0" xfId="0" applyAlignment="1" applyBorder="1" applyFont="1">
      <alignment horizontal="center" readingOrder="0" shrinkToFit="0" wrapText="0"/>
    </xf>
    <xf borderId="1" fillId="0" fontId="20" numFmtId="166" xfId="0" applyAlignment="1" applyBorder="1" applyFont="1" applyNumberFormat="1">
      <alignment horizontal="center" readingOrder="0" shrinkToFit="0" wrapText="0"/>
    </xf>
    <xf borderId="1" fillId="12" fontId="20" numFmtId="0" xfId="0" applyAlignment="1" applyBorder="1" applyFont="1">
      <alignment horizontal="center" readingOrder="0" shrinkToFit="0" wrapText="0"/>
    </xf>
    <xf borderId="1" fillId="0" fontId="23" numFmtId="0" xfId="0" applyAlignment="1" applyBorder="1" applyFont="1">
      <alignment readingOrder="0" shrinkToFit="0" wrapText="0"/>
    </xf>
    <xf borderId="1" fillId="0" fontId="10" numFmtId="0" xfId="0" applyAlignment="1" applyBorder="1" applyFont="1">
      <alignment readingOrder="0" vertical="top"/>
    </xf>
    <xf borderId="6" fillId="0" fontId="31" numFmtId="0" xfId="0" applyAlignment="1" applyBorder="1" applyFont="1">
      <alignment horizontal="center" readingOrder="0" shrinkToFit="0" wrapText="0"/>
    </xf>
    <xf borderId="7" fillId="0" fontId="20" numFmtId="0" xfId="0" applyAlignment="1" applyBorder="1" applyFont="1">
      <alignment horizontal="center" readingOrder="0" shrinkToFit="0" wrapText="0"/>
    </xf>
    <xf borderId="7" fillId="0" fontId="20" numFmtId="166" xfId="0" applyAlignment="1" applyBorder="1" applyFont="1" applyNumberFormat="1">
      <alignment horizontal="center" readingOrder="0" shrinkToFit="0" wrapText="0"/>
    </xf>
    <xf borderId="7" fillId="0" fontId="20" numFmtId="0" xfId="0" applyAlignment="1" applyBorder="1" applyFont="1">
      <alignment horizontal="center" readingOrder="0"/>
    </xf>
    <xf borderId="6" fillId="0" fontId="23" numFmtId="0" xfId="0" applyAlignment="1" applyBorder="1" applyFont="1">
      <alignment horizontal="center" readingOrder="0" shrinkToFit="0" wrapText="0"/>
    </xf>
    <xf borderId="2" fillId="0" fontId="20" numFmtId="0" xfId="0" applyAlignment="1" applyBorder="1" applyFont="1">
      <alignment horizontal="center" readingOrder="0" shrinkToFit="0" wrapText="0"/>
    </xf>
    <xf borderId="1" fillId="0" fontId="23" numFmtId="0" xfId="0" applyAlignment="1" applyBorder="1" applyFont="1">
      <alignment shrinkToFit="0" wrapText="0"/>
    </xf>
    <xf borderId="6" fillId="0" fontId="23" numFmtId="0" xfId="0" applyAlignment="1" applyBorder="1" applyFont="1">
      <alignment horizontal="center" shrinkToFit="0" wrapText="0"/>
    </xf>
    <xf borderId="8" fillId="0" fontId="20" numFmtId="0" xfId="0" applyAlignment="1" applyBorder="1" applyFont="1">
      <alignment horizontal="center" readingOrder="0" shrinkToFit="0" wrapText="0"/>
    </xf>
    <xf borderId="8" fillId="0" fontId="23" numFmtId="0" xfId="0" applyAlignment="1" applyBorder="1" applyFont="1">
      <alignment readingOrder="0" shrinkToFit="0" wrapText="0"/>
    </xf>
    <xf borderId="1" fillId="0" fontId="31" numFmtId="0" xfId="0" applyAlignment="1" applyBorder="1" applyFont="1">
      <alignment shrinkToFit="0" wrapText="0"/>
    </xf>
    <xf borderId="6" fillId="0" fontId="31" numFmtId="0" xfId="0" applyAlignment="1" applyBorder="1" applyFont="1">
      <alignment horizontal="center" shrinkToFit="0" wrapText="0"/>
    </xf>
    <xf borderId="1" fillId="0" fontId="20" numFmtId="0" xfId="0" applyAlignment="1" applyBorder="1" applyFont="1">
      <alignment horizontal="center" readingOrder="0"/>
    </xf>
    <xf borderId="1" fillId="0" fontId="47" numFmtId="0" xfId="0" applyAlignment="1" applyBorder="1" applyFont="1">
      <alignment readingOrder="0" shrinkToFit="0" wrapText="0"/>
    </xf>
    <xf borderId="1" fillId="6" fontId="23" numFmtId="0" xfId="0" applyAlignment="1" applyBorder="1" applyFont="1">
      <alignment horizontal="center" readingOrder="0" shrinkToFit="0" vertical="center" wrapText="0"/>
    </xf>
    <xf borderId="1" fillId="6" fontId="20" numFmtId="0" xfId="0" applyAlignment="1" applyBorder="1" applyFont="1">
      <alignment horizontal="center" readingOrder="0" shrinkToFit="0" vertical="center" wrapText="0"/>
    </xf>
    <xf borderId="1" fillId="6" fontId="20" numFmtId="166" xfId="0" applyAlignment="1" applyBorder="1" applyFont="1" applyNumberFormat="1">
      <alignment horizontal="center" readingOrder="0" shrinkToFit="0" vertical="center" wrapText="0"/>
    </xf>
    <xf borderId="1" fillId="6" fontId="20" numFmtId="0" xfId="0" applyAlignment="1" applyBorder="1" applyFont="1">
      <alignment horizontal="center" readingOrder="0" vertical="center"/>
    </xf>
    <xf borderId="1" fillId="0" fontId="23" numFmtId="0" xfId="0" applyAlignment="1" applyBorder="1" applyFont="1">
      <alignment horizontal="center" shrinkToFit="0" vertical="center" wrapText="0"/>
    </xf>
    <xf borderId="1" fillId="0" fontId="23" numFmtId="0" xfId="0" applyAlignment="1" applyBorder="1" applyFont="1">
      <alignment readingOrder="0" shrinkToFit="0" vertical="center" wrapText="0"/>
    </xf>
    <xf borderId="1" fillId="0" fontId="10" numFmtId="0" xfId="0" applyAlignment="1" applyBorder="1" applyFont="1">
      <alignment readingOrder="0" vertical="center"/>
    </xf>
    <xf borderId="1" fillId="6" fontId="31" numFmtId="0" xfId="0" applyAlignment="1" applyBorder="1" applyFont="1">
      <alignment readingOrder="0" shrinkToFit="0" vertical="center" wrapText="0"/>
    </xf>
    <xf borderId="6" fillId="6" fontId="31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readingOrder="0" shrinkToFit="0" wrapText="0"/>
    </xf>
    <xf borderId="1" fillId="0" fontId="10" numFmtId="0" xfId="0" applyAlignment="1" applyBorder="1" applyFont="1">
      <alignment vertical="top"/>
    </xf>
    <xf borderId="9" fillId="0" fontId="20" numFmtId="0" xfId="0" applyAlignment="1" applyBorder="1" applyFont="1">
      <alignment horizontal="center" readingOrder="0" shrinkToFit="0" wrapText="0"/>
    </xf>
    <xf borderId="1" fillId="6" fontId="20" numFmtId="0" xfId="0" applyAlignment="1" applyBorder="1" applyFont="1">
      <alignment horizontal="center" readingOrder="0" shrinkToFit="0" wrapText="0"/>
    </xf>
    <xf borderId="1" fillId="6" fontId="23" numFmtId="0" xfId="0" applyAlignment="1" applyBorder="1" applyFont="1">
      <alignment horizontal="center" shrinkToFit="0" wrapText="0"/>
    </xf>
    <xf borderId="7" fillId="0" fontId="23" numFmtId="0" xfId="0" applyAlignment="1" applyBorder="1" applyFont="1">
      <alignment readingOrder="0" shrinkToFit="0" wrapText="0"/>
    </xf>
    <xf borderId="1" fillId="0" fontId="10" numFmtId="0" xfId="0" applyAlignment="1" applyBorder="1" applyFont="1">
      <alignment horizontal="center" readingOrder="0" vertical="top"/>
    </xf>
    <xf borderId="1" fillId="6" fontId="23" numFmtId="0" xfId="0" applyAlignment="1" applyBorder="1" applyFont="1">
      <alignment readingOrder="0" shrinkToFit="0" wrapText="0"/>
    </xf>
    <xf borderId="1" fillId="15" fontId="23" numFmtId="0" xfId="0" applyAlignment="1" applyBorder="1" applyFont="1">
      <alignment readingOrder="0" shrinkToFit="0" wrapText="0"/>
    </xf>
    <xf borderId="1" fillId="6" fontId="20" numFmtId="166" xfId="0" applyAlignment="1" applyBorder="1" applyFont="1" applyNumberFormat="1">
      <alignment horizontal="center" readingOrder="0" shrinkToFit="0" wrapText="0"/>
    </xf>
    <xf borderId="1" fillId="6" fontId="20" numFmtId="0" xfId="0" applyAlignment="1" applyBorder="1" applyFont="1">
      <alignment horizontal="center" readingOrder="0"/>
    </xf>
    <xf borderId="7" fillId="6" fontId="20" numFmtId="0" xfId="0" applyAlignment="1" applyBorder="1" applyFont="1">
      <alignment horizontal="center" readingOrder="0" shrinkToFit="0" wrapText="0"/>
    </xf>
    <xf borderId="2" fillId="6" fontId="20" numFmtId="0" xfId="0" applyAlignment="1" applyBorder="1" applyFont="1">
      <alignment horizontal="center" readingOrder="0" shrinkToFit="0" wrapText="0"/>
    </xf>
    <xf borderId="2" fillId="0" fontId="20" numFmtId="166" xfId="0" applyAlignment="1" applyBorder="1" applyFont="1" applyNumberFormat="1">
      <alignment horizontal="center" readingOrder="0" shrinkToFit="0" wrapText="0"/>
    </xf>
    <xf borderId="2" fillId="0" fontId="20" numFmtId="0" xfId="0" applyAlignment="1" applyBorder="1" applyFont="1">
      <alignment horizontal="center" readingOrder="0"/>
    </xf>
    <xf borderId="2" fillId="0" fontId="23" numFmtId="0" xfId="0" applyAlignment="1" applyBorder="1" applyFont="1">
      <alignment readingOrder="0" shrinkToFit="0" wrapText="0"/>
    </xf>
    <xf borderId="1" fillId="15" fontId="20" numFmtId="0" xfId="0" applyAlignment="1" applyBorder="1" applyFont="1">
      <alignment horizontal="center" readingOrder="0" shrinkToFit="0" wrapText="0"/>
    </xf>
    <xf borderId="1" fillId="15" fontId="20" numFmtId="166" xfId="0" applyAlignment="1" applyBorder="1" applyFont="1" applyNumberFormat="1">
      <alignment horizontal="center" readingOrder="0" shrinkToFit="0" wrapText="0"/>
    </xf>
    <xf borderId="1" fillId="15" fontId="20" numFmtId="0" xfId="0" applyAlignment="1" applyBorder="1" applyFont="1">
      <alignment horizontal="center" readingOrder="0"/>
    </xf>
    <xf borderId="1" fillId="6" fontId="48" numFmtId="0" xfId="0" applyAlignment="1" applyBorder="1" applyFont="1">
      <alignment readingOrder="0" shrinkToFit="0" wrapText="0"/>
    </xf>
    <xf borderId="1" fillId="18" fontId="20" numFmtId="0" xfId="0" applyAlignment="1" applyBorder="1" applyFill="1" applyFont="1">
      <alignment horizontal="center" readingOrder="0" shrinkToFit="0" wrapText="0"/>
    </xf>
    <xf borderId="1" fillId="18" fontId="20" numFmtId="166" xfId="0" applyAlignment="1" applyBorder="1" applyFont="1" applyNumberFormat="1">
      <alignment horizontal="center" readingOrder="0" shrinkToFit="0" wrapText="0"/>
    </xf>
    <xf borderId="1" fillId="18" fontId="20" numFmtId="0" xfId="0" applyAlignment="1" applyBorder="1" applyFont="1">
      <alignment horizontal="center" readingOrder="0"/>
    </xf>
    <xf borderId="1" fillId="18" fontId="23" numFmtId="0" xfId="0" applyAlignment="1" applyBorder="1" applyFont="1">
      <alignment horizontal="center" shrinkToFit="0" wrapText="0"/>
    </xf>
    <xf borderId="1" fillId="18" fontId="23" numFmtId="0" xfId="0" applyAlignment="1" applyBorder="1" applyFont="1">
      <alignment readingOrder="0" shrinkToFit="0" wrapText="0"/>
    </xf>
    <xf borderId="1" fillId="18" fontId="39" numFmtId="0" xfId="0" applyAlignment="1" applyBorder="1" applyFont="1">
      <alignment readingOrder="0" shrinkToFit="0" wrapText="0"/>
    </xf>
    <xf borderId="6" fillId="18" fontId="23" numFmtId="0" xfId="0" applyAlignment="1" applyBorder="1" applyFont="1">
      <alignment horizontal="center" shrinkToFit="0" wrapText="0"/>
    </xf>
    <xf borderId="1" fillId="4" fontId="23" numFmtId="0" xfId="0" applyAlignment="1" applyBorder="1" applyFont="1">
      <alignment horizontal="center" readingOrder="0" shrinkToFit="0" wrapText="0"/>
    </xf>
    <xf borderId="1" fillId="4" fontId="20" numFmtId="0" xfId="0" applyAlignment="1" applyBorder="1" applyFont="1">
      <alignment horizontal="center" readingOrder="0" shrinkToFit="0" wrapText="0"/>
    </xf>
    <xf borderId="1" fillId="4" fontId="20" numFmtId="166" xfId="0" applyAlignment="1" applyBorder="1" applyFont="1" applyNumberFormat="1">
      <alignment horizontal="center" readingOrder="0" shrinkToFit="0" wrapText="0"/>
    </xf>
    <xf borderId="1" fillId="4" fontId="23" numFmtId="0" xfId="0" applyAlignment="1" applyBorder="1" applyFont="1">
      <alignment readingOrder="0" shrinkToFit="0" wrapText="0"/>
    </xf>
    <xf borderId="6" fillId="4" fontId="23" numFmtId="0" xfId="0" applyAlignment="1" applyBorder="1" applyFont="1">
      <alignment horizontal="center" readingOrder="0" shrinkToFit="0" wrapText="0"/>
    </xf>
    <xf borderId="8" fillId="0" fontId="23" numFmtId="0" xfId="0" applyAlignment="1" applyBorder="1" applyFont="1">
      <alignment shrinkToFit="0" wrapText="0"/>
    </xf>
    <xf borderId="0" fillId="6" fontId="49" numFmtId="0" xfId="0" applyAlignment="1" applyFont="1">
      <alignment readingOrder="0"/>
    </xf>
    <xf borderId="6" fillId="6" fontId="23" numFmtId="0" xfId="0" applyAlignment="1" applyBorder="1" applyFont="1">
      <alignment horizontal="center" readingOrder="0" shrinkToFit="0" wrapText="0"/>
    </xf>
    <xf borderId="1" fillId="0" fontId="50" numFmtId="0" xfId="0" applyAlignment="1" applyBorder="1" applyFont="1">
      <alignment readingOrder="0" shrinkToFit="0" wrapText="0"/>
    </xf>
    <xf borderId="1" fillId="6" fontId="19" numFmtId="0" xfId="0" applyAlignment="1" applyBorder="1" applyFont="1">
      <alignment horizontal="center" shrinkToFit="0" wrapText="0"/>
    </xf>
    <xf borderId="1" fillId="6" fontId="19" numFmtId="167" xfId="0" applyAlignment="1" applyBorder="1" applyFont="1" applyNumberFormat="1">
      <alignment horizontal="center" readingOrder="0" shrinkToFit="0" wrapText="0"/>
    </xf>
    <xf borderId="1" fillId="6" fontId="19" numFmtId="168" xfId="0" applyAlignment="1" applyBorder="1" applyFont="1" applyNumberFormat="1">
      <alignment horizontal="center" readingOrder="0" shrinkToFit="0" wrapText="0"/>
    </xf>
    <xf borderId="1" fillId="0" fontId="17" numFmtId="164" xfId="0" applyAlignment="1" applyBorder="1" applyFont="1" applyNumberFormat="1">
      <alignment horizontal="center" readingOrder="0"/>
    </xf>
    <xf borderId="1" fillId="0" fontId="17" numFmtId="0" xfId="0" applyAlignment="1" applyBorder="1" applyFont="1">
      <alignment horizontal="center"/>
    </xf>
    <xf borderId="0" fillId="0" fontId="20" numFmtId="0" xfId="0" applyAlignment="1" applyFont="1">
      <alignment shrinkToFit="0" wrapText="0"/>
    </xf>
    <xf borderId="4" fillId="3" fontId="51" numFmtId="0" xfId="0" applyAlignment="1" applyBorder="1" applyFont="1">
      <alignment horizontal="center" readingOrder="0" shrinkToFit="0" wrapText="0"/>
    </xf>
    <xf borderId="1" fillId="3" fontId="51" numFmtId="0" xfId="0" applyAlignment="1" applyBorder="1" applyFont="1">
      <alignment horizontal="center" readingOrder="0" shrinkToFit="0" wrapText="0"/>
    </xf>
    <xf borderId="1" fillId="3" fontId="52" numFmtId="0" xfId="0" applyAlignment="1" applyBorder="1" applyFont="1">
      <alignment horizontal="center" readingOrder="0" shrinkToFit="0" wrapText="0"/>
    </xf>
    <xf borderId="2" fillId="3" fontId="51" numFmtId="0" xfId="0" applyAlignment="1" applyBorder="1" applyFont="1">
      <alignment horizontal="center" readingOrder="0" shrinkToFit="0" wrapText="0"/>
    </xf>
    <xf borderId="7" fillId="3" fontId="51" numFmtId="0" xfId="0" applyAlignment="1" applyBorder="1" applyFont="1">
      <alignment horizontal="center" readingOrder="0" shrinkToFit="0" wrapText="0"/>
    </xf>
    <xf borderId="0" fillId="0" fontId="20" numFmtId="0" xfId="0" applyAlignment="1" applyFont="1">
      <alignment horizontal="center" readingOrder="0" shrinkToFit="0" wrapText="0"/>
    </xf>
    <xf borderId="1" fillId="0" fontId="20" numFmtId="0" xfId="0" applyAlignment="1" applyBorder="1" applyFont="1">
      <alignment horizontal="center" shrinkToFit="0" wrapText="0"/>
    </xf>
    <xf borderId="0" fillId="0" fontId="53" numFmtId="0" xfId="0" applyAlignment="1" applyFont="1">
      <alignment horizontal="center" readingOrder="0"/>
    </xf>
    <xf borderId="1" fillId="16" fontId="20" numFmtId="0" xfId="0" applyAlignment="1" applyBorder="1" applyFont="1">
      <alignment horizontal="center" readingOrder="0" shrinkToFit="0" wrapText="0"/>
    </xf>
    <xf borderId="1" fillId="0" fontId="20" numFmtId="0" xfId="0" applyAlignment="1" applyBorder="1" applyFont="1">
      <alignment shrinkToFit="0" wrapText="0"/>
    </xf>
    <xf borderId="1" fillId="0" fontId="20" numFmtId="0" xfId="0" applyAlignment="1" applyBorder="1" applyFont="1">
      <alignment readingOrder="0" shrinkToFit="0" wrapText="0"/>
    </xf>
    <xf borderId="0" fillId="0" fontId="17" numFmtId="0" xfId="0" applyFont="1"/>
    <xf borderId="1" fillId="0" fontId="20" numFmtId="167" xfId="0" applyAlignment="1" applyBorder="1" applyFont="1" applyNumberFormat="1">
      <alignment horizontal="center" readingOrder="0" shrinkToFit="0" wrapText="0"/>
    </xf>
    <xf borderId="1" fillId="19" fontId="20" numFmtId="0" xfId="0" applyAlignment="1" applyBorder="1" applyFill="1" applyFont="1">
      <alignment horizontal="center" readingOrder="0" shrinkToFit="0" wrapText="0"/>
    </xf>
    <xf borderId="1" fillId="0" fontId="20" numFmtId="0" xfId="0" applyAlignment="1" applyBorder="1" applyFont="1">
      <alignment horizontal="center" shrinkToFit="0" wrapText="0"/>
    </xf>
    <xf borderId="1" fillId="20" fontId="20" numFmtId="0" xfId="0" applyAlignment="1" applyBorder="1" applyFill="1" applyFont="1">
      <alignment horizontal="center" readingOrder="0" shrinkToFit="0" wrapText="0"/>
    </xf>
    <xf borderId="1" fillId="0" fontId="20" numFmtId="167" xfId="0" applyAlignment="1" applyBorder="1" applyFont="1" applyNumberFormat="1">
      <alignment horizontal="center" shrinkToFit="0" wrapText="0"/>
    </xf>
    <xf borderId="1" fillId="13" fontId="20" numFmtId="0" xfId="0" applyAlignment="1" applyBorder="1" applyFont="1">
      <alignment horizontal="center" readingOrder="0" shrinkToFit="0" wrapText="0"/>
    </xf>
    <xf borderId="1" fillId="8" fontId="20" numFmtId="0" xfId="0" applyAlignment="1" applyBorder="1" applyFont="1">
      <alignment horizontal="center" readingOrder="0" shrinkToFit="0" wrapText="0"/>
    </xf>
    <xf borderId="1" fillId="12" fontId="20" numFmtId="0" xfId="0" applyAlignment="1" applyBorder="1" applyFont="1">
      <alignment horizontal="center" shrinkToFit="0" wrapText="0"/>
    </xf>
    <xf borderId="1" fillId="12" fontId="20" numFmtId="0" xfId="0" applyAlignment="1" applyBorder="1" applyFont="1">
      <alignment readingOrder="0" shrinkToFit="0" wrapText="0"/>
    </xf>
    <xf borderId="0" fillId="12" fontId="17" numFmtId="0" xfId="0" applyFont="1"/>
    <xf borderId="1" fillId="5" fontId="20" numFmtId="0" xfId="0" applyAlignment="1" applyBorder="1" applyFont="1">
      <alignment horizontal="center" readingOrder="0" shrinkToFit="0" wrapText="0"/>
    </xf>
    <xf borderId="1" fillId="21" fontId="20" numFmtId="0" xfId="0" applyAlignment="1" applyBorder="1" applyFill="1" applyFont="1">
      <alignment horizontal="center" readingOrder="0" shrinkToFit="0" wrapText="0"/>
    </xf>
    <xf borderId="0" fillId="0" fontId="17" numFmtId="0" xfId="0" applyAlignment="1" applyFont="1">
      <alignment horizontal="center"/>
    </xf>
    <xf borderId="1" fillId="3" fontId="39" numFmtId="0" xfId="0" applyAlignment="1" applyBorder="1" applyFont="1">
      <alignment horizontal="center" readingOrder="0"/>
    </xf>
    <xf borderId="1" fillId="3" fontId="39" numFmtId="0" xfId="0" applyAlignment="1" applyBorder="1" applyFont="1">
      <alignment horizontal="center" readingOrder="0" shrinkToFit="0" wrapText="0"/>
    </xf>
    <xf borderId="1" fillId="0" fontId="39" numFmtId="0" xfId="0" applyAlignment="1" applyBorder="1" applyFont="1">
      <alignment horizontal="center" readingOrder="0"/>
    </xf>
    <xf borderId="1" fillId="0" fontId="39" numFmtId="0" xfId="0" applyAlignment="1" applyBorder="1" applyFont="1">
      <alignment horizontal="center" readingOrder="0" shrinkToFit="0" wrapText="0"/>
    </xf>
    <xf borderId="1" fillId="0" fontId="39" numFmtId="0" xfId="0" applyAlignment="1" applyBorder="1" applyFont="1">
      <alignment horizontal="center" shrinkToFit="0" wrapText="0"/>
    </xf>
    <xf borderId="1" fillId="0" fontId="54" numFmtId="0" xfId="0" applyAlignment="1" applyBorder="1" applyFont="1">
      <alignment horizontal="center" shrinkToFit="0" wrapText="0"/>
    </xf>
    <xf borderId="1" fillId="0" fontId="55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center"/>
    </xf>
    <xf borderId="1" fillId="0" fontId="39" numFmtId="0" xfId="0" applyAlignment="1" applyBorder="1" applyFont="1">
      <alignment horizontal="center" shrinkToFit="0" wrapText="0"/>
    </xf>
    <xf borderId="1" fillId="0" fontId="54" numFmtId="0" xfId="0" applyAlignment="1" applyBorder="1" applyFont="1">
      <alignment horizontal="center" readingOrder="0" shrinkToFit="0" wrapText="0"/>
    </xf>
    <xf borderId="1" fillId="0" fontId="14" numFmtId="0" xfId="0" applyAlignment="1" applyBorder="1" applyFont="1">
      <alignment readingOrder="0" shrinkToFit="0" wrapText="0"/>
    </xf>
    <xf borderId="1" fillId="0" fontId="39" numFmtId="0" xfId="0" applyAlignment="1" applyBorder="1" applyFont="1">
      <alignment shrinkToFit="0" wrapText="0"/>
    </xf>
    <xf borderId="10" fillId="0" fontId="39" numFmtId="0" xfId="0" applyAlignment="1" applyBorder="1" applyFont="1">
      <alignment horizontal="center"/>
    </xf>
    <xf borderId="2" fillId="0" fontId="56" numFmtId="0" xfId="0" applyBorder="1" applyFont="1"/>
    <xf borderId="1" fillId="0" fontId="57" numFmtId="0" xfId="0" applyAlignment="1" applyBorder="1" applyFont="1">
      <alignment readingOrder="0" shrinkToFit="0" wrapText="0"/>
    </xf>
    <xf borderId="11" fillId="0" fontId="56" numFmtId="0" xfId="0" applyBorder="1" applyFont="1"/>
    <xf borderId="8" fillId="0" fontId="56" numFmtId="0" xfId="0" applyBorder="1" applyFont="1"/>
    <xf borderId="1" fillId="0" fontId="58" numFmtId="0" xfId="0" applyAlignment="1" applyBorder="1" applyFont="1">
      <alignment horizontal="center" readingOrder="0"/>
    </xf>
    <xf borderId="1" fillId="22" fontId="39" numFmtId="0" xfId="0" applyAlignment="1" applyBorder="1" applyFill="1" applyFont="1">
      <alignment horizontal="center" readingOrder="0"/>
    </xf>
    <xf borderId="1" fillId="22" fontId="39" numFmtId="0" xfId="0" applyAlignment="1" applyBorder="1" applyFont="1">
      <alignment horizontal="center" readingOrder="0" shrinkToFit="0" wrapText="0"/>
    </xf>
    <xf borderId="1" fillId="22" fontId="39" numFmtId="0" xfId="0" applyAlignment="1" applyBorder="1" applyFont="1">
      <alignment horizontal="center" shrinkToFit="0" wrapText="0"/>
    </xf>
    <xf borderId="1" fillId="22" fontId="39" numFmtId="0" xfId="0" applyAlignment="1" applyBorder="1" applyFont="1">
      <alignment horizontal="center" shrinkToFit="0" wrapText="0"/>
    </xf>
    <xf borderId="1" fillId="22" fontId="54" numFmtId="0" xfId="0" applyAlignment="1" applyBorder="1" applyFont="1">
      <alignment horizontal="center" readingOrder="0" shrinkToFit="0" vertical="bottom" wrapText="0"/>
    </xf>
    <xf borderId="1" fillId="22" fontId="39" numFmtId="0" xfId="0" applyAlignment="1" applyBorder="1" applyFont="1">
      <alignment horizontal="center" readingOrder="0" vertical="top"/>
    </xf>
    <xf borderId="1" fillId="0" fontId="39" numFmtId="0" xfId="0" applyAlignment="1" applyBorder="1" applyFont="1">
      <alignment horizontal="left" readingOrder="0" shrinkToFit="0" vertical="top" wrapText="0"/>
    </xf>
    <xf borderId="1" fillId="22" fontId="39" numFmtId="0" xfId="0" applyAlignment="1" applyBorder="1" applyFont="1">
      <alignment shrinkToFit="0" wrapText="0"/>
    </xf>
    <xf borderId="1" fillId="22" fontId="39" numFmtId="0" xfId="0" applyAlignment="1" applyBorder="1" applyFont="1">
      <alignment horizontal="center" readingOrder="0" vertical="center"/>
    </xf>
    <xf borderId="1" fillId="22" fontId="59" numFmtId="0" xfId="0" applyAlignment="1" applyBorder="1" applyFont="1">
      <alignment horizontal="center" readingOrder="0" shrinkToFit="0" vertical="center" wrapText="0"/>
    </xf>
    <xf borderId="1" fillId="22" fontId="39" numFmtId="0" xfId="0" applyAlignment="1" applyBorder="1" applyFont="1">
      <alignment horizontal="center" readingOrder="0" shrinkToFit="0" vertical="center" wrapText="0"/>
    </xf>
    <xf borderId="1" fillId="22" fontId="53" numFmtId="0" xfId="0" applyAlignment="1" applyBorder="1" applyFont="1">
      <alignment horizontal="center" readingOrder="0" shrinkToFit="0" vertical="center" wrapText="0"/>
    </xf>
    <xf borderId="1" fillId="0" fontId="60" numFmtId="0" xfId="0" applyAlignment="1" applyBorder="1" applyFont="1">
      <alignment horizontal="center" readingOrder="0" shrinkToFit="0" vertical="center" wrapText="0"/>
    </xf>
    <xf borderId="1" fillId="22" fontId="39" numFmtId="0" xfId="0" applyAlignment="1" applyBorder="1" applyFont="1">
      <alignment horizontal="center" shrinkToFit="0" vertical="center" wrapText="0"/>
    </xf>
    <xf borderId="1" fillId="22" fontId="39" numFmtId="0" xfId="0" applyAlignment="1" applyBorder="1" applyFont="1">
      <alignment horizontal="center" shrinkToFit="0" vertical="center" wrapText="0"/>
    </xf>
    <xf borderId="0" fillId="0" fontId="16" numFmtId="0" xfId="0" applyAlignment="1" applyFont="1">
      <alignment vertical="center"/>
    </xf>
    <xf borderId="1" fillId="6" fontId="39" numFmtId="0" xfId="0" applyAlignment="1" applyBorder="1" applyFont="1">
      <alignment horizontal="center" readingOrder="0"/>
    </xf>
    <xf borderId="1" fillId="6" fontId="59" numFmtId="0" xfId="0" applyAlignment="1" applyBorder="1" applyFont="1">
      <alignment horizontal="center" readingOrder="0" shrinkToFit="0" wrapText="0"/>
    </xf>
    <xf borderId="1" fillId="6" fontId="39" numFmtId="0" xfId="0" applyAlignment="1" applyBorder="1" applyFont="1">
      <alignment shrinkToFit="0" wrapText="0"/>
    </xf>
    <xf borderId="1" fillId="6" fontId="53" numFmtId="0" xfId="0" applyAlignment="1" applyBorder="1" applyFont="1">
      <alignment horizontal="center" readingOrder="0" shrinkToFit="0" wrapText="0"/>
    </xf>
    <xf borderId="1" fillId="0" fontId="59" numFmtId="0" xfId="0" applyAlignment="1" applyBorder="1" applyFont="1">
      <alignment horizontal="center" readingOrder="0" shrinkToFit="0" wrapText="0"/>
    </xf>
    <xf borderId="1" fillId="0" fontId="53" numFmtId="165" xfId="0" applyAlignment="1" applyBorder="1" applyFont="1" applyNumberFormat="1">
      <alignment horizontal="center" readingOrder="0" shrinkToFit="0" wrapText="0"/>
    </xf>
    <xf borderId="1" fillId="0" fontId="61" numFmtId="0" xfId="0" applyAlignment="1" applyBorder="1" applyFont="1">
      <alignment horizontal="center" readingOrder="0" shrinkToFit="0" wrapText="0"/>
    </xf>
    <xf borderId="1" fillId="6" fontId="16" numFmtId="0" xfId="0" applyAlignment="1" applyBorder="1" applyFont="1">
      <alignment horizontal="center" readingOrder="0"/>
    </xf>
    <xf borderId="1" fillId="0" fontId="16" numFmtId="0" xfId="0" applyAlignment="1" applyBorder="1" applyFont="1">
      <alignment horizontal="center"/>
    </xf>
    <xf borderId="1" fillId="0" fontId="16" numFmtId="0" xfId="0" applyAlignment="1" applyBorder="1" applyFont="1">
      <alignment shrinkToFit="0" wrapText="0"/>
    </xf>
    <xf borderId="1" fillId="0" fontId="16" numFmtId="0" xfId="0" applyAlignment="1" applyBorder="1" applyFont="1">
      <alignment horizontal="center" readingOrder="0"/>
    </xf>
    <xf borderId="1" fillId="0" fontId="14" numFmtId="0" xfId="0" applyAlignment="1" applyBorder="1" applyFont="1">
      <alignment readingOrder="0"/>
    </xf>
    <xf borderId="1" fillId="0" fontId="59" numFmtId="49" xfId="0" applyAlignment="1" applyBorder="1" applyFont="1" applyNumberFormat="1">
      <alignment horizontal="center" readingOrder="0" shrinkToFit="0" wrapText="0"/>
    </xf>
    <xf borderId="1" fillId="0" fontId="53" numFmtId="0" xfId="0" applyAlignment="1" applyBorder="1" applyFont="1">
      <alignment horizontal="center" readingOrder="0" shrinkToFit="0" vertical="bottom" wrapText="0"/>
    </xf>
    <xf borderId="1" fillId="0" fontId="39" numFmtId="49" xfId="0" applyAlignment="1" applyBorder="1" applyFont="1" applyNumberFormat="1">
      <alignment readingOrder="0" shrinkToFit="0" wrapText="0"/>
    </xf>
    <xf borderId="1" fillId="0" fontId="53" numFmtId="165" xfId="0" applyAlignment="1" applyBorder="1" applyFont="1" applyNumberFormat="1">
      <alignment horizontal="center" readingOrder="0" shrinkToFit="0" vertical="bottom" wrapText="0"/>
    </xf>
    <xf borderId="1" fillId="0" fontId="59" numFmtId="0" xfId="0" applyAlignment="1" applyBorder="1" applyFont="1">
      <alignment horizontal="center" shrinkToFit="0" wrapText="0"/>
    </xf>
    <xf borderId="1" fillId="0" fontId="39" numFmtId="0" xfId="0" applyAlignment="1" applyBorder="1" applyFont="1">
      <alignment horizontal="center" shrinkToFit="0" wrapText="0"/>
    </xf>
    <xf borderId="1" fillId="6" fontId="62" numFmtId="0" xfId="0" applyAlignment="1" applyBorder="1" applyFont="1">
      <alignment readingOrder="0" shrinkToFit="0" wrapText="0"/>
    </xf>
    <xf borderId="1" fillId="0" fontId="39" numFmtId="49" xfId="0" applyAlignment="1" applyBorder="1" applyFont="1" applyNumberFormat="1">
      <alignment horizontal="center" readingOrder="0" shrinkToFit="0" wrapText="0"/>
    </xf>
    <xf borderId="0" fillId="0" fontId="16" numFmtId="0" xfId="0" applyAlignment="1" applyFont="1">
      <alignment horizontal="center"/>
    </xf>
    <xf borderId="0" fillId="0" fontId="16" numFmtId="0" xfId="0" applyAlignment="1" applyFont="1">
      <alignment shrinkToFit="0" wrapText="0"/>
    </xf>
    <xf borderId="0" fillId="0" fontId="16" numFmtId="49" xfId="0" applyAlignment="1" applyFont="1" applyNumberFormat="1">
      <alignment readingOrder="0"/>
    </xf>
    <xf borderId="0" fillId="0" fontId="63" numFmtId="0" xfId="0" applyAlignment="1" applyFont="1">
      <alignment horizontal="center" readingOrder="0"/>
    </xf>
    <xf borderId="0" fillId="0" fontId="64" numFmtId="0" xfId="0" applyAlignment="1" applyFont="1">
      <alignment readingOrder="0" shrinkToFit="0" wrapText="0"/>
    </xf>
    <xf borderId="0" fillId="0" fontId="16" numFmtId="49" xfId="0" applyAlignment="1" applyFont="1" applyNumberFormat="1">
      <alignment horizontal="center" readingOrder="0"/>
    </xf>
    <xf borderId="0" fillId="0" fontId="16" numFmtId="165" xfId="0" applyAlignment="1" applyFont="1" applyNumberFormat="1">
      <alignment horizontal="left" readingOrder="0"/>
    </xf>
    <xf borderId="0" fillId="0" fontId="16" numFmtId="169" xfId="0" applyAlignment="1" applyFont="1" applyNumberFormat="1">
      <alignment horizontal="center" readingOrder="0"/>
    </xf>
    <xf borderId="0" fillId="0" fontId="65" numFmtId="0" xfId="0" applyAlignment="1" applyFont="1">
      <alignment readingOrder="0"/>
    </xf>
    <xf borderId="0" fillId="0" fontId="16" numFmtId="0" xfId="0" applyAlignment="1" applyFont="1">
      <alignment readingOrder="0" shrinkToFit="0" wrapText="0"/>
    </xf>
    <xf borderId="0" fillId="0" fontId="66" numFmtId="0" xfId="0" applyAlignment="1" applyFont="1">
      <alignment horizontal="center" readingOrder="0" shrinkToFit="0" wrapText="0"/>
    </xf>
    <xf borderId="0" fillId="0" fontId="66" numFmtId="0" xfId="0" applyAlignment="1" applyFont="1">
      <alignment horizontal="left" readingOrder="0" shrinkToFit="0" wrapText="0"/>
    </xf>
    <xf borderId="0" fillId="0" fontId="66" numFmtId="49" xfId="0" applyAlignment="1" applyFont="1" applyNumberFormat="1">
      <alignment horizontal="center" shrinkToFit="0" wrapText="0"/>
    </xf>
    <xf borderId="0" fillId="0" fontId="16" numFmtId="0" xfId="0" applyAlignment="1" applyFont="1">
      <alignment horizontal="left" readingOrder="0" shrinkToFit="0" vertical="bottom" wrapText="0"/>
    </xf>
    <xf borderId="0" fillId="0" fontId="16" numFmtId="0" xfId="0" applyAlignment="1" applyFont="1">
      <alignment horizontal="center" readingOrder="0" shrinkToFit="0" wrapText="0"/>
    </xf>
    <xf borderId="1" fillId="6" fontId="67" numFmtId="0" xfId="0" applyAlignment="1" applyBorder="1" applyFont="1">
      <alignment horizontal="center" readingOrder="0" shrinkToFit="0" wrapText="0"/>
    </xf>
    <xf borderId="1" fillId="6" fontId="67" numFmtId="0" xfId="0" applyAlignment="1" applyBorder="1" applyFont="1">
      <alignment readingOrder="0" shrinkToFit="0" wrapText="0"/>
    </xf>
    <xf borderId="1" fillId="6" fontId="67" numFmtId="0" xfId="0" applyAlignment="1" applyBorder="1" applyFont="1">
      <alignment shrinkToFit="0" wrapText="0"/>
    </xf>
    <xf borderId="1" fillId="10" fontId="10" numFmtId="0" xfId="0" applyAlignment="1" applyBorder="1" applyFont="1">
      <alignment readingOrder="0" shrinkToFit="0" wrapText="0"/>
    </xf>
    <xf borderId="1" fillId="0" fontId="13" numFmtId="0" xfId="0" applyAlignment="1" applyBorder="1" applyFont="1">
      <alignment readingOrder="0"/>
    </xf>
    <xf borderId="0" fillId="10" fontId="16" numFmtId="0" xfId="0" applyAlignment="1" applyFont="1">
      <alignment readingOrder="0"/>
    </xf>
    <xf borderId="1" fillId="8" fontId="19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readingOrder="0" shrinkToFit="0" wrapText="0"/>
    </xf>
    <xf borderId="1" fillId="6" fontId="10" numFmtId="0" xfId="0" applyAlignment="1" applyBorder="1" applyFont="1">
      <alignment horizontal="center" readingOrder="0" shrinkToFit="0" wrapText="0"/>
    </xf>
    <xf borderId="1" fillId="6" fontId="11" numFmtId="0" xfId="0" applyAlignment="1" applyBorder="1" applyFont="1">
      <alignment readingOrder="0" shrinkToFit="0" wrapText="0"/>
    </xf>
    <xf borderId="1" fillId="0" fontId="11" numFmtId="0" xfId="0" applyAlignment="1" applyBorder="1" applyFont="1">
      <alignment vertical="bottom"/>
    </xf>
    <xf borderId="1" fillId="6" fontId="10" numFmtId="0" xfId="0" applyAlignment="1" applyBorder="1" applyFont="1">
      <alignment horizontal="center" readingOrder="0" shrinkToFit="0" wrapText="0"/>
    </xf>
    <xf borderId="1" fillId="6" fontId="38" numFmtId="0" xfId="0" applyAlignment="1" applyBorder="1" applyFont="1">
      <alignment horizontal="center" readingOrder="0" shrinkToFit="0" wrapText="0"/>
    </xf>
    <xf borderId="0" fillId="0" fontId="10" numFmtId="0" xfId="0" applyAlignment="1" applyFont="1">
      <alignment horizontal="center" shrinkToFit="0" wrapText="0"/>
    </xf>
    <xf borderId="1" fillId="0" fontId="68" numFmtId="0" xfId="0" applyAlignment="1" applyBorder="1" applyFont="1">
      <alignment readingOrder="0" vertical="top"/>
    </xf>
    <xf borderId="0" fillId="10" fontId="9" numFmtId="0" xfId="0" applyAlignment="1" applyFont="1">
      <alignment horizontal="center" readingOrder="0" shrinkToFit="0" wrapText="0"/>
    </xf>
    <xf borderId="0" fillId="10" fontId="10" numFmtId="0" xfId="0" applyAlignment="1" applyFont="1">
      <alignment horizontal="center" readingOrder="0" shrinkToFit="0" wrapText="0"/>
    </xf>
    <xf borderId="0" fillId="10" fontId="9" numFmtId="0" xfId="0" applyAlignment="1" applyFont="1">
      <alignment readingOrder="0" shrinkToFit="0" wrapText="0"/>
    </xf>
    <xf borderId="0" fillId="10" fontId="9" numFmtId="0" xfId="0" applyAlignment="1" applyFont="1">
      <alignment shrinkToFit="0" wrapText="0"/>
    </xf>
    <xf borderId="0" fillId="10" fontId="13" numFmtId="0" xfId="0" applyFont="1"/>
    <xf borderId="0" fillId="10" fontId="16" numFmtId="0" xfId="0" applyFont="1"/>
    <xf borderId="0" fillId="10" fontId="15" numFmtId="0" xfId="0" applyFont="1"/>
    <xf borderId="0" fillId="0" fontId="10" numFmtId="0" xfId="0" applyAlignment="1" applyFont="1">
      <alignment readingOrder="0" shrinkToFit="0" wrapText="0"/>
    </xf>
    <xf borderId="0" fillId="22" fontId="23" numFmtId="0" xfId="0" applyAlignment="1" applyFont="1">
      <alignment horizontal="center" readingOrder="0" shrinkToFit="0" wrapText="0"/>
    </xf>
    <xf borderId="1" fillId="22" fontId="23" numFmtId="0" xfId="0" applyAlignment="1" applyBorder="1" applyFont="1">
      <alignment horizontal="center" readingOrder="0" shrinkToFit="0" wrapText="0"/>
    </xf>
    <xf borderId="2" fillId="22" fontId="23" numFmtId="0" xfId="0" applyAlignment="1" applyBorder="1" applyFont="1">
      <alignment horizontal="center" readingOrder="0" shrinkToFit="0" wrapText="0"/>
    </xf>
    <xf borderId="0" fillId="0" fontId="23" numFmtId="0" xfId="0" applyAlignment="1" applyFont="1">
      <alignment shrinkToFit="0" wrapText="0"/>
    </xf>
    <xf borderId="0" fillId="23" fontId="23" numFmtId="0" xfId="0" applyAlignment="1" applyFill="1" applyFont="1">
      <alignment horizontal="center" readingOrder="0" shrinkToFit="0" wrapText="0"/>
    </xf>
    <xf borderId="1" fillId="23" fontId="23" numFmtId="0" xfId="0" applyAlignment="1" applyBorder="1" applyFont="1">
      <alignment horizontal="center" readingOrder="0" shrinkToFit="0" wrapText="0"/>
    </xf>
    <xf borderId="1" fillId="23" fontId="23" numFmtId="0" xfId="0" applyAlignment="1" applyBorder="1" applyFont="1">
      <alignment horizontal="center" shrinkToFit="0" wrapText="0"/>
    </xf>
    <xf borderId="1" fillId="23" fontId="23" numFmtId="0" xfId="0" applyAlignment="1" applyBorder="1" applyFont="1">
      <alignment horizontal="center" readingOrder="0"/>
    </xf>
    <xf borderId="1" fillId="23" fontId="19" numFmtId="0" xfId="0" applyAlignment="1" applyBorder="1" applyFont="1">
      <alignment horizontal="center" readingOrder="0" shrinkToFit="0" wrapText="0"/>
    </xf>
    <xf borderId="1" fillId="23" fontId="23" numFmtId="0" xfId="0" applyAlignment="1" applyBorder="1" applyFont="1">
      <alignment shrinkToFit="0" wrapText="0"/>
    </xf>
    <xf borderId="1" fillId="23" fontId="23" numFmtId="0" xfId="0" applyAlignment="1" applyBorder="1" applyFont="1">
      <alignment readingOrder="0" shrinkToFit="0" wrapText="0"/>
    </xf>
    <xf borderId="12" fillId="23" fontId="23" numFmtId="0" xfId="0" applyAlignment="1" applyBorder="1" applyFont="1">
      <alignment horizontal="center" readingOrder="0" shrinkToFit="0" wrapText="0"/>
    </xf>
    <xf borderId="8" fillId="23" fontId="23" numFmtId="0" xfId="0" applyAlignment="1" applyBorder="1" applyFont="1">
      <alignment horizontal="center" readingOrder="0" shrinkToFit="0" wrapText="0"/>
    </xf>
    <xf borderId="0" fillId="0" fontId="69" numFmtId="0" xfId="0" applyAlignment="1" applyFont="1">
      <alignment readingOrder="0" shrinkToFit="0" wrapText="0"/>
    </xf>
    <xf borderId="8" fillId="23" fontId="23" numFmtId="0" xfId="0" applyAlignment="1" applyBorder="1" applyFont="1">
      <alignment horizontal="center" shrinkToFit="0" wrapText="0"/>
    </xf>
    <xf borderId="8" fillId="6" fontId="23" numFmtId="0" xfId="0" applyAlignment="1" applyBorder="1" applyFont="1">
      <alignment horizontal="center" readingOrder="0" shrinkToFit="0" wrapText="0"/>
    </xf>
    <xf borderId="8" fillId="6" fontId="23" numFmtId="0" xfId="0" applyAlignment="1" applyBorder="1" applyFont="1">
      <alignment horizontal="center" shrinkToFit="0" wrapText="0"/>
    </xf>
    <xf borderId="0" fillId="0" fontId="23" numFmtId="0" xfId="0" applyAlignment="1" applyFont="1">
      <alignment horizontal="center" shrinkToFit="0" wrapText="0"/>
    </xf>
    <xf borderId="0" fillId="24" fontId="23" numFmtId="0" xfId="0" applyAlignment="1" applyFill="1" applyFont="1">
      <alignment horizontal="center" readingOrder="0" shrinkToFit="0" wrapText="0"/>
    </xf>
    <xf borderId="1" fillId="24" fontId="23" numFmtId="0" xfId="0" applyAlignment="1" applyBorder="1" applyFont="1">
      <alignment horizontal="center" readingOrder="0" shrinkToFit="0" wrapText="0"/>
    </xf>
    <xf borderId="1" fillId="24" fontId="29" numFmtId="0" xfId="0" applyAlignment="1" applyBorder="1" applyFont="1">
      <alignment horizontal="center" readingOrder="0" shrinkToFit="0" wrapText="0"/>
    </xf>
    <xf borderId="1" fillId="24" fontId="23" numFmtId="0" xfId="0" applyAlignment="1" applyBorder="1" applyFont="1">
      <alignment horizontal="center" shrinkToFit="0" wrapText="0"/>
    </xf>
    <xf borderId="1" fillId="24" fontId="23" numFmtId="0" xfId="0" applyAlignment="1" applyBorder="1" applyFont="1">
      <alignment shrinkToFit="0" wrapText="0"/>
    </xf>
    <xf borderId="0" fillId="14" fontId="23" numFmtId="0" xfId="0" applyAlignment="1" applyFont="1">
      <alignment horizontal="center" readingOrder="0" shrinkToFit="0" wrapText="0"/>
    </xf>
    <xf borderId="1" fillId="14" fontId="70" numFmtId="0" xfId="0" applyAlignment="1" applyBorder="1" applyFont="1">
      <alignment horizontal="center" readingOrder="0" shrinkToFit="0" wrapText="0"/>
    </xf>
    <xf borderId="1" fillId="14" fontId="23" numFmtId="0" xfId="0" applyAlignment="1" applyBorder="1" applyFont="1">
      <alignment horizontal="center" shrinkToFit="0" wrapText="0"/>
    </xf>
    <xf borderId="1" fillId="14" fontId="23" numFmtId="0" xfId="0" applyAlignment="1" applyBorder="1" applyFont="1">
      <alignment readingOrder="0" shrinkToFit="0" wrapText="0"/>
    </xf>
    <xf borderId="1" fillId="14" fontId="23" numFmtId="0" xfId="0" applyAlignment="1" applyBorder="1" applyFont="1">
      <alignment shrinkToFit="0" wrapText="0"/>
    </xf>
    <xf borderId="9" fillId="14" fontId="23" numFmtId="0" xfId="0" applyAlignment="1" applyBorder="1" applyFont="1">
      <alignment horizontal="center" readingOrder="0" shrinkToFit="0" wrapText="0"/>
    </xf>
    <xf borderId="7" fillId="14" fontId="23" numFmtId="0" xfId="0" applyAlignment="1" applyBorder="1" applyFont="1">
      <alignment horizontal="center" readingOrder="0" shrinkToFit="0" wrapText="0"/>
    </xf>
    <xf borderId="7" fillId="14" fontId="71" numFmtId="0" xfId="0" applyAlignment="1" applyBorder="1" applyFont="1">
      <alignment horizontal="center" readingOrder="0" shrinkToFit="0" wrapText="0"/>
    </xf>
    <xf borderId="7" fillId="14" fontId="23" numFmtId="0" xfId="0" applyAlignment="1" applyBorder="1" applyFont="1">
      <alignment shrinkToFit="0" wrapText="0"/>
    </xf>
    <xf borderId="7" fillId="14" fontId="23" numFmtId="0" xfId="0" applyAlignment="1" applyBorder="1" applyFont="1">
      <alignment readingOrder="0" shrinkToFit="0" wrapText="0"/>
    </xf>
    <xf borderId="4" fillId="14" fontId="23" numFmtId="0" xfId="0" applyAlignment="1" applyBorder="1" applyFont="1">
      <alignment horizontal="center" readingOrder="0" shrinkToFit="0" wrapText="0"/>
    </xf>
    <xf borderId="8" fillId="14" fontId="23" numFmtId="0" xfId="0" applyAlignment="1" applyBorder="1" applyFont="1">
      <alignment horizontal="center" readingOrder="0" shrinkToFit="0" wrapText="0"/>
    </xf>
    <xf borderId="1" fillId="14" fontId="72" numFmtId="0" xfId="0" applyAlignment="1" applyBorder="1" applyFont="1">
      <alignment horizontal="center" readingOrder="0"/>
    </xf>
    <xf borderId="1" fillId="23" fontId="23" numFmtId="0" xfId="0" applyAlignment="1" applyBorder="1" applyFont="1">
      <alignment horizontal="center" readingOrder="0" shrinkToFit="0" wrapText="0"/>
    </xf>
    <xf borderId="1" fillId="14" fontId="23" numFmtId="0" xfId="0" applyAlignment="1" applyBorder="1" applyFont="1">
      <alignment horizontal="center" readingOrder="0" shrinkToFit="0" wrapText="0"/>
    </xf>
    <xf borderId="1" fillId="14" fontId="17" numFmtId="0" xfId="0" applyAlignment="1" applyBorder="1" applyFont="1">
      <alignment horizontal="center" readingOrder="0"/>
    </xf>
    <xf borderId="1" fillId="14" fontId="17" numFmtId="0" xfId="0" applyAlignment="1" applyBorder="1" applyFont="1">
      <alignment horizontal="center"/>
    </xf>
    <xf borderId="0" fillId="25" fontId="23" numFmtId="0" xfId="0" applyAlignment="1" applyFill="1" applyFont="1">
      <alignment horizontal="center" readingOrder="0" shrinkToFit="0" wrapText="0"/>
    </xf>
    <xf borderId="1" fillId="22" fontId="66" numFmtId="0" xfId="0" applyAlignment="1" applyBorder="1" applyFont="1">
      <alignment horizontal="center" readingOrder="0"/>
    </xf>
    <xf borderId="1" fillId="0" fontId="73" numFmtId="0" xfId="0" applyAlignment="1" applyBorder="1" applyFont="1">
      <alignment horizontal="center" readingOrder="0" shrinkToFit="0" wrapText="0"/>
    </xf>
    <xf borderId="1" fillId="0" fontId="74" numFmtId="0" xfId="0" applyAlignment="1" applyBorder="1" applyFont="1">
      <alignment horizontal="center" readingOrder="0"/>
    </xf>
    <xf borderId="0" fillId="8" fontId="19" numFmtId="0" xfId="0" applyAlignment="1" applyFont="1">
      <alignment horizontal="center" readingOrder="0" shrinkToFit="0" wrapText="0"/>
    </xf>
    <xf borderId="1" fillId="0" fontId="74" numFmtId="0" xfId="0" applyBorder="1" applyFont="1"/>
    <xf borderId="1" fillId="0" fontId="74" numFmtId="0" xfId="0" applyAlignment="1" applyBorder="1" applyFont="1">
      <alignment horizontal="center"/>
    </xf>
    <xf borderId="1" fillId="0" fontId="75" numFmtId="0" xfId="0" applyAlignment="1" applyBorder="1" applyFont="1">
      <alignment readingOrder="0" shrinkToFit="0" wrapText="0"/>
    </xf>
    <xf borderId="1" fillId="0" fontId="76" numFmtId="0" xfId="0" applyAlignment="1" applyBorder="1" applyFont="1">
      <alignment readingOrder="0" shrinkToFit="0" wrapText="0"/>
    </xf>
    <xf borderId="1" fillId="0" fontId="77" numFmtId="0" xfId="0" applyAlignment="1" applyBorder="1" applyFont="1">
      <alignment horizontal="center" readingOrder="0" shrinkToFit="0" wrapText="0"/>
    </xf>
    <xf borderId="1" fillId="0" fontId="74" numFmtId="0" xfId="0" applyAlignment="1" applyBorder="1" applyFont="1">
      <alignment readingOrder="0"/>
    </xf>
    <xf borderId="9" fillId="8" fontId="19" numFmtId="0" xfId="0" applyAlignment="1" applyBorder="1" applyFont="1">
      <alignment horizontal="center" readingOrder="0" shrinkToFit="0" wrapText="0"/>
    </xf>
    <xf borderId="9" fillId="8" fontId="30" numFmtId="0" xfId="0" applyAlignment="1" applyBorder="1" applyFont="1">
      <alignment horizontal="center" readingOrder="0" shrinkToFit="0" wrapText="0"/>
    </xf>
    <xf borderId="0" fillId="5" fontId="2" numFmtId="0" xfId="0" applyAlignment="1" applyFont="1">
      <alignment horizontal="center" readingOrder="0" vertical="top"/>
    </xf>
    <xf borderId="0" fillId="22" fontId="78" numFmtId="0" xfId="0" applyAlignment="1" applyFont="1">
      <alignment horizontal="center" readingOrder="0"/>
    </xf>
    <xf borderId="0" fillId="0" fontId="10" numFmtId="0" xfId="0" applyAlignment="1" applyFont="1">
      <alignment readingOrder="0" shrinkToFit="0" vertical="top" wrapText="0"/>
    </xf>
    <xf borderId="0" fillId="6" fontId="9" numFmtId="0" xfId="0" applyAlignment="1" applyFont="1">
      <alignment readingOrder="0" shrinkToFit="0" wrapText="0"/>
    </xf>
    <xf borderId="0" fillId="6" fontId="67" numFmtId="0" xfId="0" applyAlignment="1" applyFont="1">
      <alignment readingOrder="0" shrinkToFit="0" wrapText="0"/>
    </xf>
    <xf borderId="13" fillId="0" fontId="79" numFmtId="0" xfId="0" applyAlignment="1" applyBorder="1" applyFont="1">
      <alignment horizontal="center" readingOrder="0"/>
    </xf>
    <xf borderId="0" fillId="6" fontId="23" numFmtId="0" xfId="0" applyAlignment="1" applyFont="1">
      <alignment horizontal="center" readingOrder="0" shrinkToFit="0" wrapText="0"/>
    </xf>
    <xf borderId="8" fillId="6" fontId="79" numFmtId="0" xfId="0" applyAlignment="1" applyBorder="1" applyFont="1">
      <alignment horizontal="center" readingOrder="0"/>
    </xf>
    <xf borderId="8" fillId="6" fontId="79" numFmtId="166" xfId="0" applyAlignment="1" applyBorder="1" applyFont="1" applyNumberFormat="1">
      <alignment horizontal="center" readingOrder="0"/>
    </xf>
    <xf borderId="1" fillId="0" fontId="80" numFmtId="0" xfId="0" applyAlignment="1" applyBorder="1" applyFont="1">
      <alignment readingOrder="0"/>
    </xf>
    <xf borderId="1" fillId="6" fontId="79" numFmtId="0" xfId="0" applyAlignment="1" applyBorder="1" applyFont="1">
      <alignment horizontal="center" readingOrder="0"/>
    </xf>
    <xf borderId="1" fillId="6" fontId="79" numFmtId="166" xfId="0" applyAlignment="1" applyBorder="1" applyFont="1" applyNumberFormat="1">
      <alignment horizontal="center" readingOrder="0"/>
    </xf>
    <xf borderId="8" fillId="6" fontId="49" numFmtId="0" xfId="0" applyAlignment="1" applyBorder="1" applyFont="1">
      <alignment vertical="top"/>
    </xf>
    <xf borderId="1" fillId="4" fontId="81" numFmtId="0" xfId="0" applyAlignment="1" applyBorder="1" applyFont="1">
      <alignment horizontal="center" vertical="bottom"/>
    </xf>
    <xf borderId="1" fillId="4" fontId="81" numFmtId="0" xfId="0" applyAlignment="1" applyBorder="1" applyFont="1">
      <alignment vertical="bottom"/>
    </xf>
    <xf borderId="1" fillId="4" fontId="82" numFmtId="0" xfId="0" applyAlignment="1" applyBorder="1" applyFont="1">
      <alignment vertical="bottom"/>
    </xf>
    <xf borderId="1" fillId="4" fontId="11" numFmtId="0" xfId="0" applyAlignment="1" applyBorder="1" applyFont="1">
      <alignment vertical="bottom"/>
    </xf>
    <xf borderId="0" fillId="4" fontId="11" numFmtId="0" xfId="0" applyAlignment="1" applyFont="1">
      <alignment vertical="bottom"/>
    </xf>
    <xf borderId="1" fillId="10" fontId="81" numFmtId="0" xfId="0" applyAlignment="1" applyBorder="1" applyFont="1">
      <alignment horizontal="center" vertical="bottom"/>
    </xf>
    <xf borderId="1" fillId="10" fontId="81" numFmtId="0" xfId="0" applyAlignment="1" applyBorder="1" applyFont="1">
      <alignment vertical="bottom"/>
    </xf>
    <xf borderId="1" fillId="10" fontId="82" numFmtId="0" xfId="0" applyAlignment="1" applyBorder="1" applyFont="1">
      <alignment vertical="bottom"/>
    </xf>
    <xf borderId="1" fillId="10" fontId="11" numFmtId="0" xfId="0" applyAlignment="1" applyBorder="1" applyFont="1">
      <alignment vertical="bottom"/>
    </xf>
    <xf borderId="0" fillId="10" fontId="11" numFmtId="0" xfId="0" applyAlignment="1" applyFont="1">
      <alignment vertical="bottom"/>
    </xf>
    <xf borderId="0" fillId="10" fontId="11" numFmtId="164" xfId="0" applyAlignment="1" applyFont="1" applyNumberFormat="1">
      <alignment vertical="bottom"/>
    </xf>
    <xf borderId="0" fillId="10" fontId="11" numFmtId="164" xfId="0" applyAlignment="1" applyFont="1" applyNumberFormat="1">
      <alignment horizontal="right" vertical="bottom"/>
    </xf>
    <xf borderId="1" fillId="10" fontId="83" numFmtId="0" xfId="0" applyAlignment="1" applyBorder="1" applyFont="1">
      <alignment horizontal="center" vertical="bottom"/>
    </xf>
    <xf borderId="0" fillId="0" fontId="1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78" numFmtId="0" xfId="0" applyFont="1"/>
    <xf borderId="13" fillId="6" fontId="30" numFmtId="0" xfId="0" applyAlignment="1" applyBorder="1" applyFont="1">
      <alignment horizontal="center" readingOrder="0" shrinkToFit="0" wrapText="0"/>
    </xf>
    <xf borderId="13" fillId="3" fontId="30" numFmtId="0" xfId="0" applyAlignment="1" applyBorder="1" applyFont="1">
      <alignment horizontal="center" readingOrder="0" shrinkToFit="0" wrapText="0"/>
    </xf>
    <xf borderId="0" fillId="3" fontId="30" numFmtId="0" xfId="0" applyAlignment="1" applyFont="1">
      <alignment horizontal="center" readingOrder="0" shrinkToFit="0" wrapText="0"/>
    </xf>
    <xf borderId="9" fillId="26" fontId="19" numFmtId="0" xfId="0" applyAlignment="1" applyBorder="1" applyFill="1" applyFont="1">
      <alignment horizontal="center" readingOrder="0" shrinkToFit="0" wrapText="0"/>
    </xf>
    <xf borderId="7" fillId="26" fontId="19" numFmtId="0" xfId="0" applyAlignment="1" applyBorder="1" applyFont="1">
      <alignment horizontal="center" readingOrder="0" shrinkToFit="0" wrapText="0"/>
    </xf>
    <xf borderId="7" fillId="26" fontId="38" numFmtId="0" xfId="0" applyAlignment="1" applyBorder="1" applyFont="1">
      <alignment horizontal="center" readingOrder="0" shrinkToFit="0" wrapText="0"/>
    </xf>
    <xf borderId="7" fillId="26" fontId="84" numFmtId="0" xfId="0" applyAlignment="1" applyBorder="1" applyFont="1">
      <alignment horizontal="center" readingOrder="0" shrinkToFit="0" wrapText="0"/>
    </xf>
    <xf borderId="7" fillId="26" fontId="19" numFmtId="0" xfId="0" applyAlignment="1" applyBorder="1" applyFont="1">
      <alignment horizontal="center" shrinkToFit="0" wrapText="0"/>
    </xf>
    <xf borderId="0" fillId="26" fontId="85" numFmtId="0" xfId="0" applyAlignment="1" applyFont="1">
      <alignment horizontal="left" readingOrder="0" shrinkToFit="0" wrapText="0"/>
    </xf>
    <xf borderId="1" fillId="26" fontId="19" numFmtId="0" xfId="0" applyAlignment="1" applyBorder="1" applyFont="1">
      <alignment horizontal="center" shrinkToFit="0" wrapText="0"/>
    </xf>
    <xf borderId="1" fillId="26" fontId="32" numFmtId="0" xfId="0" applyAlignment="1" applyBorder="1" applyFont="1">
      <alignment horizontal="center" readingOrder="0" shrinkToFit="0" vertical="bottom" wrapText="0"/>
    </xf>
    <xf borderId="0" fillId="0" fontId="32" numFmtId="165" xfId="0" applyAlignment="1" applyFont="1" applyNumberFormat="1">
      <alignment horizontal="center" readingOrder="0" shrinkToFit="0" vertical="bottom" wrapText="0"/>
    </xf>
    <xf borderId="9" fillId="0" fontId="19" numFmtId="0" xfId="0" applyAlignment="1" applyBorder="1" applyFont="1">
      <alignment horizontal="center" readingOrder="0" shrinkToFit="0" wrapText="0"/>
    </xf>
    <xf borderId="7" fillId="6" fontId="19" numFmtId="0" xfId="0" applyAlignment="1" applyBorder="1" applyFont="1">
      <alignment horizontal="center" readingOrder="0" shrinkToFit="0" wrapText="0"/>
    </xf>
    <xf borderId="7" fillId="0" fontId="19" numFmtId="0" xfId="0" applyAlignment="1" applyBorder="1" applyFont="1">
      <alignment horizontal="center" readingOrder="0" shrinkToFit="0" wrapText="0"/>
    </xf>
    <xf borderId="7" fillId="0" fontId="38" numFmtId="0" xfId="0" applyAlignment="1" applyBorder="1" applyFont="1">
      <alignment horizontal="center" readingOrder="0" shrinkToFit="0" wrapText="0"/>
    </xf>
    <xf borderId="7" fillId="0" fontId="19" numFmtId="0" xfId="0" applyAlignment="1" applyBorder="1" applyFont="1">
      <alignment horizontal="center" shrinkToFit="0" wrapText="0"/>
    </xf>
    <xf borderId="0" fillId="13" fontId="85" numFmtId="0" xfId="0" applyAlignment="1" applyFont="1">
      <alignment horizontal="left" readingOrder="0" shrinkToFit="0" wrapText="0"/>
    </xf>
    <xf borderId="1" fillId="0" fontId="19" numFmtId="0" xfId="0" applyAlignment="1" applyBorder="1" applyFont="1">
      <alignment horizontal="center" shrinkToFit="0" wrapText="0"/>
    </xf>
    <xf borderId="9" fillId="0" fontId="30" numFmtId="0" xfId="0" applyAlignment="1" applyBorder="1" applyFont="1">
      <alignment horizontal="center" readingOrder="0" shrinkToFit="0" wrapText="0"/>
    </xf>
    <xf borderId="7" fillId="6" fontId="30" numFmtId="0" xfId="0" applyAlignment="1" applyBorder="1" applyFont="1">
      <alignment horizontal="center" readingOrder="0" shrinkToFit="0" wrapText="0"/>
    </xf>
    <xf borderId="7" fillId="0" fontId="30" numFmtId="0" xfId="0" applyAlignment="1" applyBorder="1" applyFont="1">
      <alignment horizontal="center" readingOrder="0" shrinkToFit="0" wrapText="0"/>
    </xf>
    <xf borderId="7" fillId="0" fontId="86" numFmtId="0" xfId="0" applyAlignment="1" applyBorder="1" applyFont="1">
      <alignment horizontal="center" readingOrder="0" shrinkToFit="0" wrapText="0"/>
    </xf>
    <xf borderId="7" fillId="0" fontId="30" numFmtId="0" xfId="0" applyAlignment="1" applyBorder="1" applyFont="1">
      <alignment horizontal="center" shrinkToFit="0" wrapText="0"/>
    </xf>
    <xf borderId="0" fillId="13" fontId="87" numFmtId="0" xfId="0" applyAlignment="1" applyFont="1">
      <alignment horizontal="left" readingOrder="0" shrinkToFit="0" wrapText="0"/>
    </xf>
    <xf borderId="1" fillId="0" fontId="30" numFmtId="0" xfId="0" applyAlignment="1" applyBorder="1" applyFont="1">
      <alignment horizontal="center" shrinkToFit="0" wrapText="0"/>
    </xf>
    <xf borderId="1" fillId="0" fontId="88" numFmtId="0" xfId="0" applyAlignment="1" applyBorder="1" applyFont="1">
      <alignment horizontal="center" readingOrder="0" shrinkToFit="0" vertical="bottom" wrapText="0"/>
    </xf>
    <xf borderId="1" fillId="0" fontId="32" numFmtId="165" xfId="0" applyAlignment="1" applyBorder="1" applyFont="1" applyNumberFormat="1">
      <alignment horizontal="center" vertical="bottom"/>
    </xf>
    <xf borderId="7" fillId="0" fontId="89" numFmtId="0" xfId="0" applyAlignment="1" applyBorder="1" applyFont="1">
      <alignment horizontal="center" readingOrder="0" shrinkToFit="0" wrapText="0"/>
    </xf>
    <xf borderId="7" fillId="0" fontId="84" numFmtId="0" xfId="0" applyAlignment="1" applyBorder="1" applyFont="1">
      <alignment horizontal="center" readingOrder="0" shrinkToFit="0" wrapText="0"/>
    </xf>
    <xf borderId="7" fillId="0" fontId="38" numFmtId="0" xfId="0" applyAlignment="1" applyBorder="1" applyFont="1">
      <alignment horizontal="center" readingOrder="0"/>
    </xf>
    <xf borderId="7" fillId="0" fontId="38" numFmtId="0" xfId="0" applyAlignment="1" applyBorder="1" applyFont="1">
      <alignment horizontal="center" shrinkToFit="0" wrapText="0"/>
    </xf>
    <xf borderId="0" fillId="13" fontId="85" numFmtId="0" xfId="0" applyAlignment="1" applyFont="1">
      <alignment horizontal="left" shrinkToFit="0" wrapText="0"/>
    </xf>
    <xf borderId="7" fillId="0" fontId="23" numFmtId="0" xfId="0" applyAlignment="1" applyBorder="1" applyFont="1">
      <alignment horizontal="center" readingOrder="0" shrinkToFit="0" wrapText="0"/>
    </xf>
    <xf borderId="7" fillId="6" fontId="38" numFmtId="0" xfId="0" applyAlignment="1" applyBorder="1" applyFont="1">
      <alignment horizontal="center" readingOrder="0" shrinkToFit="0" wrapText="0"/>
    </xf>
    <xf borderId="7" fillId="26" fontId="23" numFmtId="0" xfId="0" applyAlignment="1" applyBorder="1" applyFont="1">
      <alignment horizontal="center" readingOrder="0" shrinkToFit="0" wrapText="0"/>
    </xf>
    <xf borderId="7" fillId="6" fontId="19" numFmtId="0" xfId="0" applyAlignment="1" applyBorder="1" applyFont="1">
      <alignment horizontal="center" readingOrder="0"/>
    </xf>
    <xf borderId="0" fillId="0" fontId="85" numFmtId="0" xfId="0" applyAlignment="1" applyFont="1">
      <alignment horizontal="left" readingOrder="0" shrinkToFit="0" wrapText="0"/>
    </xf>
    <xf borderId="0" fillId="0" fontId="19" numFmtId="0" xfId="0" applyAlignment="1" applyFont="1">
      <alignment horizontal="center" shrinkToFit="0" wrapText="0"/>
    </xf>
    <xf borderId="9" fillId="0" fontId="84" numFmtId="0" xfId="0" applyAlignment="1" applyBorder="1" applyFont="1">
      <alignment horizontal="center" readingOrder="0" shrinkToFit="0" wrapText="0"/>
    </xf>
    <xf borderId="9" fillId="0" fontId="19" numFmtId="0" xfId="0" applyAlignment="1" applyBorder="1" applyFont="1">
      <alignment horizontal="center" shrinkToFit="0" wrapText="0"/>
    </xf>
    <xf borderId="7" fillId="0" fontId="19" numFmtId="0" xfId="0" applyAlignment="1" applyBorder="1" applyFont="1">
      <alignment horizontal="center" shrinkToFit="0" wrapText="0"/>
    </xf>
    <xf borderId="1" fillId="26" fontId="32" numFmtId="165" xfId="0" applyAlignment="1" applyBorder="1" applyFont="1" applyNumberFormat="1">
      <alignment horizontal="center" readingOrder="0" shrinkToFit="0" vertical="bottom" wrapText="0"/>
    </xf>
    <xf borderId="1" fillId="0" fontId="32" numFmtId="49" xfId="0" applyAlignment="1" applyBorder="1" applyFont="1" applyNumberFormat="1">
      <alignment horizontal="center" readingOrder="0" shrinkToFit="0" vertical="bottom" wrapText="0"/>
    </xf>
    <xf borderId="9" fillId="22" fontId="19" numFmtId="0" xfId="0" applyAlignment="1" applyBorder="1" applyFont="1">
      <alignment horizontal="center" readingOrder="0" shrinkToFit="0" wrapText="0"/>
    </xf>
    <xf borderId="7" fillId="22" fontId="19" numFmtId="0" xfId="0" applyAlignment="1" applyBorder="1" applyFont="1">
      <alignment horizontal="center" readingOrder="0" shrinkToFit="0" wrapText="0"/>
    </xf>
    <xf borderId="7" fillId="22" fontId="38" numFmtId="0" xfId="0" applyAlignment="1" applyBorder="1" applyFont="1">
      <alignment horizontal="center" shrinkToFit="0" wrapText="0"/>
    </xf>
    <xf borderId="7" fillId="22" fontId="84" numFmtId="0" xfId="0" applyAlignment="1" applyBorder="1" applyFont="1">
      <alignment horizontal="center" readingOrder="0" shrinkToFit="0" wrapText="0"/>
    </xf>
    <xf borderId="7" fillId="22" fontId="19" numFmtId="0" xfId="0" applyAlignment="1" applyBorder="1" applyFont="1">
      <alignment horizontal="center" shrinkToFit="0" wrapText="0"/>
    </xf>
    <xf borderId="0" fillId="22" fontId="85" numFmtId="0" xfId="0" applyAlignment="1" applyFont="1">
      <alignment horizontal="left" readingOrder="0" shrinkToFit="0" wrapText="0"/>
    </xf>
    <xf borderId="1" fillId="22" fontId="19" numFmtId="0" xfId="0" applyAlignment="1" applyBorder="1" applyFont="1">
      <alignment horizontal="center" shrinkToFit="0" wrapText="0"/>
    </xf>
    <xf borderId="1" fillId="22" fontId="32" numFmtId="0" xfId="0" applyAlignment="1" applyBorder="1" applyFont="1">
      <alignment horizontal="center" readingOrder="0" shrinkToFit="0" vertical="bottom" wrapText="0"/>
    </xf>
    <xf borderId="7" fillId="26" fontId="84" numFmtId="0" xfId="0" applyAlignment="1" applyBorder="1" applyFont="1">
      <alignment horizontal="center" shrinkToFit="0" wrapText="0"/>
    </xf>
    <xf borderId="0" fillId="26" fontId="85" numFmtId="0" xfId="0" applyAlignment="1" applyFont="1">
      <alignment horizontal="left" shrinkToFit="0" wrapText="0"/>
    </xf>
    <xf borderId="9" fillId="0" fontId="23" numFmtId="0" xfId="0" applyAlignment="1" applyBorder="1" applyFont="1">
      <alignment horizontal="center" readingOrder="0" shrinkToFit="0" wrapText="0"/>
    </xf>
    <xf borderId="7" fillId="27" fontId="19" numFmtId="0" xfId="0" applyAlignment="1" applyBorder="1" applyFill="1" applyFont="1">
      <alignment horizontal="center" readingOrder="0" shrinkToFit="0" wrapText="0"/>
    </xf>
    <xf borderId="7" fillId="22" fontId="38" numFmtId="0" xfId="0" applyAlignment="1" applyBorder="1" applyFont="1">
      <alignment horizontal="center" readingOrder="0" shrinkToFit="0" wrapText="0"/>
    </xf>
    <xf borderId="9" fillId="28" fontId="19" numFmtId="0" xfId="0" applyAlignment="1" applyBorder="1" applyFill="1" applyFont="1">
      <alignment horizontal="center" readingOrder="0" shrinkToFit="0" wrapText="0"/>
    </xf>
    <xf borderId="7" fillId="28" fontId="19" numFmtId="0" xfId="0" applyAlignment="1" applyBorder="1" applyFont="1">
      <alignment horizontal="center" readingOrder="0" shrinkToFit="0" wrapText="0"/>
    </xf>
    <xf borderId="7" fillId="28" fontId="38" numFmtId="0" xfId="0" applyAlignment="1" applyBorder="1" applyFont="1">
      <alignment horizontal="center" readingOrder="0" shrinkToFit="0" wrapText="0"/>
    </xf>
    <xf borderId="7" fillId="28" fontId="84" numFmtId="0" xfId="0" applyAlignment="1" applyBorder="1" applyFont="1">
      <alignment horizontal="center" readingOrder="0" shrinkToFit="0" wrapText="0"/>
    </xf>
    <xf borderId="7" fillId="28" fontId="19" numFmtId="0" xfId="0" applyAlignment="1" applyBorder="1" applyFont="1">
      <alignment horizontal="center" shrinkToFit="0" wrapText="0"/>
    </xf>
    <xf borderId="0" fillId="28" fontId="85" numFmtId="0" xfId="0" applyAlignment="1" applyFont="1">
      <alignment horizontal="left" readingOrder="0" shrinkToFit="0" wrapText="0"/>
    </xf>
    <xf borderId="1" fillId="28" fontId="19" numFmtId="0" xfId="0" applyAlignment="1" applyBorder="1" applyFont="1">
      <alignment horizontal="center" shrinkToFit="0" wrapText="0"/>
    </xf>
    <xf borderId="1" fillId="28" fontId="32" numFmtId="0" xfId="0" applyAlignment="1" applyBorder="1" applyFont="1">
      <alignment horizontal="center" readingOrder="0" shrinkToFit="0" vertical="bottom" wrapText="0"/>
    </xf>
    <xf borderId="0" fillId="28" fontId="85" numFmtId="0" xfId="0" applyAlignment="1" applyFont="1">
      <alignment horizontal="left" shrinkToFit="0" wrapText="0"/>
    </xf>
    <xf borderId="0" fillId="22" fontId="85" numFmtId="0" xfId="0" applyAlignment="1" applyFont="1">
      <alignment horizontal="left" shrinkToFit="0" wrapText="0"/>
    </xf>
    <xf borderId="1" fillId="6" fontId="33" numFmtId="0" xfId="0" applyAlignment="1" applyBorder="1" applyFont="1">
      <alignment horizontal="center" readingOrder="0"/>
    </xf>
    <xf borderId="1" fillId="6" fontId="23" numFmtId="0" xfId="0" applyAlignment="1" applyBorder="1" applyFont="1">
      <alignment shrinkToFit="0" wrapText="0"/>
    </xf>
    <xf borderId="1" fillId="0" fontId="90" numFmtId="0" xfId="0" applyAlignment="1" applyBorder="1" applyFont="1">
      <alignment horizontal="center" shrinkToFit="0" wrapText="0"/>
    </xf>
    <xf borderId="1" fillId="29" fontId="19" numFmtId="0" xfId="0" applyAlignment="1" applyBorder="1" applyFill="1" applyFont="1">
      <alignment horizontal="center" readingOrder="0" shrinkToFit="0" wrapText="0"/>
    </xf>
  </cellXfs>
  <cellStyles count="1">
    <cellStyle xfId="0" name="Normal" builtinId="0"/>
  </cellStyles>
  <dxfs count="4">
    <dxf>
      <font/>
      <fill>
        <patternFill patternType="solid">
          <fgColor theme="6"/>
          <bgColor theme="6"/>
        </patternFill>
      </fill>
      <border/>
    </dxf>
    <dxf>
      <font/>
      <fill>
        <patternFill patternType="solid">
          <fgColor rgb="FF0000FF"/>
          <bgColor rgb="FF0000FF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mailto:kitp.ym@stryker.com" TargetMode="External"/><Relationship Id="rId3" Type="http://schemas.openxmlformats.org/officeDocument/2006/relationships/hyperlink" Target="mailto:antonio.cho@stryker.com" TargetMode="External"/><Relationship Id="rId4" Type="http://schemas.openxmlformats.org/officeDocument/2006/relationships/hyperlink" Target="mailto:yoon.chung@stryker.com" TargetMode="External"/><Relationship Id="rId5" Type="http://schemas.openxmlformats.org/officeDocument/2006/relationships/drawing" Target="../drawings/drawing1.xml"/><Relationship Id="rId6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mailto:sally.choi@stryker.com" TargetMode="External"/><Relationship Id="rId20" Type="http://schemas.openxmlformats.org/officeDocument/2006/relationships/hyperlink" Target="mailto:stella.hwang@stryker.com" TargetMode="External"/><Relationship Id="rId42" Type="http://schemas.openxmlformats.org/officeDocument/2006/relationships/hyperlink" Target="mailto:kit.ym@stryker.com" TargetMode="External"/><Relationship Id="rId41" Type="http://schemas.openxmlformats.org/officeDocument/2006/relationships/hyperlink" Target="mailto:bryan.park@stryker.com" TargetMode="External"/><Relationship Id="rId22" Type="http://schemas.openxmlformats.org/officeDocument/2006/relationships/hyperlink" Target="about:blank" TargetMode="External"/><Relationship Id="rId44" Type="http://schemas.openxmlformats.org/officeDocument/2006/relationships/hyperlink" Target="mailto:fixation.ym@stryker.com" TargetMode="External"/><Relationship Id="rId21" Type="http://schemas.openxmlformats.org/officeDocument/2006/relationships/hyperlink" Target="mailto:orderadmin2.ym@stryker.com" TargetMode="External"/><Relationship Id="rId43" Type="http://schemas.openxmlformats.org/officeDocument/2006/relationships/hyperlink" Target="mailto:grn.ym@stryker.com" TargetMode="External"/><Relationship Id="rId24" Type="http://schemas.openxmlformats.org/officeDocument/2006/relationships/hyperlink" Target="mailto:hannah.kim@stryker.com" TargetMode="External"/><Relationship Id="rId46" Type="http://schemas.openxmlformats.org/officeDocument/2006/relationships/hyperlink" Target="mailto:huey.sim@stryker.com" TargetMode="External"/><Relationship Id="rId23" Type="http://schemas.openxmlformats.org/officeDocument/2006/relationships/hyperlink" Target="about:blank" TargetMode="External"/><Relationship Id="rId45" Type="http://schemas.openxmlformats.org/officeDocument/2006/relationships/hyperlink" Target="mailto:alice.han@stryker.com" TargetMode="External"/><Relationship Id="rId1" Type="http://schemas.openxmlformats.org/officeDocument/2006/relationships/comments" Target="../comments2.xml"/><Relationship Id="rId2" Type="http://schemas.openxmlformats.org/officeDocument/2006/relationships/hyperlink" Target="https://strykercorp.service-now.com/alm_hardware.do?sys_id=00bf4403874f71d0344e859e8bbb358d&amp;sysparm_view=asset&amp;sysparm_record_target=alm_hardware&amp;sysparm_record_row=1&amp;sysparm_record_rows=1&amp;sysparm_record_list=ci.nameSTARTSWITHSEO%5Emodel_category%3D81feb9c137101000deeabfc8bcbe5dc4%5Eserial_numberSTARTSWITH5CD3469HD4%5EORDERBYasset_tag&amp;sysparm_view=asset" TargetMode="External"/><Relationship Id="rId3" Type="http://schemas.openxmlformats.org/officeDocument/2006/relationships/hyperlink" Target="mailto:david.oh@stryker.com" TargetMode="External"/><Relationship Id="rId4" Type="http://schemas.openxmlformats.org/officeDocument/2006/relationships/hyperlink" Target="mailto:mihee.han@stryker.com" TargetMode="External"/><Relationship Id="rId9" Type="http://schemas.openxmlformats.org/officeDocument/2006/relationships/hyperlink" Target="mailto:kmultiuser@stryker.com" TargetMode="External"/><Relationship Id="rId26" Type="http://schemas.openxmlformats.org/officeDocument/2006/relationships/hyperlink" Target="mailto:lucas.heo@stryker.com" TargetMode="External"/><Relationship Id="rId48" Type="http://schemas.openxmlformats.org/officeDocument/2006/relationships/vmlDrawing" Target="../drawings/vmlDrawing2.vml"/><Relationship Id="rId25" Type="http://schemas.openxmlformats.org/officeDocument/2006/relationships/hyperlink" Target="mailto:vincent.bae@stryker.com" TargetMode="External"/><Relationship Id="rId47" Type="http://schemas.openxmlformats.org/officeDocument/2006/relationships/drawing" Target="../drawings/drawing3.xml"/><Relationship Id="rId28" Type="http://schemas.openxmlformats.org/officeDocument/2006/relationships/hyperlink" Target="mailto:sujin.park@stryker.com" TargetMode="External"/><Relationship Id="rId27" Type="http://schemas.openxmlformats.org/officeDocument/2006/relationships/hyperlink" Target="mailto:hailey.song@stryker.com" TargetMode="External"/><Relationship Id="rId5" Type="http://schemas.openxmlformats.org/officeDocument/2006/relationships/hyperlink" Target="mailto:demoadmin.ym@stryker.com" TargetMode="External"/><Relationship Id="rId6" Type="http://schemas.openxmlformats.org/officeDocument/2006/relationships/hyperlink" Target="mailto:kmultiuser@stryker.com" TargetMode="External"/><Relationship Id="rId29" Type="http://schemas.openxmlformats.org/officeDocument/2006/relationships/hyperlink" Target="mailto:cis2.ym@stryker.com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mailto:yeonjoo.kim@stryker.com" TargetMode="External"/><Relationship Id="rId31" Type="http://schemas.openxmlformats.org/officeDocument/2006/relationships/hyperlink" Target="mailto:cis1.ym@stryker.com" TargetMode="External"/><Relationship Id="rId30" Type="http://schemas.openxmlformats.org/officeDocument/2006/relationships/hyperlink" Target="mailto:cis6.ym@stryker.com" TargetMode="External"/><Relationship Id="rId11" Type="http://schemas.openxmlformats.org/officeDocument/2006/relationships/hyperlink" Target="mailto:bruce.lee@stryker.com" TargetMode="External"/><Relationship Id="rId33" Type="http://schemas.openxmlformats.org/officeDocument/2006/relationships/hyperlink" Target="mailto:neal.kim@stryker.com" TargetMode="External"/><Relationship Id="rId10" Type="http://schemas.openxmlformats.org/officeDocument/2006/relationships/hyperlink" Target="mailto:minki.kim@stryker.com" TargetMode="External"/><Relationship Id="rId32" Type="http://schemas.openxmlformats.org/officeDocument/2006/relationships/hyperlink" Target="mailto:terry.kim@stryker.com" TargetMode="External"/><Relationship Id="rId13" Type="http://schemas.openxmlformats.org/officeDocument/2006/relationships/hyperlink" Target="mailto:jinny.park@stryker.com" TargetMode="External"/><Relationship Id="rId35" Type="http://schemas.openxmlformats.org/officeDocument/2006/relationships/hyperlink" Target="mailto:cis3.ym@stryker.com" TargetMode="External"/><Relationship Id="rId12" Type="http://schemas.openxmlformats.org/officeDocument/2006/relationships/hyperlink" Target="mailto:label.ym@stryker.com" TargetMode="External"/><Relationship Id="rId34" Type="http://schemas.openxmlformats.org/officeDocument/2006/relationships/hyperlink" Target="mailto:cis7.ym@stryker.com" TargetMode="External"/><Relationship Id="rId15" Type="http://schemas.openxmlformats.org/officeDocument/2006/relationships/hyperlink" Target="mailto:medsurg.ym@stryker.com" TargetMode="External"/><Relationship Id="rId37" Type="http://schemas.openxmlformats.org/officeDocument/2006/relationships/hyperlink" Target="mailto:dahye.jeong@stryker.com" TargetMode="External"/><Relationship Id="rId14" Type="http://schemas.openxmlformats.org/officeDocument/2006/relationships/hyperlink" Target="mailto:lucia.park@stryker.com" TargetMode="External"/><Relationship Id="rId36" Type="http://schemas.openxmlformats.org/officeDocument/2006/relationships/hyperlink" Target="mailto:Bomin.kim@stryker.com" TargetMode="External"/><Relationship Id="rId17" Type="http://schemas.openxmlformats.org/officeDocument/2006/relationships/hyperlink" Target="mailto:ethan.jang@stryker.com" TargetMode="External"/><Relationship Id="rId39" Type="http://schemas.openxmlformats.org/officeDocument/2006/relationships/hyperlink" Target="mailto:james.kim@stryker.com" TargetMode="External"/><Relationship Id="rId16" Type="http://schemas.openxmlformats.org/officeDocument/2006/relationships/hyperlink" Target="mailto:daphne.kim@stryker.com" TargetMode="External"/><Relationship Id="rId38" Type="http://schemas.openxmlformats.org/officeDocument/2006/relationships/hyperlink" Target="mailto:rayna.kim@stryker.com" TargetMode="External"/><Relationship Id="rId19" Type="http://schemas.openxmlformats.org/officeDocument/2006/relationships/hyperlink" Target="mailto:recon.ym@stryker.com" TargetMode="External"/><Relationship Id="rId18" Type="http://schemas.openxmlformats.org/officeDocument/2006/relationships/hyperlink" Target="mailto:justin.kim@stryker.com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mailto:sujin.park@stryker.com" TargetMode="External"/><Relationship Id="rId2" Type="http://schemas.openxmlformats.org/officeDocument/2006/relationships/hyperlink" Target="mailto:kale.lee@stryker.com" TargetMode="External"/><Relationship Id="rId3" Type="http://schemas.openxmlformats.org/officeDocument/2006/relationships/hyperlink" Target="mailto:vincent.bae@stryker.com" TargetMode="External"/><Relationship Id="rId4" Type="http://schemas.openxmlformats.org/officeDocument/2006/relationships/hyperlink" Target="mailto:david.oh@stryker.com" TargetMode="External"/><Relationship Id="rId9" Type="http://schemas.openxmlformats.org/officeDocument/2006/relationships/hyperlink" Target="mailto:rosey.song@stryker.com" TargetMode="External"/><Relationship Id="rId5" Type="http://schemas.openxmlformats.org/officeDocument/2006/relationships/hyperlink" Target="mailto:lucia.park@stryker.com" TargetMode="External"/><Relationship Id="rId6" Type="http://schemas.openxmlformats.org/officeDocument/2006/relationships/hyperlink" Target="mailto:hannah.kim@stryker.com" TargetMode="External"/><Relationship Id="rId7" Type="http://schemas.openxmlformats.org/officeDocument/2006/relationships/hyperlink" Target="mailto:bryan.park@stryker.com" TargetMode="External"/><Relationship Id="rId8" Type="http://schemas.openxmlformats.org/officeDocument/2006/relationships/hyperlink" Target="mailto:mason.choi@stryker.com" TargetMode="External"/><Relationship Id="rId11" Type="http://schemas.openxmlformats.org/officeDocument/2006/relationships/hyperlink" Target="mailto:lucas.heo@stryker.com" TargetMode="External"/><Relationship Id="rId10" Type="http://schemas.openxmlformats.org/officeDocument/2006/relationships/hyperlink" Target="mailto:neal.kim@stryker.com" TargetMode="External"/><Relationship Id="rId13" Type="http://schemas.openxmlformats.org/officeDocument/2006/relationships/hyperlink" Target="mailto:kale.lee@stryker.com" TargetMode="External"/><Relationship Id="rId12" Type="http://schemas.openxmlformats.org/officeDocument/2006/relationships/hyperlink" Target="mailto:david.chung@stryker.com" TargetMode="External"/><Relationship Id="rId14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mailto:lina.kim@stryker.com" TargetMode="External"/><Relationship Id="rId2" Type="http://schemas.openxmlformats.org/officeDocument/2006/relationships/hyperlink" Target="mailto:imsun.won@stryker.com" TargetMode="External"/><Relationship Id="rId3" Type="http://schemas.openxmlformats.org/officeDocument/2006/relationships/hyperlink" Target="mailto:stella.hwang@stryker.com" TargetMode="External"/><Relationship Id="rId4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mailto:james.kim@stryker.com" TargetMode="External"/><Relationship Id="rId2" Type="http://schemas.openxmlformats.org/officeDocument/2006/relationships/hyperlink" Target="mailto:david.oh@stryker.com" TargetMode="External"/><Relationship Id="rId3" Type="http://schemas.openxmlformats.org/officeDocument/2006/relationships/hyperlink" Target="mailto:gd.ahn@stryker.com" TargetMode="External"/><Relationship Id="rId4" Type="http://schemas.openxmlformats.org/officeDocument/2006/relationships/hyperlink" Target="mailto:Rosey.song@stryker.com" TargetMode="External"/><Relationship Id="rId5" Type="http://schemas.openxmlformats.org/officeDocument/2006/relationships/hyperlink" Target="mailto:Bruce.Cha@stryker.com" TargetMode="External"/><Relationship Id="rId6" Type="http://schemas.openxmlformats.org/officeDocument/2006/relationships/hyperlink" Target="mailto:neal.kim@stryker.com" TargetMode="External"/><Relationship Id="rId7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hyperlink" Target="https://drive.google.com/file/d/1bHo1y6paX-ZtzSu6_VJxB9qKDzVX5OSh/view?usp=drive_link" TargetMode="External"/><Relationship Id="rId21" Type="http://schemas.openxmlformats.org/officeDocument/2006/relationships/drawing" Target="../drawings/drawing8.xml"/><Relationship Id="rId1" Type="http://schemas.openxmlformats.org/officeDocument/2006/relationships/hyperlink" Target="mailto:Gregory.Seo@stryker.com" TargetMode="External"/><Relationship Id="rId2" Type="http://schemas.openxmlformats.org/officeDocument/2006/relationships/hyperlink" Target="mailto:henry.lee@stryker.com" TargetMode="External"/><Relationship Id="rId3" Type="http://schemas.openxmlformats.org/officeDocument/2006/relationships/hyperlink" Target="mailto:kyu.choi@stryker.com" TargetMode="External"/><Relationship Id="rId4" Type="http://schemas.openxmlformats.org/officeDocument/2006/relationships/hyperlink" Target="mailto:mihee.han@stryker.com" TargetMode="External"/><Relationship Id="rId9" Type="http://schemas.openxmlformats.org/officeDocument/2006/relationships/hyperlink" Target="https://drive.google.com/file/d/1_k4hWxKrSe32TSdzsamQrDdHknunzPMk/view?usp=drive_link" TargetMode="External"/><Relationship Id="rId5" Type="http://schemas.openxmlformats.org/officeDocument/2006/relationships/hyperlink" Target="mailto:minki.kim@stryker.com" TargetMode="External"/><Relationship Id="rId6" Type="http://schemas.openxmlformats.org/officeDocument/2006/relationships/hyperlink" Target="https://drive.google.com/file/d/1m13h8Gw4RsttYTZ0HPrw0GjBFP-7LoZW/view?usp=drive_link" TargetMode="External"/><Relationship Id="rId7" Type="http://schemas.openxmlformats.org/officeDocument/2006/relationships/hyperlink" Target="https://drive.google.com/file/d/1TLLu-bqjD4MgL0ELiiITR0xAJMJuSCAc/view?usp=drive_link" TargetMode="External"/><Relationship Id="rId8" Type="http://schemas.openxmlformats.org/officeDocument/2006/relationships/hyperlink" Target="https://drive.google.com/file/d/1PyXU7WAyQc_fn_m0qurkGzd_7_n-_vij/view?usp=drive_link" TargetMode="External"/><Relationship Id="rId11" Type="http://schemas.openxmlformats.org/officeDocument/2006/relationships/hyperlink" Target="https://drive.google.com/file/d/1JyUZP0aQ5OUTTHrDg75J8JkMDvysVuLJ/view?usp=sharing" TargetMode="External"/><Relationship Id="rId10" Type="http://schemas.openxmlformats.org/officeDocument/2006/relationships/hyperlink" Target="https://drive.google.com/file/d/1EJLplMtvUg6XhSC96Xbq723xVgg4Hyd9/view?usp=drive_link" TargetMode="External"/><Relationship Id="rId13" Type="http://schemas.openxmlformats.org/officeDocument/2006/relationships/hyperlink" Target="https://drive.google.com/file/d/14gxxctoULNTQz5SAqoIMr-y4t5UZtncC/view?usp=drive_link" TargetMode="External"/><Relationship Id="rId12" Type="http://schemas.openxmlformats.org/officeDocument/2006/relationships/hyperlink" Target="https://drive.google.com/file/d/1jpHYeDpWEEZTxUushU4MFjULPU9Ofr0p/view?usp=drive_link" TargetMode="External"/><Relationship Id="rId15" Type="http://schemas.openxmlformats.org/officeDocument/2006/relationships/hyperlink" Target="https://drive.google.com/file/d/1yK2Ho3c-SRbh1x4MtRh5ECx98C2c05o5/view?usp=drive_link" TargetMode="External"/><Relationship Id="rId14" Type="http://schemas.openxmlformats.org/officeDocument/2006/relationships/hyperlink" Target="https://drive.google.com/file/d/1-y8o8MbxkT2k7qEsDkZUVZT-owAnIWho/view?usp=drive_link" TargetMode="External"/><Relationship Id="rId17" Type="http://schemas.openxmlformats.org/officeDocument/2006/relationships/hyperlink" Target="https://drive.google.com/file/d/1-mcfOWeJvOeyEzHlyYmJXxy43EmQ58rc/view?usp=drive_link" TargetMode="External"/><Relationship Id="rId16" Type="http://schemas.openxmlformats.org/officeDocument/2006/relationships/hyperlink" Target="https://drive.google.com/file/d/1KgtCnJ6YDFhJ2rkIQge4y0uRvtDw9Ytp/view?usp=drive_link" TargetMode="External"/><Relationship Id="rId19" Type="http://schemas.openxmlformats.org/officeDocument/2006/relationships/hyperlink" Target="https://drive.google.com/file/d/1s-Pzh0wyQFGtX-KLNi6sKq04VReR383j/view?usp=drive_link" TargetMode="External"/><Relationship Id="rId18" Type="http://schemas.openxmlformats.org/officeDocument/2006/relationships/hyperlink" Target="https://drive.google.com/file/d/175XL42VMdBi2aeZEcOnUWQLXEcM2XYjk/view?usp=drive_link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mailto:kitp.ym@stryker.com" TargetMode="External"/><Relationship Id="rId3" Type="http://schemas.openxmlformats.org/officeDocument/2006/relationships/hyperlink" Target="mailto:antonio.cho@stryker.com" TargetMode="External"/><Relationship Id="rId4" Type="http://schemas.openxmlformats.org/officeDocument/2006/relationships/hyperlink" Target="mailto:yoon.chung@stryker.com" TargetMode="External"/><Relationship Id="rId5" Type="http://schemas.openxmlformats.org/officeDocument/2006/relationships/drawing" Target="../drawings/drawing9.xml"/><Relationship Id="rId6" Type="http://schemas.openxmlformats.org/officeDocument/2006/relationships/vmlDrawing" Target="../drawings/vmlDrawing3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mailto:kale.lee@stryker.com" TargetMode="External"/><Relationship Id="rId2" Type="http://schemas.openxmlformats.org/officeDocument/2006/relationships/hyperlink" Target="mailto:jihee.kang@stryker.com" TargetMode="External"/><Relationship Id="rId3" Type="http://schemas.openxmlformats.org/officeDocument/2006/relationships/hyperlink" Target="mailto:bruce.lee@stryker.com" TargetMode="External"/><Relationship Id="rId4" Type="http://schemas.openxmlformats.org/officeDocument/2006/relationships/hyperlink" Target="mailto:neal.kim@stryker.com" TargetMode="External"/><Relationship Id="rId9" Type="http://schemas.openxmlformats.org/officeDocument/2006/relationships/hyperlink" Target="mailto:daeun.kim@stryker.com" TargetMode="External"/><Relationship Id="rId5" Type="http://schemas.openxmlformats.org/officeDocument/2006/relationships/hyperlink" Target="mailto:lucas.heo@stryker.com" TargetMode="External"/><Relationship Id="rId6" Type="http://schemas.openxmlformats.org/officeDocument/2006/relationships/hyperlink" Target="mailto:stella.hwang@stryker.com" TargetMode="External"/><Relationship Id="rId7" Type="http://schemas.openxmlformats.org/officeDocument/2006/relationships/hyperlink" Target="mailto:gyowon.jeong@stryker.com" TargetMode="External"/><Relationship Id="rId8" Type="http://schemas.openxmlformats.org/officeDocument/2006/relationships/hyperlink" Target="mailto:kmultiuser@stryker.com" TargetMode="External"/><Relationship Id="rId11" Type="http://schemas.openxmlformats.org/officeDocument/2006/relationships/hyperlink" Target="mailto:Bomin.kim@stryker.com" TargetMode="External"/><Relationship Id="rId10" Type="http://schemas.openxmlformats.org/officeDocument/2006/relationships/hyperlink" Target="mailto:bryan.park@stryker.com" TargetMode="External"/><Relationship Id="rId13" Type="http://schemas.openxmlformats.org/officeDocument/2006/relationships/hyperlink" Target="mailto:ian.hwang@stryker.com" TargetMode="External"/><Relationship Id="rId12" Type="http://schemas.openxmlformats.org/officeDocument/2006/relationships/hyperlink" Target="mailto:sally.choi@stryker.com" TargetMode="External"/><Relationship Id="rId15" Type="http://schemas.openxmlformats.org/officeDocument/2006/relationships/hyperlink" Target="mailto:sazy.park@stryker.com" TargetMode="External"/><Relationship Id="rId14" Type="http://schemas.openxmlformats.org/officeDocument/2006/relationships/hyperlink" Target="mailto:lia.jung@stryker.com" TargetMode="External"/><Relationship Id="rId17" Type="http://schemas.openxmlformats.org/officeDocument/2006/relationships/drawing" Target="../drawings/drawing10.xml"/><Relationship Id="rId16" Type="http://schemas.openxmlformats.org/officeDocument/2006/relationships/hyperlink" Target="mailto:ian.hwang@stryker.com" TargetMode="Externa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mailto:hailey.na@stryker.com" TargetMode="External"/><Relationship Id="rId2" Type="http://schemas.openxmlformats.org/officeDocument/2006/relationships/hyperlink" Target="mailto:seyeon.choi@stryker.com" TargetMode="External"/><Relationship Id="rId3" Type="http://schemas.openxmlformats.org/officeDocument/2006/relationships/hyperlink" Target="mailto:dawn.lim@stryker.com" TargetMode="External"/><Relationship Id="rId4" Type="http://schemas.openxmlformats.org/officeDocument/2006/relationships/hyperlink" Target="mailto:yunju.mo@stryker.com" TargetMode="External"/><Relationship Id="rId9" Type="http://schemas.openxmlformats.org/officeDocument/2006/relationships/hyperlink" Target="mailto:yulie.choi@stryker.com" TargetMode="External"/><Relationship Id="rId5" Type="http://schemas.openxmlformats.org/officeDocument/2006/relationships/hyperlink" Target="mailto:stacy.im@stryker.com" TargetMode="External"/><Relationship Id="rId6" Type="http://schemas.openxmlformats.org/officeDocument/2006/relationships/hyperlink" Target="mailto:lucy.han@stryker.com" TargetMode="External"/><Relationship Id="rId7" Type="http://schemas.openxmlformats.org/officeDocument/2006/relationships/hyperlink" Target="mailto:jayoung.kim@stryker.com" TargetMode="External"/><Relationship Id="rId8" Type="http://schemas.openxmlformats.org/officeDocument/2006/relationships/hyperlink" Target="mailto:harim.shin@stryker.com" TargetMode="External"/><Relationship Id="rId11" Type="http://schemas.openxmlformats.org/officeDocument/2006/relationships/hyperlink" Target="mailto:elin.kim@stryker.com" TargetMode="External"/><Relationship Id="rId10" Type="http://schemas.openxmlformats.org/officeDocument/2006/relationships/hyperlink" Target="mailto:tony.kang@stryker.com" TargetMode="External"/><Relationship Id="rId13" Type="http://schemas.openxmlformats.org/officeDocument/2006/relationships/hyperlink" Target="mailto:donna.park@stryker.com" TargetMode="External"/><Relationship Id="rId12" Type="http://schemas.openxmlformats.org/officeDocument/2006/relationships/hyperlink" Target="mailto:chai.william@stryker.com" TargetMode="External"/><Relationship Id="rId15" Type="http://schemas.openxmlformats.org/officeDocument/2006/relationships/hyperlink" Target="mailto:jayden.shin@stryker.com" TargetMode="External"/><Relationship Id="rId14" Type="http://schemas.openxmlformats.org/officeDocument/2006/relationships/hyperlink" Target="mailto:julie.son@stryker.com" TargetMode="External"/><Relationship Id="rId17" Type="http://schemas.openxmlformats.org/officeDocument/2006/relationships/hyperlink" Target="mailto:johnny.choi@stryker.com" TargetMode="External"/><Relationship Id="rId16" Type="http://schemas.openxmlformats.org/officeDocument/2006/relationships/hyperlink" Target="mailto:shin.yoojin@stryker.com" TargetMode="External"/><Relationship Id="rId18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hyperlink" Target="mailto:elin.kim@stryker.com" TargetMode="External"/><Relationship Id="rId2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hyperlink" Target="mailto:kmultiuser@stryker.com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mailto:neal.kim@stryker.com" TargetMode="External"/><Relationship Id="rId4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7.88"/>
    <col customWidth="1" min="3" max="3" width="12.75"/>
    <col customWidth="1" min="4" max="4" width="26.25"/>
    <col customWidth="1" min="5" max="5" width="26.63"/>
    <col customWidth="1" min="6" max="6" width="13.25"/>
    <col customWidth="1" min="7" max="7" width="17.63"/>
    <col customWidth="1" min="8" max="8" width="10.13"/>
    <col customWidth="1" min="9" max="9" width="9.88"/>
    <col customWidth="1" min="10" max="10" width="5.5"/>
    <col customWidth="1" min="11" max="11" width="11.0"/>
    <col customWidth="1" min="12" max="12" width="11.75"/>
    <col customWidth="1" min="13" max="13" width="15.13"/>
    <col customWidth="1" min="14" max="14" width="8.38"/>
    <col customWidth="1" min="17" max="18" width="10.25"/>
  </cols>
  <sheetData>
    <row r="1" ht="42.0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6</v>
      </c>
      <c r="H1" s="5" t="s">
        <v>7</v>
      </c>
      <c r="I1" s="6" t="s">
        <v>8</v>
      </c>
      <c r="J1" s="7" t="s">
        <v>9</v>
      </c>
      <c r="K1" s="5" t="s">
        <v>10</v>
      </c>
      <c r="L1" s="8" t="s">
        <v>11</v>
      </c>
      <c r="M1" s="9" t="s">
        <v>12</v>
      </c>
      <c r="N1" s="10" t="s">
        <v>13</v>
      </c>
      <c r="O1" s="11" t="s">
        <v>5</v>
      </c>
      <c r="P1" s="10" t="s">
        <v>14</v>
      </c>
      <c r="Q1" s="12"/>
      <c r="R1" s="12" t="s">
        <v>15</v>
      </c>
    </row>
    <row r="2">
      <c r="A2" s="13">
        <v>1.0</v>
      </c>
      <c r="B2" s="14" t="s">
        <v>16</v>
      </c>
      <c r="C2" s="15" t="s">
        <v>17</v>
      </c>
      <c r="D2" s="16" t="s">
        <v>18</v>
      </c>
      <c r="E2" s="15" t="s">
        <v>19</v>
      </c>
      <c r="F2" s="17" t="s">
        <v>20</v>
      </c>
      <c r="G2" s="18" t="s">
        <v>21</v>
      </c>
      <c r="H2" s="19" t="str">
        <f t="array" ref="H2">IFERROR(INDEX(Lease_List!D:D,MATCH(INDIRECT("All_User!D"&amp;ROW()),Lease_List!H:H,0)),"없음")</f>
        <v>5CD5179KGZ</v>
      </c>
      <c r="I2" s="20" t="s">
        <v>22</v>
      </c>
      <c r="J2" s="21"/>
      <c r="K2" s="22" t="str">
        <f t="array" ref="K2">IFERROR(INDEX(Ipad_List!C:C,MATCH(INDIRECT("All_User!D"&amp;ROW()),Ipad_List!J:J,0)),"없음")</f>
        <v>QWG7C19T9N</v>
      </c>
      <c r="L2" s="23" t="str">
        <f t="array" ref="L2">IFERROR(INDEX(TeamsNumber!B:B,MATCH(INDIRECT("All_User!D"&amp;ROW()),TeamsNumber!D:D,0)),"없음")</f>
        <v>tel:+82234517682</v>
      </c>
      <c r="M2" s="23" t="str">
        <f t="array" ref="M2">IFERROR(INDEX(Printer!D:D,MATCH(INDIRECT("All_User!D"&amp;ROW()),Printer!H:H,0)),"없음")</f>
        <v>SL-C563W</v>
      </c>
      <c r="N2" s="24" t="str">
        <f t="array" ref="N2">IFERROR(INDEX(Monitor!A:A,MATCH(INDIRECT("All_User!D"&amp;ROW()),Monitor!D:D,0)),"없음")</f>
        <v>없음</v>
      </c>
      <c r="O2" s="24" t="str">
        <f t="shared" ref="O2:O224" si="1">IFERROR(INDEX(All_User_now!B:B,MATCH(D2,All_User_now!B:B,0)),"없음")</f>
        <v>없음</v>
      </c>
      <c r="P2" s="24" t="str">
        <f t="array" ref="P2">IFERROR(INDEX(sales!E:E,MATCH(D2,sales!C:C,0)),"없음")</f>
        <v>NV</v>
      </c>
      <c r="Q2" s="24" t="str">
        <f t="array" ref="Q2">IFERROR(INDEX(sales!C:C,MATCH(D2,sales!C:C,0)),"list없음")</f>
        <v>dj.ahn@stryker.com</v>
      </c>
      <c r="R2" s="24"/>
    </row>
    <row r="3">
      <c r="A3" s="13">
        <v>2.0</v>
      </c>
      <c r="B3" s="15" t="s">
        <v>23</v>
      </c>
      <c r="C3" s="15" t="s">
        <v>24</v>
      </c>
      <c r="D3" s="18" t="s">
        <v>25</v>
      </c>
      <c r="E3" s="15" t="s">
        <v>26</v>
      </c>
      <c r="F3" s="17" t="s">
        <v>27</v>
      </c>
      <c r="G3" s="18" t="s">
        <v>28</v>
      </c>
      <c r="H3" s="19" t="str">
        <f t="array" ref="H3">IFERROR(INDEX(Lease_List!D:D,MATCH(INDIRECT("All_User!D"&amp;ROW()),Lease_List!H:H,0)),"없음")</f>
        <v>5CD4232BFL</v>
      </c>
      <c r="I3" s="22" t="s">
        <v>29</v>
      </c>
      <c r="J3" s="21"/>
      <c r="K3" s="22" t="str">
        <f t="array" ref="K3">IFERROR(INDEX(Ipad_List!C:C,MATCH(INDIRECT("All_User!D"&amp;ROW()),Ipad_List!J:J,0)),"없음")</f>
        <v>L69V0Q1VT3</v>
      </c>
      <c r="L3" s="23" t="str">
        <f t="array" ref="L3">IFERROR(INDEX(TeamsNumber!B:B,MATCH(INDIRECT("All_User!D"&amp;ROW()),TeamsNumber!D:D,0)),"없음")</f>
        <v>tel:+82234517566</v>
      </c>
      <c r="M3" s="23" t="str">
        <f t="array" ref="M3">IFERROR(INDEX(Printer!D:D,MATCH(INDIRECT("All_User!D"&amp;ROW()),Printer!H:H,0)),"없음")</f>
        <v>SL-C563W</v>
      </c>
      <c r="N3" s="24" t="str">
        <f t="array" ref="N3">IFERROR(INDEX(Monitor!A:A,MATCH(INDIRECT("All_User!D"&amp;ROW()),Monitor!D:D,0)),"없음")</f>
        <v>없음</v>
      </c>
      <c r="O3" s="24" t="str">
        <f t="shared" si="1"/>
        <v>없음</v>
      </c>
      <c r="P3" s="24" t="str">
        <f t="array" ref="P3">IFERROR(INDEX(sales!E:E,MATCH(D3,sales!C:C,0)),"없음")</f>
        <v/>
      </c>
      <c r="Q3" s="24"/>
      <c r="R3" s="24"/>
    </row>
    <row r="4">
      <c r="A4" s="13">
        <v>3.0</v>
      </c>
      <c r="B4" s="15" t="s">
        <v>30</v>
      </c>
      <c r="C4" s="15" t="s">
        <v>31</v>
      </c>
      <c r="D4" s="18" t="s">
        <v>32</v>
      </c>
      <c r="E4" s="15" t="s">
        <v>33</v>
      </c>
      <c r="F4" s="17" t="s">
        <v>34</v>
      </c>
      <c r="G4" s="18" t="s">
        <v>35</v>
      </c>
      <c r="H4" s="19" t="str">
        <f t="array" ref="H4">IFERROR(INDEX(Lease_List!D:D,MATCH(INDIRECT("All_User!D"&amp;ROW()),Lease_List!H:H,0)),"없음")</f>
        <v>5CD5179KJ6</v>
      </c>
      <c r="I4" s="22" t="s">
        <v>36</v>
      </c>
      <c r="J4" s="21"/>
      <c r="K4" s="22" t="str">
        <f t="array" ref="K4">IFERROR(INDEX(Ipad_List!C:C,MATCH(INDIRECT("All_User!D"&amp;ROW()),Ipad_List!J:J,0)),"없음")</f>
        <v>C4RQH3W74V</v>
      </c>
      <c r="L4" s="23" t="str">
        <f t="array" ref="L4">IFERROR(INDEX(TeamsNumber!B:B,MATCH(INDIRECT("All_User!D"&amp;ROW()),TeamsNumber!D:D,0)),"없음")</f>
        <v>tel:+82234517512</v>
      </c>
      <c r="M4" s="23" t="str">
        <f t="array" ref="M4">IFERROR(INDEX(Printer!D:D,MATCH(INDIRECT("All_User!D"&amp;ROW()),Printer!H:H,0)),"없음")</f>
        <v>없음</v>
      </c>
      <c r="N4" s="24" t="str">
        <f t="array" ref="N4">IFERROR(INDEX(Monitor!A:A,MATCH(INDIRECT("All_User!D"&amp;ROW()),Monitor!D:D,0)),"없음")</f>
        <v>없음</v>
      </c>
      <c r="O4" s="24" t="str">
        <f t="shared" si="1"/>
        <v>없음</v>
      </c>
      <c r="P4" s="24" t="str">
        <f t="array" ref="P4">IFERROR(INDEX(sales!E:E,MATCH(D4,sales!C:C,0)),"없음")</f>
        <v>TS</v>
      </c>
      <c r="Q4" s="24" t="str">
        <f t="array" ref="Q4">IFERROR(INDEX(sales!C:C,MATCH(D4,sales!C:C,0)),"list없음")</f>
        <v>andrew.ahn@stryker.com</v>
      </c>
      <c r="R4" s="24"/>
    </row>
    <row r="5">
      <c r="A5" s="13">
        <v>4.0</v>
      </c>
      <c r="B5" s="15" t="s">
        <v>37</v>
      </c>
      <c r="C5" s="15" t="s">
        <v>38</v>
      </c>
      <c r="D5" s="18" t="s">
        <v>39</v>
      </c>
      <c r="E5" s="15" t="s">
        <v>40</v>
      </c>
      <c r="F5" s="17" t="s">
        <v>41</v>
      </c>
      <c r="G5" s="15" t="s">
        <v>42</v>
      </c>
      <c r="H5" s="19" t="str">
        <f t="array" ref="H5">IFERROR(INDEX(Lease_List!D:D,MATCH(INDIRECT("All_User!D"&amp;ROW()),Lease_List!H:H,0)),"없음")</f>
        <v>5CD442C071</v>
      </c>
      <c r="I5" s="22" t="s">
        <v>29</v>
      </c>
      <c r="J5" s="21"/>
      <c r="K5" s="22" t="str">
        <f t="array" ref="K5">IFERROR(INDEX(Ipad_List!C:C,MATCH(INDIRECT("All_User!D"&amp;ROW()),Ipad_List!J:J,0)),"없음")</f>
        <v>없음</v>
      </c>
      <c r="L5" s="23" t="str">
        <f t="array" ref="L5">IFERROR(INDEX(TeamsNumber!B:B,MATCH(INDIRECT("All_User!D"&amp;ROW()),TeamsNumber!D:D,0)),"없음")</f>
        <v>tel:+82234517594</v>
      </c>
      <c r="M5" s="23" t="str">
        <f t="array" ref="M5">IFERROR(INDEX(Printer!D:D,MATCH(INDIRECT("All_User!D"&amp;ROW()),Printer!H:H,0)),"없음")</f>
        <v>없음</v>
      </c>
      <c r="N5" s="24" t="str">
        <f t="array" ref="N5">IFERROR(INDEX(Monitor!A:A,MATCH(INDIRECT("All_User!D"&amp;ROW()),Monitor!D:D,0)),"없음")</f>
        <v>없음</v>
      </c>
      <c r="O5" s="24" t="str">
        <f t="shared" si="1"/>
        <v>없음</v>
      </c>
      <c r="P5" s="24" t="str">
        <f t="array" ref="P5">IFERROR(INDEX(sales!E:E,MATCH(D5,sales!C:C,0)),"없음")</f>
        <v>없음</v>
      </c>
      <c r="Q5" s="24"/>
      <c r="R5" s="24"/>
    </row>
    <row r="6">
      <c r="A6" s="13">
        <v>5.0</v>
      </c>
      <c r="B6" s="15" t="s">
        <v>43</v>
      </c>
      <c r="C6" s="15" t="s">
        <v>44</v>
      </c>
      <c r="D6" s="15" t="s">
        <v>45</v>
      </c>
      <c r="E6" s="15" t="s">
        <v>46</v>
      </c>
      <c r="F6" s="17" t="s">
        <v>41</v>
      </c>
      <c r="G6" s="18" t="s">
        <v>47</v>
      </c>
      <c r="H6" s="19" t="str">
        <f t="array" ref="H6">IFERROR(INDEX(Lease_List!D:D,MATCH(INDIRECT("All_User!D"&amp;ROW()),Lease_List!H:H,0)),"없음")</f>
        <v>5CD4145N3N</v>
      </c>
      <c r="I6" s="22" t="s">
        <v>29</v>
      </c>
      <c r="J6" s="21"/>
      <c r="K6" s="22" t="str">
        <f t="array" ref="K6">IFERROR(INDEX(Ipad_List!C:C,MATCH(INDIRECT("All_User!D"&amp;ROW()),Ipad_List!J:J,0)),"없음")</f>
        <v>없음</v>
      </c>
      <c r="L6" s="23" t="str">
        <f t="array" ref="L6">IFERROR(INDEX(TeamsNumber!B:B,MATCH(INDIRECT("All_User!D"&amp;ROW()),TeamsNumber!D:D,0)),"없음")</f>
        <v>tel:+82234517662</v>
      </c>
      <c r="M6" s="23" t="str">
        <f t="array" ref="M6">IFERROR(INDEX(Printer!D:D,MATCH(INDIRECT("All_User!D"&amp;ROW()),Printer!H:H,0)),"없음")</f>
        <v>없음</v>
      </c>
      <c r="N6" s="24" t="str">
        <f t="array" ref="N6">IFERROR(INDEX(Monitor!A:A,MATCH(INDIRECT("All_User!D"&amp;ROW()),Monitor!D:D,0)),"없음")</f>
        <v>없음</v>
      </c>
      <c r="O6" s="24" t="str">
        <f t="shared" si="1"/>
        <v>없음</v>
      </c>
      <c r="P6" s="24" t="str">
        <f t="array" ref="P6">IFERROR(INDEX(sales!E:E,MATCH(D6,sales!C:C,0)),"없음")</f>
        <v>없음</v>
      </c>
      <c r="Q6" s="24"/>
      <c r="R6" s="24"/>
    </row>
    <row r="7">
      <c r="A7" s="13">
        <v>6.0</v>
      </c>
      <c r="B7" s="15" t="s">
        <v>48</v>
      </c>
      <c r="C7" s="15" t="s">
        <v>49</v>
      </c>
      <c r="D7" s="18" t="s">
        <v>50</v>
      </c>
      <c r="E7" s="15" t="s">
        <v>51</v>
      </c>
      <c r="F7" s="17" t="s">
        <v>52</v>
      </c>
      <c r="G7" s="18" t="s">
        <v>53</v>
      </c>
      <c r="H7" s="19" t="str">
        <f t="array" ref="H7">IFERROR(INDEX(Lease_List!D:D,MATCH(INDIRECT("All_User!D"&amp;ROW()),Lease_List!H:H,0)),"없음")</f>
        <v>5CD3469HD0</v>
      </c>
      <c r="I7" s="22" t="s">
        <v>29</v>
      </c>
      <c r="J7" s="21"/>
      <c r="K7" s="22" t="str">
        <f t="array" ref="K7">IFERROR(INDEX(Ipad_List!C:C,MATCH(INDIRECT("All_User!D"&amp;ROW()),Ipad_List!J:J,0)),"없음")</f>
        <v>없음</v>
      </c>
      <c r="L7" s="23" t="str">
        <f t="array" ref="L7">IFERROR(INDEX(TeamsNumber!B:B,MATCH(INDIRECT("All_User!D"&amp;ROW()),TeamsNumber!D:D,0)),"없음")</f>
        <v>tel:+82234517661</v>
      </c>
      <c r="M7" s="23" t="str">
        <f t="array" ref="M7">IFERROR(INDEX(Printer!D:D,MATCH(INDIRECT("All_User!D"&amp;ROW()),Printer!H:H,0)),"없음")</f>
        <v>없음</v>
      </c>
      <c r="N7" s="24" t="str">
        <f t="array" ref="N7">IFERROR(INDEX(Monitor!A:A,MATCH(INDIRECT("All_User!D"&amp;ROW()),Monitor!D:D,0)),"없음")</f>
        <v>없음</v>
      </c>
      <c r="O7" s="24" t="str">
        <f t="shared" si="1"/>
        <v>없음</v>
      </c>
      <c r="P7" s="24" t="str">
        <f t="array" ref="P7">IFERROR(INDEX(sales!E:E,MATCH(D7,sales!C:C,0)),"없음")</f>
        <v>없음</v>
      </c>
      <c r="Q7" s="24"/>
      <c r="R7" s="24"/>
    </row>
    <row r="8">
      <c r="A8" s="13">
        <v>7.0</v>
      </c>
      <c r="B8" s="18" t="s">
        <v>54</v>
      </c>
      <c r="C8" s="15" t="s">
        <v>55</v>
      </c>
      <c r="D8" s="18" t="s">
        <v>56</v>
      </c>
      <c r="E8" s="15" t="s">
        <v>57</v>
      </c>
      <c r="F8" s="17" t="s">
        <v>27</v>
      </c>
      <c r="G8" s="18" t="s">
        <v>28</v>
      </c>
      <c r="H8" s="19" t="str">
        <f t="array" ref="H8">IFERROR(INDEX(Lease_List!D:D,MATCH(INDIRECT("All_User!D"&amp;ROW()),Lease_List!H:H,0)),"없음")</f>
        <v>5CD5062YDY</v>
      </c>
      <c r="I8" s="22" t="s">
        <v>29</v>
      </c>
      <c r="J8" s="21"/>
      <c r="K8" s="22" t="str">
        <f t="array" ref="K8">IFERROR(INDEX(Ipad_List!C:C,MATCH(INDIRECT("All_User!D"&amp;ROW()),Ipad_List!J:J,0)),"없음")</f>
        <v>HL7Q0T6MHW</v>
      </c>
      <c r="L8" s="23" t="str">
        <f t="array" ref="L8">IFERROR(INDEX(TeamsNumber!B:B,MATCH(INDIRECT("All_User!D"&amp;ROW()),TeamsNumber!D:D,0)),"없음")</f>
        <v>없음</v>
      </c>
      <c r="M8" s="23" t="str">
        <f t="array" ref="M8">IFERROR(INDEX(Printer!D:D,MATCH(INDIRECT("All_User!D"&amp;ROW()),Printer!H:H,0)),"없음")</f>
        <v>없음</v>
      </c>
      <c r="N8" s="24" t="str">
        <f t="array" ref="N8">IFERROR(INDEX(Monitor!A:A,MATCH(INDIRECT("All_User!D"&amp;ROW()),Monitor!D:D,0)),"없음")</f>
        <v>없음</v>
      </c>
      <c r="O8" s="24" t="str">
        <f t="shared" si="1"/>
        <v>없음</v>
      </c>
      <c r="P8" s="24" t="str">
        <f t="array" ref="P8">IFERROR(INDEX(sales!E:E,MATCH(D8,sales!C:C,0)),"없음")</f>
        <v>MPS</v>
      </c>
      <c r="Q8" s="24" t="str">
        <f t="array" ref="Q8">IFERROR(INDEX(sales!C:C,MATCH(D8,sales!C:C,0)),"list없음")</f>
        <v>vincent.bae@stryker.com</v>
      </c>
      <c r="R8" s="24"/>
    </row>
    <row r="9">
      <c r="A9" s="13">
        <v>8.0</v>
      </c>
      <c r="B9" s="15" t="s">
        <v>58</v>
      </c>
      <c r="C9" s="15" t="s">
        <v>59</v>
      </c>
      <c r="D9" s="18" t="s">
        <v>60</v>
      </c>
      <c r="E9" s="15" t="s">
        <v>61</v>
      </c>
      <c r="F9" s="17" t="s">
        <v>62</v>
      </c>
      <c r="G9" s="18" t="s">
        <v>62</v>
      </c>
      <c r="H9" s="19" t="str">
        <f t="array" ref="H9">IFERROR(INDEX(Lease_List!D:D,MATCH(INDIRECT("All_User!D"&amp;ROW()),Lease_List!H:H,0)),"없음")</f>
        <v>5CD3469HDN</v>
      </c>
      <c r="I9" s="22" t="s">
        <v>29</v>
      </c>
      <c r="J9" s="21"/>
      <c r="K9" s="22" t="str">
        <f t="array" ref="K9">IFERROR(INDEX(Ipad_List!C:C,MATCH(INDIRECT("All_User!D"&amp;ROW()),Ipad_List!J:J,0)),"없음")</f>
        <v>없음</v>
      </c>
      <c r="L9" s="23" t="str">
        <f t="array" ref="L9">IFERROR(INDEX(TeamsNumber!B:B,MATCH(INDIRECT("All_User!D"&amp;ROW()),TeamsNumber!D:D,0)),"없음")</f>
        <v>tel:+82234517519</v>
      </c>
      <c r="M9" s="23" t="str">
        <f t="array" ref="M9">IFERROR(INDEX(Printer!D:D,MATCH(INDIRECT("All_User!D"&amp;ROW()),Printer!H:H,0)),"없음")</f>
        <v>없음</v>
      </c>
      <c r="N9" s="24" t="str">
        <f t="array" ref="N9">IFERROR(INDEX(Monitor!A:A,MATCH(INDIRECT("All_User!D"&amp;ROW()),Monitor!D:D,0)),"없음")</f>
        <v>없음</v>
      </c>
      <c r="O9" s="24" t="str">
        <f t="shared" si="1"/>
        <v>없음</v>
      </c>
      <c r="P9" s="24" t="str">
        <f t="array" ref="P9">IFERROR(INDEX(sales!E:E,MATCH(D9,sales!C:C,0)),"없음")</f>
        <v>없음</v>
      </c>
      <c r="Q9" s="24"/>
      <c r="R9" s="24"/>
    </row>
    <row r="10">
      <c r="A10" s="13">
        <v>10.0</v>
      </c>
      <c r="B10" s="15" t="s">
        <v>63</v>
      </c>
      <c r="C10" s="15" t="s">
        <v>64</v>
      </c>
      <c r="D10" s="18" t="s">
        <v>65</v>
      </c>
      <c r="E10" s="15" t="s">
        <v>66</v>
      </c>
      <c r="F10" s="17" t="s">
        <v>67</v>
      </c>
      <c r="G10" s="18" t="s">
        <v>68</v>
      </c>
      <c r="H10" s="19" t="str">
        <f t="array" ref="H10">IFERROR(INDEX(Lease_List!D:D,MATCH(INDIRECT("All_User!D"&amp;ROW()),Lease_List!H:H,0)),"없음")</f>
        <v>5CG53403D0</v>
      </c>
      <c r="I10" s="22" t="s">
        <v>29</v>
      </c>
      <c r="J10" s="21"/>
      <c r="K10" s="22" t="str">
        <f t="array" ref="K10">IFERROR(INDEX(Ipad_List!C:C,MATCH(INDIRECT("All_User!D"&amp;ROW()),Ipad_List!J:J,0)),"없음")</f>
        <v>없음</v>
      </c>
      <c r="L10" s="23" t="str">
        <f t="array" ref="L10">IFERROR(INDEX(TeamsNumber!B:B,MATCH(INDIRECT("All_User!D"&amp;ROW()),TeamsNumber!D:D,0)),"없음")</f>
        <v>tel:+82234517637</v>
      </c>
      <c r="M10" s="23" t="str">
        <f t="array" ref="M10">IFERROR(INDEX(Printer!D:D,MATCH(INDIRECT("All_User!D"&amp;ROW()),Printer!H:H,0)),"없음")</f>
        <v>없음</v>
      </c>
      <c r="N10" s="24" t="str">
        <f t="array" ref="N10">IFERROR(INDEX(Monitor!A:A,MATCH(INDIRECT("All_User!D"&amp;ROW()),Monitor!D:D,0)),"없음")</f>
        <v>LCD 모니터</v>
      </c>
      <c r="O10" s="24" t="str">
        <f t="shared" si="1"/>
        <v>없음</v>
      </c>
      <c r="P10" s="24" t="str">
        <f t="array" ref="P10">IFERROR(INDEX(sales!E:E,MATCH(D10,sales!C:C,0)),"없음")</f>
        <v>없음</v>
      </c>
      <c r="Q10" s="24"/>
      <c r="R10" s="24"/>
    </row>
    <row r="11">
      <c r="A11" s="13">
        <v>11.0</v>
      </c>
      <c r="B11" s="15" t="s">
        <v>69</v>
      </c>
      <c r="C11" s="15" t="s">
        <v>70</v>
      </c>
      <c r="D11" s="18" t="s">
        <v>71</v>
      </c>
      <c r="E11" s="15" t="s">
        <v>72</v>
      </c>
      <c r="F11" s="17" t="s">
        <v>27</v>
      </c>
      <c r="G11" s="18" t="s">
        <v>28</v>
      </c>
      <c r="H11" s="19" t="str">
        <f t="array" ref="H11">IFERROR(INDEX(Lease_List!D:D,MATCH(INDIRECT("All_User!D"&amp;ROW()),Lease_List!H:H,0)),"없음")</f>
        <v>5CD5062YF5</v>
      </c>
      <c r="I11" s="22" t="s">
        <v>29</v>
      </c>
      <c r="J11" s="21"/>
      <c r="K11" s="22" t="str">
        <f t="array" ref="K11">IFERROR(INDEX(Ipad_List!C:C,MATCH(INDIRECT("All_User!D"&amp;ROW()),Ipad_List!J:J,0)),"없음")</f>
        <v>QXKLQ74WYW</v>
      </c>
      <c r="L11" s="23" t="str">
        <f t="array" ref="L11">IFERROR(INDEX(TeamsNumber!B:B,MATCH(INDIRECT("All_User!D"&amp;ROW()),TeamsNumber!D:D,0)),"없음")</f>
        <v>tel:+82234517568</v>
      </c>
      <c r="M11" s="23" t="str">
        <f t="array" ref="M11">IFERROR(INDEX(Printer!D:D,MATCH(INDIRECT("All_User!D"&amp;ROW()),Printer!H:H,0)),"없음")</f>
        <v>없음</v>
      </c>
      <c r="N11" s="24" t="str">
        <f t="array" ref="N11">IFERROR(INDEX(Monitor!A:A,MATCH(INDIRECT("All_User!D"&amp;ROW()),Monitor!D:D,0)),"없음")</f>
        <v>없음</v>
      </c>
      <c r="O11" s="24" t="str">
        <f t="shared" si="1"/>
        <v>없음</v>
      </c>
      <c r="P11" s="24" t="str">
        <f t="array" ref="P11">IFERROR(INDEX(sales!E:E,MATCH(D11,sales!C:C,0)),"없음")</f>
        <v>MPS</v>
      </c>
      <c r="Q11" s="24" t="str">
        <f t="array" ref="Q11">IFERROR(INDEX(sales!C:C,MATCH(D11,sales!C:C,0)),"list없음")</f>
        <v>bella.bang@stryker.com</v>
      </c>
      <c r="R11" s="24"/>
    </row>
    <row r="12">
      <c r="A12" s="13">
        <v>12.0</v>
      </c>
      <c r="B12" s="15" t="s">
        <v>73</v>
      </c>
      <c r="C12" s="15" t="s">
        <v>74</v>
      </c>
      <c r="D12" s="18" t="s">
        <v>75</v>
      </c>
      <c r="E12" s="15" t="s">
        <v>76</v>
      </c>
      <c r="F12" s="17" t="s">
        <v>77</v>
      </c>
      <c r="G12" s="18" t="s">
        <v>53</v>
      </c>
      <c r="H12" s="19" t="str">
        <f t="array" ref="H12">IFERROR(INDEX(Lease_List!D:D,MATCH(INDIRECT("All_User!D"&amp;ROW()),Lease_List!H:H,0)),"없음")</f>
        <v>5CD4305D85</v>
      </c>
      <c r="I12" s="22" t="s">
        <v>29</v>
      </c>
      <c r="J12" s="21"/>
      <c r="K12" s="22" t="str">
        <f t="array" ref="K12">IFERROR(INDEX(Ipad_List!C:C,MATCH(INDIRECT("All_User!D"&amp;ROW()),Ipad_List!J:J,0)),"없음")</f>
        <v>OQ2GGXF3FK</v>
      </c>
      <c r="L12" s="23" t="str">
        <f t="array" ref="L12">IFERROR(INDEX(TeamsNumber!B:B,MATCH(INDIRECT("All_User!D"&amp;ROW()),TeamsNumber!D:D,0)),"없음")</f>
        <v>tel:+82234517591</v>
      </c>
      <c r="M12" s="23" t="str">
        <f t="array" ref="M12">IFERROR(INDEX(Printer!D:D,MATCH(INDIRECT("All_User!D"&amp;ROW()),Printer!H:H,0)),"없음")</f>
        <v>없음</v>
      </c>
      <c r="N12" s="24" t="str">
        <f t="array" ref="N12">IFERROR(INDEX(Monitor!A:A,MATCH(INDIRECT("All_User!D"&amp;ROW()),Monitor!D:D,0)),"없음")</f>
        <v>없음</v>
      </c>
      <c r="O12" s="24" t="str">
        <f t="shared" si="1"/>
        <v>없음</v>
      </c>
      <c r="P12" s="24" t="str">
        <f t="array" ref="P12">IFERROR(INDEX(sales!E:E,MATCH(D12,sales!C:C,0)),"없음")</f>
        <v>Sales</v>
      </c>
      <c r="Q12" s="24" t="str">
        <f t="array" ref="Q12">IFERROR(INDEX(sales!C:C,MATCH(D12,sales!C:C,0)),"list없음")</f>
        <v>sunghoon.bang@stryker.com</v>
      </c>
      <c r="R12" s="24"/>
    </row>
    <row r="13">
      <c r="A13" s="13">
        <v>13.0</v>
      </c>
      <c r="B13" s="15" t="s">
        <v>78</v>
      </c>
      <c r="C13" s="15" t="s">
        <v>79</v>
      </c>
      <c r="D13" s="18" t="s">
        <v>80</v>
      </c>
      <c r="E13" s="15" t="s">
        <v>81</v>
      </c>
      <c r="F13" s="17" t="s">
        <v>27</v>
      </c>
      <c r="G13" s="18" t="s">
        <v>82</v>
      </c>
      <c r="H13" s="19" t="str">
        <f t="array" ref="H13">IFERROR(INDEX(Lease_List!D:D,MATCH(INDIRECT("All_User!D"&amp;ROW()),Lease_List!H:H,0)),"없음")</f>
        <v>5CD4232BFF</v>
      </c>
      <c r="I13" s="22" t="s">
        <v>29</v>
      </c>
      <c r="J13" s="21"/>
      <c r="K13" s="22" t="str">
        <f t="array" ref="K13">IFERROR(INDEX(Ipad_List!C:C,MATCH(INDIRECT("All_User!D"&amp;ROW()),Ipad_List!J:J,0)),"없음")</f>
        <v>없음</v>
      </c>
      <c r="L13" s="23" t="str">
        <f t="array" ref="L13">IFERROR(INDEX(TeamsNumber!B:B,MATCH(INDIRECT("All_User!D"&amp;ROW()),TeamsNumber!D:D,0)),"없음")</f>
        <v>tel:+82234517513</v>
      </c>
      <c r="M13" s="23" t="str">
        <f t="array" ref="M13">IFERROR(INDEX(Printer!D:D,MATCH(INDIRECT("All_User!D"&amp;ROW()),Printer!H:H,0)),"없음")</f>
        <v>없음</v>
      </c>
      <c r="N13" s="24" t="str">
        <f t="array" ref="N13">IFERROR(INDEX(Monitor!A:A,MATCH(INDIRECT("All_User!D"&amp;ROW()),Monitor!D:D,0)),"없음")</f>
        <v>없음</v>
      </c>
      <c r="O13" s="24" t="str">
        <f t="shared" si="1"/>
        <v>없음</v>
      </c>
      <c r="P13" s="24" t="str">
        <f t="array" ref="P13">IFERROR(INDEX(sales!E:E,MATCH(D13,sales!C:C,0)),"없음")</f>
        <v>없음</v>
      </c>
      <c r="Q13" s="24"/>
      <c r="R13" s="24"/>
    </row>
    <row r="14">
      <c r="A14" s="13">
        <v>14.0</v>
      </c>
      <c r="B14" s="15" t="s">
        <v>83</v>
      </c>
      <c r="C14" s="15" t="s">
        <v>84</v>
      </c>
      <c r="D14" s="18" t="s">
        <v>85</v>
      </c>
      <c r="E14" s="15" t="s">
        <v>72</v>
      </c>
      <c r="F14" s="17" t="s">
        <v>27</v>
      </c>
      <c r="G14" s="18" t="s">
        <v>28</v>
      </c>
      <c r="H14" s="19" t="str">
        <f t="array" ref="H14">IFERROR(INDEX(Lease_List!D:D,MATCH(INDIRECT("All_User!D"&amp;ROW()),Lease_List!H:H,0)),"없음")</f>
        <v>5CD442C074</v>
      </c>
      <c r="I14" s="22" t="s">
        <v>29</v>
      </c>
      <c r="J14" s="21"/>
      <c r="K14" s="22" t="str">
        <f t="array" ref="K14">IFERROR(INDEX(Ipad_List!C:C,MATCH(INDIRECT("All_User!D"&amp;ROW()),Ipad_List!J:J,0)),"없음")</f>
        <v>R34F5XVT2M</v>
      </c>
      <c r="L14" s="23" t="str">
        <f t="array" ref="L14">IFERROR(INDEX(TeamsNumber!B:B,MATCH(INDIRECT("All_User!D"&amp;ROW()),TeamsNumber!D:D,0)),"없음")</f>
        <v>tel:+82234517659</v>
      </c>
      <c r="M14" s="23" t="str">
        <f t="array" ref="M14">IFERROR(INDEX(Printer!D:D,MATCH(INDIRECT("All_User!D"&amp;ROW()),Printer!H:H,0)),"없음")</f>
        <v>없음</v>
      </c>
      <c r="N14" s="24" t="str">
        <f t="array" ref="N14">IFERROR(INDEX(Monitor!A:A,MATCH(INDIRECT("All_User!D"&amp;ROW()),Monitor!D:D,0)),"없음")</f>
        <v>없음</v>
      </c>
      <c r="O14" s="24" t="str">
        <f t="shared" si="1"/>
        <v>없음</v>
      </c>
      <c r="P14" s="24" t="str">
        <f t="array" ref="P14">IFERROR(INDEX(sales!E:E,MATCH(D14,sales!C:C,0)),"없음")</f>
        <v>MPS</v>
      </c>
      <c r="Q14" s="24" t="str">
        <f t="array" ref="Q14">IFERROR(INDEX(sales!C:C,MATCH(D14,sales!C:C,0)),"list없음")</f>
        <v>junseong.byun@stryker.com</v>
      </c>
      <c r="R14" s="24"/>
    </row>
    <row r="15">
      <c r="A15" s="13">
        <v>15.0</v>
      </c>
      <c r="B15" s="15" t="s">
        <v>86</v>
      </c>
      <c r="C15" s="15" t="s">
        <v>87</v>
      </c>
      <c r="D15" s="18" t="s">
        <v>88</v>
      </c>
      <c r="E15" s="15" t="s">
        <v>89</v>
      </c>
      <c r="F15" s="17" t="s">
        <v>27</v>
      </c>
      <c r="G15" s="18" t="s">
        <v>53</v>
      </c>
      <c r="H15" s="19" t="str">
        <f t="array" ref="H15">IFERROR(INDEX(Lease_List!D:D,MATCH(INDIRECT("All_User!D"&amp;ROW()),Lease_List!H:H,0)),"없음")</f>
        <v>5CD3469HD6</v>
      </c>
      <c r="I15" s="22" t="s">
        <v>29</v>
      </c>
      <c r="J15" s="21"/>
      <c r="K15" s="22" t="str">
        <f t="array" ref="K15">IFERROR(INDEX(Ipad_List!C:C,MATCH(INDIRECT("All_User!D"&amp;ROW()),Ipad_List!J:J,0)),"없음")</f>
        <v>LXDC4F97QM</v>
      </c>
      <c r="L15" s="23" t="str">
        <f t="array" ref="L15">IFERROR(INDEX(TeamsNumber!B:B,MATCH(INDIRECT("All_User!D"&amp;ROW()),TeamsNumber!D:D,0)),"없음")</f>
        <v>tel:+82234517549</v>
      </c>
      <c r="M15" s="23" t="str">
        <f t="array" ref="M15">IFERROR(INDEX(Printer!D:D,MATCH(INDIRECT("All_User!D"&amp;ROW()),Printer!H:H,0)),"없음")</f>
        <v>SL-C563W</v>
      </c>
      <c r="N15" s="24" t="str">
        <f t="array" ref="N15">IFERROR(INDEX(Monitor!A:A,MATCH(INDIRECT("All_User!D"&amp;ROW()),Monitor!D:D,0)),"없음")</f>
        <v>없음</v>
      </c>
      <c r="O15" s="24" t="str">
        <f t="shared" si="1"/>
        <v>없음</v>
      </c>
      <c r="P15" s="24" t="str">
        <f t="array" ref="P15">IFERROR(INDEX(sales!E:E,MATCH(D15,sales!C:C,0)),"없음")</f>
        <v>Sales</v>
      </c>
      <c r="Q15" s="24" t="str">
        <f t="array" ref="Q15">IFERROR(INDEX(sales!C:C,MATCH(D15,sales!C:C,0)),"list없음")</f>
        <v>Bruce.Cha@stryker.com</v>
      </c>
      <c r="R15" s="24"/>
    </row>
    <row r="16">
      <c r="A16" s="13">
        <v>16.0</v>
      </c>
      <c r="B16" s="15" t="s">
        <v>90</v>
      </c>
      <c r="C16" s="15" t="s">
        <v>91</v>
      </c>
      <c r="D16" s="15" t="s">
        <v>92</v>
      </c>
      <c r="E16" s="18" t="s">
        <v>93</v>
      </c>
      <c r="F16" s="17" t="s">
        <v>34</v>
      </c>
      <c r="G16" s="18" t="s">
        <v>94</v>
      </c>
      <c r="H16" s="19" t="str">
        <f t="array" ref="H16">IFERROR(INDEX(Lease_List!D:D,MATCH(INDIRECT("All_User!D"&amp;ROW()),Lease_List!H:H,0)),"없음")</f>
        <v>없음</v>
      </c>
      <c r="I16" s="22" t="s">
        <v>29</v>
      </c>
      <c r="J16" s="25" t="s">
        <v>95</v>
      </c>
      <c r="K16" s="22" t="str">
        <f t="array" ref="K16">IFERROR(INDEX(Ipad_List!C:C,MATCH(INDIRECT("All_User!D"&amp;ROW()),Ipad_List!J:J,0)),"없음")</f>
        <v>Q4VGFW40QV</v>
      </c>
      <c r="L16" s="23" t="str">
        <f t="array" ref="L16">IFERROR(INDEX(TeamsNumber!B:B,MATCH(INDIRECT("All_User!D"&amp;ROW()),TeamsNumber!D:D,0)),"없음")</f>
        <v>tel:+82234517668</v>
      </c>
      <c r="M16" s="23" t="str">
        <f t="array" ref="M16">IFERROR(INDEX(Printer!D:D,MATCH(INDIRECT("All_User!D"&amp;ROW()),Printer!H:H,0)),"없음")</f>
        <v>없음</v>
      </c>
      <c r="N16" s="24" t="str">
        <f t="array" ref="N16">IFERROR(INDEX(Monitor!A:A,MATCH(INDIRECT("All_User!D"&amp;ROW()),Monitor!D:D,0)),"없음")</f>
        <v>없음</v>
      </c>
      <c r="O16" s="24" t="str">
        <f t="shared" si="1"/>
        <v>없음</v>
      </c>
      <c r="P16" s="24" t="str">
        <f t="array" ref="P16">IFERROR(INDEX(sales!E:E,MATCH(D16,sales!C:C,0)),"없음")</f>
        <v>TS</v>
      </c>
      <c r="Q16" s="24" t="str">
        <f t="array" ref="Q16">IFERROR(INDEX(sales!C:C,MATCH(D16,sales!C:C,0)),"list없음")</f>
        <v>carl.cha@stryker.com</v>
      </c>
      <c r="R16" s="24"/>
    </row>
    <row r="17">
      <c r="A17" s="13">
        <v>18.0</v>
      </c>
      <c r="B17" s="15" t="s">
        <v>96</v>
      </c>
      <c r="C17" s="15" t="s">
        <v>97</v>
      </c>
      <c r="D17" s="18" t="s">
        <v>98</v>
      </c>
      <c r="E17" s="15" t="s">
        <v>89</v>
      </c>
      <c r="F17" s="17" t="s">
        <v>27</v>
      </c>
      <c r="G17" s="18" t="s">
        <v>53</v>
      </c>
      <c r="H17" s="19" t="str">
        <f t="array" ref="H17">IFERROR(INDEX(Lease_List!D:D,MATCH(INDIRECT("All_User!D"&amp;ROW()),Lease_List!H:H,0)),"없음")</f>
        <v>5CD5179KHY</v>
      </c>
      <c r="I17" s="22" t="s">
        <v>99</v>
      </c>
      <c r="J17" s="21"/>
      <c r="K17" s="22" t="str">
        <f t="array" ref="K17">IFERROR(INDEX(Ipad_List!C:C,MATCH(INDIRECT("All_User!D"&amp;ROW()),Ipad_List!J:J,0)),"없음")</f>
        <v>Q4VMC2579N</v>
      </c>
      <c r="L17" s="23" t="str">
        <f t="array" ref="L17">IFERROR(INDEX(TeamsNumber!B:B,MATCH(INDIRECT("All_User!D"&amp;ROW()),TeamsNumber!D:D,0)),"없음")</f>
        <v>tel:+82234517557</v>
      </c>
      <c r="M17" s="23" t="str">
        <f t="array" ref="M17">IFERROR(INDEX(Printer!D:D,MATCH(INDIRECT("All_User!D"&amp;ROW()),Printer!H:H,0)),"없음")</f>
        <v>SL-C565FW</v>
      </c>
      <c r="N17" s="24" t="str">
        <f t="array" ref="N17">IFERROR(INDEX(Monitor!A:A,MATCH(INDIRECT("All_User!D"&amp;ROW()),Monitor!D:D,0)),"없음")</f>
        <v>없음</v>
      </c>
      <c r="O17" s="24" t="str">
        <f t="shared" si="1"/>
        <v>없음</v>
      </c>
      <c r="P17" s="24" t="str">
        <f t="array" ref="P17">IFERROR(INDEX(sales!E:E,MATCH(D17,sales!C:C,0)),"없음")</f>
        <v>Sales</v>
      </c>
      <c r="Q17" s="24" t="str">
        <f t="array" ref="Q17">IFERROR(INDEX(sales!C:C,MATCH(D17,sales!C:C,0)),"list없음")</f>
        <v>Willy.Chang@stryker.com</v>
      </c>
      <c r="R17" s="24"/>
    </row>
    <row r="18">
      <c r="A18" s="13">
        <v>19.0</v>
      </c>
      <c r="B18" s="18" t="s">
        <v>100</v>
      </c>
      <c r="C18" s="15" t="s">
        <v>101</v>
      </c>
      <c r="D18" s="15" t="s">
        <v>102</v>
      </c>
      <c r="E18" s="15" t="s">
        <v>103</v>
      </c>
      <c r="F18" s="17" t="s">
        <v>104</v>
      </c>
      <c r="G18" s="18" t="s">
        <v>105</v>
      </c>
      <c r="H18" s="19" t="str">
        <f t="array" ref="H18">IFERROR(INDEX(Lease_List!D:D,MATCH(INDIRECT("All_User!D"&amp;ROW()),Lease_List!H:H,0)),"없음")</f>
        <v>5CD442C07H</v>
      </c>
      <c r="I18" s="22" t="s">
        <v>29</v>
      </c>
      <c r="J18" s="21"/>
      <c r="K18" s="22" t="str">
        <f t="array" ref="K18">IFERROR(INDEX(Ipad_List!C:C,MATCH(INDIRECT("All_User!D"&amp;ROW()),Ipad_List!J:J,0)),"없음")</f>
        <v>DLXCC0M0KC43</v>
      </c>
      <c r="L18" s="23" t="str">
        <f t="array" ref="L18">IFERROR(INDEX(TeamsNumber!B:B,MATCH(INDIRECT("All_User!D"&amp;ROW()),TeamsNumber!D:D,0)),"없음")</f>
        <v>tel:+82234517644</v>
      </c>
      <c r="M18" s="23" t="str">
        <f t="array" ref="M18">IFERROR(INDEX(Printer!D:D,MATCH(INDIRECT("All_User!D"&amp;ROW()),Printer!H:H,0)),"없음")</f>
        <v>없음</v>
      </c>
      <c r="N18" s="24" t="str">
        <f t="array" ref="N18">IFERROR(INDEX(Monitor!A:A,MATCH(INDIRECT("All_User!D"&amp;ROW()),Monitor!D:D,0)),"없음")</f>
        <v>LCD 모니터</v>
      </c>
      <c r="O18" s="24" t="str">
        <f t="shared" si="1"/>
        <v>없음</v>
      </c>
      <c r="P18" s="24" t="str">
        <f t="array" ref="P18">IFERROR(INDEX(sales!E:E,MATCH(D18,sales!C:C,0)),"없음")</f>
        <v>없음</v>
      </c>
      <c r="Q18" s="24"/>
      <c r="R18" s="24"/>
    </row>
    <row r="19">
      <c r="A19" s="13">
        <v>20.0</v>
      </c>
      <c r="B19" s="15" t="s">
        <v>106</v>
      </c>
      <c r="C19" s="15" t="s">
        <v>107</v>
      </c>
      <c r="D19" s="18" t="s">
        <v>108</v>
      </c>
      <c r="E19" s="15" t="s">
        <v>109</v>
      </c>
      <c r="F19" s="17" t="s">
        <v>52</v>
      </c>
      <c r="G19" s="18" t="s">
        <v>53</v>
      </c>
      <c r="H19" s="19" t="str">
        <f t="array" ref="H19">IFERROR(INDEX(Lease_List!D:D,MATCH(INDIRECT("All_User!D"&amp;ROW()),Lease_List!H:H,0)),"없음")</f>
        <v>5CD5179KHG</v>
      </c>
      <c r="I19" s="22" t="s">
        <v>110</v>
      </c>
      <c r="J19" s="21"/>
      <c r="K19" s="22" t="str">
        <f t="array" ref="K19">IFERROR(INDEX(Ipad_List!C:C,MATCH(INDIRECT("All_User!D"&amp;ROW()),Ipad_List!J:J,0)),"없음")</f>
        <v>L2Q9F70301</v>
      </c>
      <c r="L19" s="23" t="str">
        <f t="array" ref="L19">IFERROR(INDEX(TeamsNumber!B:B,MATCH(INDIRECT("All_User!D"&amp;ROW()),TeamsNumber!D:D,0)),"없음")</f>
        <v>tel:+82234517699</v>
      </c>
      <c r="M19" s="23" t="str">
        <f t="array" ref="M19">IFERROR(INDEX(Printer!D:D,MATCH(INDIRECT("All_User!D"&amp;ROW()),Printer!H:H,0)),"없음")</f>
        <v>SL-C563W</v>
      </c>
      <c r="N19" s="24" t="str">
        <f t="array" ref="N19">IFERROR(INDEX(Monitor!A:A,MATCH(INDIRECT("All_User!D"&amp;ROW()),Monitor!D:D,0)),"없음")</f>
        <v>없음</v>
      </c>
      <c r="O19" s="24" t="str">
        <f t="shared" si="1"/>
        <v>없음</v>
      </c>
      <c r="P19" s="24" t="str">
        <f t="array" ref="P19">IFERROR(INDEX(sales!E:E,MATCH(D19,sales!C:C,0)),"없음")</f>
        <v>Sales</v>
      </c>
      <c r="Q19" s="24" t="str">
        <f t="array" ref="Q19">IFERROR(INDEX(sales!C:C,MATCH(D19,sales!C:C,0)),"list없음")</f>
        <v>martin.cho@stryker.com</v>
      </c>
      <c r="R19" s="24"/>
    </row>
    <row r="20">
      <c r="A20" s="13">
        <v>21.0</v>
      </c>
      <c r="B20" s="15" t="s">
        <v>111</v>
      </c>
      <c r="C20" s="15" t="s">
        <v>112</v>
      </c>
      <c r="D20" s="15" t="s">
        <v>113</v>
      </c>
      <c r="E20" s="15" t="s">
        <v>114</v>
      </c>
      <c r="F20" s="17" t="s">
        <v>41</v>
      </c>
      <c r="G20" s="18" t="s">
        <v>47</v>
      </c>
      <c r="H20" s="19" t="str">
        <f t="array" ref="H20">IFERROR(INDEX(Lease_List!D:D,MATCH(INDIRECT("All_User!D"&amp;ROW()),Lease_List!H:H,0)),"없음")</f>
        <v>5CG53403DG</v>
      </c>
      <c r="I20" s="22" t="s">
        <v>29</v>
      </c>
      <c r="J20" s="21"/>
      <c r="K20" s="22" t="str">
        <f t="array" ref="K20">IFERROR(INDEX(Ipad_List!C:C,MATCH(INDIRECT("All_User!D"&amp;ROW()),Ipad_List!J:J,0)),"없음")</f>
        <v>없음</v>
      </c>
      <c r="L20" s="23" t="str">
        <f t="array" ref="L20">IFERROR(INDEX(TeamsNumber!B:B,MATCH(INDIRECT("All_User!D"&amp;ROW()),TeamsNumber!D:D,0)),"없음")</f>
        <v>tel:+82234517658</v>
      </c>
      <c r="M20" s="23" t="str">
        <f t="array" ref="M20">IFERROR(INDEX(Printer!D:D,MATCH(INDIRECT("All_User!D"&amp;ROW()),Printer!H:H,0)),"없음")</f>
        <v>없음</v>
      </c>
      <c r="N20" s="24" t="str">
        <f t="array" ref="N20">IFERROR(INDEX(Monitor!A:A,MATCH(INDIRECT("All_User!D"&amp;ROW()),Monitor!D:D,0)),"없음")</f>
        <v>없음</v>
      </c>
      <c r="O20" s="24" t="str">
        <f t="shared" si="1"/>
        <v>없음</v>
      </c>
      <c r="P20" s="24" t="str">
        <f t="array" ref="P20">IFERROR(INDEX(sales!E:E,MATCH(D20,sales!C:C,0)),"없음")</f>
        <v>없음</v>
      </c>
      <c r="Q20" s="24"/>
      <c r="R20" s="24"/>
    </row>
    <row r="21">
      <c r="A21" s="13">
        <v>23.0</v>
      </c>
      <c r="B21" s="15" t="s">
        <v>115</v>
      </c>
      <c r="C21" s="15" t="s">
        <v>116</v>
      </c>
      <c r="D21" s="18" t="s">
        <v>117</v>
      </c>
      <c r="E21" s="15" t="s">
        <v>26</v>
      </c>
      <c r="F21" s="17" t="s">
        <v>27</v>
      </c>
      <c r="G21" s="18" t="s">
        <v>28</v>
      </c>
      <c r="H21" s="19" t="str">
        <f t="array" ref="H21">IFERROR(INDEX(Lease_List!D:D,MATCH(INDIRECT("All_User!D"&amp;ROW()),Lease_List!H:H,0)),"없음")</f>
        <v>없음</v>
      </c>
      <c r="I21" s="22" t="s">
        <v>118</v>
      </c>
      <c r="J21" s="21"/>
      <c r="K21" s="22" t="str">
        <f t="array" ref="K21">IFERROR(INDEX(Ipad_List!C:C,MATCH(INDIRECT("All_User!D"&amp;ROW()),Ipad_List!J:J,0)),"없음")</f>
        <v>LD0W924NX3</v>
      </c>
      <c r="L21" s="23" t="str">
        <f t="array" ref="L21">IFERROR(INDEX(TeamsNumber!B:B,MATCH(INDIRECT("All_User!D"&amp;ROW()),TeamsNumber!D:D,0)),"없음")</f>
        <v>tel:+82234517567</v>
      </c>
      <c r="M21" s="23" t="str">
        <f t="array" ref="M21">IFERROR(INDEX(Printer!D:D,MATCH(INDIRECT("All_User!D"&amp;ROW()),Printer!H:H,0)),"없음")</f>
        <v>폐기</v>
      </c>
      <c r="N21" s="24" t="str">
        <f t="array" ref="N21">IFERROR(INDEX(Monitor!A:A,MATCH(INDIRECT("All_User!D"&amp;ROW()),Monitor!D:D,0)),"없음")</f>
        <v>없음</v>
      </c>
      <c r="O21" s="24" t="str">
        <f t="shared" si="1"/>
        <v>없음</v>
      </c>
      <c r="P21" s="24" t="str">
        <f t="array" ref="P21">IFERROR(INDEX(sales!E:E,MATCH(D21,sales!C:C,0)),"없음")</f>
        <v/>
      </c>
      <c r="Q21" s="24"/>
      <c r="R21" s="24"/>
    </row>
    <row r="22">
      <c r="A22" s="13">
        <v>24.0</v>
      </c>
      <c r="B22" s="18" t="s">
        <v>119</v>
      </c>
      <c r="C22" s="26"/>
      <c r="D22" s="18" t="s">
        <v>120</v>
      </c>
      <c r="E22" s="15" t="s">
        <v>72</v>
      </c>
      <c r="F22" s="17" t="s">
        <v>27</v>
      </c>
      <c r="G22" s="18" t="s">
        <v>28</v>
      </c>
      <c r="H22" s="19" t="str">
        <f t="array" ref="H22">IFERROR(INDEX(Lease_List!D:D,MATCH(INDIRECT("All_User!D"&amp;ROW()),Lease_List!H:H,0)),"없음")</f>
        <v>없음</v>
      </c>
      <c r="I22" s="22" t="s">
        <v>29</v>
      </c>
      <c r="J22" s="25" t="s">
        <v>121</v>
      </c>
      <c r="K22" s="22" t="str">
        <f t="array" ref="K22">IFERROR(INDEX(Ipad_List!C:C,MATCH(INDIRECT("All_User!D"&amp;ROW()),Ipad_List!J:J,0)),"없음")</f>
        <v>CQ0MQK66GM</v>
      </c>
      <c r="L22" s="23" t="str">
        <f t="array" ref="L22">IFERROR(INDEX(TeamsNumber!B:B,MATCH(INDIRECT("All_User!D"&amp;ROW()),TeamsNumber!D:D,0)),"없음")</f>
        <v>tel:+82234517525</v>
      </c>
      <c r="M22" s="23" t="str">
        <f t="array" ref="M22">IFERROR(INDEX(Printer!D:D,MATCH(INDIRECT("All_User!D"&amp;ROW()),Printer!H:H,0)),"없음")</f>
        <v>SL-C563W</v>
      </c>
      <c r="N22" s="24" t="str">
        <f t="array" ref="N22">IFERROR(INDEX(Monitor!A:A,MATCH(INDIRECT("All_User!D"&amp;ROW()),Monitor!D:D,0)),"없음")</f>
        <v>없음</v>
      </c>
      <c r="O22" s="24" t="str">
        <f t="shared" si="1"/>
        <v>없음</v>
      </c>
      <c r="P22" s="24" t="str">
        <f t="array" ref="P22">IFERROR(INDEX(sales!E:E,MATCH(D22,sales!C:C,0)),"없음")</f>
        <v>MPS</v>
      </c>
      <c r="Q22" s="24" t="str">
        <f t="array" ref="Q22">IFERROR(INDEX(sales!C:C,MATCH(D22,sales!C:C,0)),"list없음")</f>
        <v>claire.choi@stryker.com</v>
      </c>
      <c r="R22" s="24"/>
    </row>
    <row r="23">
      <c r="A23" s="13">
        <v>25.0</v>
      </c>
      <c r="B23" s="15" t="s">
        <v>122</v>
      </c>
      <c r="C23" s="15" t="s">
        <v>123</v>
      </c>
      <c r="D23" s="18" t="s">
        <v>124</v>
      </c>
      <c r="E23" s="15" t="s">
        <v>125</v>
      </c>
      <c r="F23" s="17" t="s">
        <v>77</v>
      </c>
      <c r="G23" s="18" t="s">
        <v>53</v>
      </c>
      <c r="H23" s="19" t="str">
        <f t="array" ref="H23">IFERROR(INDEX(Lease_List!D:D,MATCH(INDIRECT("All_User!D"&amp;ROW()),Lease_List!H:H,0)),"없음")</f>
        <v>5CD4145N3V</v>
      </c>
      <c r="I23" s="22" t="s">
        <v>29</v>
      </c>
      <c r="J23" s="21"/>
      <c r="K23" s="22" t="str">
        <f t="array" ref="K23">IFERROR(INDEX(Ipad_List!C:C,MATCH(INDIRECT("All_User!D"&amp;ROW()),Ipad_List!J:J,0)),"없음")</f>
        <v>MKTFHJRWT2</v>
      </c>
      <c r="L23" s="23" t="str">
        <f t="array" ref="L23">IFERROR(INDEX(TeamsNumber!B:B,MATCH(INDIRECT("All_User!D"&amp;ROW()),TeamsNumber!D:D,0)),"없음")</f>
        <v>tel:+82234517559</v>
      </c>
      <c r="M23" s="23" t="str">
        <f t="array" ref="M23">IFERROR(INDEX(Printer!D:D,MATCH(INDIRECT("All_User!D"&amp;ROW()),Printer!H:H,0)),"없음")</f>
        <v>SL-C563W</v>
      </c>
      <c r="N23" s="24" t="str">
        <f t="array" ref="N23">IFERROR(INDEX(Monitor!A:A,MATCH(INDIRECT("All_User!D"&amp;ROW()),Monitor!D:D,0)),"없음")</f>
        <v>없음</v>
      </c>
      <c r="O23" s="24" t="str">
        <f t="shared" si="1"/>
        <v>없음</v>
      </c>
      <c r="P23" s="24" t="str">
        <f t="array" ref="P23">IFERROR(INDEX(sales!E:E,MATCH(D23,sales!C:C,0)),"없음")</f>
        <v>Sales</v>
      </c>
      <c r="Q23" s="24" t="str">
        <f t="array" ref="Q23">IFERROR(INDEX(sales!C:C,MATCH(D23,sales!C:C,0)),"list없음")</f>
        <v>brad.choi@stryker.com</v>
      </c>
      <c r="R23" s="24"/>
    </row>
    <row r="24">
      <c r="A24" s="13">
        <v>26.0</v>
      </c>
      <c r="B24" s="15" t="s">
        <v>126</v>
      </c>
      <c r="C24" s="15" t="s">
        <v>127</v>
      </c>
      <c r="D24" s="18" t="s">
        <v>128</v>
      </c>
      <c r="E24" s="15" t="s">
        <v>129</v>
      </c>
      <c r="F24" s="17" t="s">
        <v>20</v>
      </c>
      <c r="G24" s="18" t="s">
        <v>53</v>
      </c>
      <c r="H24" s="19" t="str">
        <f t="array" ref="H24">IFERROR(INDEX(Lease_List!D:D,MATCH(INDIRECT("All_User!D"&amp;ROW()),Lease_List!H:H,0)),"없음")</f>
        <v>5CD5179KHS</v>
      </c>
      <c r="I24" s="22" t="s">
        <v>118</v>
      </c>
      <c r="J24" s="21"/>
      <c r="K24" s="22" t="str">
        <f t="array" ref="K24">IFERROR(INDEX(Ipad_List!C:C,MATCH(INDIRECT("All_User!D"&amp;ROW()),Ipad_List!J:J,0)),"없음")</f>
        <v>HP6F2M6GJ7</v>
      </c>
      <c r="L24" s="23" t="str">
        <f t="array" ref="L24">IFERROR(INDEX(TeamsNumber!B:B,MATCH(INDIRECT("All_User!D"&amp;ROW()),TeamsNumber!D:D,0)),"없음")</f>
        <v>tel:+82234517623</v>
      </c>
      <c r="M24" s="23" t="str">
        <f t="array" ref="M24">IFERROR(INDEX(Printer!D:D,MATCH(INDIRECT("All_User!D"&amp;ROW()),Printer!H:H,0)),"없음")</f>
        <v>SL-C565FW</v>
      </c>
      <c r="N24" s="24" t="str">
        <f t="array" ref="N24">IFERROR(INDEX(Monitor!A:A,MATCH(INDIRECT("All_User!D"&amp;ROW()),Monitor!D:D,0)),"없음")</f>
        <v>없음</v>
      </c>
      <c r="O24" s="24" t="str">
        <f t="shared" si="1"/>
        <v>없음</v>
      </c>
      <c r="P24" s="24" t="str">
        <f t="array" ref="P24">IFERROR(INDEX(sales!E:E,MATCH(D24,sales!C:C,0)),"없음")</f>
        <v>NV</v>
      </c>
      <c r="Q24" s="24" t="str">
        <f t="array" ref="Q24">IFERROR(INDEX(sales!C:C,MATCH(D24,sales!C:C,0)),"list없음")</f>
        <v>kyu.choi@stryker.com</v>
      </c>
      <c r="R24" s="24"/>
    </row>
    <row r="25">
      <c r="A25" s="13">
        <v>28.0</v>
      </c>
      <c r="B25" s="15" t="s">
        <v>130</v>
      </c>
      <c r="C25" s="15" t="s">
        <v>131</v>
      </c>
      <c r="D25" s="18" t="s">
        <v>132</v>
      </c>
      <c r="E25" s="15" t="s">
        <v>57</v>
      </c>
      <c r="F25" s="17" t="s">
        <v>27</v>
      </c>
      <c r="G25" s="18" t="s">
        <v>28</v>
      </c>
      <c r="H25" s="19" t="str">
        <f t="array" ref="H25">IFERROR(INDEX(Lease_List!D:D,MATCH(INDIRECT("All_User!D"&amp;ROW()),Lease_List!H:H,0)),"없음")</f>
        <v>5CD5062YF4</v>
      </c>
      <c r="I25" s="22" t="s">
        <v>29</v>
      </c>
      <c r="J25" s="21"/>
      <c r="K25" s="22" t="str">
        <f t="array" ref="K25">IFERROR(INDEX(Ipad_List!C:C,MATCH(INDIRECT("All_User!D"&amp;ROW()),Ipad_List!J:J,0)),"없음")</f>
        <v>QC36D93T16</v>
      </c>
      <c r="L25" s="23" t="str">
        <f t="array" ref="L25">IFERROR(INDEX(TeamsNumber!B:B,MATCH(INDIRECT("All_User!D"&amp;ROW()),TeamsNumber!D:D,0)),"없음")</f>
        <v>tel:+82234517517</v>
      </c>
      <c r="M25" s="23" t="str">
        <f t="array" ref="M25">IFERROR(INDEX(Printer!D:D,MATCH(INDIRECT("All_User!D"&amp;ROW()),Printer!H:H,0)),"없음")</f>
        <v>없음</v>
      </c>
      <c r="N25" s="24" t="str">
        <f t="array" ref="N25">IFERROR(INDEX(Monitor!A:A,MATCH(INDIRECT("All_User!D"&amp;ROW()),Monitor!D:D,0)),"없음")</f>
        <v>없음</v>
      </c>
      <c r="O25" s="24" t="str">
        <f t="shared" si="1"/>
        <v>없음</v>
      </c>
      <c r="P25" s="24" t="str">
        <f t="array" ref="P25">IFERROR(INDEX(sales!E:E,MATCH(D25,sales!C:C,0)),"없음")</f>
        <v>MPS</v>
      </c>
      <c r="Q25" s="24" t="str">
        <f t="array" ref="Q25">IFERROR(INDEX(sales!C:C,MATCH(D25,sales!C:C,0)),"list없음")</f>
        <v>mason.choi@stryker.com</v>
      </c>
      <c r="R25" s="24"/>
    </row>
    <row r="26">
      <c r="A26" s="13">
        <v>29.0</v>
      </c>
      <c r="B26" s="15" t="s">
        <v>133</v>
      </c>
      <c r="C26" s="15" t="s">
        <v>134</v>
      </c>
      <c r="D26" s="18" t="s">
        <v>135</v>
      </c>
      <c r="E26" s="15" t="s">
        <v>136</v>
      </c>
      <c r="F26" s="17" t="s">
        <v>52</v>
      </c>
      <c r="G26" s="15" t="s">
        <v>137</v>
      </c>
      <c r="H26" s="19" t="str">
        <f t="array" ref="H26">IFERROR(INDEX(Lease_List!D:D,MATCH(INDIRECT("All_User!D"&amp;ROW()),Lease_List!H:H,0)),"없음")</f>
        <v>5CD442C072</v>
      </c>
      <c r="I26" s="22" t="s">
        <v>29</v>
      </c>
      <c r="J26" s="21"/>
      <c r="K26" s="22" t="str">
        <f t="array" ref="K26">IFERROR(INDEX(Ipad_List!C:C,MATCH(INDIRECT("All_User!D"&amp;ROW()),Ipad_List!J:J,0)),"없음")</f>
        <v>GMF3VLXNKG</v>
      </c>
      <c r="L26" s="23" t="str">
        <f t="array" ref="L26">IFERROR(INDEX(TeamsNumber!B:B,MATCH(INDIRECT("All_User!D"&amp;ROW()),TeamsNumber!D:D,0)),"없음")</f>
        <v>tel:+82234517618</v>
      </c>
      <c r="M26" s="23" t="str">
        <f t="array" ref="M26">IFERROR(INDEX(Printer!D:D,MATCH(INDIRECT("All_User!D"&amp;ROW()),Printer!H:H,0)),"없음")</f>
        <v>SL-C483W</v>
      </c>
      <c r="N26" s="24" t="str">
        <f t="array" ref="N26">IFERROR(INDEX(Monitor!A:A,MATCH(INDIRECT("All_User!D"&amp;ROW()),Monitor!D:D,0)),"없음")</f>
        <v>LCD 모니터</v>
      </c>
      <c r="O26" s="24" t="str">
        <f t="shared" si="1"/>
        <v>없음</v>
      </c>
      <c r="P26" s="24" t="str">
        <f t="array" ref="P26">IFERROR(INDEX(sales!E:E,MATCH(D26,sales!C:C,0)),"없음")</f>
        <v>MKT</v>
      </c>
      <c r="Q26" s="24" t="str">
        <f t="array" ref="Q26">IFERROR(INDEX(sales!C:C,MATCH(D26,sales!C:C,0)),"list없음")</f>
        <v>jae.chung@stryker.com</v>
      </c>
      <c r="R26" s="24"/>
    </row>
    <row r="27">
      <c r="A27" s="13">
        <v>30.0</v>
      </c>
      <c r="B27" s="15" t="s">
        <v>138</v>
      </c>
      <c r="C27" s="15" t="s">
        <v>139</v>
      </c>
      <c r="D27" s="18" t="s">
        <v>140</v>
      </c>
      <c r="E27" s="15" t="s">
        <v>141</v>
      </c>
      <c r="F27" s="17" t="s">
        <v>142</v>
      </c>
      <c r="G27" s="18" t="s">
        <v>53</v>
      </c>
      <c r="H27" s="19" t="str">
        <f t="array" ref="H27">IFERROR(INDEX(Lease_List!D:D,MATCH(INDIRECT("All_User!D"&amp;ROW()),Lease_List!H:H,0)),"없음")</f>
        <v>5CD4232BF1</v>
      </c>
      <c r="I27" s="22" t="s">
        <v>29</v>
      </c>
      <c r="J27" s="21"/>
      <c r="K27" s="22" t="str">
        <f t="array" ref="K27">IFERROR(INDEX(Ipad_List!C:C,MATCH(INDIRECT("All_User!D"&amp;ROW()),Ipad_List!J:J,0)),"없음")</f>
        <v>DWJX4VVTX2</v>
      </c>
      <c r="L27" s="23" t="str">
        <f t="array" ref="L27">IFERROR(INDEX(TeamsNumber!B:B,MATCH(INDIRECT("All_User!D"&amp;ROW()),TeamsNumber!D:D,0)),"없음")</f>
        <v>tel:+82234517648</v>
      </c>
      <c r="M27" s="23" t="str">
        <f t="array" ref="M27">IFERROR(INDEX(Printer!D:D,MATCH(INDIRECT("All_User!D"&amp;ROW()),Printer!H:H,0)),"없음")</f>
        <v>없음</v>
      </c>
      <c r="N27" s="24" t="str">
        <f t="array" ref="N27">IFERROR(INDEX(Monitor!A:A,MATCH(INDIRECT("All_User!D"&amp;ROW()),Monitor!D:D,0)),"없음")</f>
        <v>없음</v>
      </c>
      <c r="O27" s="24" t="str">
        <f t="shared" si="1"/>
        <v>없음</v>
      </c>
      <c r="P27" s="24" t="str">
        <f t="array" ref="P27">IFERROR(INDEX(sales!E:E,MATCH(D27,sales!C:C,0)),"없음")</f>
        <v>Sales</v>
      </c>
      <c r="Q27" s="24" t="str">
        <f t="array" ref="Q27">IFERROR(INDEX(sales!C:C,MATCH(D27,sales!C:C,0)),"list없음")</f>
        <v>david.chung@stryker.com</v>
      </c>
      <c r="R27" s="24"/>
    </row>
    <row r="28">
      <c r="A28" s="13">
        <v>31.0</v>
      </c>
      <c r="B28" s="18" t="s">
        <v>143</v>
      </c>
      <c r="C28" s="15" t="s">
        <v>144</v>
      </c>
      <c r="D28" s="18" t="s">
        <v>145</v>
      </c>
      <c r="E28" s="15" t="s">
        <v>146</v>
      </c>
      <c r="F28" s="17" t="s">
        <v>67</v>
      </c>
      <c r="G28" s="18" t="s">
        <v>68</v>
      </c>
      <c r="H28" s="19" t="str">
        <f t="array" ref="H28">IFERROR(INDEX(Lease_List!D:D,MATCH(INDIRECT("All_User!D"&amp;ROW()),Lease_List!H:H,0)),"없음")</f>
        <v>5CD5062YDT</v>
      </c>
      <c r="I28" s="22" t="s">
        <v>29</v>
      </c>
      <c r="J28" s="21"/>
      <c r="K28" s="22" t="str">
        <f t="array" ref="K28">IFERROR(INDEX(Ipad_List!C:C,MATCH(INDIRECT("All_User!D"&amp;ROW()),Ipad_List!J:J,0)),"없음")</f>
        <v>없음</v>
      </c>
      <c r="L28" s="23" t="str">
        <f t="array" ref="L28">IFERROR(INDEX(TeamsNumber!B:B,MATCH(INDIRECT("All_User!D"&amp;ROW()),TeamsNumber!D:D,0)),"없음")</f>
        <v>tel:+82234517654</v>
      </c>
      <c r="M28" s="23" t="str">
        <f t="array" ref="M28">IFERROR(INDEX(Printer!D:D,MATCH(INDIRECT("All_User!D"&amp;ROW()),Printer!H:H,0)),"없음")</f>
        <v>없음</v>
      </c>
      <c r="N28" s="24" t="str">
        <f t="array" ref="N28">IFERROR(INDEX(Monitor!A:A,MATCH(INDIRECT("All_User!D"&amp;ROW()),Monitor!D:D,0)),"없음")</f>
        <v>없음</v>
      </c>
      <c r="O28" s="24" t="str">
        <f t="shared" si="1"/>
        <v>없음</v>
      </c>
      <c r="P28" s="24" t="str">
        <f t="array" ref="P28">IFERROR(INDEX(sales!E:E,MATCH(D28,sales!C:C,0)),"없음")</f>
        <v>없음</v>
      </c>
      <c r="Q28" s="24"/>
      <c r="R28" s="24"/>
    </row>
    <row r="29">
      <c r="A29" s="13">
        <v>32.0</v>
      </c>
      <c r="B29" s="15" t="s">
        <v>147</v>
      </c>
      <c r="C29" s="15" t="s">
        <v>148</v>
      </c>
      <c r="D29" s="18" t="s">
        <v>149</v>
      </c>
      <c r="E29" s="18" t="s">
        <v>150</v>
      </c>
      <c r="F29" s="17" t="s">
        <v>52</v>
      </c>
      <c r="G29" s="18" t="s">
        <v>21</v>
      </c>
      <c r="H29" s="19" t="str">
        <f t="array" ref="H29">IFERROR(INDEX(Lease_List!D:D,MATCH(INDIRECT("All_User!D"&amp;ROW()),Lease_List!H:H,0)),"없음")</f>
        <v>5CD4305D8C</v>
      </c>
      <c r="I29" s="22" t="s">
        <v>29</v>
      </c>
      <c r="J29" s="21"/>
      <c r="K29" s="22" t="str">
        <f t="array" ref="K29">IFERROR(INDEX(Ipad_List!C:C,MATCH(INDIRECT("All_User!D"&amp;ROW()),Ipad_List!J:J,0)),"없음")</f>
        <v>GW245H3KYL</v>
      </c>
      <c r="L29" s="23" t="str">
        <f t="array" ref="L29">IFERROR(INDEX(TeamsNumber!B:B,MATCH(INDIRECT("All_User!D"&amp;ROW()),TeamsNumber!D:D,0)),"없음")</f>
        <v>tel:+82234517611</v>
      </c>
      <c r="M29" s="23" t="str">
        <f t="array" ref="M29">IFERROR(INDEX(Printer!D:D,MATCH(INDIRECT("All_User!D"&amp;ROW()),Printer!H:H,0)),"없음")</f>
        <v>SL-C486FW</v>
      </c>
      <c r="N29" s="24" t="str">
        <f t="array" ref="N29">IFERROR(INDEX(Monitor!A:A,MATCH(INDIRECT("All_User!D"&amp;ROW()),Monitor!D:D,0)),"없음")</f>
        <v>없음</v>
      </c>
      <c r="O29" s="24" t="str">
        <f t="shared" si="1"/>
        <v>없음</v>
      </c>
      <c r="P29" s="24" t="str">
        <f t="array" ref="P29">IFERROR(INDEX(sales!E:E,MATCH(D29,sales!C:C,0)),"없음")</f>
        <v>Sales</v>
      </c>
      <c r="Q29" s="24" t="str">
        <f t="array" ref="Q29">IFERROR(INDEX(sales!C:C,MATCH(D29,sales!C:C,0)),"list없음")</f>
        <v>Nathan.Eom@stryker.com</v>
      </c>
      <c r="R29" s="24"/>
    </row>
    <row r="30">
      <c r="A30" s="13">
        <v>33.0</v>
      </c>
      <c r="B30" s="15" t="s">
        <v>151</v>
      </c>
      <c r="C30" s="15" t="s">
        <v>152</v>
      </c>
      <c r="D30" s="18" t="s">
        <v>153</v>
      </c>
      <c r="E30" s="15" t="s">
        <v>125</v>
      </c>
      <c r="F30" s="17" t="s">
        <v>142</v>
      </c>
      <c r="G30" s="18" t="s">
        <v>53</v>
      </c>
      <c r="H30" s="19" t="str">
        <f t="array" ref="H30">IFERROR(INDEX(Lease_List!D:D,MATCH(INDIRECT("All_User!D"&amp;ROW()),Lease_List!H:H,0)),"없음")</f>
        <v>없음</v>
      </c>
      <c r="I30" s="20" t="s">
        <v>154</v>
      </c>
      <c r="J30" s="21"/>
      <c r="K30" s="22" t="str">
        <f t="array" ref="K30">IFERROR(INDEX(Ipad_List!C:C,MATCH(INDIRECT("All_User!D"&amp;ROW()),Ipad_List!J:J,0)),"없음")</f>
        <v>D64QK42W36</v>
      </c>
      <c r="L30" s="23" t="str">
        <f t="array" ref="L30">IFERROR(INDEX(TeamsNumber!B:B,MATCH(INDIRECT("All_User!D"&amp;ROW()),TeamsNumber!D:D,0)),"없음")</f>
        <v>tel:+82234517610</v>
      </c>
      <c r="M30" s="23" t="str">
        <f t="array" ref="M30">IFERROR(INDEX(Printer!D:D,MATCH(INDIRECT("All_User!D"&amp;ROW()),Printer!H:H,0)),"없음")</f>
        <v>2차 조사 정보 없음</v>
      </c>
      <c r="N30" s="24" t="str">
        <f t="array" ref="N30">IFERROR(INDEX(Monitor!A:A,MATCH(INDIRECT("All_User!D"&amp;ROW()),Monitor!D:D,0)),"없음")</f>
        <v>없음</v>
      </c>
      <c r="O30" s="24" t="str">
        <f t="shared" si="1"/>
        <v>없음</v>
      </c>
      <c r="P30" s="24" t="str">
        <f t="array" ref="P30">IFERROR(INDEX(sales!E:E,MATCH(D30,sales!C:C,0)),"없음")</f>
        <v>Sales</v>
      </c>
      <c r="Q30" s="24" t="str">
        <f t="array" ref="Q30">IFERROR(INDEX(sales!C:C,MATCH(D30,sales!C:C,0)),"list없음")</f>
        <v>jack.eum@stryker.com</v>
      </c>
      <c r="R30" s="24"/>
    </row>
    <row r="31">
      <c r="A31" s="13">
        <v>34.0</v>
      </c>
      <c r="B31" s="15" t="s">
        <v>155</v>
      </c>
      <c r="C31" s="15" t="s">
        <v>156</v>
      </c>
      <c r="D31" s="18" t="s">
        <v>157</v>
      </c>
      <c r="E31" s="15" t="s">
        <v>81</v>
      </c>
      <c r="F31" s="17" t="s">
        <v>20</v>
      </c>
      <c r="G31" s="15" t="s">
        <v>82</v>
      </c>
      <c r="H31" s="19" t="str">
        <f t="array" ref="H31">IFERROR(INDEX(Lease_List!D:D,MATCH(INDIRECT("All_User!D"&amp;ROW()),Lease_List!H:H,0)),"없음")</f>
        <v>없음</v>
      </c>
      <c r="I31" s="22" t="s">
        <v>118</v>
      </c>
      <c r="J31" s="21"/>
      <c r="K31" s="22" t="str">
        <f t="array" ref="K31">IFERROR(INDEX(Ipad_List!C:C,MATCH(INDIRECT("All_User!D"&amp;ROW()),Ipad_List!J:J,0)),"없음")</f>
        <v>없음</v>
      </c>
      <c r="L31" s="23" t="str">
        <f t="array" ref="L31">IFERROR(INDEX(TeamsNumber!B:B,MATCH(INDIRECT("All_User!D"&amp;ROW()),TeamsNumber!D:D,0)),"없음")</f>
        <v>없음</v>
      </c>
      <c r="M31" s="23" t="str">
        <f t="array" ref="M31">IFERROR(INDEX(Printer!D:D,MATCH(INDIRECT("All_User!D"&amp;ROW()),Printer!H:H,0)),"없음")</f>
        <v>없음</v>
      </c>
      <c r="N31" s="24" t="str">
        <f t="array" ref="N31">IFERROR(INDEX(Monitor!A:A,MATCH(INDIRECT("All_User!D"&amp;ROW()),Monitor!D:D,0)),"없음")</f>
        <v>없음</v>
      </c>
      <c r="O31" s="24" t="str">
        <f t="shared" si="1"/>
        <v>없음</v>
      </c>
      <c r="P31" s="24" t="str">
        <f t="array" ref="P31">IFERROR(INDEX(sales!E:E,MATCH(D31,sales!C:C,0)),"없음")</f>
        <v>없음</v>
      </c>
      <c r="Q31" s="24"/>
      <c r="R31" s="24"/>
    </row>
    <row r="32">
      <c r="A32" s="13">
        <v>35.0</v>
      </c>
      <c r="B32" s="15" t="s">
        <v>158</v>
      </c>
      <c r="C32" s="15" t="s">
        <v>159</v>
      </c>
      <c r="D32" s="18" t="s">
        <v>160</v>
      </c>
      <c r="E32" s="15" t="s">
        <v>161</v>
      </c>
      <c r="F32" s="17" t="s">
        <v>62</v>
      </c>
      <c r="G32" s="18" t="s">
        <v>62</v>
      </c>
      <c r="H32" s="19" t="str">
        <f t="array" ref="H32">IFERROR(INDEX(Lease_List!D:D,MATCH(INDIRECT("All_User!D"&amp;ROW()),Lease_List!H:H,0)),"없음")</f>
        <v>5CD442C076</v>
      </c>
      <c r="I32" s="22" t="s">
        <v>162</v>
      </c>
      <c r="J32" s="21"/>
      <c r="K32" s="22" t="str">
        <f t="array" ref="K32">IFERROR(INDEX(Ipad_List!C:C,MATCH(INDIRECT("All_User!D"&amp;ROW()),Ipad_List!J:J,0)),"없음")</f>
        <v>없음</v>
      </c>
      <c r="L32" s="23" t="str">
        <f t="array" ref="L32">IFERROR(INDEX(TeamsNumber!B:B,MATCH(INDIRECT("All_User!D"&amp;ROW()),TeamsNumber!D:D,0)),"없음")</f>
        <v>tel:+82234517600</v>
      </c>
      <c r="M32" s="23" t="str">
        <f t="array" ref="M32">IFERROR(INDEX(Printer!D:D,MATCH(INDIRECT("All_User!D"&amp;ROW()),Printer!H:H,0)),"없음")</f>
        <v>없음</v>
      </c>
      <c r="N32" s="24" t="str">
        <f t="array" ref="N32">IFERROR(INDEX(Monitor!A:A,MATCH(INDIRECT("All_User!D"&amp;ROW()),Monitor!D:D,0)),"없음")</f>
        <v>없음</v>
      </c>
      <c r="O32" s="24" t="str">
        <f t="shared" si="1"/>
        <v>없음</v>
      </c>
      <c r="P32" s="24" t="str">
        <f t="array" ref="P32">IFERROR(INDEX(sales!E:E,MATCH(D32,sales!C:C,0)),"없음")</f>
        <v>없음</v>
      </c>
      <c r="Q32" s="24"/>
      <c r="R32" s="24"/>
    </row>
    <row r="33">
      <c r="A33" s="13">
        <v>36.0</v>
      </c>
      <c r="B33" s="15" t="s">
        <v>163</v>
      </c>
      <c r="C33" s="15" t="s">
        <v>164</v>
      </c>
      <c r="D33" s="15" t="s">
        <v>165</v>
      </c>
      <c r="E33" s="15" t="s">
        <v>66</v>
      </c>
      <c r="F33" s="17" t="s">
        <v>67</v>
      </c>
      <c r="G33" s="15" t="s">
        <v>68</v>
      </c>
      <c r="H33" s="19" t="str">
        <f t="array" ref="H33">IFERROR(INDEX(Lease_List!D:D,MATCH(INDIRECT("All_User!D"&amp;ROW()),Lease_List!H:H,0)),"없음")</f>
        <v>5CD5179KHR</v>
      </c>
      <c r="I33" s="22" t="s">
        <v>166</v>
      </c>
      <c r="J33" s="21"/>
      <c r="K33" s="22" t="str">
        <f t="array" ref="K33">IFERROR(INDEX(Ipad_List!C:C,MATCH(INDIRECT("All_User!D"&amp;ROW()),Ipad_List!J:J,0)),"없음")</f>
        <v>없음</v>
      </c>
      <c r="L33" s="23" t="str">
        <f t="array" ref="L33">IFERROR(INDEX(TeamsNumber!B:B,MATCH(INDIRECT("All_User!D"&amp;ROW()),TeamsNumber!D:D,0)),"없음")</f>
        <v>tel:+82234517639</v>
      </c>
      <c r="M33" s="23" t="str">
        <f t="array" ref="M33">IFERROR(INDEX(Printer!D:D,MATCH(INDIRECT("All_User!D"&amp;ROW()),Printer!H:H,0)),"없음")</f>
        <v>없음</v>
      </c>
      <c r="N33" s="24" t="str">
        <f t="array" ref="N33">IFERROR(INDEX(Monitor!A:A,MATCH(INDIRECT("All_User!D"&amp;ROW()),Monitor!D:D,0)),"없음")</f>
        <v>LCD 모니터</v>
      </c>
      <c r="O33" s="24" t="str">
        <f t="shared" si="1"/>
        <v>없음</v>
      </c>
      <c r="P33" s="24" t="str">
        <f t="array" ref="P33">IFERROR(INDEX(sales!E:E,MATCH(D33,sales!C:C,0)),"없음")</f>
        <v>없음</v>
      </c>
      <c r="Q33" s="24"/>
      <c r="R33" s="24"/>
    </row>
    <row r="34">
      <c r="A34" s="13">
        <v>37.0</v>
      </c>
      <c r="B34" s="15" t="s">
        <v>167</v>
      </c>
      <c r="C34" s="15" t="s">
        <v>168</v>
      </c>
      <c r="D34" s="18" t="s">
        <v>169</v>
      </c>
      <c r="E34" s="15" t="s">
        <v>72</v>
      </c>
      <c r="F34" s="17" t="s">
        <v>27</v>
      </c>
      <c r="G34" s="18" t="s">
        <v>28</v>
      </c>
      <c r="H34" s="19" t="str">
        <f t="array" ref="H34">IFERROR(INDEX(Lease_List!D:D,MATCH(INDIRECT("All_User!D"&amp;ROW()),Lease_List!H:H,0)),"없음")</f>
        <v>5CD4305D8Y</v>
      </c>
      <c r="I34" s="22" t="s">
        <v>29</v>
      </c>
      <c r="J34" s="21"/>
      <c r="K34" s="22" t="str">
        <f t="array" ref="K34">IFERROR(INDEX(Ipad_List!C:C,MATCH(INDIRECT("All_User!D"&amp;ROW()),Ipad_List!J:J,0)),"없음")</f>
        <v>CXVPVQXG09</v>
      </c>
      <c r="L34" s="23" t="str">
        <f t="array" ref="L34">IFERROR(INDEX(TeamsNumber!B:B,MATCH(INDIRECT("All_User!D"&amp;ROW()),TeamsNumber!D:D,0)),"없음")</f>
        <v>tel:+82234517588</v>
      </c>
      <c r="M34" s="23" t="str">
        <f t="array" ref="M34">IFERROR(INDEX(Printer!D:D,MATCH(INDIRECT("All_User!D"&amp;ROW()),Printer!H:H,0)),"없음")</f>
        <v>SL-C563W</v>
      </c>
      <c r="N34" s="24" t="str">
        <f t="array" ref="N34">IFERROR(INDEX(Monitor!A:A,MATCH(INDIRECT("All_User!D"&amp;ROW()),Monitor!D:D,0)),"없음")</f>
        <v>없음</v>
      </c>
      <c r="O34" s="24" t="str">
        <f t="shared" si="1"/>
        <v>없음</v>
      </c>
      <c r="P34" s="24" t="str">
        <f t="array" ref="P34">IFERROR(INDEX(sales!E:E,MATCH(D34,sales!C:C,0)),"없음")</f>
        <v>MPS</v>
      </c>
      <c r="Q34" s="24" t="str">
        <f t="array" ref="Q34">IFERROR(INDEX(sales!C:C,MATCH(D34,sales!C:C,0)),"list없음")</f>
        <v>leo.han@stryker.com</v>
      </c>
      <c r="R34" s="24"/>
    </row>
    <row r="35">
      <c r="A35" s="13">
        <v>38.0</v>
      </c>
      <c r="B35" s="15" t="s">
        <v>170</v>
      </c>
      <c r="C35" s="15" t="s">
        <v>171</v>
      </c>
      <c r="D35" s="18" t="s">
        <v>172</v>
      </c>
      <c r="E35" s="15" t="s">
        <v>173</v>
      </c>
      <c r="F35" s="17" t="s">
        <v>104</v>
      </c>
      <c r="G35" s="18" t="s">
        <v>174</v>
      </c>
      <c r="H35" s="19" t="str">
        <f t="array" ref="H35">IFERROR(INDEX(Lease_List!D:D,MATCH(INDIRECT("All_User!D"&amp;ROW()),Lease_List!H:H,0)),"없음")</f>
        <v>5CD3469HDB</v>
      </c>
      <c r="I35" s="22" t="s">
        <v>29</v>
      </c>
      <c r="J35" s="25" t="s">
        <v>175</v>
      </c>
      <c r="K35" s="22" t="str">
        <f t="array" ref="K35">IFERROR(INDEX(Ipad_List!C:C,MATCH(INDIRECT("All_User!D"&amp;ROW()),Ipad_List!J:J,0)),"없음")</f>
        <v>없음</v>
      </c>
      <c r="L35" s="23" t="str">
        <f t="array" ref="L35">IFERROR(INDEX(TeamsNumber!B:B,MATCH(INDIRECT("All_User!D"&amp;ROW()),TeamsNumber!D:D,0)),"없음")</f>
        <v>tel:+82234517546</v>
      </c>
      <c r="M35" s="23" t="str">
        <f t="array" ref="M35">IFERROR(INDEX(Printer!D:D,MATCH(INDIRECT("All_User!D"&amp;ROW()),Printer!H:H,0)),"없음")</f>
        <v>없음</v>
      </c>
      <c r="N35" s="24" t="str">
        <f t="array" ref="N35">IFERROR(INDEX(Monitor!A:A,MATCH(INDIRECT("All_User!D"&amp;ROW()),Monitor!D:D,0)),"없음")</f>
        <v>없음</v>
      </c>
      <c r="O35" s="24" t="str">
        <f t="shared" si="1"/>
        <v>없음</v>
      </c>
      <c r="P35" s="24" t="str">
        <f t="array" ref="P35">IFERROR(INDEX(sales!E:E,MATCH(D35,sales!C:C,0)),"없음")</f>
        <v>없음</v>
      </c>
      <c r="Q35" s="24"/>
      <c r="R35" s="24"/>
    </row>
    <row r="36">
      <c r="A36" s="13">
        <v>41.0</v>
      </c>
      <c r="B36" s="15" t="s">
        <v>176</v>
      </c>
      <c r="C36" s="15" t="s">
        <v>177</v>
      </c>
      <c r="D36" s="15" t="s">
        <v>178</v>
      </c>
      <c r="E36" s="15" t="s">
        <v>179</v>
      </c>
      <c r="F36" s="17" t="s">
        <v>67</v>
      </c>
      <c r="G36" s="18" t="s">
        <v>180</v>
      </c>
      <c r="H36" s="19" t="str">
        <f t="array" ref="H36">IFERROR(INDEX(Lease_List!D:D,MATCH(INDIRECT("All_User!D"&amp;ROW()),Lease_List!H:H,0)),"없음")</f>
        <v>5CD4305D95</v>
      </c>
      <c r="I36" s="22" t="s">
        <v>29</v>
      </c>
      <c r="J36" s="21"/>
      <c r="K36" s="22" t="str">
        <f t="array" ref="K36">IFERROR(INDEX(Ipad_List!C:C,MATCH(INDIRECT("All_User!D"&amp;ROW()),Ipad_List!J:J,0)),"없음")</f>
        <v>없음</v>
      </c>
      <c r="L36" s="23" t="str">
        <f t="array" ref="L36">IFERROR(INDEX(TeamsNumber!B:B,MATCH(INDIRECT("All_User!D"&amp;ROW()),TeamsNumber!D:D,0)),"없음")</f>
        <v>tel:+82234517634</v>
      </c>
      <c r="M36" s="23" t="str">
        <f t="array" ref="M36">IFERROR(INDEX(Printer!D:D,MATCH(INDIRECT("All_User!D"&amp;ROW()),Printer!H:H,0)),"없음")</f>
        <v>없음</v>
      </c>
      <c r="N36" s="24" t="str">
        <f t="array" ref="N36">IFERROR(INDEX(Monitor!A:A,MATCH(INDIRECT("All_User!D"&amp;ROW()),Monitor!D:D,0)),"없음")</f>
        <v>없음</v>
      </c>
      <c r="O36" s="24" t="str">
        <f t="shared" si="1"/>
        <v>없음</v>
      </c>
      <c r="P36" s="24" t="str">
        <f t="array" ref="P36">IFERROR(INDEX(sales!E:E,MATCH(D36,sales!C:C,0)),"없음")</f>
        <v>없음</v>
      </c>
      <c r="Q36" s="24"/>
      <c r="R36" s="24"/>
    </row>
    <row r="37">
      <c r="A37" s="13">
        <v>42.0</v>
      </c>
      <c r="B37" s="15" t="s">
        <v>181</v>
      </c>
      <c r="C37" s="15" t="s">
        <v>182</v>
      </c>
      <c r="D37" s="18" t="s">
        <v>183</v>
      </c>
      <c r="E37" s="18" t="s">
        <v>129</v>
      </c>
      <c r="F37" s="17" t="s">
        <v>20</v>
      </c>
      <c r="G37" s="18" t="s">
        <v>53</v>
      </c>
      <c r="H37" s="19" t="str">
        <f t="array" ref="H37">IFERROR(INDEX(Lease_List!D:D,MATCH(INDIRECT("All_User!D"&amp;ROW()),Lease_List!H:H,0)),"없음")</f>
        <v>없음</v>
      </c>
      <c r="I37" s="20" t="s">
        <v>184</v>
      </c>
      <c r="J37" s="21"/>
      <c r="K37" s="22" t="str">
        <f t="array" ref="K37">IFERROR(INDEX(Ipad_List!C:C,MATCH(INDIRECT("All_User!D"&amp;ROW()),Ipad_List!J:J,0)),"없음")</f>
        <v>DYQP729JPM</v>
      </c>
      <c r="L37" s="23" t="str">
        <f t="array" ref="L37">IFERROR(INDEX(TeamsNumber!B:B,MATCH(INDIRECT("All_User!D"&amp;ROW()),TeamsNumber!D:D,0)),"없음")</f>
        <v>tel:+82234517643</v>
      </c>
      <c r="M37" s="23" t="str">
        <f t="array" ref="M37">IFERROR(INDEX(Printer!D:D,MATCH(INDIRECT("All_User!D"&amp;ROW()),Printer!H:H,0)),"없음")</f>
        <v>2차 조사 정보 없음</v>
      </c>
      <c r="N37" s="24" t="str">
        <f t="array" ref="N37">IFERROR(INDEX(Monitor!A:A,MATCH(INDIRECT("All_User!D"&amp;ROW()),Monitor!D:D,0)),"없음")</f>
        <v>없음</v>
      </c>
      <c r="O37" s="24" t="str">
        <f t="shared" si="1"/>
        <v>없음</v>
      </c>
      <c r="P37" s="24" t="str">
        <f t="array" ref="P37">IFERROR(INDEX(sales!E:E,MATCH(D37,sales!C:C,0)),"없음")</f>
        <v>NV</v>
      </c>
      <c r="Q37" s="24" t="str">
        <f t="array" ref="Q37">IFERROR(INDEX(sales!C:C,MATCH(D37,sales!C:C,0)),"list없음")</f>
        <v>yejin.heo@stryker.com</v>
      </c>
      <c r="R37" s="24"/>
    </row>
    <row r="38">
      <c r="A38" s="13">
        <v>43.0</v>
      </c>
      <c r="B38" s="15" t="s">
        <v>185</v>
      </c>
      <c r="C38" s="15" t="s">
        <v>186</v>
      </c>
      <c r="D38" s="18" t="s">
        <v>187</v>
      </c>
      <c r="E38" s="15" t="s">
        <v>72</v>
      </c>
      <c r="F38" s="17" t="s">
        <v>27</v>
      </c>
      <c r="G38" s="18" t="s">
        <v>28</v>
      </c>
      <c r="H38" s="19" t="str">
        <f t="array" ref="H38">IFERROR(INDEX(Lease_List!D:D,MATCH(INDIRECT("All_User!D"&amp;ROW()),Lease_List!H:H,0)),"없음")</f>
        <v>5CD4232BFV</v>
      </c>
      <c r="I38" s="22" t="s">
        <v>29</v>
      </c>
      <c r="J38" s="21"/>
      <c r="K38" s="22" t="str">
        <f t="array" ref="K38">IFERROR(INDEX(Ipad_List!C:C,MATCH(INDIRECT("All_User!D"&amp;ROW()),Ipad_List!J:J,0)),"없음")</f>
        <v>J99N6MMPMT</v>
      </c>
      <c r="L38" s="23" t="str">
        <f t="array" ref="L38">IFERROR(INDEX(TeamsNumber!B:B,MATCH(INDIRECT("All_User!D"&amp;ROW()),TeamsNumber!D:D,0)),"없음")</f>
        <v>tel:+82234517581</v>
      </c>
      <c r="M38" s="23" t="str">
        <f t="array" ref="M38">IFERROR(INDEX(Printer!D:D,MATCH(INDIRECT("All_User!D"&amp;ROW()),Printer!H:H,0)),"없음")</f>
        <v>없음</v>
      </c>
      <c r="N38" s="24" t="str">
        <f t="array" ref="N38">IFERROR(INDEX(Monitor!A:A,MATCH(INDIRECT("All_User!D"&amp;ROW()),Monitor!D:D,0)),"없음")</f>
        <v>없음</v>
      </c>
      <c r="O38" s="24" t="str">
        <f t="shared" si="1"/>
        <v>없음</v>
      </c>
      <c r="P38" s="24" t="str">
        <f t="array" ref="P38">IFERROR(INDEX(sales!E:E,MATCH(D38,sales!C:C,0)),"없음")</f>
        <v>MPS</v>
      </c>
      <c r="Q38" s="24" t="str">
        <f t="array" ref="Q38">IFERROR(INDEX(sales!C:C,MATCH(D38,sales!C:C,0)),"list없음")</f>
        <v>ashley.hong@stryker.com</v>
      </c>
      <c r="R38" s="24"/>
    </row>
    <row r="39">
      <c r="A39" s="13">
        <v>44.0</v>
      </c>
      <c r="B39" s="15" t="s">
        <v>188</v>
      </c>
      <c r="C39" s="15" t="s">
        <v>189</v>
      </c>
      <c r="D39" s="18" t="s">
        <v>190</v>
      </c>
      <c r="E39" s="18" t="s">
        <v>191</v>
      </c>
      <c r="F39" s="17" t="s">
        <v>41</v>
      </c>
      <c r="G39" s="15" t="s">
        <v>192</v>
      </c>
      <c r="H39" s="19" t="str">
        <f t="array" ref="H39">IFERROR(INDEX(Lease_List!D:D,MATCH(INDIRECT("All_User!D"&amp;ROW()),Lease_List!H:H,0)),"없음")</f>
        <v>5CD4305D8H</v>
      </c>
      <c r="I39" s="22" t="s">
        <v>29</v>
      </c>
      <c r="J39" s="21"/>
      <c r="K39" s="22" t="str">
        <f t="array" ref="K39">IFERROR(INDEX(Ipad_List!C:C,MATCH(INDIRECT("All_User!D"&amp;ROW()),Ipad_List!J:J,0)),"없음")</f>
        <v>없음</v>
      </c>
      <c r="L39" s="23" t="str">
        <f t="array" ref="L39">IFERROR(INDEX(TeamsNumber!B:B,MATCH(INDIRECT("All_User!D"&amp;ROW()),TeamsNumber!D:D,0)),"없음")</f>
        <v>tel:+82234517630</v>
      </c>
      <c r="M39" s="23" t="str">
        <f t="array" ref="M39">IFERROR(INDEX(Printer!D:D,MATCH(INDIRECT("All_User!D"&amp;ROW()),Printer!H:H,0)),"없음")</f>
        <v>없음</v>
      </c>
      <c r="N39" s="24" t="str">
        <f t="array" ref="N39">IFERROR(INDEX(Monitor!A:A,MATCH(INDIRECT("All_User!D"&amp;ROW()),Monitor!D:D,0)),"없음")</f>
        <v>없음</v>
      </c>
      <c r="O39" s="24" t="str">
        <f t="shared" si="1"/>
        <v>없음</v>
      </c>
      <c r="P39" s="24" t="str">
        <f t="array" ref="P39">IFERROR(INDEX(sales!E:E,MATCH(D39,sales!C:C,0)),"없음")</f>
        <v>없음</v>
      </c>
      <c r="Q39" s="24"/>
      <c r="R39" s="24"/>
    </row>
    <row r="40">
      <c r="A40" s="13">
        <v>45.0</v>
      </c>
      <c r="B40" s="15" t="s">
        <v>193</v>
      </c>
      <c r="C40" s="15" t="s">
        <v>194</v>
      </c>
      <c r="D40" s="18" t="s">
        <v>195</v>
      </c>
      <c r="E40" s="15" t="s">
        <v>196</v>
      </c>
      <c r="F40" s="17" t="s">
        <v>142</v>
      </c>
      <c r="G40" s="15" t="s">
        <v>82</v>
      </c>
      <c r="H40" s="19" t="str">
        <f t="array" ref="H40">IFERROR(INDEX(Lease_List!D:D,MATCH(INDIRECT("All_User!D"&amp;ROW()),Lease_List!H:H,0)),"없음")</f>
        <v>없음</v>
      </c>
      <c r="I40" s="22" t="s">
        <v>29</v>
      </c>
      <c r="J40" s="25" t="s">
        <v>197</v>
      </c>
      <c r="K40" s="22" t="str">
        <f t="array" ref="K40">IFERROR(INDEX(Ipad_List!C:C,MATCH(INDIRECT("All_User!D"&amp;ROW()),Ipad_List!J:J,0)),"없음")</f>
        <v>없음</v>
      </c>
      <c r="L40" s="23" t="str">
        <f t="array" ref="L40">IFERROR(INDEX(TeamsNumber!B:B,MATCH(INDIRECT("All_User!D"&amp;ROW()),TeamsNumber!D:D,0)),"없음")</f>
        <v>tel:+82234517553</v>
      </c>
      <c r="M40" s="23" t="str">
        <f t="array" ref="M40">IFERROR(INDEX(Printer!D:D,MATCH(INDIRECT("All_User!D"&amp;ROW()),Printer!H:H,0)),"없음")</f>
        <v>없음</v>
      </c>
      <c r="N40" s="24" t="str">
        <f t="array" ref="N40">IFERROR(INDEX(Monitor!A:A,MATCH(INDIRECT("All_User!D"&amp;ROW()),Monitor!D:D,0)),"없음")</f>
        <v>LCD 모니터</v>
      </c>
      <c r="O40" s="24" t="str">
        <f t="shared" si="1"/>
        <v>없음</v>
      </c>
      <c r="P40" s="24" t="str">
        <f t="array" ref="P40">IFERROR(INDEX(sales!E:E,MATCH(D40,sales!C:C,0)),"없음")</f>
        <v>없음</v>
      </c>
      <c r="Q40" s="24"/>
      <c r="R40" s="24"/>
    </row>
    <row r="41">
      <c r="A41" s="13">
        <v>46.0</v>
      </c>
      <c r="B41" s="15" t="s">
        <v>198</v>
      </c>
      <c r="C41" s="15" t="s">
        <v>199</v>
      </c>
      <c r="D41" s="18" t="s">
        <v>200</v>
      </c>
      <c r="E41" s="18" t="s">
        <v>201</v>
      </c>
      <c r="F41" s="17" t="s">
        <v>202</v>
      </c>
      <c r="G41" s="18" t="s">
        <v>203</v>
      </c>
      <c r="H41" s="19" t="str">
        <f t="array" ref="H41">IFERROR(INDEX(Lease_List!D:D,MATCH(INDIRECT("All_User!D"&amp;ROW()),Lease_List!H:H,0)),"없음")</f>
        <v>5CD442C078</v>
      </c>
      <c r="I41" s="22" t="s">
        <v>29</v>
      </c>
      <c r="J41" s="21"/>
      <c r="K41" s="22" t="str">
        <f t="array" ref="K41">IFERROR(INDEX(Ipad_List!C:C,MATCH(INDIRECT("All_User!D"&amp;ROW()),Ipad_List!J:J,0)),"없음")</f>
        <v>없음</v>
      </c>
      <c r="L41" s="23" t="str">
        <f t="array" ref="L41">IFERROR(INDEX(TeamsNumber!B:B,MATCH(INDIRECT("All_User!D"&amp;ROW()),TeamsNumber!D:D,0)),"없음")</f>
        <v>tel:+82234517552</v>
      </c>
      <c r="M41" s="23" t="str">
        <f t="array" ref="M41">IFERROR(INDEX(Printer!D:D,MATCH(INDIRECT("All_User!D"&amp;ROW()),Printer!H:H,0)),"없음")</f>
        <v>없음</v>
      </c>
      <c r="N41" s="24" t="str">
        <f t="array" ref="N41">IFERROR(INDEX(Monitor!A:A,MATCH(INDIRECT("All_User!D"&amp;ROW()),Monitor!D:D,0)),"없음")</f>
        <v>없음</v>
      </c>
      <c r="O41" s="24" t="str">
        <f t="shared" si="1"/>
        <v>없음</v>
      </c>
      <c r="P41" s="24" t="str">
        <f t="array" ref="P41">IFERROR(INDEX(sales!E:E,MATCH(D41,sales!C:C,0)),"없음")</f>
        <v>없음</v>
      </c>
      <c r="Q41" s="24"/>
      <c r="R41" s="24"/>
    </row>
    <row r="42">
      <c r="A42" s="13">
        <v>47.0</v>
      </c>
      <c r="B42" s="15" t="s">
        <v>204</v>
      </c>
      <c r="C42" s="15" t="s">
        <v>205</v>
      </c>
      <c r="D42" s="18" t="s">
        <v>206</v>
      </c>
      <c r="E42" s="15" t="s">
        <v>207</v>
      </c>
      <c r="F42" s="17" t="s">
        <v>34</v>
      </c>
      <c r="G42" s="18" t="s">
        <v>94</v>
      </c>
      <c r="H42" s="19" t="str">
        <f t="array" ref="H42">IFERROR(INDEX(Lease_List!D:D,MATCH(INDIRECT("All_User!D"&amp;ROW()),Lease_List!H:H,0)),"없음")</f>
        <v>5CD442C07G</v>
      </c>
      <c r="I42" s="22" t="s">
        <v>29</v>
      </c>
      <c r="J42" s="21"/>
      <c r="K42" s="22" t="str">
        <f t="array" ref="K42">IFERROR(INDEX(Ipad_List!C:C,MATCH(INDIRECT("All_User!D"&amp;ROW()),Ipad_List!J:J,0)),"없음")</f>
        <v>XYGFK42KQP</v>
      </c>
      <c r="L42" s="23" t="str">
        <f t="array" ref="L42">IFERROR(INDEX(TeamsNumber!B:B,MATCH(INDIRECT("All_User!D"&amp;ROW()),TeamsNumber!D:D,0)),"없음")</f>
        <v>tel:+82234517671</v>
      </c>
      <c r="M42" s="23" t="str">
        <f t="array" ref="M42">IFERROR(INDEX(Printer!D:D,MATCH(INDIRECT("All_User!D"&amp;ROW()),Printer!H:H,0)),"없음")</f>
        <v>없음</v>
      </c>
      <c r="N42" s="24" t="str">
        <f t="array" ref="N42">IFERROR(INDEX(Monitor!A:A,MATCH(INDIRECT("All_User!D"&amp;ROW()),Monitor!D:D,0)),"없음")</f>
        <v>없음</v>
      </c>
      <c r="O42" s="24" t="str">
        <f t="shared" si="1"/>
        <v>없음</v>
      </c>
      <c r="P42" s="24" t="str">
        <f t="array" ref="P42">IFERROR(INDEX(sales!E:E,MATCH(D42,sales!C:C,0)),"없음")</f>
        <v>TS</v>
      </c>
      <c r="Q42" s="24" t="str">
        <f t="array" ref="Q42">IFERROR(INDEX(sales!C:C,MATCH(D42,sales!C:C,0)),"list없음")</f>
        <v>oscar.hwang@stryker.com</v>
      </c>
      <c r="R42" s="24"/>
    </row>
    <row r="43">
      <c r="A43" s="13">
        <v>48.0</v>
      </c>
      <c r="B43" s="15" t="s">
        <v>208</v>
      </c>
      <c r="C43" s="15" t="s">
        <v>209</v>
      </c>
      <c r="D43" s="18" t="s">
        <v>210</v>
      </c>
      <c r="E43" s="15" t="s">
        <v>211</v>
      </c>
      <c r="F43" s="27" t="s">
        <v>20</v>
      </c>
      <c r="G43" s="18" t="s">
        <v>53</v>
      </c>
      <c r="H43" s="19" t="str">
        <f t="array" ref="H43">IFERROR(INDEX(Lease_List!D:D,MATCH(INDIRECT("All_User!D"&amp;ROW()),Lease_List!H:H,0)),"없음")</f>
        <v>5CD5179KHZ</v>
      </c>
      <c r="I43" s="22" t="s">
        <v>212</v>
      </c>
      <c r="J43" s="21"/>
      <c r="K43" s="22" t="str">
        <f t="array" ref="K43">IFERROR(INDEX(Ipad_List!C:C,MATCH(INDIRECT("All_User!D"&amp;ROW()),Ipad_List!J:J,0)),"없음")</f>
        <v>FNP3C7WRP2</v>
      </c>
      <c r="L43" s="23" t="str">
        <f t="array" ref="L43">IFERROR(INDEX(TeamsNumber!B:B,MATCH(INDIRECT("All_User!D"&amp;ROW()),TeamsNumber!D:D,0)),"없음")</f>
        <v>tel:+82234517688</v>
      </c>
      <c r="M43" s="23" t="str">
        <f t="array" ref="M43">IFERROR(INDEX(Printer!D:D,MATCH(INDIRECT("All_User!D"&amp;ROW()),Printer!H:H,0)),"없음")</f>
        <v>2차 조사 정보 없음</v>
      </c>
      <c r="N43" s="24" t="str">
        <f t="array" ref="N43">IFERROR(INDEX(Monitor!A:A,MATCH(INDIRECT("All_User!D"&amp;ROW()),Monitor!D:D,0)),"없음")</f>
        <v>없음</v>
      </c>
      <c r="O43" s="24" t="str">
        <f t="shared" si="1"/>
        <v>없음</v>
      </c>
      <c r="P43" s="24" t="str">
        <f t="array" ref="P43">IFERROR(INDEX(sales!E:E,MATCH(D43,sales!C:C,0)),"없음")</f>
        <v>NV</v>
      </c>
      <c r="Q43" s="24" t="str">
        <f t="array" ref="Q43">IFERROR(INDEX(sales!C:C,MATCH(D43,sales!C:C,0)),"list없음")</f>
        <v>young.hwang@stryker.com</v>
      </c>
      <c r="R43" s="24"/>
    </row>
    <row r="44">
      <c r="A44" s="13">
        <v>49.0</v>
      </c>
      <c r="B44" s="15" t="s">
        <v>213</v>
      </c>
      <c r="C44" s="15" t="s">
        <v>214</v>
      </c>
      <c r="D44" s="18" t="s">
        <v>215</v>
      </c>
      <c r="E44" s="15" t="s">
        <v>216</v>
      </c>
      <c r="F44" s="17" t="s">
        <v>52</v>
      </c>
      <c r="G44" s="18" t="s">
        <v>53</v>
      </c>
      <c r="H44" s="19" t="str">
        <f t="array" ref="H44">IFERROR(INDEX(Lease_List!D:D,MATCH(INDIRECT("All_User!D"&amp;ROW()),Lease_List!H:H,0)),"없음")</f>
        <v>5CD3469HCX</v>
      </c>
      <c r="I44" s="22" t="s">
        <v>29</v>
      </c>
      <c r="J44" s="21"/>
      <c r="K44" s="22" t="str">
        <f t="array" ref="K44">IFERROR(INDEX(Ipad_List!C:C,MATCH(INDIRECT("All_User!D"&amp;ROW()),Ipad_List!J:J,0)),"없음")</f>
        <v>GD2WG3K71P</v>
      </c>
      <c r="L44" s="23" t="str">
        <f t="array" ref="L44">IFERROR(INDEX(TeamsNumber!B:B,MATCH(INDIRECT("All_User!D"&amp;ROW()),TeamsNumber!D:D,0)),"없음")</f>
        <v>tel:+82234517686</v>
      </c>
      <c r="M44" s="23" t="str">
        <f t="array" ref="M44">IFERROR(INDEX(Printer!D:D,MATCH(INDIRECT("All_User!D"&amp;ROW()),Printer!H:H,0)),"없음")</f>
        <v>SL-C563W</v>
      </c>
      <c r="N44" s="24" t="str">
        <f t="array" ref="N44">IFERROR(INDEX(Monitor!A:A,MATCH(INDIRECT("All_User!D"&amp;ROW()),Monitor!D:D,0)),"없음")</f>
        <v>없음</v>
      </c>
      <c r="O44" s="24" t="str">
        <f t="shared" si="1"/>
        <v>없음</v>
      </c>
      <c r="P44" s="24" t="str">
        <f t="array" ref="P44">IFERROR(INDEX(sales!E:E,MATCH(D44,sales!C:C,0)),"없음")</f>
        <v>Sales</v>
      </c>
      <c r="Q44" s="24" t="str">
        <f t="array" ref="Q44">IFERROR(INDEX(sales!C:C,MATCH(D44,sales!C:C,0)),"list없음")</f>
        <v>theo.hwang@stryker.com</v>
      </c>
      <c r="R44" s="24"/>
    </row>
    <row r="45">
      <c r="A45" s="13">
        <v>51.0</v>
      </c>
      <c r="B45" s="15" t="s">
        <v>217</v>
      </c>
      <c r="C45" s="15" t="s">
        <v>218</v>
      </c>
      <c r="D45" s="18" t="s">
        <v>219</v>
      </c>
      <c r="E45" s="15" t="s">
        <v>125</v>
      </c>
      <c r="F45" s="27" t="s">
        <v>77</v>
      </c>
      <c r="G45" s="18" t="s">
        <v>53</v>
      </c>
      <c r="H45" s="19" t="str">
        <f t="array" ref="H45">IFERROR(INDEX(Lease_List!D:D,MATCH(INDIRECT("All_User!D"&amp;ROW()),Lease_List!H:H,0)),"없음")</f>
        <v>5CD442C07D</v>
      </c>
      <c r="I45" s="22" t="s">
        <v>29</v>
      </c>
      <c r="J45" s="21"/>
      <c r="K45" s="22" t="str">
        <f t="array" ref="K45">IFERROR(INDEX(Ipad_List!C:C,MATCH(INDIRECT("All_User!D"&amp;ROW()),Ipad_List!J:J,0)),"없음")</f>
        <v>Q9JKF6RRK4</v>
      </c>
      <c r="L45" s="23" t="str">
        <f t="array" ref="L45">IFERROR(INDEX(TeamsNumber!B:B,MATCH(INDIRECT("All_User!D"&amp;ROW()),TeamsNumber!D:D,0)),"없음")</f>
        <v>tel:+82234517666</v>
      </c>
      <c r="M45" s="23" t="str">
        <f t="array" ref="M45">IFERROR(INDEX(Printer!D:D,MATCH(INDIRECT("All_User!D"&amp;ROW()),Printer!H:H,0)),"없음")</f>
        <v>없음</v>
      </c>
      <c r="N45" s="24" t="str">
        <f t="array" ref="N45">IFERROR(INDEX(Monitor!A:A,MATCH(INDIRECT("All_User!D"&amp;ROW()),Monitor!D:D,0)),"없음")</f>
        <v>없음</v>
      </c>
      <c r="O45" s="24" t="str">
        <f t="shared" si="1"/>
        <v>없음</v>
      </c>
      <c r="P45" s="24" t="str">
        <f t="array" ref="P45">IFERROR(INDEX(sales!E:E,MATCH(D45,sales!C:C,0)),"없음")</f>
        <v>Sales</v>
      </c>
      <c r="Q45" s="24" t="str">
        <f t="array" ref="Q45">IFERROR(INDEX(sales!C:C,MATCH(D45,sales!C:C,0)),"list없음")</f>
        <v>daniel.jang@stryker.com</v>
      </c>
      <c r="R45" s="24"/>
    </row>
    <row r="46">
      <c r="A46" s="13">
        <v>52.0</v>
      </c>
      <c r="B46" s="15" t="s">
        <v>220</v>
      </c>
      <c r="C46" s="15" t="s">
        <v>221</v>
      </c>
      <c r="D46" s="15" t="s">
        <v>222</v>
      </c>
      <c r="E46" s="15" t="s">
        <v>223</v>
      </c>
      <c r="F46" s="17" t="s">
        <v>34</v>
      </c>
      <c r="G46" s="18" t="s">
        <v>94</v>
      </c>
      <c r="H46" s="19" t="str">
        <f t="array" ref="H46">IFERROR(INDEX(Lease_List!D:D,MATCH(INDIRECT("All_User!D"&amp;ROW()),Lease_List!H:H,0)),"없음")</f>
        <v>5CD5062YDW</v>
      </c>
      <c r="I46" s="22" t="s">
        <v>29</v>
      </c>
      <c r="J46" s="21"/>
      <c r="K46" s="22" t="str">
        <f t="array" ref="K46">IFERROR(INDEX(Ipad_List!C:C,MATCH(INDIRECT("All_User!D"&amp;ROW()),Ipad_List!J:J,0)),"없음")</f>
        <v>G7CV2M99YM</v>
      </c>
      <c r="L46" s="23" t="str">
        <f t="array" ref="L46">IFERROR(INDEX(TeamsNumber!B:B,MATCH(INDIRECT("All_User!D"&amp;ROW()),TeamsNumber!D:D,0)),"없음")</f>
        <v>tel:+82234517535</v>
      </c>
      <c r="M46" s="23" t="str">
        <f t="array" ref="M46">IFERROR(INDEX(Printer!D:D,MATCH(INDIRECT("All_User!D"&amp;ROW()),Printer!H:H,0)),"없음")</f>
        <v>없음</v>
      </c>
      <c r="N46" s="24" t="str">
        <f t="array" ref="N46">IFERROR(INDEX(Monitor!A:A,MATCH(INDIRECT("All_User!D"&amp;ROW()),Monitor!D:D,0)),"없음")</f>
        <v>없음</v>
      </c>
      <c r="O46" s="24" t="str">
        <f t="shared" si="1"/>
        <v>없음</v>
      </c>
      <c r="P46" s="24" t="str">
        <f t="array" ref="P46">IFERROR(INDEX(sales!E:E,MATCH(D46,sales!C:C,0)),"없음")</f>
        <v>TS</v>
      </c>
      <c r="Q46" s="24" t="str">
        <f t="array" ref="Q46">IFERROR(INDEX(sales!C:C,MATCH(D46,sales!C:C,0)),"list없음")</f>
        <v>ethan.jang@stryker.com</v>
      </c>
      <c r="R46" s="24"/>
    </row>
    <row r="47">
      <c r="A47" s="13">
        <v>53.0</v>
      </c>
      <c r="B47" s="18" t="s">
        <v>224</v>
      </c>
      <c r="C47" s="15" t="s">
        <v>225</v>
      </c>
      <c r="D47" s="18" t="s">
        <v>226</v>
      </c>
      <c r="E47" s="15" t="s">
        <v>227</v>
      </c>
      <c r="F47" s="17" t="s">
        <v>62</v>
      </c>
      <c r="G47" s="15" t="s">
        <v>62</v>
      </c>
      <c r="H47" s="19" t="str">
        <f t="array" ref="H47">IFERROR(INDEX(Lease_List!D:D,MATCH(INDIRECT("All_User!D"&amp;ROW()),Lease_List!H:H,0)),"없음")</f>
        <v>5CG53403D5</v>
      </c>
      <c r="I47" s="22" t="s">
        <v>29</v>
      </c>
      <c r="J47" s="21"/>
      <c r="K47" s="22" t="str">
        <f t="array" ref="K47">IFERROR(INDEX(Ipad_List!C:C,MATCH(INDIRECT("All_User!D"&amp;ROW()),Ipad_List!J:J,0)),"없음")</f>
        <v>없음</v>
      </c>
      <c r="L47" s="23" t="str">
        <f t="array" ref="L47">IFERROR(INDEX(TeamsNumber!B:B,MATCH(INDIRECT("All_User!D"&amp;ROW()),TeamsNumber!D:D,0)),"없음")</f>
        <v>tel:+82234517665</v>
      </c>
      <c r="M47" s="23" t="str">
        <f t="array" ref="M47">IFERROR(INDEX(Printer!D:D,MATCH(INDIRECT("All_User!D"&amp;ROW()),Printer!H:H,0)),"없음")</f>
        <v>없음</v>
      </c>
      <c r="N47" s="24" t="str">
        <f t="array" ref="N47">IFERROR(INDEX(Monitor!A:A,MATCH(INDIRECT("All_User!D"&amp;ROW()),Monitor!D:D,0)),"없음")</f>
        <v>없음</v>
      </c>
      <c r="O47" s="24" t="str">
        <f t="shared" si="1"/>
        <v>없음</v>
      </c>
      <c r="P47" s="24" t="str">
        <f t="array" ref="P47">IFERROR(INDEX(sales!E:E,MATCH(D47,sales!C:C,0)),"없음")</f>
        <v>없음</v>
      </c>
      <c r="Q47" s="24"/>
      <c r="R47" s="24"/>
    </row>
    <row r="48">
      <c r="A48" s="13">
        <v>54.0</v>
      </c>
      <c r="B48" s="15" t="s">
        <v>228</v>
      </c>
      <c r="C48" s="15" t="s">
        <v>229</v>
      </c>
      <c r="D48" s="18" t="s">
        <v>230</v>
      </c>
      <c r="E48" s="15" t="s">
        <v>129</v>
      </c>
      <c r="F48" s="27" t="s">
        <v>20</v>
      </c>
      <c r="G48" s="18" t="s">
        <v>53</v>
      </c>
      <c r="H48" s="19" t="str">
        <f t="array" ref="H48">IFERROR(INDEX(Lease_List!D:D,MATCH(INDIRECT("All_User!D"&amp;ROW()),Lease_List!H:H,0)),"없음")</f>
        <v>없음</v>
      </c>
      <c r="I48" s="22" t="s">
        <v>118</v>
      </c>
      <c r="J48" s="21"/>
      <c r="K48" s="22" t="str">
        <f t="array" ref="K48">IFERROR(INDEX(Ipad_List!C:C,MATCH(INDIRECT("All_User!D"&amp;ROW()),Ipad_List!J:J,0)),"없음")</f>
        <v>J7J79LY961</v>
      </c>
      <c r="L48" s="23" t="str">
        <f t="array" ref="L48">IFERROR(INDEX(TeamsNumber!B:B,MATCH(INDIRECT("All_User!D"&amp;ROW()),TeamsNumber!D:D,0)),"없음")</f>
        <v>tel:+82234517604</v>
      </c>
      <c r="M48" s="23" t="str">
        <f t="array" ref="M48">IFERROR(INDEX(Printer!D:D,MATCH(INDIRECT("All_User!D"&amp;ROW()),Printer!H:H,0)),"없음")</f>
        <v>SL-C486FW</v>
      </c>
      <c r="N48" s="24" t="str">
        <f t="array" ref="N48">IFERROR(INDEX(Monitor!A:A,MATCH(INDIRECT("All_User!D"&amp;ROW()),Monitor!D:D,0)),"없음")</f>
        <v>없음</v>
      </c>
      <c r="O48" s="24" t="str">
        <f t="shared" si="1"/>
        <v>없음</v>
      </c>
      <c r="P48" s="24" t="str">
        <f t="array" ref="P48">IFERROR(INDEX(sales!E:E,MATCH(D48,sales!C:C,0)),"없음")</f>
        <v>NV</v>
      </c>
      <c r="Q48" s="24" t="str">
        <f t="array" ref="Q48">IFERROR(INDEX(sales!C:C,MATCH(D48,sales!C:C,0)),"list없음")</f>
        <v>lucas.jeon@stryker.com</v>
      </c>
      <c r="R48" s="24"/>
    </row>
    <row r="49">
      <c r="A49" s="13">
        <v>55.0</v>
      </c>
      <c r="B49" s="15" t="s">
        <v>231</v>
      </c>
      <c r="C49" s="15" t="s">
        <v>232</v>
      </c>
      <c r="D49" s="18" t="s">
        <v>233</v>
      </c>
      <c r="E49" s="15" t="s">
        <v>216</v>
      </c>
      <c r="F49" s="17" t="s">
        <v>52</v>
      </c>
      <c r="G49" s="18" t="s">
        <v>53</v>
      </c>
      <c r="H49" s="19" t="str">
        <f t="array" ref="H49">IFERROR(INDEX(Lease_List!D:D,MATCH(INDIRECT("All_User!D"&amp;ROW()),Lease_List!H:H,0)),"없음")</f>
        <v>없음</v>
      </c>
      <c r="I49" s="22" t="s">
        <v>118</v>
      </c>
      <c r="J49" s="21"/>
      <c r="K49" s="22" t="str">
        <f t="array" ref="K49">IFERROR(INDEX(Ipad_List!C:C,MATCH(INDIRECT("All_User!D"&amp;ROW()),Ipad_List!J:J,0)),"없음")</f>
        <v>WHYPLVY40L</v>
      </c>
      <c r="L49" s="23" t="str">
        <f t="array" ref="L49">IFERROR(INDEX(TeamsNumber!B:B,MATCH(INDIRECT("All_User!D"&amp;ROW()),TeamsNumber!D:D,0)),"없음")</f>
        <v>tel:+82234517527</v>
      </c>
      <c r="M49" s="23" t="str">
        <f t="array" ref="M49">IFERROR(INDEX(Printer!D:D,MATCH(INDIRECT("All_User!D"&amp;ROW()),Printer!H:H,0)),"없음")</f>
        <v>SL-C565W</v>
      </c>
      <c r="N49" s="24" t="str">
        <f t="array" ref="N49">IFERROR(INDEX(Monitor!A:A,MATCH(INDIRECT("All_User!D"&amp;ROW()),Monitor!D:D,0)),"없음")</f>
        <v>없음</v>
      </c>
      <c r="O49" s="24" t="str">
        <f t="shared" si="1"/>
        <v>없음</v>
      </c>
      <c r="P49" s="24" t="str">
        <f t="array" ref="P49">IFERROR(INDEX(sales!E:E,MATCH(D49,sales!C:C,0)),"없음")</f>
        <v>Sales</v>
      </c>
      <c r="Q49" s="24" t="str">
        <f t="array" ref="Q49">IFERROR(INDEX(sales!C:C,MATCH(D49,sales!C:C,0)),"list없음")</f>
        <v>chan.jeon@stryker.com</v>
      </c>
      <c r="R49" s="24"/>
    </row>
    <row r="50">
      <c r="A50" s="13">
        <v>56.0</v>
      </c>
      <c r="B50" s="15" t="s">
        <v>234</v>
      </c>
      <c r="C50" s="15" t="s">
        <v>235</v>
      </c>
      <c r="D50" s="18" t="s">
        <v>236</v>
      </c>
      <c r="E50" s="15" t="s">
        <v>237</v>
      </c>
      <c r="F50" s="17" t="s">
        <v>27</v>
      </c>
      <c r="G50" s="15" t="s">
        <v>137</v>
      </c>
      <c r="H50" s="19" t="str">
        <f t="array" ref="H50">IFERROR(INDEX(Lease_List!D:D,MATCH(INDIRECT("All_User!D"&amp;ROW()),Lease_List!H:H,0)),"없음")</f>
        <v>5CD5179KJ2</v>
      </c>
      <c r="I50" s="22" t="s">
        <v>29</v>
      </c>
      <c r="J50" s="21"/>
      <c r="K50" s="22" t="str">
        <f t="array" ref="K50">IFERROR(INDEX(Ipad_List!C:C,MATCH(INDIRECT("All_User!D"&amp;ROW()),Ipad_List!J:J,0)),"없음")</f>
        <v>M2FKP9T7QX</v>
      </c>
      <c r="L50" s="23" t="str">
        <f t="array" ref="L50">IFERROR(INDEX(TeamsNumber!B:B,MATCH(INDIRECT("All_User!D"&amp;ROW()),TeamsNumber!D:D,0)),"없음")</f>
        <v>tel:+82234517589</v>
      </c>
      <c r="M50" s="23" t="str">
        <f t="array" ref="M50">IFERROR(INDEX(Printer!D:D,MATCH(INDIRECT("All_User!D"&amp;ROW()),Printer!H:H,0)),"없음")</f>
        <v>SL-C563W</v>
      </c>
      <c r="N50" s="24" t="str">
        <f t="array" ref="N50">IFERROR(INDEX(Monitor!A:A,MATCH(INDIRECT("All_User!D"&amp;ROW()),Monitor!D:D,0)),"없음")</f>
        <v>없음</v>
      </c>
      <c r="O50" s="24" t="str">
        <f t="shared" si="1"/>
        <v>없음</v>
      </c>
      <c r="P50" s="24" t="str">
        <f t="array" ref="P50">IFERROR(INDEX(sales!E:E,MATCH(D50,sales!C:C,0)),"없음")</f>
        <v>Sales</v>
      </c>
      <c r="Q50" s="24" t="str">
        <f t="array" ref="Q50">IFERROR(INDEX(sales!C:C,MATCH(D50,sales!C:C,0)),"list없음")</f>
        <v>yoonbee.jeong@stryker.com</v>
      </c>
      <c r="R50" s="24"/>
    </row>
    <row r="51">
      <c r="A51" s="13">
        <v>57.0</v>
      </c>
      <c r="B51" s="15" t="s">
        <v>238</v>
      </c>
      <c r="C51" s="15" t="s">
        <v>239</v>
      </c>
      <c r="D51" s="18" t="s">
        <v>240</v>
      </c>
      <c r="E51" s="15" t="s">
        <v>57</v>
      </c>
      <c r="F51" s="17" t="s">
        <v>27</v>
      </c>
      <c r="G51" s="18" t="s">
        <v>28</v>
      </c>
      <c r="H51" s="19" t="str">
        <f t="array" ref="H51">IFERROR(INDEX(Lease_List!D:D,MATCH(INDIRECT("All_User!D"&amp;ROW()),Lease_List!H:H,0)),"없음")</f>
        <v>5CD4305D8Z</v>
      </c>
      <c r="I51" s="22" t="s">
        <v>29</v>
      </c>
      <c r="J51" s="21"/>
      <c r="K51" s="22" t="str">
        <f t="array" ref="K51">IFERROR(INDEX(Ipad_List!C:C,MATCH(INDIRECT("All_User!D"&amp;ROW()),Ipad_List!J:J,0)),"없음")</f>
        <v>DFC7V7Q9X3</v>
      </c>
      <c r="L51" s="23" t="str">
        <f t="array" ref="L51">IFERROR(INDEX(TeamsNumber!B:B,MATCH(INDIRECT("All_User!D"&amp;ROW()),TeamsNumber!D:D,0)),"없음")</f>
        <v>tel:+82234517642</v>
      </c>
      <c r="M51" s="23" t="str">
        <f t="array" ref="M51">IFERROR(INDEX(Printer!D:D,MATCH(INDIRECT("All_User!D"&amp;ROW()),Printer!H:H,0)),"없음")</f>
        <v>없음</v>
      </c>
      <c r="N51" s="24" t="str">
        <f t="array" ref="N51">IFERROR(INDEX(Monitor!A:A,MATCH(INDIRECT("All_User!D"&amp;ROW()),Monitor!D:D,0)),"없음")</f>
        <v>없음</v>
      </c>
      <c r="O51" s="24" t="str">
        <f t="shared" si="1"/>
        <v>없음</v>
      </c>
      <c r="P51" s="24" t="str">
        <f t="array" ref="P51">IFERROR(INDEX(sales!E:E,MATCH(D51,sales!C:C,0)),"없음")</f>
        <v>MPS</v>
      </c>
      <c r="Q51" s="24" t="str">
        <f t="array" ref="Q51">IFERROR(INDEX(sales!C:C,MATCH(D51,sales!C:C,0)),"list없음")</f>
        <v>somi.jeong@stryker.com</v>
      </c>
      <c r="R51" s="24"/>
    </row>
    <row r="52" ht="16.5" customHeight="1">
      <c r="A52" s="28">
        <v>58.0</v>
      </c>
      <c r="B52" s="29" t="s">
        <v>241</v>
      </c>
      <c r="C52" s="29" t="s">
        <v>242</v>
      </c>
      <c r="D52" s="30" t="s">
        <v>243</v>
      </c>
      <c r="E52" s="29" t="s">
        <v>57</v>
      </c>
      <c r="F52" s="17" t="s">
        <v>27</v>
      </c>
      <c r="G52" s="18" t="s">
        <v>28</v>
      </c>
      <c r="H52" s="19" t="str">
        <f t="array" ref="H52">IFERROR(INDEX(Lease_List!D:D,MATCH(INDIRECT("All_User!D"&amp;ROW()),Lease_List!H:H,0)),"없음")</f>
        <v>5CD5179KHD</v>
      </c>
      <c r="I52" s="31" t="s">
        <v>29</v>
      </c>
      <c r="J52" s="32"/>
      <c r="K52" s="22" t="str">
        <f t="array" ref="K52">IFERROR(INDEX(Ipad_List!C:C,MATCH(INDIRECT("All_User!D"&amp;ROW()),Ipad_List!J:J,0)),"없음")</f>
        <v>GVYCM2VJKW</v>
      </c>
      <c r="L52" s="23" t="str">
        <f t="array" ref="L52">IFERROR(INDEX(TeamsNumber!B:B,MATCH(INDIRECT("All_User!D"&amp;ROW()),TeamsNumber!D:D,0)),"없음")</f>
        <v>tel:+82234517500</v>
      </c>
      <c r="M52" s="23" t="str">
        <f t="array" ref="M52">IFERROR(INDEX(Printer!D:D,MATCH(INDIRECT("All_User!D"&amp;ROW()),Printer!H:H,0)),"없음")</f>
        <v>없음</v>
      </c>
      <c r="N52" s="24" t="str">
        <f t="array" ref="N52">IFERROR(INDEX(Monitor!A:A,MATCH(INDIRECT("All_User!D"&amp;ROW()),Monitor!D:D,0)),"없음")</f>
        <v>없음</v>
      </c>
      <c r="O52" s="24" t="str">
        <f t="shared" si="1"/>
        <v>없음</v>
      </c>
      <c r="P52" s="24" t="str">
        <f t="array" ref="P52">IFERROR(INDEX(sales!E:E,MATCH(D52,sales!C:C,0)),"없음")</f>
        <v>MPS</v>
      </c>
      <c r="Q52" s="24" t="str">
        <f t="array" ref="Q52">IFERROR(INDEX(sales!C:C,MATCH(D52,sales!C:C,0)),"list없음")</f>
        <v>dahye.jeong@stryker.com</v>
      </c>
    </row>
    <row r="53">
      <c r="A53" s="13">
        <v>59.0</v>
      </c>
      <c r="B53" s="15" t="s">
        <v>244</v>
      </c>
      <c r="C53" s="15" t="s">
        <v>245</v>
      </c>
      <c r="D53" s="18" t="s">
        <v>246</v>
      </c>
      <c r="E53" s="15" t="s">
        <v>247</v>
      </c>
      <c r="F53" s="17" t="s">
        <v>41</v>
      </c>
      <c r="G53" s="18" t="s">
        <v>192</v>
      </c>
      <c r="H53" s="19" t="str">
        <f t="array" ref="H53">IFERROR(INDEX(Lease_List!D:D,MATCH(INDIRECT("All_User!D"&amp;ROW()),Lease_List!H:H,0)),"없음")</f>
        <v>5CD4145N3R</v>
      </c>
      <c r="I53" s="22" t="s">
        <v>29</v>
      </c>
      <c r="J53" s="21"/>
      <c r="K53" s="22" t="str">
        <f t="array" ref="K53">IFERROR(INDEX(Ipad_List!C:C,MATCH(INDIRECT("All_User!D"&amp;ROW()),Ipad_List!J:J,0)),"없음")</f>
        <v>없음</v>
      </c>
      <c r="L53" s="23" t="str">
        <f t="array" ref="L53">IFERROR(INDEX(TeamsNumber!B:B,MATCH(INDIRECT("All_User!D"&amp;ROW()),TeamsNumber!D:D,0)),"없음")</f>
        <v>tel:+82234517627</v>
      </c>
      <c r="M53" s="23" t="str">
        <f t="array" ref="M53">IFERROR(INDEX(Printer!D:D,MATCH(INDIRECT("All_User!D"&amp;ROW()),Printer!H:H,0)),"없음")</f>
        <v>없음</v>
      </c>
      <c r="N53" s="24" t="str">
        <f t="array" ref="N53">IFERROR(INDEX(Monitor!A:A,MATCH(INDIRECT("All_User!D"&amp;ROW()),Monitor!D:D,0)),"없음")</f>
        <v>없음</v>
      </c>
      <c r="O53" s="24" t="str">
        <f t="shared" si="1"/>
        <v>없음</v>
      </c>
      <c r="P53" s="24" t="str">
        <f t="array" ref="P53">IFERROR(INDEX(sales!E:E,MATCH(D53,sales!C:C,0)),"없음")</f>
        <v>없음</v>
      </c>
      <c r="Q53" s="24"/>
      <c r="R53" s="24"/>
    </row>
    <row r="54">
      <c r="A54" s="13">
        <v>60.0</v>
      </c>
      <c r="B54" s="15" t="s">
        <v>248</v>
      </c>
      <c r="C54" s="15" t="s">
        <v>249</v>
      </c>
      <c r="D54" s="18" t="s">
        <v>250</v>
      </c>
      <c r="E54" s="15" t="s">
        <v>251</v>
      </c>
      <c r="F54" s="17" t="s">
        <v>104</v>
      </c>
      <c r="G54" s="18" t="s">
        <v>252</v>
      </c>
      <c r="H54" s="19" t="str">
        <f t="array" ref="H54">IFERROR(INDEX(Lease_List!D:D,MATCH(INDIRECT("All_User!D"&amp;ROW()),Lease_List!H:H,0)),"없음")</f>
        <v>5CG53403DH</v>
      </c>
      <c r="I54" s="22" t="s">
        <v>29</v>
      </c>
      <c r="J54" s="21"/>
      <c r="K54" s="22" t="str">
        <f t="array" ref="K54">IFERROR(INDEX(Ipad_List!C:C,MATCH(INDIRECT("All_User!D"&amp;ROW()),Ipad_List!J:J,0)),"없음")</f>
        <v>없음</v>
      </c>
      <c r="L54" s="23" t="str">
        <f t="array" ref="L54">IFERROR(INDEX(TeamsNumber!B:B,MATCH(INDIRECT("All_User!D"&amp;ROW()),TeamsNumber!D:D,0)),"없음")</f>
        <v>tel:+82234517501</v>
      </c>
      <c r="M54" s="23" t="str">
        <f t="array" ref="M54">IFERROR(INDEX(Printer!D:D,MATCH(INDIRECT("All_User!D"&amp;ROW()),Printer!H:H,0)),"없음")</f>
        <v>없음</v>
      </c>
      <c r="N54" s="24" t="str">
        <f t="array" ref="N54">IFERROR(INDEX(Monitor!A:A,MATCH(INDIRECT("All_User!D"&amp;ROW()),Monitor!D:D,0)),"없음")</f>
        <v>없음</v>
      </c>
      <c r="O54" s="24" t="str">
        <f t="shared" si="1"/>
        <v>없음</v>
      </c>
      <c r="P54" s="24" t="str">
        <f t="array" ref="P54">IFERROR(INDEX(sales!E:E,MATCH(D54,sales!C:C,0)),"없음")</f>
        <v>없음</v>
      </c>
      <c r="Q54" s="24"/>
      <c r="R54" s="24"/>
    </row>
    <row r="55">
      <c r="A55" s="13">
        <v>61.0</v>
      </c>
      <c r="B55" s="18" t="s">
        <v>253</v>
      </c>
      <c r="C55" s="15" t="s">
        <v>254</v>
      </c>
      <c r="D55" s="15" t="s">
        <v>255</v>
      </c>
      <c r="E55" s="15" t="s">
        <v>256</v>
      </c>
      <c r="F55" s="33" t="s">
        <v>257</v>
      </c>
      <c r="G55" s="18" t="s">
        <v>105</v>
      </c>
      <c r="H55" s="19" t="str">
        <f t="array" ref="H55">IFERROR(INDEX(Lease_List!D:D,MATCH(INDIRECT("All_User!D"&amp;ROW()),Lease_List!H:H,0)),"없음")</f>
        <v>5CD4305D8M</v>
      </c>
      <c r="I55" s="22" t="s">
        <v>29</v>
      </c>
      <c r="J55" s="21"/>
      <c r="K55" s="22" t="str">
        <f t="array" ref="K55">IFERROR(INDEX(Ipad_List!C:C,MATCH(INDIRECT("All_User!D"&amp;ROW()),Ipad_List!J:J,0)),"없음")</f>
        <v>HW21HF1YCH</v>
      </c>
      <c r="L55" s="23" t="str">
        <f t="array" ref="L55">IFERROR(INDEX(TeamsNumber!B:B,MATCH(INDIRECT("All_User!D"&amp;ROW()),TeamsNumber!D:D,0)),"없음")</f>
        <v>tel:+82234517632</v>
      </c>
      <c r="M55" s="23" t="str">
        <f t="array" ref="M55">IFERROR(INDEX(Printer!D:D,MATCH(INDIRECT("All_User!D"&amp;ROW()),Printer!H:H,0)),"없음")</f>
        <v>없음</v>
      </c>
      <c r="N55" s="24" t="str">
        <f t="array" ref="N55">IFERROR(INDEX(Monitor!A:A,MATCH(INDIRECT("All_User!D"&amp;ROW()),Monitor!D:D,0)),"없음")</f>
        <v>없음</v>
      </c>
      <c r="O55" s="24" t="str">
        <f t="shared" si="1"/>
        <v>없음</v>
      </c>
      <c r="P55" s="24" t="str">
        <f t="array" ref="P55">IFERROR(INDEX(sales!E:E,MATCH(D55,sales!C:C,0)),"없음")</f>
        <v>없음</v>
      </c>
      <c r="Q55" s="24"/>
      <c r="R55" s="24"/>
    </row>
    <row r="56">
      <c r="A56" s="13">
        <v>62.0</v>
      </c>
      <c r="B56" s="15" t="s">
        <v>258</v>
      </c>
      <c r="C56" s="15" t="s">
        <v>259</v>
      </c>
      <c r="D56" s="18" t="s">
        <v>260</v>
      </c>
      <c r="E56" s="15" t="s">
        <v>261</v>
      </c>
      <c r="F56" s="17" t="s">
        <v>77</v>
      </c>
      <c r="G56" s="15" t="s">
        <v>137</v>
      </c>
      <c r="H56" s="19" t="str">
        <f t="array" ref="H56">IFERROR(INDEX(Lease_List!D:D,MATCH(INDIRECT("All_User!D"&amp;ROW()),Lease_List!H:H,0)),"없음")</f>
        <v>5CD5062YF6</v>
      </c>
      <c r="I56" s="22" t="s">
        <v>29</v>
      </c>
      <c r="J56" s="21"/>
      <c r="K56" s="22" t="str">
        <f t="array" ref="K56">IFERROR(INDEX(Ipad_List!C:C,MATCH(INDIRECT("All_User!D"&amp;ROW()),Ipad_List!J:J,0)),"없음")</f>
        <v>GGWR7NXY2D</v>
      </c>
      <c r="L56" s="23" t="str">
        <f t="array" ref="L56">IFERROR(INDEX(TeamsNumber!B:B,MATCH(INDIRECT("All_User!D"&amp;ROW()),TeamsNumber!D:D,0)),"없음")</f>
        <v>tel:+82234517603</v>
      </c>
      <c r="M56" s="23" t="str">
        <f t="array" ref="M56">IFERROR(INDEX(Printer!D:D,MATCH(INDIRECT("All_User!D"&amp;ROW()),Printer!H:H,0)),"없음")</f>
        <v>없음</v>
      </c>
      <c r="N56" s="24" t="str">
        <f t="array" ref="N56">IFERROR(INDEX(Monitor!A:A,MATCH(INDIRECT("All_User!D"&amp;ROW()),Monitor!D:D,0)),"없음")</f>
        <v>LCD 모니터</v>
      </c>
      <c r="O56" s="24" t="str">
        <f t="shared" si="1"/>
        <v>없음</v>
      </c>
      <c r="P56" s="24" t="str">
        <f t="array" ref="P56">IFERROR(INDEX(sales!E:E,MATCH(D56,sales!C:C,0)),"없음")</f>
        <v>Sales</v>
      </c>
      <c r="Q56" s="24" t="str">
        <f t="array" ref="Q56">IFERROR(INDEX(sales!C:C,MATCH(D56,sales!C:C,0)),"list없음")</f>
        <v>jay.ji@stryker.com</v>
      </c>
      <c r="R56" s="24"/>
    </row>
    <row r="57" ht="18.0" customHeight="1">
      <c r="A57" s="13">
        <v>63.0</v>
      </c>
      <c r="B57" s="15" t="s">
        <v>262</v>
      </c>
      <c r="C57" s="15" t="s">
        <v>263</v>
      </c>
      <c r="D57" s="18" t="s">
        <v>264</v>
      </c>
      <c r="E57" s="15" t="s">
        <v>150</v>
      </c>
      <c r="F57" s="17" t="s">
        <v>142</v>
      </c>
      <c r="G57" s="18" t="s">
        <v>53</v>
      </c>
      <c r="H57" s="19" t="str">
        <f t="array" ref="H57">IFERROR(INDEX(Lease_List!D:D,MATCH(INDIRECT("All_User!D"&amp;ROW()),Lease_List!H:H,0)),"없음")</f>
        <v>5CD4232BFJ</v>
      </c>
      <c r="I57" s="22" t="s">
        <v>29</v>
      </c>
      <c r="J57" s="21"/>
      <c r="K57" s="22" t="str">
        <f t="array" ref="K57">IFERROR(INDEX(Ipad_List!C:C,MATCH(INDIRECT("All_User!D"&amp;ROW()),Ipad_List!J:J,0)),"없음")</f>
        <v>JFK7CC9090</v>
      </c>
      <c r="L57" s="23" t="str">
        <f t="array" ref="L57">IFERROR(INDEX(TeamsNumber!B:B,MATCH(INDIRECT("All_User!D"&amp;ROW()),TeamsNumber!D:D,0)),"없음")</f>
        <v>tel:+82234517655</v>
      </c>
      <c r="M57" s="23" t="str">
        <f t="array" ref="M57">IFERROR(INDEX(Printer!D:D,MATCH(INDIRECT("All_User!D"&amp;ROW()),Printer!H:H,0)),"없음")</f>
        <v>없음</v>
      </c>
      <c r="N57" s="24" t="str">
        <f t="array" ref="N57">IFERROR(INDEX(Monitor!A:A,MATCH(INDIRECT("All_User!D"&amp;ROW()),Monitor!D:D,0)),"없음")</f>
        <v>없음</v>
      </c>
      <c r="O57" s="24" t="str">
        <f t="shared" si="1"/>
        <v>없음</v>
      </c>
      <c r="P57" s="24" t="str">
        <f t="array" ref="P57">IFERROR(INDEX(sales!E:E,MATCH(D57,sales!C:C,0)),"없음")</f>
        <v>Sales</v>
      </c>
      <c r="Q57" s="24" t="str">
        <f t="array" ref="Q57">IFERROR(INDEX(sales!C:C,MATCH(D57,sales!C:C,0)),"list없음")</f>
        <v>scott.jo@stryker.com</v>
      </c>
      <c r="R57" s="24"/>
    </row>
    <row r="58">
      <c r="A58" s="13">
        <v>64.0</v>
      </c>
      <c r="B58" s="15" t="s">
        <v>265</v>
      </c>
      <c r="C58" s="15" t="s">
        <v>266</v>
      </c>
      <c r="D58" s="15" t="s">
        <v>267</v>
      </c>
      <c r="E58" s="15" t="s">
        <v>268</v>
      </c>
      <c r="F58" s="17" t="s">
        <v>67</v>
      </c>
      <c r="G58" s="18" t="s">
        <v>68</v>
      </c>
      <c r="H58" s="19" t="str">
        <f t="array" ref="H58">IFERROR(INDEX(Lease_List!D:D,MATCH(INDIRECT("All_User!D"&amp;ROW()),Lease_List!H:H,0)),"없음")</f>
        <v>5CD3469HDR</v>
      </c>
      <c r="I58" s="22" t="s">
        <v>29</v>
      </c>
      <c r="J58" s="21"/>
      <c r="K58" s="22" t="str">
        <f t="array" ref="K58">IFERROR(INDEX(Ipad_List!C:C,MATCH(INDIRECT("All_User!D"&amp;ROW()),Ipad_List!J:J,0)),"없음")</f>
        <v>없음</v>
      </c>
      <c r="L58" s="23" t="str">
        <f t="array" ref="L58">IFERROR(INDEX(TeamsNumber!B:B,MATCH(INDIRECT("All_User!D"&amp;ROW()),TeamsNumber!D:D,0)),"없음")</f>
        <v>tel:+82234517635</v>
      </c>
      <c r="M58" s="23" t="str">
        <f t="array" ref="M58">IFERROR(INDEX(Printer!D:D,MATCH(INDIRECT("All_User!D"&amp;ROW()),Printer!H:H,0)),"없음")</f>
        <v>없음</v>
      </c>
      <c r="N58" s="24" t="str">
        <f t="array" ref="N58">IFERROR(INDEX(Monitor!A:A,MATCH(INDIRECT("All_User!D"&amp;ROW()),Monitor!D:D,0)),"없음")</f>
        <v>없음</v>
      </c>
      <c r="O58" s="24" t="str">
        <f t="shared" si="1"/>
        <v>없음</v>
      </c>
      <c r="P58" s="24" t="str">
        <f t="array" ref="P58">IFERROR(INDEX(sales!E:E,MATCH(D58,sales!C:C,0)),"없음")</f>
        <v>없음</v>
      </c>
      <c r="Q58" s="24"/>
      <c r="R58" s="24"/>
    </row>
    <row r="59">
      <c r="A59" s="13">
        <v>65.0</v>
      </c>
      <c r="B59" s="15" t="s">
        <v>269</v>
      </c>
      <c r="C59" s="15" t="s">
        <v>270</v>
      </c>
      <c r="D59" s="18" t="s">
        <v>271</v>
      </c>
      <c r="E59" s="15" t="s">
        <v>72</v>
      </c>
      <c r="F59" s="17" t="s">
        <v>27</v>
      </c>
      <c r="G59" s="18" t="s">
        <v>28</v>
      </c>
      <c r="H59" s="19" t="str">
        <f t="array" ref="H59">IFERROR(INDEX(Lease_List!D:D,MATCH(INDIRECT("All_User!D"&amp;ROW()),Lease_List!H:H,0)),"없음")</f>
        <v>5CD442C079</v>
      </c>
      <c r="I59" s="22" t="s">
        <v>29</v>
      </c>
      <c r="J59" s="21"/>
      <c r="K59" s="22" t="str">
        <f t="array" ref="K59">IFERROR(INDEX(Ipad_List!C:C,MATCH(INDIRECT("All_User!D"&amp;ROW()),Ipad_List!J:J,0)),"없음")</f>
        <v>J6YXV33LDP</v>
      </c>
      <c r="L59" s="23" t="str">
        <f t="array" ref="L59">IFERROR(INDEX(TeamsNumber!B:B,MATCH(INDIRECT("All_User!D"&amp;ROW()),TeamsNumber!D:D,0)),"없음")</f>
        <v>tel:+82234517569</v>
      </c>
      <c r="M59" s="23" t="str">
        <f t="array" ref="M59">IFERROR(INDEX(Printer!D:D,MATCH(INDIRECT("All_User!D"&amp;ROW()),Printer!H:H,0)),"없음")</f>
        <v>없음</v>
      </c>
      <c r="N59" s="24" t="str">
        <f t="array" ref="N59">IFERROR(INDEX(Monitor!A:A,MATCH(INDIRECT("All_User!D"&amp;ROW()),Monitor!D:D,0)),"없음")</f>
        <v>없음</v>
      </c>
      <c r="O59" s="24" t="str">
        <f t="shared" si="1"/>
        <v>없음</v>
      </c>
      <c r="P59" s="24" t="str">
        <f t="array" ref="P59">IFERROR(INDEX(sales!E:E,MATCH(D59,sales!C:C,0)),"없음")</f>
        <v>MPS</v>
      </c>
      <c r="Q59" s="24" t="str">
        <f t="array" ref="Q59">IFERROR(INDEX(sales!C:C,MATCH(D59,sales!C:C,0)),"list없음")</f>
        <v>jade.jung@stryker.com</v>
      </c>
      <c r="R59" s="24"/>
    </row>
    <row r="60">
      <c r="A60" s="13">
        <v>66.0</v>
      </c>
      <c r="B60" s="15" t="s">
        <v>272</v>
      </c>
      <c r="C60" s="15" t="s">
        <v>273</v>
      </c>
      <c r="D60" s="18" t="s">
        <v>274</v>
      </c>
      <c r="E60" s="15" t="s">
        <v>275</v>
      </c>
      <c r="F60" s="17" t="s">
        <v>142</v>
      </c>
      <c r="G60" s="15" t="s">
        <v>137</v>
      </c>
      <c r="H60" s="19" t="str">
        <f t="array" ref="H60">IFERROR(INDEX(Lease_List!D:D,MATCH(INDIRECT("All_User!D"&amp;ROW()),Lease_List!H:H,0)),"없음")</f>
        <v>5CD3469HDT</v>
      </c>
      <c r="I60" s="22" t="s">
        <v>29</v>
      </c>
      <c r="J60" s="21"/>
      <c r="K60" s="22" t="str">
        <f t="array" ref="K60">IFERROR(INDEX(Ipad_List!C:C,MATCH(INDIRECT("All_User!D"&amp;ROW()),Ipad_List!J:J,0)),"없음")</f>
        <v>DG3XL2W5VX</v>
      </c>
      <c r="L60" s="23" t="str">
        <f t="array" ref="L60">IFERROR(INDEX(TeamsNumber!B:B,MATCH(INDIRECT("All_User!D"&amp;ROW()),TeamsNumber!D:D,0)),"없음")</f>
        <v>tel:+82234517605</v>
      </c>
      <c r="M60" s="23" t="str">
        <f t="array" ref="M60">IFERROR(INDEX(Printer!D:D,MATCH(INDIRECT("All_User!D"&amp;ROW()),Printer!H:H,0)),"없음")</f>
        <v>없음</v>
      </c>
      <c r="N60" s="24" t="str">
        <f t="array" ref="N60">IFERROR(INDEX(Monitor!A:A,MATCH(INDIRECT("All_User!D"&amp;ROW()),Monitor!D:D,0)),"없음")</f>
        <v>LCD 모니터</v>
      </c>
      <c r="O60" s="24" t="str">
        <f t="shared" si="1"/>
        <v>없음</v>
      </c>
      <c r="P60" s="24" t="str">
        <f t="array" ref="P60">IFERROR(INDEX(sales!E:E,MATCH(D60,sales!C:C,0)),"없음")</f>
        <v>MKT</v>
      </c>
      <c r="Q60" s="24" t="str">
        <f t="array" ref="Q60">IFERROR(INDEX(sales!C:C,MATCH(D60,sales!C:C,0)),"list없음")</f>
        <v>jenny.jung@stryker.com</v>
      </c>
      <c r="R60" s="24"/>
    </row>
    <row r="61">
      <c r="A61" s="13">
        <v>67.0</v>
      </c>
      <c r="B61" s="15" t="s">
        <v>276</v>
      </c>
      <c r="C61" s="15" t="s">
        <v>277</v>
      </c>
      <c r="D61" s="18" t="s">
        <v>278</v>
      </c>
      <c r="E61" s="15" t="s">
        <v>72</v>
      </c>
      <c r="F61" s="17" t="s">
        <v>27</v>
      </c>
      <c r="G61" s="18" t="s">
        <v>28</v>
      </c>
      <c r="H61" s="19" t="str">
        <f t="array" ref="H61">IFERROR(INDEX(Lease_List!D:D,MATCH(INDIRECT("All_User!D"&amp;ROW()),Lease_List!H:H,0)),"없음")</f>
        <v>5CD4305D8X</v>
      </c>
      <c r="I61" s="22" t="s">
        <v>29</v>
      </c>
      <c r="J61" s="21"/>
      <c r="K61" s="22" t="str">
        <f t="array" ref="K61">IFERROR(INDEX(Ipad_List!C:C,MATCH(INDIRECT("All_User!D"&amp;ROW()),Ipad_List!J:J,0)),"없음")</f>
        <v>XCYDTQ4H1F</v>
      </c>
      <c r="L61" s="23" t="str">
        <f t="array" ref="L61">IFERROR(INDEX(TeamsNumber!B:B,MATCH(INDIRECT("All_User!D"&amp;ROW()),TeamsNumber!D:D,0)),"없음")</f>
        <v>tel:+82234517584</v>
      </c>
      <c r="M61" s="23" t="str">
        <f t="array" ref="M61">IFERROR(INDEX(Printer!D:D,MATCH(INDIRECT("All_User!D"&amp;ROW()),Printer!H:H,0)),"없음")</f>
        <v>없음</v>
      </c>
      <c r="N61" s="24" t="str">
        <f t="array" ref="N61">IFERROR(INDEX(Monitor!A:A,MATCH(INDIRECT("All_User!D"&amp;ROW()),Monitor!D:D,0)),"없음")</f>
        <v>없음</v>
      </c>
      <c r="O61" s="24" t="str">
        <f t="shared" si="1"/>
        <v>없음</v>
      </c>
      <c r="P61" s="24" t="str">
        <f t="array" ref="P61">IFERROR(INDEX(sales!E:E,MATCH(D61,sales!C:C,0)),"없음")</f>
        <v>MPS</v>
      </c>
      <c r="Q61" s="24" t="str">
        <f t="array" ref="Q61">IFERROR(INDEX(sales!C:C,MATCH(D61,sales!C:C,0)),"list없음")</f>
        <v>suhwan.jung@stryker.com</v>
      </c>
      <c r="R61" s="24"/>
    </row>
    <row r="62">
      <c r="A62" s="13">
        <v>69.0</v>
      </c>
      <c r="B62" s="15" t="s">
        <v>279</v>
      </c>
      <c r="C62" s="15" t="s">
        <v>280</v>
      </c>
      <c r="D62" s="15" t="s">
        <v>281</v>
      </c>
      <c r="E62" s="15" t="s">
        <v>282</v>
      </c>
      <c r="F62" s="17" t="s">
        <v>67</v>
      </c>
      <c r="G62" s="18" t="s">
        <v>68</v>
      </c>
      <c r="H62" s="19" t="str">
        <f t="array" ref="H62">IFERROR(INDEX(Lease_List!D:D,MATCH(INDIRECT("All_User!D"&amp;ROW()),Lease_List!H:H,0)),"없음")</f>
        <v>5CD4232BFG</v>
      </c>
      <c r="I62" s="22" t="s">
        <v>29</v>
      </c>
      <c r="J62" s="21"/>
      <c r="K62" s="22" t="str">
        <f t="array" ref="K62">IFERROR(INDEX(Ipad_List!C:C,MATCH(INDIRECT("All_User!D"&amp;ROW()),Ipad_List!J:J,0)),"없음")</f>
        <v>없음</v>
      </c>
      <c r="L62" s="23" t="str">
        <f t="array" ref="L62">IFERROR(INDEX(TeamsNumber!B:B,MATCH(INDIRECT("All_User!D"&amp;ROW()),TeamsNumber!D:D,0)),"없음")</f>
        <v>tel:+82234517636</v>
      </c>
      <c r="M62" s="23" t="str">
        <f t="array" ref="M62">IFERROR(INDEX(Printer!D:D,MATCH(INDIRECT("All_User!D"&amp;ROW()),Printer!H:H,0)),"없음")</f>
        <v>없음</v>
      </c>
      <c r="N62" s="24" t="str">
        <f t="array" ref="N62">IFERROR(INDEX(Monitor!A:A,MATCH(INDIRECT("All_User!D"&amp;ROW()),Monitor!D:D,0)),"없음")</f>
        <v>없음</v>
      </c>
      <c r="O62" s="24" t="str">
        <f t="shared" si="1"/>
        <v>없음</v>
      </c>
      <c r="P62" s="24" t="str">
        <f t="array" ref="P62">IFERROR(INDEX(sales!E:E,MATCH(D62,sales!C:C,0)),"없음")</f>
        <v>없음</v>
      </c>
      <c r="Q62" s="24"/>
      <c r="R62" s="24"/>
    </row>
    <row r="63">
      <c r="A63" s="13">
        <v>70.0</v>
      </c>
      <c r="B63" s="15" t="s">
        <v>283</v>
      </c>
      <c r="C63" s="15" t="s">
        <v>284</v>
      </c>
      <c r="D63" s="18" t="s">
        <v>285</v>
      </c>
      <c r="E63" s="15" t="s">
        <v>57</v>
      </c>
      <c r="F63" s="17" t="s">
        <v>27</v>
      </c>
      <c r="G63" s="18" t="s">
        <v>28</v>
      </c>
      <c r="H63" s="19" t="str">
        <f t="array" ref="H63">IFERROR(INDEX(Lease_List!D:D,MATCH(INDIRECT("All_User!D"&amp;ROW()),Lease_List!H:H,0)),"없음")</f>
        <v>5CD5062YF8</v>
      </c>
      <c r="I63" s="22" t="s">
        <v>286</v>
      </c>
      <c r="J63" s="21"/>
      <c r="K63" s="22" t="str">
        <f t="array" ref="K63">IFERROR(INDEX(Ipad_List!C:C,MATCH(INDIRECT("All_User!D"&amp;ROW()),Ipad_List!J:J,0)),"없음")</f>
        <v>G09WDG49T4</v>
      </c>
      <c r="L63" s="23" t="str">
        <f t="array" ref="L63">IFERROR(INDEX(TeamsNumber!B:B,MATCH(INDIRECT("All_User!D"&amp;ROW()),TeamsNumber!D:D,0)),"없음")</f>
        <v>tel:+82234517694</v>
      </c>
      <c r="M63" s="23" t="str">
        <f t="array" ref="M63">IFERROR(INDEX(Printer!D:D,MATCH(INDIRECT("All_User!D"&amp;ROW()),Printer!H:H,0)),"없음")</f>
        <v>없음</v>
      </c>
      <c r="N63" s="24" t="str">
        <f t="array" ref="N63">IFERROR(INDEX(Monitor!A:A,MATCH(INDIRECT("All_User!D"&amp;ROW()),Monitor!D:D,0)),"없음")</f>
        <v>없음</v>
      </c>
      <c r="O63" s="24" t="str">
        <f t="shared" si="1"/>
        <v>없음</v>
      </c>
      <c r="P63" s="24" t="str">
        <f t="array" ref="P63">IFERROR(INDEX(sales!E:E,MATCH(D63,sales!C:C,0)),"없음")</f>
        <v>MPS</v>
      </c>
      <c r="Q63" s="24" t="str">
        <f t="array" ref="Q63">IFERROR(INDEX(sales!C:C,MATCH(D63,sales!C:C,0)),"list없음")</f>
        <v>sol.jung@stryker.com</v>
      </c>
      <c r="R63" s="24"/>
    </row>
    <row r="64">
      <c r="A64" s="13">
        <v>73.0</v>
      </c>
      <c r="B64" s="15" t="s">
        <v>287</v>
      </c>
      <c r="C64" s="15" t="s">
        <v>288</v>
      </c>
      <c r="D64" s="18" t="s">
        <v>289</v>
      </c>
      <c r="E64" s="15" t="s">
        <v>76</v>
      </c>
      <c r="F64" s="17" t="s">
        <v>142</v>
      </c>
      <c r="G64" s="18" t="s">
        <v>53</v>
      </c>
      <c r="H64" s="19" t="str">
        <f t="array" ref="H64">IFERROR(INDEX(Lease_List!D:D,MATCH(INDIRECT("All_User!D"&amp;ROW()),Lease_List!H:H,0)),"없음")</f>
        <v>5CD5179KHH</v>
      </c>
      <c r="I64" s="22" t="s">
        <v>290</v>
      </c>
      <c r="J64" s="21"/>
      <c r="K64" s="22" t="str">
        <f t="array" ref="K64">IFERROR(INDEX(Ipad_List!C:C,MATCH(INDIRECT("All_User!D"&amp;ROW()),Ipad_List!J:J,0)),"없음")</f>
        <v>H7Q22YXYWF</v>
      </c>
      <c r="L64" s="23" t="str">
        <f t="array" ref="L64">IFERROR(INDEX(TeamsNumber!B:B,MATCH(INDIRECT("All_User!D"&amp;ROW()),TeamsNumber!D:D,0)),"없음")</f>
        <v>tel:+82234517550</v>
      </c>
      <c r="M64" s="23" t="str">
        <f t="array" ref="M64">IFERROR(INDEX(Printer!D:D,MATCH(INDIRECT("All_User!D"&amp;ROW()),Printer!H:H,0)),"없음")</f>
        <v>SL-C563W</v>
      </c>
      <c r="N64" s="24" t="str">
        <f t="array" ref="N64">IFERROR(INDEX(Monitor!A:A,MATCH(INDIRECT("All_User!D"&amp;ROW()),Monitor!D:D,0)),"없음")</f>
        <v>없음</v>
      </c>
      <c r="O64" s="24" t="str">
        <f t="shared" si="1"/>
        <v>없음</v>
      </c>
      <c r="P64" s="24" t="str">
        <f t="array" ref="P64">IFERROR(INDEX(sales!E:E,MATCH(D64,sales!C:C,0)),"없음")</f>
        <v>Sales</v>
      </c>
      <c r="Q64" s="24" t="str">
        <f t="array" ref="Q64">IFERROR(INDEX(sales!C:C,MATCH(D64,sales!C:C,0)),"list없음")</f>
        <v>louis.kang@stryker.com</v>
      </c>
      <c r="R64" s="24"/>
    </row>
    <row r="65">
      <c r="A65" s="13">
        <v>74.0</v>
      </c>
      <c r="B65" s="15" t="s">
        <v>291</v>
      </c>
      <c r="C65" s="15" t="s">
        <v>292</v>
      </c>
      <c r="D65" s="15" t="s">
        <v>293</v>
      </c>
      <c r="E65" s="18" t="s">
        <v>294</v>
      </c>
      <c r="F65" s="33" t="s">
        <v>295</v>
      </c>
      <c r="G65" s="30" t="s">
        <v>296</v>
      </c>
      <c r="H65" s="19" t="str">
        <f t="array" ref="H65">IFERROR(INDEX(Lease_List!D:D,MATCH(INDIRECT("All_User!D"&amp;ROW()),Lease_List!H:H,0)),"없음")</f>
        <v>5CD5179KHM</v>
      </c>
      <c r="I65" s="22" t="s">
        <v>29</v>
      </c>
      <c r="J65" s="21"/>
      <c r="K65" s="22" t="str">
        <f t="array" ref="K65">IFERROR(INDEX(Ipad_List!C:C,MATCH(INDIRECT("All_User!D"&amp;ROW()),Ipad_List!J:J,0)),"없음")</f>
        <v>없음</v>
      </c>
      <c r="L65" s="23" t="str">
        <f t="array" ref="L65">IFERROR(INDEX(TeamsNumber!B:B,MATCH(INDIRECT("All_User!D"&amp;ROW()),TeamsNumber!D:D,0)),"없음")</f>
        <v>tel:+82234517543</v>
      </c>
      <c r="M65" s="23" t="str">
        <f t="array" ref="M65">IFERROR(INDEX(Printer!D:D,MATCH(INDIRECT("All_User!D"&amp;ROW()),Printer!H:H,0)),"없음")</f>
        <v>없음</v>
      </c>
      <c r="N65" s="24" t="str">
        <f t="array" ref="N65">IFERROR(INDEX(Monitor!A:A,MATCH(INDIRECT("All_User!D"&amp;ROW()),Monitor!D:D,0)),"없음")</f>
        <v>LCD 모니터</v>
      </c>
      <c r="O65" s="24" t="str">
        <f t="shared" si="1"/>
        <v>없음</v>
      </c>
      <c r="P65" s="24" t="str">
        <f t="array" ref="P65">IFERROR(INDEX(sales!E:E,MATCH(D65,sales!C:C,0)),"없음")</f>
        <v>없음</v>
      </c>
      <c r="Q65" s="24"/>
      <c r="R65" s="24"/>
    </row>
    <row r="66">
      <c r="A66" s="13">
        <v>76.0</v>
      </c>
      <c r="B66" s="18" t="s">
        <v>297</v>
      </c>
      <c r="C66" s="15" t="s">
        <v>298</v>
      </c>
      <c r="D66" s="15" t="s">
        <v>299</v>
      </c>
      <c r="E66" s="15" t="s">
        <v>300</v>
      </c>
      <c r="F66" s="27" t="s">
        <v>67</v>
      </c>
      <c r="G66" s="18" t="s">
        <v>105</v>
      </c>
      <c r="H66" s="19" t="str">
        <f t="array" ref="H66">IFERROR(INDEX(Lease_List!D:D,MATCH(INDIRECT("All_User!D"&amp;ROW()),Lease_List!H:H,0)),"없음")</f>
        <v>5CD4232BF3</v>
      </c>
      <c r="I66" s="22" t="s">
        <v>29</v>
      </c>
      <c r="J66" s="21"/>
      <c r="K66" s="22" t="str">
        <f t="array" ref="K66">IFERROR(INDEX(Ipad_List!C:C,MATCH(INDIRECT("All_User!D"&amp;ROW()),Ipad_List!J:J,0)),"없음")</f>
        <v>TRW5JJG7JP</v>
      </c>
      <c r="L66" s="23" t="str">
        <f t="array" ref="L66">IFERROR(INDEX(TeamsNumber!B:B,MATCH(INDIRECT("All_User!D"&amp;ROW()),TeamsNumber!D:D,0)),"없음")</f>
        <v>tel:+82234517524</v>
      </c>
      <c r="M66" s="23" t="str">
        <f t="array" ref="M66">IFERROR(INDEX(Printer!D:D,MATCH(INDIRECT("All_User!D"&amp;ROW()),Printer!H:H,0)),"없음")</f>
        <v>없음</v>
      </c>
      <c r="N66" s="24" t="str">
        <f t="array" ref="N66">IFERROR(INDEX(Monitor!A:A,MATCH(INDIRECT("All_User!D"&amp;ROW()),Monitor!D:D,0)),"없음")</f>
        <v>LCD 모니터</v>
      </c>
      <c r="O66" s="24" t="str">
        <f t="shared" si="1"/>
        <v>없음</v>
      </c>
      <c r="P66" s="24" t="str">
        <f t="array" ref="P66">IFERROR(INDEX(sales!E:E,MATCH(D66,sales!C:C,0)),"없음")</f>
        <v>없음</v>
      </c>
      <c r="Q66" s="24"/>
      <c r="R66" s="24"/>
    </row>
    <row r="67">
      <c r="A67" s="13">
        <v>77.0</v>
      </c>
      <c r="B67" s="18" t="s">
        <v>301</v>
      </c>
      <c r="C67" s="15" t="s">
        <v>302</v>
      </c>
      <c r="D67" s="18" t="s">
        <v>303</v>
      </c>
      <c r="E67" s="15" t="s">
        <v>304</v>
      </c>
      <c r="F67" s="17" t="s">
        <v>27</v>
      </c>
      <c r="G67" s="18" t="s">
        <v>53</v>
      </c>
      <c r="H67" s="19" t="str">
        <f t="array" ref="H67">IFERROR(INDEX(Lease_List!D:D,MATCH(INDIRECT("All_User!D"&amp;ROW()),Lease_List!H:H,0)),"없음")</f>
        <v>5CD5062YF1</v>
      </c>
      <c r="I67" s="22" t="s">
        <v>29</v>
      </c>
      <c r="J67" s="21"/>
      <c r="K67" s="22" t="str">
        <f t="array" ref="K67">IFERROR(INDEX(Ipad_List!C:C,MATCH(INDIRECT("All_User!D"&amp;ROW()),Ipad_List!J:J,0)),"없음")</f>
        <v>THD6Q4W3LT</v>
      </c>
      <c r="L67" s="23" t="str">
        <f t="array" ref="L67">IFERROR(INDEX(TeamsNumber!B:B,MATCH(INDIRECT("All_User!D"&amp;ROW()),TeamsNumber!D:D,0)),"없음")</f>
        <v>tel:+82234517558</v>
      </c>
      <c r="M67" s="23" t="str">
        <f t="array" ref="M67">IFERROR(INDEX(Printer!D:D,MATCH(INDIRECT("All_User!D"&amp;ROW()),Printer!H:H,0)),"없음")</f>
        <v>SL-C565W / SL-C563W</v>
      </c>
      <c r="N67" s="24" t="str">
        <f t="array" ref="N67">IFERROR(INDEX(Monitor!A:A,MATCH(INDIRECT("All_User!D"&amp;ROW()),Monitor!D:D,0)),"없음")</f>
        <v>없음</v>
      </c>
      <c r="O67" s="24" t="str">
        <f t="shared" si="1"/>
        <v>없음</v>
      </c>
      <c r="P67" s="24" t="str">
        <f t="array" ref="P67">IFERROR(INDEX(sales!E:E,MATCH(D67,sales!C:C,0)),"없음")</f>
        <v>Sales</v>
      </c>
      <c r="Q67" s="24" t="str">
        <f t="array" ref="Q67">IFERROR(INDEX(sales!C:C,MATCH(D67,sales!C:C,0)),"list없음")</f>
        <v>Justin.Kim@stryker.com</v>
      </c>
      <c r="R67" s="24"/>
    </row>
    <row r="68">
      <c r="A68" s="13">
        <v>78.0</v>
      </c>
      <c r="B68" s="18" t="s">
        <v>305</v>
      </c>
      <c r="C68" s="15" t="s">
        <v>306</v>
      </c>
      <c r="D68" s="15" t="s">
        <v>307</v>
      </c>
      <c r="E68" s="15" t="s">
        <v>308</v>
      </c>
      <c r="F68" s="17" t="s">
        <v>20</v>
      </c>
      <c r="G68" s="18" t="s">
        <v>105</v>
      </c>
      <c r="H68" s="19" t="str">
        <f t="array" ref="H68">IFERROR(INDEX(Lease_List!D:D,MATCH(INDIRECT("All_User!D"&amp;ROW()),Lease_List!H:H,0)),"없음")</f>
        <v>5CD409908M</v>
      </c>
      <c r="I68" s="22" t="s">
        <v>29</v>
      </c>
      <c r="J68" s="21"/>
      <c r="K68" s="22" t="str">
        <f t="array" ref="K68">IFERROR(INDEX(Ipad_List!C:C,MATCH(INDIRECT("All_User!D"&amp;ROW()),Ipad_List!J:J,0)),"없음")</f>
        <v>DDPWWYNVPX</v>
      </c>
      <c r="L68" s="23" t="str">
        <f t="array" ref="L68">IFERROR(INDEX(TeamsNumber!B:B,MATCH(INDIRECT("All_User!D"&amp;ROW()),TeamsNumber!D:D,0)),"없음")</f>
        <v>tel:+82234517676</v>
      </c>
      <c r="M68" s="23" t="str">
        <f t="array" ref="M68">IFERROR(INDEX(Printer!D:D,MATCH(INDIRECT("All_User!D"&amp;ROW()),Printer!H:H,0)),"없음")</f>
        <v>SL-M2035</v>
      </c>
      <c r="N68" s="24" t="str">
        <f t="array" ref="N68">IFERROR(INDEX(Monitor!A:A,MATCH(INDIRECT("All_User!D"&amp;ROW()),Monitor!D:D,0)),"없음")</f>
        <v>없음</v>
      </c>
      <c r="O68" s="24" t="str">
        <f t="shared" si="1"/>
        <v>없음</v>
      </c>
      <c r="P68" s="24" t="str">
        <f t="array" ref="P68">IFERROR(INDEX(sales!E:E,MATCH(D68,sales!C:C,0)),"없음")</f>
        <v/>
      </c>
      <c r="Q68" s="24"/>
      <c r="R68" s="24"/>
    </row>
    <row r="69">
      <c r="A69" s="13">
        <v>79.0</v>
      </c>
      <c r="B69" s="15" t="s">
        <v>309</v>
      </c>
      <c r="C69" s="15" t="s">
        <v>310</v>
      </c>
      <c r="D69" s="18" t="s">
        <v>311</v>
      </c>
      <c r="E69" s="15" t="s">
        <v>150</v>
      </c>
      <c r="F69" s="17" t="s">
        <v>52</v>
      </c>
      <c r="G69" s="18" t="s">
        <v>53</v>
      </c>
      <c r="H69" s="19" t="str">
        <f t="array" ref="H69">IFERROR(INDEX(Lease_List!D:D,MATCH(INDIRECT("All_User!D"&amp;ROW()),Lease_List!H:H,0)),"없음")</f>
        <v>5CD4232BFN</v>
      </c>
      <c r="I69" s="22" t="s">
        <v>29</v>
      </c>
      <c r="J69" s="21"/>
      <c r="K69" s="22" t="str">
        <f t="array" ref="K69">IFERROR(INDEX(Ipad_List!C:C,MATCH(INDIRECT("All_User!D"&amp;ROW()),Ipad_List!J:J,0)),"없음")</f>
        <v>DWFLMWX243</v>
      </c>
      <c r="L69" s="23" t="str">
        <f t="array" ref="L69">IFERROR(INDEX(TeamsNumber!B:B,MATCH(INDIRECT("All_User!D"&amp;ROW()),TeamsNumber!D:D,0)),"없음")</f>
        <v>tel:+82234517530</v>
      </c>
      <c r="M69" s="23" t="str">
        <f t="array" ref="M69">IFERROR(INDEX(Printer!D:D,MATCH(INDIRECT("All_User!D"&amp;ROW()),Printer!H:H,0)),"없음")</f>
        <v>SL-C563W</v>
      </c>
      <c r="N69" s="24" t="str">
        <f t="array" ref="N69">IFERROR(INDEX(Monitor!A:A,MATCH(INDIRECT("All_User!D"&amp;ROW()),Monitor!D:D,0)),"없음")</f>
        <v>없음</v>
      </c>
      <c r="O69" s="24" t="str">
        <f t="shared" si="1"/>
        <v>없음</v>
      </c>
      <c r="P69" s="24" t="str">
        <f t="array" ref="P69">IFERROR(INDEX(sales!E:E,MATCH(D69,sales!C:C,0)),"없음")</f>
        <v>Sales</v>
      </c>
      <c r="Q69" s="24" t="str">
        <f t="array" ref="Q69">IFERROR(INDEX(sales!C:C,MATCH(D69,sales!C:C,0)),"list없음")</f>
        <v>danny.kim@stryker.com</v>
      </c>
      <c r="R69" s="24"/>
    </row>
    <row r="70">
      <c r="A70" s="13">
        <v>80.0</v>
      </c>
      <c r="B70" s="18" t="s">
        <v>312</v>
      </c>
      <c r="C70" s="15" t="s">
        <v>298</v>
      </c>
      <c r="D70" s="18" t="s">
        <v>313</v>
      </c>
      <c r="E70" s="15" t="s">
        <v>314</v>
      </c>
      <c r="F70" s="17" t="s">
        <v>20</v>
      </c>
      <c r="G70" s="18" t="s">
        <v>315</v>
      </c>
      <c r="H70" s="19" t="str">
        <f t="array" ref="H70">IFERROR(INDEX(Lease_List!D:D,MATCH(INDIRECT("All_User!D"&amp;ROW()),Lease_List!H:H,0)),"없음")</f>
        <v>5CD5179KJB</v>
      </c>
      <c r="I70" s="22" t="s">
        <v>316</v>
      </c>
      <c r="J70" s="21"/>
      <c r="K70" s="22" t="str">
        <f t="array" ref="K70">IFERROR(INDEX(Ipad_List!C:C,MATCH(INDIRECT("All_User!D"&amp;ROW()),Ipad_List!J:J,0)),"없음")</f>
        <v>FQPW2GVP7C</v>
      </c>
      <c r="L70" s="23" t="str">
        <f t="array" ref="L70">IFERROR(INDEX(TeamsNumber!B:B,MATCH(INDIRECT("All_User!D"&amp;ROW()),TeamsNumber!D:D,0)),"없음")</f>
        <v>tel:+82234517680</v>
      </c>
      <c r="M70" s="23" t="str">
        <f t="array" ref="M70">IFERROR(INDEX(Printer!D:D,MATCH(INDIRECT("All_User!D"&amp;ROW()),Printer!H:H,0)),"없음")</f>
        <v>없음</v>
      </c>
      <c r="N70" s="24" t="str">
        <f t="array" ref="N70">IFERROR(INDEX(Monitor!A:A,MATCH(INDIRECT("All_User!D"&amp;ROW()),Monitor!D:D,0)),"없음")</f>
        <v>없음</v>
      </c>
      <c r="O70" s="24" t="str">
        <f t="shared" si="1"/>
        <v>없음</v>
      </c>
      <c r="P70" s="24" t="str">
        <f t="array" ref="P70">IFERROR(INDEX(sales!E:E,MATCH(D70,sales!C:C,0)),"없음")</f>
        <v>MKT</v>
      </c>
      <c r="Q70" s="24" t="str">
        <f t="array" ref="Q70">IFERROR(INDEX(sales!C:C,MATCH(D70,sales!C:C,0)),"list없음")</f>
        <v>Rayna.Kim@stryker.com</v>
      </c>
      <c r="R70" s="24"/>
    </row>
    <row r="71">
      <c r="A71" s="13">
        <v>81.0</v>
      </c>
      <c r="B71" s="15" t="s">
        <v>317</v>
      </c>
      <c r="C71" s="15" t="s">
        <v>318</v>
      </c>
      <c r="D71" s="18" t="s">
        <v>319</v>
      </c>
      <c r="E71" s="15" t="s">
        <v>320</v>
      </c>
      <c r="F71" s="27" t="s">
        <v>77</v>
      </c>
      <c r="G71" s="18" t="s">
        <v>53</v>
      </c>
      <c r="H71" s="19" t="str">
        <f t="array" ref="H71">IFERROR(INDEX(Lease_List!D:D,MATCH(INDIRECT("All_User!D"&amp;ROW()),Lease_List!H:H,0)),"없음")</f>
        <v>5CD409908J</v>
      </c>
      <c r="I71" s="22" t="s">
        <v>29</v>
      </c>
      <c r="J71" s="21"/>
      <c r="K71" s="22" t="str">
        <f t="array" ref="K71">IFERROR(INDEX(Ipad_List!C:C,MATCH(INDIRECT("All_User!D"&amp;ROW()),Ipad_List!J:J,0)),"없음")</f>
        <v>MQ6X021QX2</v>
      </c>
      <c r="L71" s="23" t="str">
        <f t="array" ref="L71">IFERROR(INDEX(TeamsNumber!B:B,MATCH(INDIRECT("All_User!D"&amp;ROW()),TeamsNumber!D:D,0)),"없음")</f>
        <v>tel:+82234517598</v>
      </c>
      <c r="M71" s="23" t="str">
        <f t="array" ref="M71">IFERROR(INDEX(Printer!D:D,MATCH(INDIRECT("All_User!D"&amp;ROW()),Printer!H:H,0)),"없음")</f>
        <v>SL-C486FW</v>
      </c>
      <c r="N71" s="24" t="str">
        <f t="array" ref="N71">IFERROR(INDEX(Monitor!A:A,MATCH(INDIRECT("All_User!D"&amp;ROW()),Monitor!D:D,0)),"없음")</f>
        <v>없음</v>
      </c>
      <c r="O71" s="24" t="str">
        <f t="shared" si="1"/>
        <v>없음</v>
      </c>
      <c r="P71" s="24" t="str">
        <f t="array" ref="P71">IFERROR(INDEX(sales!E:E,MATCH(D71,sales!C:C,0)),"없음")</f>
        <v>Sales</v>
      </c>
      <c r="Q71" s="24" t="str">
        <f t="array" ref="Q71">IFERROR(INDEX(sales!C:C,MATCH(D71,sales!C:C,0)),"list없음")</f>
        <v>Suhyun.Kim@stryker.com</v>
      </c>
      <c r="R71" s="24"/>
    </row>
    <row r="72">
      <c r="A72" s="13">
        <v>82.0</v>
      </c>
      <c r="B72" s="18" t="s">
        <v>321</v>
      </c>
      <c r="C72" s="15" t="s">
        <v>322</v>
      </c>
      <c r="D72" s="15" t="s">
        <v>323</v>
      </c>
      <c r="E72" s="15" t="s">
        <v>324</v>
      </c>
      <c r="F72" s="33" t="s">
        <v>295</v>
      </c>
      <c r="G72" s="18" t="s">
        <v>105</v>
      </c>
      <c r="H72" s="19" t="str">
        <f t="array" ref="H72">IFERROR(INDEX(Lease_List!D:D,MATCH(INDIRECT("All_User!D"&amp;ROW()),Lease_List!H:H,0)),"없음")</f>
        <v>5CD409908K</v>
      </c>
      <c r="I72" s="22" t="s">
        <v>29</v>
      </c>
      <c r="J72" s="21"/>
      <c r="K72" s="22" t="str">
        <f t="array" ref="K72">IFERROR(INDEX(Ipad_List!C:C,MATCH(INDIRECT("All_User!D"&amp;ROW()),Ipad_List!J:J,0)),"없음")</f>
        <v>C14X1226DV</v>
      </c>
      <c r="L72" s="23" t="str">
        <f t="array" ref="L72">IFERROR(INDEX(TeamsNumber!B:B,MATCH(INDIRECT("All_User!D"&amp;ROW()),TeamsNumber!D:D,0)),"없음")</f>
        <v>tel:+82234517540</v>
      </c>
      <c r="M72" s="23" t="str">
        <f t="array" ref="M72">IFERROR(INDEX(Printer!D:D,MATCH(INDIRECT("All_User!D"&amp;ROW()),Printer!H:H,0)),"없음")</f>
        <v>없음</v>
      </c>
      <c r="N72" s="24" t="str">
        <f t="array" ref="N72">IFERROR(INDEX(Monitor!A:A,MATCH(INDIRECT("All_User!D"&amp;ROW()),Monitor!D:D,0)),"없음")</f>
        <v>없음</v>
      </c>
      <c r="O72" s="24" t="str">
        <f t="shared" si="1"/>
        <v>없음</v>
      </c>
      <c r="P72" s="24" t="str">
        <f t="array" ref="P72">IFERROR(INDEX(sales!E:E,MATCH(D72,sales!C:C,0)),"없음")</f>
        <v>없음</v>
      </c>
      <c r="Q72" s="24"/>
      <c r="R72" s="24"/>
    </row>
    <row r="73">
      <c r="A73" s="13">
        <v>83.0</v>
      </c>
      <c r="B73" s="15" t="s">
        <v>325</v>
      </c>
      <c r="C73" s="15" t="s">
        <v>326</v>
      </c>
      <c r="D73" s="18" t="s">
        <v>327</v>
      </c>
      <c r="E73" s="15" t="s">
        <v>328</v>
      </c>
      <c r="F73" s="33" t="s">
        <v>257</v>
      </c>
      <c r="G73" s="15" t="s">
        <v>329</v>
      </c>
      <c r="H73" s="19" t="str">
        <f t="array" ref="H73">IFERROR(INDEX(Lease_List!D:D,MATCH(INDIRECT("All_User!D"&amp;ROW()),Lease_List!H:H,0)),"없음")</f>
        <v>5CD3469HDJ</v>
      </c>
      <c r="I73" s="22" t="s">
        <v>29</v>
      </c>
      <c r="J73" s="21"/>
      <c r="K73" s="22" t="str">
        <f t="array" ref="K73">IFERROR(INDEX(Ipad_List!C:C,MATCH(INDIRECT("All_User!D"&amp;ROW()),Ipad_List!J:J,0)),"없음")</f>
        <v>없음</v>
      </c>
      <c r="L73" s="23" t="str">
        <f t="array" ref="L73">IFERROR(INDEX(TeamsNumber!B:B,MATCH(INDIRECT("All_User!D"&amp;ROW()),TeamsNumber!D:D,0)),"없음")</f>
        <v>tel:+82234517633</v>
      </c>
      <c r="M73" s="23" t="str">
        <f t="array" ref="M73">IFERROR(INDEX(Printer!D:D,MATCH(INDIRECT("All_User!D"&amp;ROW()),Printer!H:H,0)),"없음")</f>
        <v>없음</v>
      </c>
      <c r="N73" s="24" t="str">
        <f t="array" ref="N73">IFERROR(INDEX(Monitor!A:A,MATCH(INDIRECT("All_User!D"&amp;ROW()),Monitor!D:D,0)),"없음")</f>
        <v>없음</v>
      </c>
      <c r="O73" s="24" t="str">
        <f t="shared" si="1"/>
        <v>없음</v>
      </c>
      <c r="P73" s="24" t="str">
        <f t="array" ref="P73">IFERROR(INDEX(sales!E:E,MATCH(D73,sales!C:C,0)),"없음")</f>
        <v>없음</v>
      </c>
      <c r="Q73" s="24"/>
      <c r="R73" s="24"/>
    </row>
    <row r="74">
      <c r="A74" s="13">
        <v>84.0</v>
      </c>
      <c r="B74" s="15" t="s">
        <v>330</v>
      </c>
      <c r="C74" s="15" t="s">
        <v>331</v>
      </c>
      <c r="D74" s="18" t="s">
        <v>332</v>
      </c>
      <c r="E74" s="15" t="s">
        <v>333</v>
      </c>
      <c r="F74" s="17" t="s">
        <v>20</v>
      </c>
      <c r="G74" s="15" t="s">
        <v>137</v>
      </c>
      <c r="H74" s="19" t="str">
        <f t="array" ref="H74">IFERROR(INDEX(Lease_List!D:D,MATCH(INDIRECT("All_User!D"&amp;ROW()),Lease_List!H:H,0)),"없음")</f>
        <v>5CD5179KJ1</v>
      </c>
      <c r="I74" s="22" t="s">
        <v>334</v>
      </c>
      <c r="J74" s="21"/>
      <c r="K74" s="22" t="str">
        <f t="array" ref="K74">IFERROR(INDEX(Ipad_List!C:C,MATCH(INDIRECT("All_User!D"&amp;ROW()),Ipad_List!J:J,0)),"없음")</f>
        <v>MK21Q5L65C</v>
      </c>
      <c r="L74" s="23" t="str">
        <f t="array" ref="L74">IFERROR(INDEX(TeamsNumber!B:B,MATCH(INDIRECT("All_User!D"&amp;ROW()),TeamsNumber!D:D,0)),"없음")</f>
        <v>tel:+82234517685</v>
      </c>
      <c r="M74" s="23" t="str">
        <f t="array" ref="M74">IFERROR(INDEX(Printer!D:D,MATCH(INDIRECT("All_User!D"&amp;ROW()),Printer!H:H,0)),"없음")</f>
        <v>SL-C486FW</v>
      </c>
      <c r="N74" s="24" t="str">
        <f t="array" ref="N74">IFERROR(INDEX(Monitor!A:A,MATCH(INDIRECT("All_User!D"&amp;ROW()),Monitor!D:D,0)),"없음")</f>
        <v>없음</v>
      </c>
      <c r="O74" s="24" t="str">
        <f t="shared" si="1"/>
        <v>없음</v>
      </c>
      <c r="P74" s="24" t="str">
        <f t="array" ref="P74">IFERROR(INDEX(sales!E:E,MATCH(D74,sales!C:C,0)),"없음")</f>
        <v>Sales</v>
      </c>
      <c r="Q74" s="24" t="str">
        <f t="array" ref="Q74">IFERROR(INDEX(sales!C:C,MATCH(D74,sales!C:C,0)),"list없음")</f>
        <v>jackson.kim@stryker.com</v>
      </c>
      <c r="R74" s="24"/>
    </row>
    <row r="75">
      <c r="A75" s="13">
        <v>85.0</v>
      </c>
      <c r="B75" s="15" t="s">
        <v>335</v>
      </c>
      <c r="C75" s="15" t="s">
        <v>336</v>
      </c>
      <c r="D75" s="18" t="s">
        <v>337</v>
      </c>
      <c r="E75" s="15" t="s">
        <v>125</v>
      </c>
      <c r="F75" s="27" t="s">
        <v>77</v>
      </c>
      <c r="G75" s="18" t="s">
        <v>53</v>
      </c>
      <c r="H75" s="19" t="str">
        <f t="array" ref="H75">IFERROR(INDEX(Lease_List!D:D,MATCH(INDIRECT("All_User!D"&amp;ROW()),Lease_List!H:H,0)),"없음")</f>
        <v>5CD5179KHX</v>
      </c>
      <c r="I75" s="22" t="s">
        <v>338</v>
      </c>
      <c r="J75" s="21"/>
      <c r="K75" s="22" t="str">
        <f t="array" ref="K75">IFERROR(INDEX(Ipad_List!C:C,MATCH(INDIRECT("All_User!D"&amp;ROW()),Ipad_List!J:J,0)),"없음")</f>
        <v>J9157FQXYM</v>
      </c>
      <c r="L75" s="23" t="str">
        <f t="array" ref="L75">IFERROR(INDEX(TeamsNumber!B:B,MATCH(INDIRECT("All_User!D"&amp;ROW()),TeamsNumber!D:D,0)),"없음")</f>
        <v>tel:+82234517596</v>
      </c>
      <c r="M75" s="23" t="str">
        <f t="array" ref="M75">IFERROR(INDEX(Printer!D:D,MATCH(INDIRECT("All_User!D"&amp;ROW()),Printer!H:H,0)),"없음")</f>
        <v>반납</v>
      </c>
      <c r="N75" s="24" t="str">
        <f t="array" ref="N75">IFERROR(INDEX(Monitor!A:A,MATCH(INDIRECT("All_User!D"&amp;ROW()),Monitor!D:D,0)),"없음")</f>
        <v>없음</v>
      </c>
      <c r="O75" s="24" t="str">
        <f t="shared" si="1"/>
        <v>없음</v>
      </c>
      <c r="P75" s="24" t="str">
        <f t="array" ref="P75">IFERROR(INDEX(sales!E:E,MATCH(D75,sales!C:C,0)),"없음")</f>
        <v>Sales</v>
      </c>
      <c r="Q75" s="24" t="str">
        <f t="array" ref="Q75">IFERROR(INDEX(sales!C:C,MATCH(D75,sales!C:C,0)),"list없음")</f>
        <v>genie.kim@stryker.com</v>
      </c>
      <c r="R75" s="24"/>
    </row>
    <row r="76">
      <c r="A76" s="13">
        <v>86.0</v>
      </c>
      <c r="B76" s="15" t="s">
        <v>339</v>
      </c>
      <c r="C76" s="15" t="s">
        <v>340</v>
      </c>
      <c r="D76" s="18" t="s">
        <v>341</v>
      </c>
      <c r="E76" s="15" t="s">
        <v>76</v>
      </c>
      <c r="F76" s="27" t="s">
        <v>77</v>
      </c>
      <c r="G76" s="18" t="s">
        <v>53</v>
      </c>
      <c r="H76" s="19" t="str">
        <f t="array" ref="H76">IFERROR(INDEX(Lease_List!D:D,MATCH(INDIRECT("All_User!D"&amp;ROW()),Lease_List!H:H,0)),"없음")</f>
        <v>5CD5062YDG</v>
      </c>
      <c r="I76" s="22" t="s">
        <v>342</v>
      </c>
      <c r="J76" s="21"/>
      <c r="K76" s="22" t="str">
        <f t="array" ref="K76">IFERROR(INDEX(Ipad_List!C:C,MATCH(INDIRECT("All_User!D"&amp;ROW()),Ipad_List!J:J,0)),"없음")</f>
        <v>M6T0VJHK6P</v>
      </c>
      <c r="L76" s="23" t="str">
        <f t="array" ref="L76">IFERROR(INDEX(TeamsNumber!B:B,MATCH(INDIRECT("All_User!D"&amp;ROW()),TeamsNumber!D:D,0)),"없음")</f>
        <v>tel:+82234517597</v>
      </c>
      <c r="M76" s="23" t="str">
        <f t="array" ref="M76">IFERROR(INDEX(Printer!D:D,MATCH(INDIRECT("All_User!D"&amp;ROW()),Printer!H:H,0)),"없음")</f>
        <v>2차 조사 정보 없음</v>
      </c>
      <c r="N76" s="24" t="str">
        <f t="array" ref="N76">IFERROR(INDEX(Monitor!A:A,MATCH(INDIRECT("All_User!D"&amp;ROW()),Monitor!D:D,0)),"없음")</f>
        <v>없음</v>
      </c>
      <c r="O76" s="24" t="str">
        <f t="shared" si="1"/>
        <v>없음</v>
      </c>
      <c r="P76" s="24" t="str">
        <f t="array" ref="P76">IFERROR(INDEX(sales!E:E,MATCH(D76,sales!C:C,0)),"없음")</f>
        <v>Sales</v>
      </c>
      <c r="Q76" s="24" t="str">
        <f t="array" ref="Q76">IFERROR(INDEX(sales!C:C,MATCH(D76,sales!C:C,0)),"list없음")</f>
        <v>jason.kim1@stryker.com</v>
      </c>
      <c r="R76" s="24"/>
    </row>
    <row r="77">
      <c r="A77" s="13">
        <v>87.0</v>
      </c>
      <c r="B77" s="15" t="s">
        <v>343</v>
      </c>
      <c r="C77" s="15" t="s">
        <v>344</v>
      </c>
      <c r="D77" s="18" t="s">
        <v>345</v>
      </c>
      <c r="E77" s="15" t="s">
        <v>211</v>
      </c>
      <c r="F77" s="17" t="s">
        <v>20</v>
      </c>
      <c r="G77" s="18" t="s">
        <v>53</v>
      </c>
      <c r="H77" s="19" t="str">
        <f t="array" ref="H77">IFERROR(INDEX(Lease_List!D:D,MATCH(INDIRECT("All_User!D"&amp;ROW()),Lease_List!H:H,0)),"없음")</f>
        <v>5CD409908L</v>
      </c>
      <c r="I77" s="22" t="s">
        <v>29</v>
      </c>
      <c r="J77" s="21"/>
      <c r="K77" s="22" t="str">
        <f t="array" ref="K77">IFERROR(INDEX(Ipad_List!C:C,MATCH(INDIRECT("All_User!D"&amp;ROW()),Ipad_List!J:J,0)),"없음")</f>
        <v>R75T7C9N17</v>
      </c>
      <c r="L77" s="23" t="str">
        <f t="array" ref="L77">IFERROR(INDEX(TeamsNumber!B:B,MATCH(INDIRECT("All_User!D"&amp;ROW()),TeamsNumber!D:D,0)),"없음")</f>
        <v>tel:+82234517687</v>
      </c>
      <c r="M77" s="23" t="str">
        <f t="array" ref="M77">IFERROR(INDEX(Printer!D:D,MATCH(INDIRECT("All_User!D"&amp;ROW()),Printer!H:H,0)),"없음")</f>
        <v>SL-C486FW</v>
      </c>
      <c r="N77" s="24" t="str">
        <f t="array" ref="N77">IFERROR(INDEX(Monitor!A:A,MATCH(INDIRECT("All_User!D"&amp;ROW()),Monitor!D:D,0)),"없음")</f>
        <v>없음</v>
      </c>
      <c r="O77" s="24" t="str">
        <f t="shared" si="1"/>
        <v>없음</v>
      </c>
      <c r="P77" s="24" t="str">
        <f t="array" ref="P77">IFERROR(INDEX(sales!E:E,MATCH(D77,sales!C:C,0)),"없음")</f>
        <v>NV</v>
      </c>
      <c r="Q77" s="24" t="str">
        <f t="array" ref="Q77">IFERROR(INDEX(sales!C:C,MATCH(D77,sales!C:C,0)),"list없음")</f>
        <v>henry.kim1@stryker.com</v>
      </c>
      <c r="R77" s="24"/>
    </row>
    <row r="78">
      <c r="A78" s="13">
        <v>89.0</v>
      </c>
      <c r="B78" s="15" t="s">
        <v>346</v>
      </c>
      <c r="C78" s="15" t="s">
        <v>347</v>
      </c>
      <c r="D78" s="18" t="s">
        <v>348</v>
      </c>
      <c r="E78" s="15" t="s">
        <v>349</v>
      </c>
      <c r="F78" s="17" t="s">
        <v>27</v>
      </c>
      <c r="G78" s="15" t="s">
        <v>137</v>
      </c>
      <c r="H78" s="19" t="str">
        <f t="array" ref="H78">IFERROR(INDEX(Lease_List!D:D,MATCH(INDIRECT("All_User!D"&amp;ROW()),Lease_List!H:H,0)),"없음")</f>
        <v>5CD4232BF7</v>
      </c>
      <c r="I78" s="22" t="s">
        <v>29</v>
      </c>
      <c r="J78" s="21"/>
      <c r="K78" s="22" t="str">
        <f t="array" ref="K78">IFERROR(INDEX(Ipad_List!C:C,MATCH(INDIRECT("All_User!D"&amp;ROW()),Ipad_List!J:J,0)),"없음")</f>
        <v>HYFKQFR4RD</v>
      </c>
      <c r="L78" s="23" t="str">
        <f t="array" ref="L78">IFERROR(INDEX(TeamsNumber!B:B,MATCH(INDIRECT("All_User!D"&amp;ROW()),TeamsNumber!D:D,0)),"없음")</f>
        <v>tel:+82234517560</v>
      </c>
      <c r="M78" s="23" t="str">
        <f t="array" ref="M78">IFERROR(INDEX(Printer!D:D,MATCH(INDIRECT("All_User!D"&amp;ROW()),Printer!H:H,0)),"없음")</f>
        <v>SL-C563W</v>
      </c>
      <c r="N78" s="24" t="str">
        <f t="array" ref="N78">IFERROR(INDEX(Monitor!A:A,MATCH(INDIRECT("All_User!D"&amp;ROW()),Monitor!D:D,0)),"없음")</f>
        <v>없음</v>
      </c>
      <c r="O78" s="24" t="str">
        <f t="shared" si="1"/>
        <v>없음</v>
      </c>
      <c r="P78" s="24" t="str">
        <f t="array" ref="P78">IFERROR(INDEX(sales!E:E,MATCH(D78,sales!C:C,0)),"없음")</f>
        <v>MKT</v>
      </c>
      <c r="Q78" s="24" t="str">
        <f t="array" ref="Q78">IFERROR(INDEX(sales!C:C,MATCH(D78,sales!C:C,0)),"list없음")</f>
        <v>yeonjoo.kim@stryker.com</v>
      </c>
      <c r="R78" s="24"/>
    </row>
    <row r="79">
      <c r="A79" s="13">
        <v>90.0</v>
      </c>
      <c r="B79" s="15" t="s">
        <v>350</v>
      </c>
      <c r="C79" s="15" t="s">
        <v>351</v>
      </c>
      <c r="D79" s="15" t="s">
        <v>352</v>
      </c>
      <c r="E79" s="15" t="s">
        <v>353</v>
      </c>
      <c r="F79" s="17" t="s">
        <v>104</v>
      </c>
      <c r="G79" s="15" t="s">
        <v>354</v>
      </c>
      <c r="H79" s="19" t="str">
        <f t="array" ref="H79">IFERROR(INDEX(Lease_List!D:D,MATCH(INDIRECT("All_User!D"&amp;ROW()),Lease_List!H:H,0)),"없음")</f>
        <v>5CD4305D8Q</v>
      </c>
      <c r="I79" s="22" t="s">
        <v>29</v>
      </c>
      <c r="J79" s="21"/>
      <c r="K79" s="22" t="str">
        <f t="array" ref="K79">IFERROR(INDEX(Ipad_List!C:C,MATCH(INDIRECT("All_User!D"&amp;ROW()),Ipad_List!J:J,0)),"없음")</f>
        <v>없음</v>
      </c>
      <c r="L79" s="23" t="str">
        <f t="array" ref="L79">IFERROR(INDEX(TeamsNumber!B:B,MATCH(INDIRECT("All_User!D"&amp;ROW()),TeamsNumber!D:D,0)),"없음")</f>
        <v>tel:+82234517646</v>
      </c>
      <c r="M79" s="23" t="str">
        <f t="array" ref="M79">IFERROR(INDEX(Printer!D:D,MATCH(INDIRECT("All_User!D"&amp;ROW()),Printer!H:H,0)),"없음")</f>
        <v>없음</v>
      </c>
      <c r="N79" s="24" t="str">
        <f t="array" ref="N79">IFERROR(INDEX(Monitor!A:A,MATCH(INDIRECT("All_User!D"&amp;ROW()),Monitor!D:D,0)),"없음")</f>
        <v>없음</v>
      </c>
      <c r="O79" s="24" t="str">
        <f t="shared" si="1"/>
        <v>없음</v>
      </c>
      <c r="P79" s="24" t="str">
        <f t="array" ref="P79">IFERROR(INDEX(sales!E:E,MATCH(D79,sales!C:C,0)),"없음")</f>
        <v>없음</v>
      </c>
      <c r="Q79" s="24"/>
      <c r="R79" s="24"/>
    </row>
    <row r="80">
      <c r="A80" s="13">
        <v>91.0</v>
      </c>
      <c r="B80" s="15" t="s">
        <v>355</v>
      </c>
      <c r="C80" s="15" t="s">
        <v>356</v>
      </c>
      <c r="D80" s="15" t="s">
        <v>357</v>
      </c>
      <c r="E80" s="15" t="s">
        <v>358</v>
      </c>
      <c r="F80" s="17" t="s">
        <v>104</v>
      </c>
      <c r="G80" s="18" t="s">
        <v>252</v>
      </c>
      <c r="H80" s="19" t="str">
        <f t="array" ref="H80">IFERROR(INDEX(Lease_List!D:D,MATCH(INDIRECT("All_User!D"&amp;ROW()),Lease_List!H:H,0)),"없음")</f>
        <v>5CD5179KHJ</v>
      </c>
      <c r="I80" s="22" t="s">
        <v>29</v>
      </c>
      <c r="J80" s="21"/>
      <c r="K80" s="22" t="str">
        <f t="array" ref="K80">IFERROR(INDEX(Ipad_List!C:C,MATCH(INDIRECT("All_User!D"&amp;ROW()),Ipad_List!J:J,0)),"없음")</f>
        <v>없음</v>
      </c>
      <c r="L80" s="23" t="str">
        <f t="array" ref="L80">IFERROR(INDEX(TeamsNumber!B:B,MATCH(INDIRECT("All_User!D"&amp;ROW()),TeamsNumber!D:D,0)),"없음")</f>
        <v>tel:+82234517647</v>
      </c>
      <c r="M80" s="23" t="str">
        <f t="array" ref="M80">IFERROR(INDEX(Printer!D:D,MATCH(INDIRECT("All_User!D"&amp;ROW()),Printer!H:H,0)),"없음")</f>
        <v>없음</v>
      </c>
      <c r="N80" s="24" t="str">
        <f t="array" ref="N80">IFERROR(INDEX(Monitor!A:A,MATCH(INDIRECT("All_User!D"&amp;ROW()),Monitor!D:D,0)),"없음")</f>
        <v>LCD 모니터</v>
      </c>
      <c r="O80" s="24" t="str">
        <f t="shared" si="1"/>
        <v>없음</v>
      </c>
      <c r="P80" s="24" t="str">
        <f t="array" ref="P80">IFERROR(INDEX(sales!E:E,MATCH(D80,sales!C:C,0)),"없음")</f>
        <v>없음</v>
      </c>
      <c r="Q80" s="24"/>
      <c r="R80" s="24"/>
    </row>
    <row r="81">
      <c r="A81" s="13">
        <v>92.0</v>
      </c>
      <c r="B81" s="15" t="s">
        <v>359</v>
      </c>
      <c r="C81" s="15" t="s">
        <v>360</v>
      </c>
      <c r="D81" s="15" t="s">
        <v>361</v>
      </c>
      <c r="E81" s="15" t="s">
        <v>362</v>
      </c>
      <c r="F81" s="17" t="s">
        <v>67</v>
      </c>
      <c r="G81" s="15" t="s">
        <v>363</v>
      </c>
      <c r="H81" s="19" t="str">
        <f t="array" ref="H81">IFERROR(INDEX(Lease_List!D:D,MATCH(INDIRECT("All_User!D"&amp;ROW()),Lease_List!H:H,0)),"없음")</f>
        <v>5CD3469HDV</v>
      </c>
      <c r="I81" s="22" t="s">
        <v>29</v>
      </c>
      <c r="J81" s="21"/>
      <c r="K81" s="22" t="str">
        <f t="array" ref="K81">IFERROR(INDEX(Ipad_List!C:C,MATCH(INDIRECT("All_User!D"&amp;ROW()),Ipad_List!J:J,0)),"없음")</f>
        <v>없음</v>
      </c>
      <c r="L81" s="23" t="str">
        <f t="array" ref="L81">IFERROR(INDEX(TeamsNumber!B:B,MATCH(INDIRECT("All_User!D"&amp;ROW()),TeamsNumber!D:D,0)),"없음")</f>
        <v>tel:+82234517638</v>
      </c>
      <c r="M81" s="23" t="str">
        <f t="array" ref="M81">IFERROR(INDEX(Printer!D:D,MATCH(INDIRECT("All_User!D"&amp;ROW()),Printer!H:H,0)),"없음")</f>
        <v>없음</v>
      </c>
      <c r="N81" s="24" t="str">
        <f t="array" ref="N81">IFERROR(INDEX(Monitor!A:A,MATCH(INDIRECT("All_User!D"&amp;ROW()),Monitor!D:D,0)),"없음")</f>
        <v>없음</v>
      </c>
      <c r="O81" s="24" t="str">
        <f t="shared" si="1"/>
        <v>없음</v>
      </c>
      <c r="P81" s="24" t="str">
        <f t="array" ref="P81">IFERROR(INDEX(sales!E:E,MATCH(D81,sales!C:C,0)),"없음")</f>
        <v>없음</v>
      </c>
      <c r="Q81" s="24"/>
      <c r="R81" s="24"/>
    </row>
    <row r="82">
      <c r="A82" s="13">
        <v>93.0</v>
      </c>
      <c r="B82" s="15" t="s">
        <v>364</v>
      </c>
      <c r="C82" s="15" t="s">
        <v>365</v>
      </c>
      <c r="D82" s="18" t="s">
        <v>366</v>
      </c>
      <c r="E82" s="15" t="s">
        <v>125</v>
      </c>
      <c r="F82" s="17" t="s">
        <v>27</v>
      </c>
      <c r="G82" s="18" t="s">
        <v>53</v>
      </c>
      <c r="H82" s="19" t="str">
        <f t="array" ref="H82">IFERROR(INDEX(Lease_List!D:D,MATCH(INDIRECT("All_User!D"&amp;ROW()),Lease_List!H:H,0)),"없음")</f>
        <v>5CD4305D8W</v>
      </c>
      <c r="I82" s="22" t="s">
        <v>29</v>
      </c>
      <c r="J82" s="21"/>
      <c r="K82" s="22" t="str">
        <f t="array" ref="K82">IFERROR(INDEX(Ipad_List!C:C,MATCH(INDIRECT("All_User!D"&amp;ROW()),Ipad_List!J:J,0)),"없음")</f>
        <v>P7Q3X0HYFW</v>
      </c>
      <c r="L82" s="23" t="str">
        <f t="array" ref="L82">IFERROR(INDEX(TeamsNumber!B:B,MATCH(INDIRECT("All_User!D"&amp;ROW()),TeamsNumber!D:D,0)),"없음")</f>
        <v>tel:+82234517582</v>
      </c>
      <c r="M82" s="23" t="str">
        <f t="array" ref="M82">IFERROR(INDEX(Printer!D:D,MATCH(INDIRECT("All_User!D"&amp;ROW()),Printer!H:H,0)),"없음")</f>
        <v>SL-C563W</v>
      </c>
      <c r="N82" s="24" t="str">
        <f t="array" ref="N82">IFERROR(INDEX(Monitor!A:A,MATCH(INDIRECT("All_User!D"&amp;ROW()),Monitor!D:D,0)),"없음")</f>
        <v>없음</v>
      </c>
      <c r="O82" s="24" t="str">
        <f t="shared" si="1"/>
        <v>없음</v>
      </c>
      <c r="P82" s="24" t="str">
        <f t="array" ref="P82">IFERROR(INDEX(sales!E:E,MATCH(D82,sales!C:C,0)),"없음")</f>
        <v>Sales</v>
      </c>
      <c r="Q82" s="24" t="str">
        <f t="array" ref="Q82">IFERROR(INDEX(sales!C:C,MATCH(D82,sales!C:C,0)),"list없음")</f>
        <v>jayden.kim@stryker.com</v>
      </c>
      <c r="R82" s="24"/>
    </row>
    <row r="83">
      <c r="A83" s="13">
        <v>95.0</v>
      </c>
      <c r="B83" s="15" t="s">
        <v>367</v>
      </c>
      <c r="C83" s="15" t="s">
        <v>368</v>
      </c>
      <c r="D83" s="18" t="s">
        <v>369</v>
      </c>
      <c r="E83" s="15" t="s">
        <v>57</v>
      </c>
      <c r="F83" s="17" t="s">
        <v>27</v>
      </c>
      <c r="G83" s="18" t="s">
        <v>28</v>
      </c>
      <c r="H83" s="19" t="str">
        <f t="array" ref="H83">IFERROR(INDEX(Lease_List!D:D,MATCH(INDIRECT("All_User!D"&amp;ROW()),Lease_List!H:H,0)),"없음")</f>
        <v>5CD4305D81</v>
      </c>
      <c r="I83" s="22" t="s">
        <v>29</v>
      </c>
      <c r="J83" s="21"/>
      <c r="K83" s="22" t="str">
        <f t="array" ref="K83">IFERROR(INDEX(Ipad_List!C:C,MATCH(INDIRECT("All_User!D"&amp;ROW()),Ipad_List!J:J,0)),"없음")</f>
        <v>F9XWF4345F</v>
      </c>
      <c r="L83" s="23" t="str">
        <f t="array" ref="L83">IFERROR(INDEX(TeamsNumber!B:B,MATCH(INDIRECT("All_User!D"&amp;ROW()),TeamsNumber!D:D,0)),"없음")</f>
        <v>tel:+82234517536</v>
      </c>
      <c r="M83" s="23" t="str">
        <f t="array" ref="M83">IFERROR(INDEX(Printer!D:D,MATCH(INDIRECT("All_User!D"&amp;ROW()),Printer!H:H,0)),"없음")</f>
        <v>없음</v>
      </c>
      <c r="N83" s="24" t="str">
        <f t="array" ref="N83">IFERROR(INDEX(Monitor!A:A,MATCH(INDIRECT("All_User!D"&amp;ROW()),Monitor!D:D,0)),"없음")</f>
        <v>없음</v>
      </c>
      <c r="O83" s="24" t="str">
        <f t="shared" si="1"/>
        <v>없음</v>
      </c>
      <c r="P83" s="24" t="str">
        <f t="array" ref="P83">IFERROR(INDEX(sales!E:E,MATCH(D83,sales!C:C,0)),"없음")</f>
        <v>MPS</v>
      </c>
      <c r="Q83" s="24" t="str">
        <f t="array" ref="Q83">IFERROR(INDEX(sales!C:C,MATCH(D83,sales!C:C,0)),"list없음")</f>
        <v>dongkyu.kim@stryker.com</v>
      </c>
      <c r="R83" s="24"/>
    </row>
    <row r="84">
      <c r="A84" s="13">
        <v>96.0</v>
      </c>
      <c r="B84" s="15" t="s">
        <v>370</v>
      </c>
      <c r="C84" s="15" t="s">
        <v>371</v>
      </c>
      <c r="D84" s="18" t="s">
        <v>372</v>
      </c>
      <c r="E84" s="15" t="s">
        <v>373</v>
      </c>
      <c r="F84" s="27" t="s">
        <v>77</v>
      </c>
      <c r="G84" s="15" t="s">
        <v>137</v>
      </c>
      <c r="H84" s="19" t="str">
        <f t="array" ref="H84">IFERROR(INDEX(Lease_List!D:D,MATCH(INDIRECT("All_User!D"&amp;ROW()),Lease_List!H:H,0)),"없음")</f>
        <v>5CD442C07F</v>
      </c>
      <c r="I84" s="22" t="s">
        <v>29</v>
      </c>
      <c r="J84" s="21"/>
      <c r="K84" s="22" t="str">
        <f t="array" ref="K84">IFERROR(INDEX(Ipad_List!C:C,MATCH(INDIRECT("All_User!D"&amp;ROW()),Ipad_List!J:J,0)),"없음")</f>
        <v>XGH27YLWQM</v>
      </c>
      <c r="L84" s="23" t="str">
        <f t="array" ref="L84">IFERROR(INDEX(TeamsNumber!B:B,MATCH(INDIRECT("All_User!D"&amp;ROW()),TeamsNumber!D:D,0)),"없음")</f>
        <v>tel:+82234517555</v>
      </c>
      <c r="M84" s="23" t="str">
        <f t="array" ref="M84">IFERROR(INDEX(Printer!D:D,MATCH(INDIRECT("All_User!D"&amp;ROW()),Printer!H:H,0)),"없음")</f>
        <v>없음</v>
      </c>
      <c r="N84" s="24" t="str">
        <f t="array" ref="N84">IFERROR(INDEX(Monitor!A:A,MATCH(INDIRECT("All_User!D"&amp;ROW()),Monitor!D:D,0)),"없음")</f>
        <v>없음</v>
      </c>
      <c r="O84" s="24" t="str">
        <f t="shared" si="1"/>
        <v>없음</v>
      </c>
      <c r="P84" s="24" t="str">
        <f t="array" ref="P84">IFERROR(INDEX(sales!E:E,MATCH(D84,sales!C:C,0)),"없음")</f>
        <v>MKT</v>
      </c>
      <c r="Q84" s="24" t="str">
        <f t="array" ref="Q84">IFERROR(INDEX(sales!C:C,MATCH(D84,sales!C:C,0)),"list없음")</f>
        <v>minki.kim@stryker.com</v>
      </c>
      <c r="R84" s="24"/>
    </row>
    <row r="85">
      <c r="A85" s="13">
        <v>97.0</v>
      </c>
      <c r="B85" s="18" t="s">
        <v>374</v>
      </c>
      <c r="C85" s="15" t="s">
        <v>375</v>
      </c>
      <c r="D85" s="18" t="s">
        <v>376</v>
      </c>
      <c r="E85" s="15" t="s">
        <v>377</v>
      </c>
      <c r="F85" s="17" t="s">
        <v>378</v>
      </c>
      <c r="G85" s="18" t="s">
        <v>105</v>
      </c>
      <c r="H85" s="19" t="str">
        <f t="array" ref="H85">IFERROR(INDEX(Lease_List!D:D,MATCH(INDIRECT("All_User!D"&amp;ROW()),Lease_List!H:H,0)),"없음")</f>
        <v>5CD5179KH1</v>
      </c>
      <c r="I85" s="22" t="s">
        <v>379</v>
      </c>
      <c r="J85" s="21"/>
      <c r="K85" s="22" t="str">
        <f t="array" ref="K85">IFERROR(INDEX(Ipad_List!C:C,MATCH(INDIRECT("All_User!D"&amp;ROW()),Ipad_List!J:J,0)),"없음")</f>
        <v>QT422FMH26</v>
      </c>
      <c r="L85" s="23" t="str">
        <f t="array" ref="L85">IFERROR(INDEX(TeamsNumber!B:B,MATCH(INDIRECT("All_User!D"&amp;ROW()),TeamsNumber!D:D,0)),"없음")</f>
        <v>tel:+82234517529</v>
      </c>
      <c r="M85" s="23" t="str">
        <f t="array" ref="M85">IFERROR(INDEX(Printer!D:D,MATCH(INDIRECT("All_User!D"&amp;ROW()),Printer!H:H,0)),"없음")</f>
        <v>없음</v>
      </c>
      <c r="N85" s="24" t="str">
        <f t="array" ref="N85">IFERROR(INDEX(Monitor!A:A,MATCH(INDIRECT("All_User!D"&amp;ROW()),Monitor!D:D,0)),"없음")</f>
        <v>없음</v>
      </c>
      <c r="O85" s="24" t="str">
        <f t="shared" si="1"/>
        <v>없음</v>
      </c>
      <c r="P85" s="24" t="str">
        <f t="array" ref="P85">IFERROR(INDEX(sales!E:E,MATCH(D85,sales!C:C,0)),"없음")</f>
        <v>없음</v>
      </c>
      <c r="Q85" s="24"/>
      <c r="R85" s="24"/>
    </row>
    <row r="86">
      <c r="A86" s="13">
        <v>98.0</v>
      </c>
      <c r="B86" s="15" t="s">
        <v>380</v>
      </c>
      <c r="C86" s="15" t="s">
        <v>381</v>
      </c>
      <c r="D86" s="15" t="s">
        <v>382</v>
      </c>
      <c r="E86" s="15" t="s">
        <v>383</v>
      </c>
      <c r="F86" s="17" t="s">
        <v>104</v>
      </c>
      <c r="G86" s="15" t="s">
        <v>354</v>
      </c>
      <c r="H86" s="19" t="str">
        <f t="array" ref="H86">IFERROR(INDEX(Lease_List!D:D,MATCH(INDIRECT("All_User!D"&amp;ROW()),Lease_List!H:H,0)),"없음")</f>
        <v>5CG53403D1</v>
      </c>
      <c r="I86" s="22" t="s">
        <v>384</v>
      </c>
      <c r="J86" s="21"/>
      <c r="K86" s="22" t="str">
        <f t="array" ref="K86">IFERROR(INDEX(Ipad_List!C:C,MATCH(INDIRECT("All_User!D"&amp;ROW()),Ipad_List!J:J,0)),"없음")</f>
        <v>없음</v>
      </c>
      <c r="L86" s="23" t="str">
        <f t="array" ref="L86">IFERROR(INDEX(TeamsNumber!B:B,MATCH(INDIRECT("All_User!D"&amp;ROW()),TeamsNumber!D:D,0)),"없음")</f>
        <v>tel:+82234517601</v>
      </c>
      <c r="M86" s="23" t="str">
        <f t="array" ref="M86">IFERROR(INDEX(Printer!D:D,MATCH(INDIRECT("All_User!D"&amp;ROW()),Printer!H:H,0)),"없음")</f>
        <v>없음</v>
      </c>
      <c r="N86" s="24" t="str">
        <f t="array" ref="N86">IFERROR(INDEX(Monitor!A:A,MATCH(INDIRECT("All_User!D"&amp;ROW()),Monitor!D:D,0)),"없음")</f>
        <v>없음</v>
      </c>
      <c r="O86" s="24" t="str">
        <f t="shared" si="1"/>
        <v>없음</v>
      </c>
      <c r="P86" s="24" t="str">
        <f t="array" ref="P86">IFERROR(INDEX(sales!E:E,MATCH(D86,sales!C:C,0)),"없음")</f>
        <v>없음</v>
      </c>
      <c r="Q86" s="24"/>
      <c r="R86" s="24"/>
    </row>
    <row r="87">
      <c r="A87" s="13">
        <v>99.0</v>
      </c>
      <c r="B87" s="15" t="s">
        <v>385</v>
      </c>
      <c r="C87" s="15" t="s">
        <v>386</v>
      </c>
      <c r="D87" s="18" t="s">
        <v>387</v>
      </c>
      <c r="E87" s="15" t="s">
        <v>388</v>
      </c>
      <c r="F87" s="17" t="s">
        <v>27</v>
      </c>
      <c r="G87" s="18" t="s">
        <v>28</v>
      </c>
      <c r="H87" s="19" t="str">
        <f t="array" ref="H87">IFERROR(INDEX(Lease_List!D:D,MATCH(INDIRECT("All_User!D"&amp;ROW()),Lease_List!H:H,0)),"없음")</f>
        <v>5CD4145N3K</v>
      </c>
      <c r="I87" s="22" t="s">
        <v>29</v>
      </c>
      <c r="J87" s="21"/>
      <c r="K87" s="22" t="str">
        <f t="array" ref="K87">IFERROR(INDEX(Ipad_List!C:C,MATCH(INDIRECT("All_User!D"&amp;ROW()),Ipad_List!J:J,0)),"없음")</f>
        <v>P40KK7NLQG</v>
      </c>
      <c r="L87" s="23" t="str">
        <f t="array" ref="L87">IFERROR(INDEX(TeamsNumber!B:B,MATCH(INDIRECT("All_User!D"&amp;ROW()),TeamsNumber!D:D,0)),"없음")</f>
        <v>tel:+82234517692</v>
      </c>
      <c r="M87" s="23" t="str">
        <f t="array" ref="M87">IFERROR(INDEX(Printer!D:D,MATCH(INDIRECT("All_User!D"&amp;ROW()),Printer!H:H,0)),"없음")</f>
        <v>없음</v>
      </c>
      <c r="N87" s="24" t="str">
        <f t="array" ref="N87">IFERROR(INDEX(Monitor!A:A,MATCH(INDIRECT("All_User!D"&amp;ROW()),Monitor!D:D,0)),"없음")</f>
        <v>없음</v>
      </c>
      <c r="O87" s="24" t="str">
        <f t="shared" si="1"/>
        <v>없음</v>
      </c>
      <c r="P87" s="24" t="str">
        <f t="array" ref="P87">IFERROR(INDEX(sales!E:E,MATCH(D87,sales!C:C,0)),"없음")</f>
        <v>MPS</v>
      </c>
      <c r="Q87" s="24" t="str">
        <f t="array" ref="Q87">IFERROR(INDEX(sales!C:C,MATCH(D87,sales!C:C,0)),"list없음")</f>
        <v>mason.kim1@stryker.com</v>
      </c>
      <c r="R87" s="24"/>
    </row>
    <row r="88">
      <c r="A88" s="13">
        <v>100.0</v>
      </c>
      <c r="B88" s="15" t="s">
        <v>389</v>
      </c>
      <c r="C88" s="15" t="s">
        <v>390</v>
      </c>
      <c r="D88" s="18" t="s">
        <v>391</v>
      </c>
      <c r="E88" s="15" t="s">
        <v>57</v>
      </c>
      <c r="F88" s="17" t="s">
        <v>27</v>
      </c>
      <c r="G88" s="18" t="s">
        <v>28</v>
      </c>
      <c r="H88" s="19" t="str">
        <f t="array" ref="H88">IFERROR(INDEX(Lease_List!D:D,MATCH(INDIRECT("All_User!D"&amp;ROW()),Lease_List!H:H,0)),"없음")</f>
        <v>없음</v>
      </c>
      <c r="I88" s="22" t="s">
        <v>29</v>
      </c>
      <c r="J88" s="25" t="s">
        <v>392</v>
      </c>
      <c r="K88" s="22" t="str">
        <f t="array" ref="K88">IFERROR(INDEX(Ipad_List!C:C,MATCH(INDIRECT("All_User!D"&amp;ROW()),Ipad_List!J:J,0)),"없음")</f>
        <v>LY9JGJQMTP</v>
      </c>
      <c r="L88" s="23" t="str">
        <f t="array" ref="L88">IFERROR(INDEX(TeamsNumber!B:B,MATCH(INDIRECT("All_User!D"&amp;ROW()),TeamsNumber!D:D,0)),"없음")</f>
        <v>tel:+82234517615</v>
      </c>
      <c r="M88" s="23" t="str">
        <f t="array" ref="M88">IFERROR(INDEX(Printer!D:D,MATCH(INDIRECT("All_User!D"&amp;ROW()),Printer!H:H,0)),"없음")</f>
        <v>없음</v>
      </c>
      <c r="N88" s="24" t="str">
        <f t="array" ref="N88">IFERROR(INDEX(Monitor!A:A,MATCH(INDIRECT("All_User!D"&amp;ROW()),Monitor!D:D,0)),"없음")</f>
        <v>없음</v>
      </c>
      <c r="O88" s="24" t="str">
        <f t="shared" si="1"/>
        <v>없음</v>
      </c>
      <c r="P88" s="24" t="str">
        <f t="array" ref="P88">IFERROR(INDEX(sales!E:E,MATCH(D88,sales!C:C,0)),"없음")</f>
        <v>MPS</v>
      </c>
      <c r="Q88" s="24" t="str">
        <f t="array" ref="Q88">IFERROR(INDEX(sales!C:C,MATCH(D88,sales!C:C,0)),"list없음")</f>
        <v>mindo.kim@stryker.com</v>
      </c>
      <c r="R88" s="24"/>
    </row>
    <row r="89">
      <c r="A89" s="13">
        <v>101.0</v>
      </c>
      <c r="B89" s="15" t="s">
        <v>393</v>
      </c>
      <c r="C89" s="15" t="s">
        <v>394</v>
      </c>
      <c r="D89" s="18" t="s">
        <v>395</v>
      </c>
      <c r="E89" s="15" t="s">
        <v>57</v>
      </c>
      <c r="F89" s="17" t="s">
        <v>27</v>
      </c>
      <c r="G89" s="18" t="s">
        <v>28</v>
      </c>
      <c r="H89" s="19" t="str">
        <f t="array" ref="H89">IFERROR(INDEX(Lease_List!D:D,MATCH(INDIRECT("All_User!D"&amp;ROW()),Lease_List!H:H,0)),"없음")</f>
        <v>없음</v>
      </c>
      <c r="I89" s="20" t="s">
        <v>396</v>
      </c>
      <c r="J89" s="25" t="s">
        <v>396</v>
      </c>
      <c r="K89" s="22" t="str">
        <f t="array" ref="K89">IFERROR(INDEX(Ipad_List!C:C,MATCH(INDIRECT("All_User!D"&amp;ROW()),Ipad_List!J:J,0)),"없음")</f>
        <v>JJWL6VTHKK</v>
      </c>
      <c r="L89" s="23" t="str">
        <f t="array" ref="L89">IFERROR(INDEX(TeamsNumber!B:B,MATCH(INDIRECT("All_User!D"&amp;ROW()),TeamsNumber!D:D,0)),"없음")</f>
        <v>tel:+82234517620</v>
      </c>
      <c r="M89" s="23" t="str">
        <f t="array" ref="M89">IFERROR(INDEX(Printer!D:D,MATCH(INDIRECT("All_User!D"&amp;ROW()),Printer!H:H,0)),"없음")</f>
        <v>없음</v>
      </c>
      <c r="N89" s="24" t="str">
        <f t="array" ref="N89">IFERROR(INDEX(Monitor!A:A,MATCH(INDIRECT("All_User!D"&amp;ROW()),Monitor!D:D,0)),"없음")</f>
        <v>없음</v>
      </c>
      <c r="O89" s="24" t="str">
        <f t="shared" si="1"/>
        <v>없음</v>
      </c>
      <c r="P89" s="24" t="str">
        <f t="array" ref="P89">IFERROR(INDEX(sales!E:E,MATCH(D89,sales!C:C,0)),"없음")</f>
        <v>MPS</v>
      </c>
      <c r="Q89" s="24" t="str">
        <f t="array" ref="Q89">IFERROR(INDEX(sales!C:C,MATCH(D89,sales!C:C,0)),"list없음")</f>
        <v>aspyn.kim@stryker.com</v>
      </c>
      <c r="R89" s="24"/>
    </row>
    <row r="90">
      <c r="A90" s="13">
        <v>103.0</v>
      </c>
      <c r="B90" s="15" t="s">
        <v>397</v>
      </c>
      <c r="C90" s="15" t="s">
        <v>398</v>
      </c>
      <c r="D90" s="18" t="s">
        <v>399</v>
      </c>
      <c r="E90" s="15" t="s">
        <v>196</v>
      </c>
      <c r="F90" s="27" t="s">
        <v>77</v>
      </c>
      <c r="G90" s="18" t="s">
        <v>137</v>
      </c>
      <c r="H90" s="19" t="str">
        <f t="array" ref="H90">IFERROR(INDEX(Lease_List!D:D,MATCH(INDIRECT("All_User!D"&amp;ROW()),Lease_List!H:H,0)),"없음")</f>
        <v>5CD4305D8K</v>
      </c>
      <c r="I90" s="22" t="s">
        <v>29</v>
      </c>
      <c r="J90" s="21"/>
      <c r="K90" s="22" t="str">
        <f t="array" ref="K90">IFERROR(INDEX(Ipad_List!C:C,MATCH(INDIRECT("All_User!D"&amp;ROW()),Ipad_List!J:J,0)),"없음")</f>
        <v>CK7JHKH443</v>
      </c>
      <c r="L90" s="23" t="str">
        <f t="array" ref="L90">IFERROR(INDEX(TeamsNumber!B:B,MATCH(INDIRECT("All_User!D"&amp;ROW()),TeamsNumber!D:D,0)),"없음")</f>
        <v>tel:+82234517697</v>
      </c>
      <c r="M90" s="23" t="str">
        <f t="array" ref="M90">IFERROR(INDEX(Printer!D:D,MATCH(INDIRECT("All_User!D"&amp;ROW()),Printer!H:H,0)),"없음")</f>
        <v>없음</v>
      </c>
      <c r="N90" s="24" t="str">
        <f t="array" ref="N90">IFERROR(INDEX(Monitor!A:A,MATCH(INDIRECT("All_User!D"&amp;ROW()),Monitor!D:D,0)),"없음")</f>
        <v>LCD 모니터</v>
      </c>
      <c r="O90" s="24" t="str">
        <f t="shared" si="1"/>
        <v>없음</v>
      </c>
      <c r="P90" s="24" t="str">
        <f t="array" ref="P90">IFERROR(INDEX(sales!E:E,MATCH(D90,sales!C:C,0)),"없음")</f>
        <v>없음</v>
      </c>
      <c r="Q90" s="24"/>
      <c r="R90" s="24"/>
    </row>
    <row r="91">
      <c r="A91" s="13">
        <v>104.0</v>
      </c>
      <c r="B91" s="15" t="s">
        <v>400</v>
      </c>
      <c r="C91" s="15" t="s">
        <v>401</v>
      </c>
      <c r="D91" s="18" t="s">
        <v>402</v>
      </c>
      <c r="E91" s="15" t="s">
        <v>76</v>
      </c>
      <c r="F91" s="17" t="s">
        <v>52</v>
      </c>
      <c r="G91" s="18" t="s">
        <v>53</v>
      </c>
      <c r="H91" s="19" t="str">
        <f t="array" ref="H91">IFERROR(INDEX(Lease_List!D:D,MATCH(INDIRECT("All_User!D"&amp;ROW()),Lease_List!H:H,0)),"없음")</f>
        <v>없음</v>
      </c>
      <c r="I91" s="22" t="s">
        <v>118</v>
      </c>
      <c r="J91" s="21"/>
      <c r="K91" s="22" t="str">
        <f t="array" ref="K91">IFERROR(INDEX(Ipad_List!C:C,MATCH(INDIRECT("All_User!D"&amp;ROW()),Ipad_List!J:J,0)),"없음")</f>
        <v>HC0FP2JHG7</v>
      </c>
      <c r="L91" s="23" t="str">
        <f t="array" ref="L91">IFERROR(INDEX(TeamsNumber!B:B,MATCH(INDIRECT("All_User!D"&amp;ROW()),TeamsNumber!D:D,0)),"없음")</f>
        <v>tel:+82234517590</v>
      </c>
      <c r="M91" s="23" t="str">
        <f t="array" ref="M91">IFERROR(INDEX(Printer!D:D,MATCH(INDIRECT("All_User!D"&amp;ROW()),Printer!H:H,0)),"없음")</f>
        <v>없음</v>
      </c>
      <c r="N91" s="24" t="str">
        <f t="array" ref="N91">IFERROR(INDEX(Monitor!A:A,MATCH(INDIRECT("All_User!D"&amp;ROW()),Monitor!D:D,0)),"없음")</f>
        <v>없음</v>
      </c>
      <c r="O91" s="24" t="str">
        <f t="shared" si="1"/>
        <v>없음</v>
      </c>
      <c r="P91" s="24" t="str">
        <f t="array" ref="P91">IFERROR(INDEX(sales!E:E,MATCH(D91,sales!C:C,0)),"없음")</f>
        <v>Sales</v>
      </c>
      <c r="Q91" s="24" t="str">
        <f t="array" ref="Q91">IFERROR(INDEX(sales!C:C,MATCH(D91,sales!C:C,0)),"list없음")</f>
        <v>david.kim3@stryker.com</v>
      </c>
      <c r="R91" s="24"/>
    </row>
    <row r="92">
      <c r="A92" s="13">
        <v>105.0</v>
      </c>
      <c r="B92" s="15" t="s">
        <v>403</v>
      </c>
      <c r="C92" s="15" t="s">
        <v>404</v>
      </c>
      <c r="D92" s="18" t="s">
        <v>405</v>
      </c>
      <c r="E92" s="15" t="s">
        <v>76</v>
      </c>
      <c r="F92" s="27" t="s">
        <v>77</v>
      </c>
      <c r="G92" s="18" t="s">
        <v>53</v>
      </c>
      <c r="H92" s="19" t="str">
        <f t="array" ref="H92">IFERROR(INDEX(Lease_List!D:D,MATCH(INDIRECT("All_User!D"&amp;ROW()),Lease_List!H:H,0)),"없음")</f>
        <v>5CD5179KHQ</v>
      </c>
      <c r="I92" s="22" t="s">
        <v>29</v>
      </c>
      <c r="J92" s="25" t="s">
        <v>406</v>
      </c>
      <c r="K92" s="22" t="str">
        <f t="array" ref="K92">IFERROR(INDEX(Ipad_List!C:C,MATCH(INDIRECT("All_User!D"&amp;ROW()),Ipad_List!J:J,0)),"없음")</f>
        <v>Q5M6F1YX19</v>
      </c>
      <c r="L92" s="23" t="str">
        <f t="array" ref="L92">IFERROR(INDEX(TeamsNumber!B:B,MATCH(INDIRECT("All_User!D"&amp;ROW()),TeamsNumber!D:D,0)),"없음")</f>
        <v>tel:+82234517696</v>
      </c>
      <c r="M92" s="23" t="str">
        <f t="array" ref="M92">IFERROR(INDEX(Printer!D:D,MATCH(INDIRECT("All_User!D"&amp;ROW()),Printer!H:H,0)),"없음")</f>
        <v>SL-C486FW</v>
      </c>
      <c r="N92" s="24" t="str">
        <f t="array" ref="N92">IFERROR(INDEX(Monitor!A:A,MATCH(INDIRECT("All_User!D"&amp;ROW()),Monitor!D:D,0)),"없음")</f>
        <v>없음</v>
      </c>
      <c r="O92" s="24" t="str">
        <f t="shared" si="1"/>
        <v>없음</v>
      </c>
      <c r="P92" s="24" t="str">
        <f t="array" ref="P92">IFERROR(INDEX(sales!E:E,MATCH(D92,sales!C:C,0)),"없음")</f>
        <v>Sales</v>
      </c>
      <c r="Q92" s="24" t="str">
        <f t="array" ref="Q92">IFERROR(INDEX(sales!C:C,MATCH(D92,sales!C:C,0)),"list없음")</f>
        <v>james.kim@stryker.com</v>
      </c>
      <c r="R92" s="24"/>
    </row>
    <row r="93">
      <c r="A93" s="13">
        <v>106.0</v>
      </c>
      <c r="B93" s="15" t="s">
        <v>407</v>
      </c>
      <c r="C93" s="15" t="s">
        <v>408</v>
      </c>
      <c r="D93" s="18" t="s">
        <v>409</v>
      </c>
      <c r="E93" s="15" t="s">
        <v>57</v>
      </c>
      <c r="F93" s="17" t="s">
        <v>27</v>
      </c>
      <c r="G93" s="18" t="s">
        <v>28</v>
      </c>
      <c r="H93" s="19" t="str">
        <f t="array" ref="H93">IFERROR(INDEX(Lease_List!D:D,MATCH(INDIRECT("All_User!D"&amp;ROW()),Lease_List!H:H,0)),"없음")</f>
        <v>5CD5062YF0</v>
      </c>
      <c r="I93" s="22" t="s">
        <v>29</v>
      </c>
      <c r="J93" s="21"/>
      <c r="K93" s="22" t="str">
        <f t="array" ref="K93">IFERROR(INDEX(Ipad_List!C:C,MATCH(INDIRECT("All_User!D"&amp;ROW()),Ipad_List!J:J,0)),"없음")</f>
        <v>VHJMJWTK6N</v>
      </c>
      <c r="L93" s="23" t="str">
        <f t="array" ref="L93">IFERROR(INDEX(TeamsNumber!B:B,MATCH(INDIRECT("All_User!D"&amp;ROW()),TeamsNumber!D:D,0)),"없음")</f>
        <v>없음</v>
      </c>
      <c r="M93" s="23" t="str">
        <f t="array" ref="M93">IFERROR(INDEX(Printer!D:D,MATCH(INDIRECT("All_User!D"&amp;ROW()),Printer!H:H,0)),"없음")</f>
        <v>없음</v>
      </c>
      <c r="N93" s="24" t="str">
        <f t="array" ref="N93">IFERROR(INDEX(Monitor!A:A,MATCH(INDIRECT("All_User!D"&amp;ROW()),Monitor!D:D,0)),"없음")</f>
        <v>없음</v>
      </c>
      <c r="O93" s="24" t="str">
        <f t="shared" si="1"/>
        <v>없음</v>
      </c>
      <c r="P93" s="24" t="str">
        <f t="array" ref="P93">IFERROR(INDEX(sales!E:E,MATCH(D93,sales!C:C,0)),"없음")</f>
        <v>MPS</v>
      </c>
      <c r="Q93" s="24" t="str">
        <f t="array" ref="Q93">IFERROR(INDEX(sales!C:C,MATCH(D93,sales!C:C,0)),"list없음")</f>
        <v>hannah.kim@stryker.com</v>
      </c>
      <c r="R93" s="24"/>
    </row>
    <row r="94">
      <c r="A94" s="13">
        <v>107.0</v>
      </c>
      <c r="B94" s="15" t="s">
        <v>410</v>
      </c>
      <c r="C94" s="15" t="s">
        <v>411</v>
      </c>
      <c r="D94" s="18" t="s">
        <v>412</v>
      </c>
      <c r="E94" s="15" t="s">
        <v>413</v>
      </c>
      <c r="F94" s="17" t="s">
        <v>378</v>
      </c>
      <c r="G94" s="15" t="s">
        <v>414</v>
      </c>
      <c r="H94" s="19" t="str">
        <f t="array" ref="H94">IFERROR(INDEX(Lease_List!D:D,MATCH(INDIRECT("All_User!D"&amp;ROW()),Lease_List!H:H,0)),"없음")</f>
        <v>5CD4145N3P</v>
      </c>
      <c r="I94" s="22" t="s">
        <v>29</v>
      </c>
      <c r="J94" s="21"/>
      <c r="K94" s="22" t="str">
        <f t="array" ref="K94">IFERROR(INDEX(Ipad_List!C:C,MATCH(INDIRECT("All_User!D"&amp;ROW()),Ipad_List!J:J,0)),"없음")</f>
        <v>없음</v>
      </c>
      <c r="L94" s="23" t="str">
        <f t="array" ref="L94">IFERROR(INDEX(TeamsNumber!B:B,MATCH(INDIRECT("All_User!D"&amp;ROW()),TeamsNumber!D:D,0)),"없음")</f>
        <v>tel:+82234517593</v>
      </c>
      <c r="M94" s="23" t="str">
        <f t="array" ref="M94">IFERROR(INDEX(Printer!D:D,MATCH(INDIRECT("All_User!D"&amp;ROW()),Printer!H:H,0)),"없음")</f>
        <v>없음</v>
      </c>
      <c r="N94" s="24" t="str">
        <f t="array" ref="N94">IFERROR(INDEX(Monitor!A:A,MATCH(INDIRECT("All_User!D"&amp;ROW()),Monitor!D:D,0)),"없음")</f>
        <v>없음</v>
      </c>
      <c r="O94" s="24" t="str">
        <f t="shared" si="1"/>
        <v>없음</v>
      </c>
      <c r="P94" s="24" t="str">
        <f t="array" ref="P94">IFERROR(INDEX(sales!E:E,MATCH(D94,sales!C:C,0)),"없음")</f>
        <v>없음</v>
      </c>
      <c r="Q94" s="24"/>
      <c r="R94" s="24"/>
    </row>
    <row r="95">
      <c r="A95" s="13">
        <v>109.0</v>
      </c>
      <c r="B95" s="15" t="s">
        <v>415</v>
      </c>
      <c r="C95" s="15" t="s">
        <v>416</v>
      </c>
      <c r="D95" s="18" t="s">
        <v>417</v>
      </c>
      <c r="E95" s="15" t="s">
        <v>418</v>
      </c>
      <c r="F95" s="17" t="s">
        <v>419</v>
      </c>
      <c r="G95" s="15" t="s">
        <v>420</v>
      </c>
      <c r="H95" s="19" t="str">
        <f t="array" ref="H95">IFERROR(INDEX(Lease_List!D:D,MATCH(INDIRECT("All_User!D"&amp;ROW()),Lease_List!H:H,0)),"없음")</f>
        <v>5CD3469HDD</v>
      </c>
      <c r="I95" s="22" t="s">
        <v>29</v>
      </c>
      <c r="J95" s="21"/>
      <c r="K95" s="22" t="str">
        <f t="array" ref="K95">IFERROR(INDEX(Ipad_List!C:C,MATCH(INDIRECT("All_User!D"&amp;ROW()),Ipad_List!J:J,0)),"없음")</f>
        <v>없음</v>
      </c>
      <c r="L95" s="23" t="str">
        <f t="array" ref="L95">IFERROR(INDEX(TeamsNumber!B:B,MATCH(INDIRECT("All_User!D"&amp;ROW()),TeamsNumber!D:D,0)),"없음")</f>
        <v>없음</v>
      </c>
      <c r="M95" s="23" t="str">
        <f t="array" ref="M95">IFERROR(INDEX(Printer!D:D,MATCH(INDIRECT("All_User!D"&amp;ROW()),Printer!H:H,0)),"없음")</f>
        <v>없음</v>
      </c>
      <c r="N95" s="24" t="str">
        <f t="array" ref="N95">IFERROR(INDEX(Monitor!A:A,MATCH(INDIRECT("All_User!D"&amp;ROW()),Monitor!D:D,0)),"없음")</f>
        <v>없음</v>
      </c>
      <c r="O95" s="24" t="str">
        <f t="shared" si="1"/>
        <v>없음</v>
      </c>
      <c r="P95" s="24" t="str">
        <f t="array" ref="P95">IFERROR(INDEX(sales!E:E,MATCH(D95,sales!C:C,0)),"없음")</f>
        <v>없음</v>
      </c>
      <c r="Q95" s="24"/>
      <c r="R95" s="24"/>
    </row>
    <row r="96">
      <c r="A96" s="13">
        <v>110.0</v>
      </c>
      <c r="B96" s="15" t="s">
        <v>421</v>
      </c>
      <c r="C96" s="15" t="s">
        <v>422</v>
      </c>
      <c r="D96" s="18" t="s">
        <v>423</v>
      </c>
      <c r="E96" s="15" t="s">
        <v>424</v>
      </c>
      <c r="F96" s="17" t="s">
        <v>41</v>
      </c>
      <c r="G96" s="18" t="s">
        <v>47</v>
      </c>
      <c r="H96" s="19" t="str">
        <f t="array" ref="H96">IFERROR(INDEX(Lease_List!D:D,MATCH(INDIRECT("All_User!D"&amp;ROW()),Lease_List!H:H,0)),"없음")</f>
        <v>5CD5062YDM</v>
      </c>
      <c r="I96" s="22" t="s">
        <v>29</v>
      </c>
      <c r="J96" s="21"/>
      <c r="K96" s="22" t="str">
        <f t="array" ref="K96">IFERROR(INDEX(Ipad_List!C:C,MATCH(INDIRECT("All_User!D"&amp;ROW()),Ipad_List!J:J,0)),"없음")</f>
        <v>없음</v>
      </c>
      <c r="L96" s="23" t="str">
        <f t="array" ref="L96">IFERROR(INDEX(TeamsNumber!B:B,MATCH(INDIRECT("All_User!D"&amp;ROW()),TeamsNumber!D:D,0)),"없음")</f>
        <v>tel:+82234517690</v>
      </c>
      <c r="M96" s="23" t="str">
        <f t="array" ref="M96">IFERROR(INDEX(Printer!D:D,MATCH(INDIRECT("All_User!D"&amp;ROW()),Printer!H:H,0)),"없음")</f>
        <v>없음</v>
      </c>
      <c r="N96" s="24" t="str">
        <f t="array" ref="N96">IFERROR(INDEX(Monitor!A:A,MATCH(INDIRECT("All_User!D"&amp;ROW()),Monitor!D:D,0)),"없음")</f>
        <v>없음</v>
      </c>
      <c r="O96" s="24" t="str">
        <f t="shared" si="1"/>
        <v>없음</v>
      </c>
      <c r="P96" s="24" t="str">
        <f t="array" ref="P96">IFERROR(INDEX(sales!E:E,MATCH(D96,sales!C:C,0)),"없음")</f>
        <v>없음</v>
      </c>
      <c r="Q96" s="24"/>
      <c r="R96" s="24"/>
    </row>
    <row r="97">
      <c r="A97" s="13">
        <v>111.0</v>
      </c>
      <c r="B97" s="15" t="s">
        <v>425</v>
      </c>
      <c r="C97" s="15" t="s">
        <v>426</v>
      </c>
      <c r="D97" s="18" t="s">
        <v>427</v>
      </c>
      <c r="E97" s="15" t="s">
        <v>72</v>
      </c>
      <c r="F97" s="17" t="s">
        <v>27</v>
      </c>
      <c r="G97" s="18" t="s">
        <v>28</v>
      </c>
      <c r="H97" s="19" t="str">
        <f t="array" ref="H97">IFERROR(INDEX(Lease_List!D:D,MATCH(INDIRECT("All_User!D"&amp;ROW()),Lease_List!H:H,0)),"없음")</f>
        <v>5CD4232BFT</v>
      </c>
      <c r="I97" s="22" t="s">
        <v>29</v>
      </c>
      <c r="J97" s="21"/>
      <c r="K97" s="22" t="str">
        <f t="array" ref="K97">IFERROR(INDEX(Ipad_List!C:C,MATCH(INDIRECT("All_User!D"&amp;ROW()),Ipad_List!J:J,0)),"없음")</f>
        <v>CJ66CPWXQ2</v>
      </c>
      <c r="L97" s="23" t="str">
        <f t="array" ref="L97">IFERROR(INDEX(TeamsNumber!B:B,MATCH(INDIRECT("All_User!D"&amp;ROW()),TeamsNumber!D:D,0)),"없음")</f>
        <v>tel:+82234517587</v>
      </c>
      <c r="M97" s="23" t="str">
        <f t="array" ref="M97">IFERROR(INDEX(Printer!D:D,MATCH(INDIRECT("All_User!D"&amp;ROW()),Printer!H:H,0)),"없음")</f>
        <v>없음</v>
      </c>
      <c r="N97" s="24" t="str">
        <f t="array" ref="N97">IFERROR(INDEX(Monitor!A:A,MATCH(INDIRECT("All_User!D"&amp;ROW()),Monitor!D:D,0)),"없음")</f>
        <v>없음</v>
      </c>
      <c r="O97" s="24" t="str">
        <f t="shared" si="1"/>
        <v>없음</v>
      </c>
      <c r="P97" s="24" t="str">
        <f t="array" ref="P97">IFERROR(INDEX(sales!E:E,MATCH(D97,sales!C:C,0)),"없음")</f>
        <v>MPS</v>
      </c>
      <c r="Q97" s="24" t="str">
        <f t="array" ref="Q97">IFERROR(INDEX(sales!C:C,MATCH(D97,sales!C:C,0)),"list없음")</f>
        <v>ara.ko@stryker.com</v>
      </c>
      <c r="R97" s="24"/>
    </row>
    <row r="98">
      <c r="A98" s="13">
        <v>112.0</v>
      </c>
      <c r="B98" s="15" t="s">
        <v>428</v>
      </c>
      <c r="C98" s="15" t="s">
        <v>429</v>
      </c>
      <c r="D98" s="15" t="s">
        <v>430</v>
      </c>
      <c r="E98" s="15" t="s">
        <v>431</v>
      </c>
      <c r="F98" s="17" t="s">
        <v>41</v>
      </c>
      <c r="G98" s="15" t="s">
        <v>42</v>
      </c>
      <c r="H98" s="19" t="str">
        <f t="array" ref="H98">IFERROR(INDEX(Lease_List!D:D,MATCH(INDIRECT("All_User!D"&amp;ROW()),Lease_List!H:H,0)),"없음")</f>
        <v>5CD3469HDS</v>
      </c>
      <c r="I98" s="22" t="s">
        <v>29</v>
      </c>
      <c r="J98" s="21"/>
      <c r="K98" s="22" t="str">
        <f t="array" ref="K98">IFERROR(INDEX(Ipad_List!C:C,MATCH(INDIRECT("All_User!D"&amp;ROW()),Ipad_List!J:J,0)),"없음")</f>
        <v>없음</v>
      </c>
      <c r="L98" s="23" t="str">
        <f t="array" ref="L98">IFERROR(INDEX(TeamsNumber!B:B,MATCH(INDIRECT("All_User!D"&amp;ROW()),TeamsNumber!D:D,0)),"없음")</f>
        <v>tel:+82234517614</v>
      </c>
      <c r="M98" s="23" t="str">
        <f t="array" ref="M98">IFERROR(INDEX(Printer!D:D,MATCH(INDIRECT("All_User!D"&amp;ROW()),Printer!H:H,0)),"없음")</f>
        <v>없음</v>
      </c>
      <c r="N98" s="24" t="str">
        <f t="array" ref="N98">IFERROR(INDEX(Monitor!A:A,MATCH(INDIRECT("All_User!D"&amp;ROW()),Monitor!D:D,0)),"없음")</f>
        <v>없음</v>
      </c>
      <c r="O98" s="24" t="str">
        <f t="shared" si="1"/>
        <v>없음</v>
      </c>
      <c r="P98" s="24" t="str">
        <f t="array" ref="P98">IFERROR(INDEX(sales!E:E,MATCH(D98,sales!C:C,0)),"없음")</f>
        <v>없음</v>
      </c>
      <c r="Q98" s="24"/>
      <c r="R98" s="24"/>
    </row>
    <row r="99">
      <c r="A99" s="13">
        <v>113.0</v>
      </c>
      <c r="B99" s="15" t="s">
        <v>432</v>
      </c>
      <c r="C99" s="15" t="s">
        <v>433</v>
      </c>
      <c r="D99" s="18" t="s">
        <v>434</v>
      </c>
      <c r="E99" s="15" t="s">
        <v>435</v>
      </c>
      <c r="F99" s="27" t="s">
        <v>77</v>
      </c>
      <c r="G99" s="30" t="s">
        <v>436</v>
      </c>
      <c r="H99" s="19" t="str">
        <f t="array" ref="H99">IFERROR(INDEX(Lease_List!D:D,MATCH(INDIRECT("All_User!D"&amp;ROW()),Lease_List!H:H,0)),"없음")</f>
        <v>5CD4232BFH</v>
      </c>
      <c r="I99" s="22" t="s">
        <v>29</v>
      </c>
      <c r="J99" s="21"/>
      <c r="K99" s="22" t="str">
        <f t="array" ref="K99">IFERROR(INDEX(Ipad_List!C:C,MATCH(INDIRECT("All_User!D"&amp;ROW()),Ipad_List!J:J,0)),"없음")</f>
        <v>없음</v>
      </c>
      <c r="L99" s="23" t="str">
        <f t="array" ref="L99">IFERROR(INDEX(TeamsNumber!B:B,MATCH(INDIRECT("All_User!D"&amp;ROW()),TeamsNumber!D:D,0)),"없음")</f>
        <v>없음</v>
      </c>
      <c r="M99" s="23" t="str">
        <f t="array" ref="M99">IFERROR(INDEX(Printer!D:D,MATCH(INDIRECT("All_User!D"&amp;ROW()),Printer!H:H,0)),"없음")</f>
        <v>없음</v>
      </c>
      <c r="N99" s="24" t="str">
        <f t="array" ref="N99">IFERROR(INDEX(Monitor!A:A,MATCH(INDIRECT("All_User!D"&amp;ROW()),Monitor!D:D,0)),"없음")</f>
        <v>없음</v>
      </c>
      <c r="O99" s="24" t="str">
        <f t="shared" si="1"/>
        <v>없음</v>
      </c>
      <c r="P99" s="24" t="str">
        <f t="array" ref="P99">IFERROR(INDEX(sales!E:E,MATCH(D99,sales!C:C,0)),"없음")</f>
        <v>없음</v>
      </c>
      <c r="Q99" s="24"/>
      <c r="R99" s="24"/>
    </row>
    <row r="100">
      <c r="A100" s="13">
        <v>114.0</v>
      </c>
      <c r="B100" s="15" t="s">
        <v>437</v>
      </c>
      <c r="C100" s="15" t="s">
        <v>438</v>
      </c>
      <c r="D100" s="18" t="s">
        <v>439</v>
      </c>
      <c r="E100" s="15" t="s">
        <v>72</v>
      </c>
      <c r="F100" s="17" t="s">
        <v>27</v>
      </c>
      <c r="G100" s="18" t="s">
        <v>28</v>
      </c>
      <c r="H100" s="19" t="str">
        <f t="array" ref="H100">IFERROR(INDEX(Lease_List!D:D,MATCH(INDIRECT("All_User!D"&amp;ROW()),Lease_List!H:H,0)),"없음")</f>
        <v>없음</v>
      </c>
      <c r="I100" s="22" t="s">
        <v>29</v>
      </c>
      <c r="J100" s="25" t="s">
        <v>440</v>
      </c>
      <c r="K100" s="22" t="str">
        <f t="array" ref="K100">IFERROR(INDEX(Ipad_List!C:C,MATCH(INDIRECT("All_User!D"&amp;ROW()),Ipad_List!J:J,0)),"없음")</f>
        <v>F2PL7Y4JWM</v>
      </c>
      <c r="L100" s="23" t="str">
        <f t="array" ref="L100">IFERROR(INDEX(TeamsNumber!B:B,MATCH(INDIRECT("All_User!D"&amp;ROW()),TeamsNumber!D:D,0)),"없음")</f>
        <v>tel:+82234517575</v>
      </c>
      <c r="M100" s="23" t="str">
        <f t="array" ref="M100">IFERROR(INDEX(Printer!D:D,MATCH(INDIRECT("All_User!D"&amp;ROW()),Printer!H:H,0)),"없음")</f>
        <v>없음</v>
      </c>
      <c r="N100" s="24" t="str">
        <f t="array" ref="N100">IFERROR(INDEX(Monitor!A:A,MATCH(INDIRECT("All_User!D"&amp;ROW()),Monitor!D:D,0)),"없음")</f>
        <v>없음</v>
      </c>
      <c r="O100" s="24" t="str">
        <f t="shared" si="1"/>
        <v>없음</v>
      </c>
      <c r="P100" s="24" t="str">
        <f t="array" ref="P100">IFERROR(INDEX(sales!E:E,MATCH(D100,sales!C:C,0)),"없음")</f>
        <v>MPS</v>
      </c>
      <c r="Q100" s="24" t="str">
        <f t="array" ref="Q100">IFERROR(INDEX(sales!C:C,MATCH(D100,sales!C:C,0)),"list없음")</f>
        <v>allen.ku@stryker.com</v>
      </c>
      <c r="R100" s="24"/>
    </row>
    <row r="101">
      <c r="A101" s="13">
        <v>115.0</v>
      </c>
      <c r="B101" s="18" t="s">
        <v>441</v>
      </c>
      <c r="C101" s="15" t="s">
        <v>442</v>
      </c>
      <c r="D101" s="15" t="s">
        <v>443</v>
      </c>
      <c r="E101" s="15" t="s">
        <v>444</v>
      </c>
      <c r="F101" s="17" t="s">
        <v>27</v>
      </c>
      <c r="G101" s="18" t="s">
        <v>105</v>
      </c>
      <c r="H101" s="19" t="str">
        <f t="array" ref="H101">IFERROR(INDEX(Lease_List!D:D,MATCH(INDIRECT("All_User!D"&amp;ROW()),Lease_List!H:H,0)),"없음")</f>
        <v>5CD442C07K</v>
      </c>
      <c r="I101" s="22" t="s">
        <v>29</v>
      </c>
      <c r="J101" s="21"/>
      <c r="K101" s="22" t="str">
        <f t="array" ref="K101">IFERROR(INDEX(Ipad_List!C:C,MATCH(INDIRECT("All_User!D"&amp;ROW()),Ipad_List!J:J,0)),"없음")</f>
        <v>M7WVNHQ0YQ</v>
      </c>
      <c r="L101" s="23" t="str">
        <f t="array" ref="L101">IFERROR(INDEX(TeamsNumber!B:B,MATCH(INDIRECT("All_User!D"&amp;ROW()),TeamsNumber!D:D,0)),"없음")</f>
        <v>tel:+82234517547</v>
      </c>
      <c r="M101" s="23" t="str">
        <f t="array" ref="M101">IFERROR(INDEX(Printer!D:D,MATCH(INDIRECT("All_User!D"&amp;ROW()),Printer!H:H,0)),"없음")</f>
        <v>2차 조사 정보 없음</v>
      </c>
      <c r="N101" s="24" t="str">
        <f t="array" ref="N101">IFERROR(INDEX(Monitor!A:A,MATCH(INDIRECT("All_User!D"&amp;ROW()),Monitor!D:D,0)),"없음")</f>
        <v>LCD 모니터</v>
      </c>
      <c r="O101" s="24" t="str">
        <f t="shared" si="1"/>
        <v>없음</v>
      </c>
      <c r="P101" s="24" t="str">
        <f t="array" ref="P101">IFERROR(INDEX(sales!E:E,MATCH(D101,sales!C:C,0)),"없음")</f>
        <v/>
      </c>
      <c r="Q101" s="24"/>
      <c r="R101" s="24"/>
    </row>
    <row r="102">
      <c r="A102" s="13">
        <v>116.0</v>
      </c>
      <c r="B102" s="15" t="s">
        <v>445</v>
      </c>
      <c r="C102" s="15" t="s">
        <v>446</v>
      </c>
      <c r="D102" s="18" t="s">
        <v>447</v>
      </c>
      <c r="E102" s="15" t="s">
        <v>76</v>
      </c>
      <c r="F102" s="17" t="s">
        <v>52</v>
      </c>
      <c r="G102" s="18" t="s">
        <v>53</v>
      </c>
      <c r="H102" s="19" t="str">
        <f t="array" ref="H102">IFERROR(INDEX(Lease_List!D:D,MATCH(INDIRECT("All_User!D"&amp;ROW()),Lease_List!H:H,0)),"없음")</f>
        <v>5CD442C07L</v>
      </c>
      <c r="I102" s="22" t="s">
        <v>29</v>
      </c>
      <c r="J102" s="21"/>
      <c r="K102" s="22" t="str">
        <f t="array" ref="K102">IFERROR(INDEX(Ipad_List!C:C,MATCH(INDIRECT("All_User!D"&amp;ROW()),Ipad_List!J:J,0)),"없음")</f>
        <v>KXDGGF9C90</v>
      </c>
      <c r="L102" s="23" t="str">
        <f t="array" ref="L102">IFERROR(INDEX(TeamsNumber!B:B,MATCH(INDIRECT("All_User!D"&amp;ROW()),TeamsNumber!D:D,0)),"없음")</f>
        <v>tel:+82234517613</v>
      </c>
      <c r="M102" s="23" t="str">
        <f t="array" ref="M102">IFERROR(INDEX(Printer!D:D,MATCH(INDIRECT("All_User!D"&amp;ROW()),Printer!H:H,0)),"없음")</f>
        <v>SL-C563W</v>
      </c>
      <c r="N102" s="24" t="str">
        <f t="array" ref="N102">IFERROR(INDEX(Monitor!A:A,MATCH(INDIRECT("All_User!D"&amp;ROW()),Monitor!D:D,0)),"없음")</f>
        <v>없음</v>
      </c>
      <c r="O102" s="24" t="str">
        <f t="shared" si="1"/>
        <v>없음</v>
      </c>
      <c r="P102" s="24" t="str">
        <f t="array" ref="P102">IFERROR(INDEX(sales!E:E,MATCH(D102,sales!C:C,0)),"없음")</f>
        <v>Sales</v>
      </c>
      <c r="Q102" s="24" t="str">
        <f t="array" ref="Q102">IFERROR(INDEX(sales!C:C,MATCH(D102,sales!C:C,0)),"list없음")</f>
        <v>joy.lee@stryker.com</v>
      </c>
      <c r="R102" s="24"/>
    </row>
    <row r="103">
      <c r="A103" s="13">
        <v>117.0</v>
      </c>
      <c r="B103" s="18" t="s">
        <v>448</v>
      </c>
      <c r="C103" s="15" t="s">
        <v>449</v>
      </c>
      <c r="D103" s="15" t="s">
        <v>450</v>
      </c>
      <c r="E103" s="15" t="s">
        <v>451</v>
      </c>
      <c r="F103" s="17" t="s">
        <v>104</v>
      </c>
      <c r="G103" s="15" t="s">
        <v>452</v>
      </c>
      <c r="H103" s="19" t="str">
        <f t="array" ref="H103">IFERROR(INDEX(Lease_List!D:D,MATCH(INDIRECT("All_User!D"&amp;ROW()),Lease_List!H:H,0)),"없음")</f>
        <v>5CG53403DF</v>
      </c>
      <c r="I103" s="22" t="s">
        <v>29</v>
      </c>
      <c r="J103" s="21"/>
      <c r="K103" s="22" t="str">
        <f t="array" ref="K103">IFERROR(INDEX(Ipad_List!C:C,MATCH(INDIRECT("All_User!D"&amp;ROW()),Ipad_List!J:J,0)),"없음")</f>
        <v>없음</v>
      </c>
      <c r="L103" s="23" t="str">
        <f t="array" ref="L103">IFERROR(INDEX(TeamsNumber!B:B,MATCH(INDIRECT("All_User!D"&amp;ROW()),TeamsNumber!D:D,0)),"없음")</f>
        <v>tel:+82234517651</v>
      </c>
      <c r="M103" s="23" t="str">
        <f t="array" ref="M103">IFERROR(INDEX(Printer!D:D,MATCH(INDIRECT("All_User!D"&amp;ROW()),Printer!H:H,0)),"없음")</f>
        <v>없음</v>
      </c>
      <c r="N103" s="24" t="str">
        <f t="array" ref="N103">IFERROR(INDEX(Monitor!A:A,MATCH(INDIRECT("All_User!D"&amp;ROW()),Monitor!D:D,0)),"없음")</f>
        <v>LCD 모니터</v>
      </c>
      <c r="O103" s="24" t="str">
        <f t="shared" si="1"/>
        <v>없음</v>
      </c>
      <c r="P103" s="24" t="str">
        <f t="array" ref="P103">IFERROR(INDEX(sales!E:E,MATCH(D103,sales!C:C,0)),"없음")</f>
        <v>없음</v>
      </c>
      <c r="Q103" s="24"/>
      <c r="R103" s="24"/>
    </row>
    <row r="104">
      <c r="A104" s="13">
        <v>118.0</v>
      </c>
      <c r="B104" s="15" t="s">
        <v>453</v>
      </c>
      <c r="C104" s="15" t="s">
        <v>454</v>
      </c>
      <c r="D104" s="15" t="s">
        <v>455</v>
      </c>
      <c r="E104" s="18" t="s">
        <v>456</v>
      </c>
      <c r="F104" s="17" t="s">
        <v>67</v>
      </c>
      <c r="G104" s="18" t="s">
        <v>68</v>
      </c>
      <c r="H104" s="19" t="str">
        <f t="array" ref="H104">IFERROR(INDEX(Lease_List!D:D,MATCH(INDIRECT("All_User!D"&amp;ROW()),Lease_List!H:H,0)),"없음")</f>
        <v>5CD3469HD7</v>
      </c>
      <c r="I104" s="22" t="s">
        <v>29</v>
      </c>
      <c r="J104" s="21"/>
      <c r="K104" s="22" t="str">
        <f t="array" ref="K104">IFERROR(INDEX(Ipad_List!C:C,MATCH(INDIRECT("All_User!D"&amp;ROW()),Ipad_List!J:J,0)),"없음")</f>
        <v>없음</v>
      </c>
      <c r="L104" s="23" t="str">
        <f t="array" ref="L104">IFERROR(INDEX(TeamsNumber!B:B,MATCH(INDIRECT("All_User!D"&amp;ROW()),TeamsNumber!D:D,0)),"없음")</f>
        <v>tel:+82234517521</v>
      </c>
      <c r="M104" s="23" t="str">
        <f t="array" ref="M104">IFERROR(INDEX(Printer!D:D,MATCH(INDIRECT("All_User!D"&amp;ROW()),Printer!H:H,0)),"없음")</f>
        <v>없음</v>
      </c>
      <c r="N104" s="24" t="str">
        <f t="array" ref="N104">IFERROR(INDEX(Monitor!A:A,MATCH(INDIRECT("All_User!D"&amp;ROW()),Monitor!D:D,0)),"없음")</f>
        <v>LCD 모니터</v>
      </c>
      <c r="O104" s="24" t="str">
        <f t="shared" si="1"/>
        <v>없음</v>
      </c>
      <c r="P104" s="24" t="str">
        <f t="array" ref="P104">IFERROR(INDEX(sales!E:E,MATCH(D104,sales!C:C,0)),"없음")</f>
        <v>없음</v>
      </c>
      <c r="Q104" s="24"/>
      <c r="R104" s="24"/>
    </row>
    <row r="105">
      <c r="A105" s="13">
        <v>119.0</v>
      </c>
      <c r="B105" s="15" t="s">
        <v>457</v>
      </c>
      <c r="C105" s="15" t="s">
        <v>458</v>
      </c>
      <c r="D105" s="18" t="s">
        <v>459</v>
      </c>
      <c r="E105" s="15" t="s">
        <v>460</v>
      </c>
      <c r="F105" s="17" t="s">
        <v>34</v>
      </c>
      <c r="G105" s="18" t="s">
        <v>35</v>
      </c>
      <c r="H105" s="19" t="str">
        <f t="array" ref="H105">IFERROR(INDEX(Lease_List!D:D,MATCH(INDIRECT("All_User!D"&amp;ROW()),Lease_List!H:H,0)),"없음")</f>
        <v>5CD4232BFP</v>
      </c>
      <c r="I105" s="22" t="s">
        <v>29</v>
      </c>
      <c r="J105" s="21"/>
      <c r="K105" s="22" t="str">
        <f t="array" ref="K105">IFERROR(INDEX(Ipad_List!C:C,MATCH(INDIRECT("All_User!D"&amp;ROW()),Ipad_List!J:J,0)),"없음")</f>
        <v>Q0C6LC7F3X</v>
      </c>
      <c r="L105" s="23" t="str">
        <f t="array" ref="L105">IFERROR(INDEX(TeamsNumber!B:B,MATCH(INDIRECT("All_User!D"&amp;ROW()),TeamsNumber!D:D,0)),"없음")</f>
        <v>tel:+82234517531</v>
      </c>
      <c r="M105" s="23" t="str">
        <f t="array" ref="M105">IFERROR(INDEX(Printer!D:D,MATCH(INDIRECT("All_User!D"&amp;ROW()),Printer!H:H,0)),"없음")</f>
        <v>SL-C563W</v>
      </c>
      <c r="N105" s="24" t="str">
        <f t="array" ref="N105">IFERROR(INDEX(Monitor!A:A,MATCH(INDIRECT("All_User!D"&amp;ROW()),Monitor!D:D,0)),"없음")</f>
        <v>없음</v>
      </c>
      <c r="O105" s="24" t="str">
        <f t="shared" si="1"/>
        <v>없음</v>
      </c>
      <c r="P105" s="24" t="str">
        <f t="array" ref="P105">IFERROR(INDEX(sales!E:E,MATCH(D105,sales!C:C,0)),"없음")</f>
        <v>TS</v>
      </c>
      <c r="Q105" s="24" t="str">
        <f t="array" ref="Q105">IFERROR(INDEX(sales!C:C,MATCH(D105,sales!C:C,0)),"list없음")</f>
        <v>david.lee4@stryker.com</v>
      </c>
      <c r="R105" s="24"/>
    </row>
    <row r="106">
      <c r="A106" s="13">
        <v>120.0</v>
      </c>
      <c r="B106" s="15" t="s">
        <v>461</v>
      </c>
      <c r="C106" s="15" t="s">
        <v>462</v>
      </c>
      <c r="D106" s="18" t="s">
        <v>463</v>
      </c>
      <c r="E106" s="15" t="s">
        <v>72</v>
      </c>
      <c r="F106" s="17" t="s">
        <v>27</v>
      </c>
      <c r="G106" s="18" t="s">
        <v>28</v>
      </c>
      <c r="H106" s="19" t="str">
        <f t="array" ref="H106">IFERROR(INDEX(Lease_List!D:D,MATCH(INDIRECT("All_User!D"&amp;ROW()),Lease_List!H:H,0)),"없음")</f>
        <v>5CD3469HD1</v>
      </c>
      <c r="I106" s="22" t="s">
        <v>29</v>
      </c>
      <c r="J106" s="21"/>
      <c r="K106" s="22" t="str">
        <f t="array" ref="K106">IFERROR(INDEX(Ipad_List!C:C,MATCH(INDIRECT("All_User!D"&amp;ROW()),Ipad_List!J:J,0)),"없음")</f>
        <v>XD791W017Y</v>
      </c>
      <c r="L106" s="23" t="str">
        <f t="array" ref="L106">IFERROR(INDEX(TeamsNumber!B:B,MATCH(INDIRECT("All_User!D"&amp;ROW()),TeamsNumber!D:D,0)),"없음")</f>
        <v>tel:+82234517579</v>
      </c>
      <c r="M106" s="23" t="str">
        <f t="array" ref="M106">IFERROR(INDEX(Printer!D:D,MATCH(INDIRECT("All_User!D"&amp;ROW()),Printer!H:H,0)),"없음")</f>
        <v>없음</v>
      </c>
      <c r="N106" s="24" t="str">
        <f t="array" ref="N106">IFERROR(INDEX(Monitor!A:A,MATCH(INDIRECT("All_User!D"&amp;ROW()),Monitor!D:D,0)),"없음")</f>
        <v>없음</v>
      </c>
      <c r="O106" s="24" t="str">
        <f t="shared" si="1"/>
        <v>없음</v>
      </c>
      <c r="P106" s="24" t="str">
        <f t="array" ref="P106">IFERROR(INDEX(sales!E:E,MATCH(D106,sales!C:C,0)),"없음")</f>
        <v>MPS</v>
      </c>
      <c r="Q106" s="24" t="str">
        <f t="array" ref="Q106">IFERROR(INDEX(sales!C:C,MATCH(D106,sales!C:C,0)),"list없음")</f>
        <v>nathan.lee@stryker.com</v>
      </c>
      <c r="R106" s="24"/>
    </row>
    <row r="107">
      <c r="A107" s="13">
        <v>121.0</v>
      </c>
      <c r="B107" s="15" t="s">
        <v>464</v>
      </c>
      <c r="C107" s="15" t="s">
        <v>465</v>
      </c>
      <c r="D107" s="18" t="s">
        <v>466</v>
      </c>
      <c r="E107" s="15" t="s">
        <v>275</v>
      </c>
      <c r="F107" s="17" t="s">
        <v>27</v>
      </c>
      <c r="G107" s="15" t="s">
        <v>137</v>
      </c>
      <c r="H107" s="19" t="str">
        <f t="array" ref="H107">IFERROR(INDEX(Lease_List!D:D,MATCH(INDIRECT("All_User!D"&amp;ROW()),Lease_List!H:H,0)),"없음")</f>
        <v>5CD3469HDH</v>
      </c>
      <c r="I107" s="22" t="s">
        <v>29</v>
      </c>
      <c r="J107" s="21"/>
      <c r="K107" s="22" t="str">
        <f t="array" ref="K107">IFERROR(INDEX(Ipad_List!C:C,MATCH(INDIRECT("All_User!D"&amp;ROW()),Ipad_List!J:J,0)),"없음")</f>
        <v>GWR3CYT2GJ</v>
      </c>
      <c r="L107" s="23" t="str">
        <f t="array" ref="L107">IFERROR(INDEX(TeamsNumber!B:B,MATCH(INDIRECT("All_User!D"&amp;ROW()),TeamsNumber!D:D,0)),"없음")</f>
        <v>tel:+82234517562</v>
      </c>
      <c r="M107" s="23" t="str">
        <f t="array" ref="M107">IFERROR(INDEX(Printer!D:D,MATCH(INDIRECT("All_User!D"&amp;ROW()),Printer!H:H,0)),"없음")</f>
        <v>없음</v>
      </c>
      <c r="N107" s="24" t="str">
        <f t="array" ref="N107">IFERROR(INDEX(Monitor!A:A,MATCH(INDIRECT("All_User!D"&amp;ROW()),Monitor!D:D,0)),"없음")</f>
        <v>없음</v>
      </c>
      <c r="O107" s="24" t="str">
        <f t="shared" si="1"/>
        <v>없음</v>
      </c>
      <c r="P107" s="24" t="str">
        <f t="array" ref="P107">IFERROR(INDEX(sales!E:E,MATCH(D107,sales!C:C,0)),"없음")</f>
        <v>MKT</v>
      </c>
      <c r="Q107" s="24" t="str">
        <f t="array" ref="Q107">IFERROR(INDEX(sales!C:C,MATCH(D107,sales!C:C,0)),"list없음")</f>
        <v>rosie.lee@stryker.com</v>
      </c>
      <c r="R107" s="24"/>
    </row>
    <row r="108">
      <c r="A108" s="13">
        <v>122.0</v>
      </c>
      <c r="B108" s="15" t="s">
        <v>467</v>
      </c>
      <c r="C108" s="15" t="s">
        <v>468</v>
      </c>
      <c r="D108" s="18" t="s">
        <v>469</v>
      </c>
      <c r="E108" s="15" t="s">
        <v>470</v>
      </c>
      <c r="F108" s="17" t="s">
        <v>34</v>
      </c>
      <c r="G108" s="18" t="s">
        <v>94</v>
      </c>
      <c r="H108" s="19" t="str">
        <f t="array" ref="H108">IFERROR(INDEX(Lease_List!D:D,MATCH(INDIRECT("All_User!D"&amp;ROW()),Lease_List!H:H,0)),"없음")</f>
        <v>5CD5062YDZ</v>
      </c>
      <c r="I108" s="22" t="s">
        <v>29</v>
      </c>
      <c r="J108" s="21"/>
      <c r="K108" s="22" t="str">
        <f t="array" ref="K108">IFERROR(INDEX(Ipad_List!C:C,MATCH(INDIRECT("All_User!D"&amp;ROW()),Ipad_List!J:J,0)),"없음")</f>
        <v>FN47DRXYYW</v>
      </c>
      <c r="L108" s="23" t="str">
        <f t="array" ref="L108">IFERROR(INDEX(TeamsNumber!B:B,MATCH(INDIRECT("All_User!D"&amp;ROW()),TeamsNumber!D:D,0)),"없음")</f>
        <v>tel:+82234517691</v>
      </c>
      <c r="M108" s="23" t="str">
        <f t="array" ref="M108">IFERROR(INDEX(Printer!D:D,MATCH(INDIRECT("All_User!D"&amp;ROW()),Printer!H:H,0)),"없음")</f>
        <v>SL-C563W</v>
      </c>
      <c r="N108" s="24" t="str">
        <f t="array" ref="N108">IFERROR(INDEX(Monitor!A:A,MATCH(INDIRECT("All_User!D"&amp;ROW()),Monitor!D:D,0)),"없음")</f>
        <v>없음</v>
      </c>
      <c r="O108" s="24" t="str">
        <f t="shared" si="1"/>
        <v>없음</v>
      </c>
      <c r="P108" s="24" t="str">
        <f t="array" ref="P108">IFERROR(INDEX(sales!E:E,MATCH(D108,sales!C:C,0)),"없음")</f>
        <v>TS</v>
      </c>
      <c r="Q108" s="24" t="str">
        <f t="array" ref="Q108">IFERROR(INDEX(sales!C:C,MATCH(D108,sales!C:C,0)),"list없음")</f>
        <v>daniel.lee1@stryker.com</v>
      </c>
      <c r="R108" s="24"/>
    </row>
    <row r="109">
      <c r="A109" s="13">
        <v>123.0</v>
      </c>
      <c r="B109" s="15" t="s">
        <v>471</v>
      </c>
      <c r="C109" s="15" t="s">
        <v>472</v>
      </c>
      <c r="D109" s="18" t="s">
        <v>473</v>
      </c>
      <c r="E109" s="15" t="s">
        <v>76</v>
      </c>
      <c r="F109" s="17" t="s">
        <v>52</v>
      </c>
      <c r="G109" s="18" t="s">
        <v>53</v>
      </c>
      <c r="H109" s="19" t="str">
        <f t="array" ref="H109">IFERROR(INDEX(Lease_List!D:D,MATCH(INDIRECT("All_User!D"&amp;ROW()),Lease_List!H:H,0)),"없음")</f>
        <v>5CD5179KH2</v>
      </c>
      <c r="I109" s="34"/>
      <c r="J109" s="21"/>
      <c r="K109" s="22" t="str">
        <f t="array" ref="K109">IFERROR(INDEX(Ipad_List!C:C,MATCH(INDIRECT("All_User!D"&amp;ROW()),Ipad_List!J:J,0)),"없음")</f>
        <v>JN14143DQC</v>
      </c>
      <c r="L109" s="23" t="str">
        <f t="array" ref="L109">IFERROR(INDEX(TeamsNumber!B:B,MATCH(INDIRECT("All_User!D"&amp;ROW()),TeamsNumber!D:D,0)),"없음")</f>
        <v>tel:+82234517606</v>
      </c>
      <c r="M109" s="23" t="str">
        <f t="array" ref="M109">IFERROR(INDEX(Printer!D:D,MATCH(INDIRECT("All_User!D"&amp;ROW()),Printer!H:H,0)),"없음")</f>
        <v>SL-C486FW</v>
      </c>
      <c r="N109" s="24" t="str">
        <f t="array" ref="N109">IFERROR(INDEX(Monitor!A:A,MATCH(INDIRECT("All_User!D"&amp;ROW()),Monitor!D:D,0)),"없음")</f>
        <v>없음</v>
      </c>
      <c r="O109" s="24" t="str">
        <f t="shared" si="1"/>
        <v>없음</v>
      </c>
      <c r="P109" s="24" t="str">
        <f t="array" ref="P109">IFERROR(INDEX(sales!E:E,MATCH(D109,sales!C:C,0)),"없음")</f>
        <v>Sales</v>
      </c>
      <c r="Q109" s="24" t="str">
        <f t="array" ref="Q109">IFERROR(INDEX(sales!C:C,MATCH(D109,sales!C:C,0)),"list없음")</f>
        <v>henry.lee@stryker.com</v>
      </c>
      <c r="R109" s="24"/>
    </row>
    <row r="110">
      <c r="A110" s="13">
        <v>124.0</v>
      </c>
      <c r="B110" s="15" t="s">
        <v>474</v>
      </c>
      <c r="C110" s="15" t="s">
        <v>475</v>
      </c>
      <c r="D110" s="18" t="s">
        <v>476</v>
      </c>
      <c r="E110" s="15" t="s">
        <v>141</v>
      </c>
      <c r="F110" s="27" t="s">
        <v>77</v>
      </c>
      <c r="G110" s="18" t="s">
        <v>53</v>
      </c>
      <c r="H110" s="19" t="str">
        <f t="array" ref="H110">IFERROR(INDEX(Lease_List!D:D,MATCH(INDIRECT("All_User!D"&amp;ROW()),Lease_List!H:H,0)),"없음")</f>
        <v>없음</v>
      </c>
      <c r="I110" s="20" t="s">
        <v>477</v>
      </c>
      <c r="J110" s="21"/>
      <c r="K110" s="22" t="str">
        <f t="array" ref="K110">IFERROR(INDEX(Ipad_List!C:C,MATCH(INDIRECT("All_User!D"&amp;ROW()),Ipad_List!J:J,0)),"없음")</f>
        <v>LHJDGDMQCH</v>
      </c>
      <c r="L110" s="23" t="str">
        <f t="array" ref="L110">IFERROR(INDEX(TeamsNumber!B:B,MATCH(INDIRECT("All_User!D"&amp;ROW()),TeamsNumber!D:D,0)),"없음")</f>
        <v>tel:+82234517563</v>
      </c>
      <c r="M110" s="23" t="str">
        <f t="array" ref="M110">IFERROR(INDEX(Printer!D:D,MATCH(INDIRECT("All_User!D"&amp;ROW()),Printer!H:H,0)),"없음")</f>
        <v>SL-C563W</v>
      </c>
      <c r="N110" s="24" t="str">
        <f t="array" ref="N110">IFERROR(INDEX(Monitor!A:A,MATCH(INDIRECT("All_User!D"&amp;ROW()),Monitor!D:D,0)),"없음")</f>
        <v>없음</v>
      </c>
      <c r="O110" s="24" t="str">
        <f t="shared" si="1"/>
        <v>없음</v>
      </c>
      <c r="P110" s="24" t="str">
        <f t="array" ref="P110">IFERROR(INDEX(sales!E:E,MATCH(D110,sales!C:C,0)),"없음")</f>
        <v>Sales</v>
      </c>
      <c r="Q110" s="24" t="str">
        <f t="array" ref="Q110">IFERROR(INDEX(sales!C:C,MATCH(D110,sales!C:C,0)),"list없음")</f>
        <v>ayaan.lee@stryker.com</v>
      </c>
      <c r="R110" s="24"/>
    </row>
    <row r="111">
      <c r="A111" s="13">
        <v>125.0</v>
      </c>
      <c r="B111" s="15" t="s">
        <v>478</v>
      </c>
      <c r="C111" s="15" t="s">
        <v>479</v>
      </c>
      <c r="D111" s="18" t="s">
        <v>480</v>
      </c>
      <c r="E111" s="15" t="s">
        <v>481</v>
      </c>
      <c r="F111" s="33" t="s">
        <v>257</v>
      </c>
      <c r="G111" s="18" t="s">
        <v>329</v>
      </c>
      <c r="H111" s="19" t="str">
        <f t="array" ref="H111">IFERROR(INDEX(Lease_List!D:D,MATCH(INDIRECT("All_User!D"&amp;ROW()),Lease_List!H:H,0)),"없음")</f>
        <v>없음</v>
      </c>
      <c r="I111" s="22" t="s">
        <v>118</v>
      </c>
      <c r="J111" s="21"/>
      <c r="K111" s="22" t="str">
        <f t="array" ref="K111">IFERROR(INDEX(Ipad_List!C:C,MATCH(INDIRECT("All_User!D"&amp;ROW()),Ipad_List!J:J,0)),"없음")</f>
        <v>없음</v>
      </c>
      <c r="L111" s="23" t="str">
        <f t="array" ref="L111">IFERROR(INDEX(TeamsNumber!B:B,MATCH(INDIRECT("All_User!D"&amp;ROW()),TeamsNumber!D:D,0)),"없음")</f>
        <v>없음</v>
      </c>
      <c r="M111" s="23" t="str">
        <f t="array" ref="M111">IFERROR(INDEX(Printer!D:D,MATCH(INDIRECT("All_User!D"&amp;ROW()),Printer!H:H,0)),"없음")</f>
        <v>없음</v>
      </c>
      <c r="N111" s="24" t="str">
        <f t="array" ref="N111">IFERROR(INDEX(Monitor!A:A,MATCH(INDIRECT("All_User!D"&amp;ROW()),Monitor!D:D,0)),"없음")</f>
        <v>없음</v>
      </c>
      <c r="O111" s="24" t="str">
        <f t="shared" si="1"/>
        <v>없음</v>
      </c>
      <c r="P111" s="24" t="str">
        <f t="array" ref="P111">IFERROR(INDEX(sales!E:E,MATCH(D111,sales!C:C,0)),"없음")</f>
        <v>없음</v>
      </c>
      <c r="Q111" s="24"/>
      <c r="R111" s="24"/>
    </row>
    <row r="112">
      <c r="A112" s="13">
        <v>126.0</v>
      </c>
      <c r="B112" s="15" t="s">
        <v>482</v>
      </c>
      <c r="C112" s="15" t="s">
        <v>483</v>
      </c>
      <c r="D112" s="18" t="s">
        <v>484</v>
      </c>
      <c r="E112" s="18" t="s">
        <v>485</v>
      </c>
      <c r="F112" s="17" t="s">
        <v>62</v>
      </c>
      <c r="G112" s="18" t="s">
        <v>62</v>
      </c>
      <c r="H112" s="19" t="str">
        <f t="array" ref="H112">IFERROR(INDEX(Lease_List!D:D,MATCH(INDIRECT("All_User!D"&amp;ROW()),Lease_List!H:H,0)),"없음")</f>
        <v>5CD4305D91</v>
      </c>
      <c r="I112" s="22" t="s">
        <v>486</v>
      </c>
      <c r="J112" s="21"/>
      <c r="K112" s="22" t="str">
        <f t="array" ref="K112">IFERROR(INDEX(Ipad_List!C:C,MATCH(INDIRECT("All_User!D"&amp;ROW()),Ipad_List!J:J,0)),"없음")</f>
        <v>없음</v>
      </c>
      <c r="L112" s="23" t="str">
        <f t="array" ref="L112">IFERROR(INDEX(TeamsNumber!B:B,MATCH(INDIRECT("All_User!D"&amp;ROW()),TeamsNumber!D:D,0)),"없음")</f>
        <v>tel:+82234517645</v>
      </c>
      <c r="M112" s="23" t="str">
        <f t="array" ref="M112">IFERROR(INDEX(Printer!D:D,MATCH(INDIRECT("All_User!D"&amp;ROW()),Printer!H:H,0)),"없음")</f>
        <v>없음</v>
      </c>
      <c r="N112" s="24" t="str">
        <f t="array" ref="N112">IFERROR(INDEX(Monitor!A:A,MATCH(INDIRECT("All_User!D"&amp;ROW()),Monitor!D:D,0)),"없음")</f>
        <v>없음</v>
      </c>
      <c r="O112" s="24" t="str">
        <f t="shared" si="1"/>
        <v>없음</v>
      </c>
      <c r="P112" s="24" t="str">
        <f t="array" ref="P112">IFERROR(INDEX(sales!E:E,MATCH(D112,sales!C:C,0)),"없음")</f>
        <v>없음</v>
      </c>
      <c r="Q112" s="24"/>
      <c r="R112" s="24"/>
    </row>
    <row r="113">
      <c r="A113" s="13">
        <v>127.0</v>
      </c>
      <c r="B113" s="15" t="s">
        <v>487</v>
      </c>
      <c r="C113" s="15" t="s">
        <v>488</v>
      </c>
      <c r="D113" s="15" t="s">
        <v>489</v>
      </c>
      <c r="E113" s="15" t="s">
        <v>383</v>
      </c>
      <c r="F113" s="17" t="s">
        <v>104</v>
      </c>
      <c r="G113" s="15" t="s">
        <v>354</v>
      </c>
      <c r="H113" s="19" t="str">
        <f t="array" ref="H113">IFERROR(INDEX(Lease_List!D:D,MATCH(INDIRECT("All_User!D"&amp;ROW()),Lease_List!H:H,0)),"없음")</f>
        <v>5CD3469HDF</v>
      </c>
      <c r="I113" s="22" t="s">
        <v>29</v>
      </c>
      <c r="J113" s="21"/>
      <c r="K113" s="22" t="str">
        <f t="array" ref="K113">IFERROR(INDEX(Ipad_List!C:C,MATCH(INDIRECT("All_User!D"&amp;ROW()),Ipad_List!J:J,0)),"없음")</f>
        <v>없음</v>
      </c>
      <c r="L113" s="23" t="str">
        <f t="array" ref="L113">IFERROR(INDEX(TeamsNumber!B:B,MATCH(INDIRECT("All_User!D"&amp;ROW()),TeamsNumber!D:D,0)),"없음")</f>
        <v>tel:+82234517502</v>
      </c>
      <c r="M113" s="23" t="str">
        <f t="array" ref="M113">IFERROR(INDEX(Printer!D:D,MATCH(INDIRECT("All_User!D"&amp;ROW()),Printer!H:H,0)),"없음")</f>
        <v>없음</v>
      </c>
      <c r="N113" s="24" t="str">
        <f t="array" ref="N113">IFERROR(INDEX(Monitor!A:A,MATCH(INDIRECT("All_User!D"&amp;ROW()),Monitor!D:D,0)),"없음")</f>
        <v>없음</v>
      </c>
      <c r="O113" s="24" t="str">
        <f t="shared" si="1"/>
        <v>없음</v>
      </c>
      <c r="P113" s="24" t="str">
        <f t="array" ref="P113">IFERROR(INDEX(sales!E:E,MATCH(D113,sales!C:C,0)),"없음")</f>
        <v>없음</v>
      </c>
      <c r="Q113" s="24"/>
      <c r="R113" s="24"/>
    </row>
    <row r="114">
      <c r="A114" s="13">
        <v>128.0</v>
      </c>
      <c r="B114" s="15" t="s">
        <v>490</v>
      </c>
      <c r="C114" s="15" t="s">
        <v>491</v>
      </c>
      <c r="D114" s="15" t="s">
        <v>492</v>
      </c>
      <c r="E114" s="18" t="s">
        <v>493</v>
      </c>
      <c r="F114" s="17" t="s">
        <v>34</v>
      </c>
      <c r="G114" s="18" t="s">
        <v>493</v>
      </c>
      <c r="H114" s="19" t="str">
        <f t="array" ref="H114">IFERROR(INDEX(Lease_List!D:D,MATCH(INDIRECT("All_User!D"&amp;ROW()),Lease_List!H:H,0)),"없음")</f>
        <v>5CD4305D8T</v>
      </c>
      <c r="I114" s="22" t="s">
        <v>29</v>
      </c>
      <c r="J114" s="21"/>
      <c r="K114" s="22" t="str">
        <f t="array" ref="K114">IFERROR(INDEX(Ipad_List!C:C,MATCH(INDIRECT("All_User!D"&amp;ROW()),Ipad_List!J:J,0)),"없음")</f>
        <v>없음</v>
      </c>
      <c r="L114" s="23" t="str">
        <f t="array" ref="L114">IFERROR(INDEX(TeamsNumber!B:B,MATCH(INDIRECT("All_User!D"&amp;ROW()),TeamsNumber!D:D,0)),"없음")</f>
        <v>tel:+82234517625</v>
      </c>
      <c r="M114" s="23" t="str">
        <f t="array" ref="M114">IFERROR(INDEX(Printer!D:D,MATCH(INDIRECT("All_User!D"&amp;ROW()),Printer!H:H,0)),"없음")</f>
        <v>없음</v>
      </c>
      <c r="N114" s="24" t="str">
        <f t="array" ref="N114">IFERROR(INDEX(Monitor!A:A,MATCH(INDIRECT("All_User!D"&amp;ROW()),Monitor!D:D,0)),"없음")</f>
        <v>없음</v>
      </c>
      <c r="O114" s="24" t="str">
        <f t="shared" si="1"/>
        <v>없음</v>
      </c>
      <c r="P114" s="24" t="str">
        <f t="array" ref="P114">IFERROR(INDEX(sales!E:E,MATCH(D114,sales!C:C,0)),"없음")</f>
        <v>없음</v>
      </c>
      <c r="Q114" s="24"/>
      <c r="R114" s="24"/>
    </row>
    <row r="115">
      <c r="A115" s="13">
        <v>129.0</v>
      </c>
      <c r="B115" s="15" t="s">
        <v>494</v>
      </c>
      <c r="C115" s="15" t="s">
        <v>495</v>
      </c>
      <c r="D115" s="18" t="s">
        <v>496</v>
      </c>
      <c r="E115" s="18" t="s">
        <v>497</v>
      </c>
      <c r="F115" s="17" t="s">
        <v>62</v>
      </c>
      <c r="G115" s="18" t="s">
        <v>62</v>
      </c>
      <c r="H115" s="19" t="str">
        <f t="array" ref="H115">IFERROR(INDEX(Lease_List!D:D,MATCH(INDIRECT("All_User!D"&amp;ROW()),Lease_List!H:H,0)),"없음")</f>
        <v>5CD442C077</v>
      </c>
      <c r="I115" s="22" t="s">
        <v>29</v>
      </c>
      <c r="J115" s="21"/>
      <c r="K115" s="22" t="str">
        <f t="array" ref="K115">IFERROR(INDEX(Ipad_List!C:C,MATCH(INDIRECT("All_User!D"&amp;ROW()),Ipad_List!J:J,0)),"없음")</f>
        <v>없음</v>
      </c>
      <c r="L115" s="23" t="str">
        <f t="array" ref="L115">IFERROR(INDEX(TeamsNumber!B:B,MATCH(INDIRECT("All_User!D"&amp;ROW()),TeamsNumber!D:D,0)),"없음")</f>
        <v>tel:+82234517652</v>
      </c>
      <c r="M115" s="23" t="str">
        <f t="array" ref="M115">IFERROR(INDEX(Printer!D:D,MATCH(INDIRECT("All_User!D"&amp;ROW()),Printer!H:H,0)),"없음")</f>
        <v>없음</v>
      </c>
      <c r="N115" s="24" t="str">
        <f t="array" ref="N115">IFERROR(INDEX(Monitor!A:A,MATCH(INDIRECT("All_User!D"&amp;ROW()),Monitor!D:D,0)),"없음")</f>
        <v>없음</v>
      </c>
      <c r="O115" s="24" t="str">
        <f t="shared" si="1"/>
        <v>없음</v>
      </c>
      <c r="P115" s="24" t="str">
        <f t="array" ref="P115">IFERROR(INDEX(sales!E:E,MATCH(D115,sales!C:C,0)),"없음")</f>
        <v>없음</v>
      </c>
      <c r="Q115" s="24"/>
      <c r="R115" s="24"/>
    </row>
    <row r="116">
      <c r="A116" s="13">
        <v>130.0</v>
      </c>
      <c r="B116" s="15" t="s">
        <v>498</v>
      </c>
      <c r="C116" s="15" t="s">
        <v>499</v>
      </c>
      <c r="D116" s="15" t="s">
        <v>500</v>
      </c>
      <c r="E116" s="18" t="s">
        <v>46</v>
      </c>
      <c r="F116" s="17" t="s">
        <v>41</v>
      </c>
      <c r="G116" s="18" t="s">
        <v>47</v>
      </c>
      <c r="H116" s="19" t="str">
        <f t="array" ref="H116">IFERROR(INDEX(Lease_List!D:D,MATCH(INDIRECT("All_User!D"&amp;ROW()),Lease_List!H:H,0)),"없음")</f>
        <v>5CD4232BFR</v>
      </c>
      <c r="I116" s="22" t="s">
        <v>29</v>
      </c>
      <c r="J116" s="21"/>
      <c r="K116" s="22" t="str">
        <f t="array" ref="K116">IFERROR(INDEX(Ipad_List!C:C,MATCH(INDIRECT("All_User!D"&amp;ROW()),Ipad_List!J:J,0)),"없음")</f>
        <v>없음</v>
      </c>
      <c r="L116" s="23" t="str">
        <f t="array" ref="L116">IFERROR(INDEX(TeamsNumber!B:B,MATCH(INDIRECT("All_User!D"&amp;ROW()),TeamsNumber!D:D,0)),"없음")</f>
        <v>tel:+82234517585</v>
      </c>
      <c r="M116" s="23" t="str">
        <f t="array" ref="M116">IFERROR(INDEX(Printer!D:D,MATCH(INDIRECT("All_User!D"&amp;ROW()),Printer!H:H,0)),"없음")</f>
        <v>없음</v>
      </c>
      <c r="N116" s="24" t="str">
        <f t="array" ref="N116">IFERROR(INDEX(Monitor!A:A,MATCH(INDIRECT("All_User!D"&amp;ROW()),Monitor!D:D,0)),"없음")</f>
        <v>없음</v>
      </c>
      <c r="O116" s="24" t="str">
        <f t="shared" si="1"/>
        <v>없음</v>
      </c>
      <c r="P116" s="24" t="str">
        <f t="array" ref="P116">IFERROR(INDEX(sales!E:E,MATCH(D116,sales!C:C,0)),"없음")</f>
        <v>없음</v>
      </c>
      <c r="Q116" s="24"/>
      <c r="R116" s="24"/>
    </row>
    <row r="117">
      <c r="A117" s="13">
        <v>131.0</v>
      </c>
      <c r="B117" s="18" t="s">
        <v>501</v>
      </c>
      <c r="C117" s="15" t="s">
        <v>502</v>
      </c>
      <c r="D117" s="15" t="s">
        <v>503</v>
      </c>
      <c r="E117" s="15" t="s">
        <v>504</v>
      </c>
      <c r="F117" s="17" t="s">
        <v>52</v>
      </c>
      <c r="G117" s="18" t="s">
        <v>105</v>
      </c>
      <c r="H117" s="19" t="str">
        <f t="array" ref="H117">IFERROR(INDEX(Lease_List!D:D,MATCH(INDIRECT("All_User!D"&amp;ROW()),Lease_List!H:H,0)),"없음")</f>
        <v>없음</v>
      </c>
      <c r="I117" s="22" t="s">
        <v>29</v>
      </c>
      <c r="J117" s="25" t="s">
        <v>505</v>
      </c>
      <c r="K117" s="22" t="str">
        <f t="array" ref="K117">IFERROR(INDEX(Ipad_List!C:C,MATCH(INDIRECT("All_User!D"&amp;ROW()),Ipad_List!J:J,0)),"없음")</f>
        <v>GYGG3N90Y4</v>
      </c>
      <c r="L117" s="23" t="str">
        <f t="array" ref="L117">IFERROR(INDEX(TeamsNumber!B:B,MATCH(INDIRECT("All_User!D"&amp;ROW()),TeamsNumber!D:D,0)),"없음")</f>
        <v>tel:+82234517595</v>
      </c>
      <c r="M117" s="23" t="str">
        <f t="array" ref="M117">IFERROR(INDEX(Printer!D:D,MATCH(INDIRECT("All_User!D"&amp;ROW()),Printer!H:H,0)),"없음")</f>
        <v>없음</v>
      </c>
      <c r="N117" s="24" t="str">
        <f t="array" ref="N117">IFERROR(INDEX(Monitor!A:A,MATCH(INDIRECT("All_User!D"&amp;ROW()),Monitor!D:D,0)),"없음")</f>
        <v>없음</v>
      </c>
      <c r="O117" s="24" t="str">
        <f t="shared" si="1"/>
        <v>없음</v>
      </c>
      <c r="P117" s="24" t="str">
        <f t="array" ref="P117">IFERROR(INDEX(sales!E:E,MATCH(D117,sales!C:C,0)),"없음")</f>
        <v>없음</v>
      </c>
      <c r="Q117" s="24"/>
      <c r="R117" s="24"/>
    </row>
    <row r="118">
      <c r="A118" s="13">
        <v>132.0</v>
      </c>
      <c r="B118" s="18" t="s">
        <v>506</v>
      </c>
      <c r="C118" s="15" t="s">
        <v>507</v>
      </c>
      <c r="D118" s="18" t="s">
        <v>508</v>
      </c>
      <c r="E118" s="15" t="s">
        <v>509</v>
      </c>
      <c r="F118" s="17" t="s">
        <v>41</v>
      </c>
      <c r="G118" s="18" t="s">
        <v>47</v>
      </c>
      <c r="H118" s="19" t="str">
        <f t="array" ref="H118">IFERROR(INDEX(Lease_List!D:D,MATCH(INDIRECT("All_User!D"&amp;ROW()),Lease_List!H:H,0)),"없음")</f>
        <v>5CG53403DD</v>
      </c>
      <c r="I118" s="22" t="s">
        <v>118</v>
      </c>
      <c r="J118" s="21"/>
      <c r="K118" s="22" t="str">
        <f t="array" ref="K118">IFERROR(INDEX(Ipad_List!C:C,MATCH(INDIRECT("All_User!D"&amp;ROW()),Ipad_List!J:J,0)),"없음")</f>
        <v>없음</v>
      </c>
      <c r="L118" s="23" t="str">
        <f t="array" ref="L118">IFERROR(INDEX(TeamsNumber!B:B,MATCH(INDIRECT("All_User!D"&amp;ROW()),TeamsNumber!D:D,0)),"없음")</f>
        <v>tel:+82234517576</v>
      </c>
      <c r="M118" s="23" t="str">
        <f t="array" ref="M118">IFERROR(INDEX(Printer!D:D,MATCH(INDIRECT("All_User!D"&amp;ROW()),Printer!H:H,0)),"없음")</f>
        <v>없음</v>
      </c>
      <c r="N118" s="24" t="str">
        <f t="array" ref="N118">IFERROR(INDEX(Monitor!A:A,MATCH(INDIRECT("All_User!D"&amp;ROW()),Monitor!D:D,0)),"없음")</f>
        <v>없음</v>
      </c>
      <c r="O118" s="24" t="str">
        <f t="shared" si="1"/>
        <v>없음</v>
      </c>
      <c r="P118" s="24" t="str">
        <f t="array" ref="P118">IFERROR(INDEX(sales!E:E,MATCH(D118,sales!C:C,0)),"없음")</f>
        <v>없음</v>
      </c>
      <c r="Q118" s="24"/>
      <c r="R118" s="24"/>
    </row>
    <row r="119">
      <c r="A119" s="13">
        <v>133.0</v>
      </c>
      <c r="B119" s="15" t="s">
        <v>510</v>
      </c>
      <c r="C119" s="15" t="s">
        <v>511</v>
      </c>
      <c r="D119" s="15" t="s">
        <v>512</v>
      </c>
      <c r="E119" s="15" t="s">
        <v>513</v>
      </c>
      <c r="F119" s="17" t="s">
        <v>295</v>
      </c>
      <c r="G119" s="18" t="s">
        <v>514</v>
      </c>
      <c r="H119" s="19" t="str">
        <f t="array" ref="H119">IFERROR(INDEX(Lease_List!D:D,MATCH(INDIRECT("All_User!D"&amp;ROW()),Lease_List!H:H,0)),"없음")</f>
        <v>5CD4305D8R</v>
      </c>
      <c r="I119" s="22" t="s">
        <v>29</v>
      </c>
      <c r="J119" s="21"/>
      <c r="K119" s="22" t="str">
        <f t="array" ref="K119">IFERROR(INDEX(Ipad_List!C:C,MATCH(INDIRECT("All_User!D"&amp;ROW()),Ipad_List!J:J,0)),"없음")</f>
        <v>없음</v>
      </c>
      <c r="L119" s="23" t="str">
        <f t="array" ref="L119">IFERROR(INDEX(TeamsNumber!B:B,MATCH(INDIRECT("All_User!D"&amp;ROW()),TeamsNumber!D:D,0)),"없음")</f>
        <v>tel:+82234517664</v>
      </c>
      <c r="M119" s="23" t="str">
        <f t="array" ref="M119">IFERROR(INDEX(Printer!D:D,MATCH(INDIRECT("All_User!D"&amp;ROW()),Printer!H:H,0)),"없음")</f>
        <v>없음</v>
      </c>
      <c r="N119" s="24" t="str">
        <f t="array" ref="N119">IFERROR(INDEX(Monitor!A:A,MATCH(INDIRECT("All_User!D"&amp;ROW()),Monitor!D:D,0)),"없음")</f>
        <v>없음</v>
      </c>
      <c r="O119" s="24" t="str">
        <f t="shared" si="1"/>
        <v>없음</v>
      </c>
      <c r="P119" s="24" t="str">
        <f t="array" ref="P119">IFERROR(INDEX(sales!E:E,MATCH(D119,sales!C:C,0)),"없음")</f>
        <v>없음</v>
      </c>
      <c r="Q119" s="24"/>
      <c r="R119" s="24"/>
    </row>
    <row r="120">
      <c r="A120" s="13">
        <v>135.0</v>
      </c>
      <c r="B120" s="18" t="s">
        <v>515</v>
      </c>
      <c r="C120" s="15" t="s">
        <v>516</v>
      </c>
      <c r="D120" s="15" t="s">
        <v>517</v>
      </c>
      <c r="E120" s="18" t="s">
        <v>518</v>
      </c>
      <c r="F120" s="17" t="s">
        <v>104</v>
      </c>
      <c r="G120" s="18" t="s">
        <v>252</v>
      </c>
      <c r="H120" s="19" t="str">
        <f t="array" ref="H120">IFERROR(INDEX(Lease_List!D:D,MATCH(INDIRECT("All_User!D"&amp;ROW()),Lease_List!H:H,0)),"없음")</f>
        <v>5CD4145N3S</v>
      </c>
      <c r="I120" s="22" t="s">
        <v>29</v>
      </c>
      <c r="J120" s="21"/>
      <c r="K120" s="22" t="str">
        <f t="array" ref="K120">IFERROR(INDEX(Ipad_List!C:C,MATCH(INDIRECT("All_User!D"&amp;ROW()),Ipad_List!J:J,0)),"없음")</f>
        <v>없음</v>
      </c>
      <c r="L120" s="23" t="str">
        <f t="array" ref="L120">IFERROR(INDEX(TeamsNumber!B:B,MATCH(INDIRECT("All_User!D"&amp;ROW()),TeamsNumber!D:D,0)),"없음")</f>
        <v>tel:+82234517617</v>
      </c>
      <c r="M120" s="23" t="str">
        <f t="array" ref="M120">IFERROR(INDEX(Printer!D:D,MATCH(INDIRECT("All_User!D"&amp;ROW()),Printer!H:H,0)),"없음")</f>
        <v>없음</v>
      </c>
      <c r="N120" s="24" t="str">
        <f t="array" ref="N120">IFERROR(INDEX(Monitor!A:A,MATCH(INDIRECT("All_User!D"&amp;ROW()),Monitor!D:D,0)),"없음")</f>
        <v>없음</v>
      </c>
      <c r="O120" s="24" t="str">
        <f t="shared" si="1"/>
        <v>없음</v>
      </c>
      <c r="P120" s="24" t="str">
        <f t="array" ref="P120">IFERROR(INDEX(sales!E:E,MATCH(D120,sales!C:C,0)),"없음")</f>
        <v>없음</v>
      </c>
      <c r="Q120" s="24"/>
      <c r="R120" s="24"/>
    </row>
    <row r="121">
      <c r="A121" s="13">
        <v>136.0</v>
      </c>
      <c r="B121" s="15" t="s">
        <v>519</v>
      </c>
      <c r="C121" s="15" t="s">
        <v>520</v>
      </c>
      <c r="D121" s="18" t="s">
        <v>521</v>
      </c>
      <c r="E121" s="15" t="s">
        <v>320</v>
      </c>
      <c r="F121" s="17" t="s">
        <v>52</v>
      </c>
      <c r="G121" s="18" t="s">
        <v>53</v>
      </c>
      <c r="H121" s="19" t="str">
        <f t="array" ref="H121">IFERROR(INDEX(Lease_List!D:D,MATCH(INDIRECT("All_User!D"&amp;ROW()),Lease_List!H:H,0)),"없음")</f>
        <v>5CD4145N3L</v>
      </c>
      <c r="I121" s="22" t="s">
        <v>29</v>
      </c>
      <c r="J121" s="21"/>
      <c r="K121" s="22" t="str">
        <f t="array" ref="K121">IFERROR(INDEX(Ipad_List!C:C,MATCH(INDIRECT("All_User!D"&amp;ROW()),Ipad_List!J:J,0)),"없음")</f>
        <v>MXK59D7LPL</v>
      </c>
      <c r="L121" s="23" t="str">
        <f t="array" ref="L121">IFERROR(INDEX(TeamsNumber!B:B,MATCH(INDIRECT("All_User!D"&amp;ROW()),TeamsNumber!D:D,0)),"없음")</f>
        <v>tel:+82234517612</v>
      </c>
      <c r="M121" s="23" t="str">
        <f t="array" ref="M121">IFERROR(INDEX(Printer!D:D,MATCH(INDIRECT("All_User!D"&amp;ROW()),Printer!H:H,0)),"없음")</f>
        <v>SL-C563W</v>
      </c>
      <c r="N121" s="24" t="str">
        <f t="array" ref="N121">IFERROR(INDEX(Monitor!A:A,MATCH(INDIRECT("All_User!D"&amp;ROW()),Monitor!D:D,0)),"없음")</f>
        <v>없음</v>
      </c>
      <c r="O121" s="24" t="str">
        <f t="shared" si="1"/>
        <v>없음</v>
      </c>
      <c r="P121" s="24" t="str">
        <f t="array" ref="P121">IFERROR(INDEX(sales!E:E,MATCH(D121,sales!C:C,0)),"없음")</f>
        <v>Sales</v>
      </c>
      <c r="Q121" s="24" t="str">
        <f t="array" ref="Q121">IFERROR(INDEX(sales!C:C,MATCH(D121,sales!C:C,0)),"list없음")</f>
        <v>ethan.na@stryker.com</v>
      </c>
      <c r="R121" s="24"/>
    </row>
    <row r="122">
      <c r="A122" s="13">
        <v>137.0</v>
      </c>
      <c r="B122" s="15" t="s">
        <v>522</v>
      </c>
      <c r="C122" s="15" t="s">
        <v>523</v>
      </c>
      <c r="D122" s="18" t="s">
        <v>524</v>
      </c>
      <c r="E122" s="15" t="s">
        <v>125</v>
      </c>
      <c r="F122" s="17" t="s">
        <v>77</v>
      </c>
      <c r="G122" s="18" t="s">
        <v>53</v>
      </c>
      <c r="H122" s="19" t="str">
        <f t="array" ref="H122">IFERROR(INDEX(Lease_List!D:D,MATCH(INDIRECT("All_User!D"&amp;ROW()),Lease_List!H:H,0)),"없음")</f>
        <v>5CD3469HD9</v>
      </c>
      <c r="I122" s="22" t="s">
        <v>29</v>
      </c>
      <c r="J122" s="21"/>
      <c r="K122" s="22" t="str">
        <f t="array" ref="K122">IFERROR(INDEX(Ipad_List!C:C,MATCH(INDIRECT("All_User!D"&amp;ROW()),Ipad_List!J:J,0)),"없음")</f>
        <v>GXDWV9GT62</v>
      </c>
      <c r="L122" s="23" t="str">
        <f t="array" ref="L122">IFERROR(INDEX(TeamsNumber!B:B,MATCH(INDIRECT("All_User!D"&amp;ROW()),TeamsNumber!D:D,0)),"없음")</f>
        <v>tel:+82234517532</v>
      </c>
      <c r="M122" s="23" t="str">
        <f t="array" ref="M122">IFERROR(INDEX(Printer!D:D,MATCH(INDIRECT("All_User!D"&amp;ROW()),Printer!H:H,0)),"없음")</f>
        <v>SL-C486FW</v>
      </c>
      <c r="N122" s="24" t="str">
        <f t="array" ref="N122">IFERROR(INDEX(Monitor!A:A,MATCH(INDIRECT("All_User!D"&amp;ROW()),Monitor!D:D,0)),"없음")</f>
        <v>없음</v>
      </c>
      <c r="O122" s="24" t="str">
        <f t="shared" si="1"/>
        <v>없음</v>
      </c>
      <c r="P122" s="24" t="str">
        <f t="array" ref="P122">IFERROR(INDEX(sales!E:E,MATCH(D122,sales!C:C,0)),"없음")</f>
        <v>Sales</v>
      </c>
      <c r="Q122" s="24" t="str">
        <f t="array" ref="Q122">IFERROR(INDEX(sales!C:C,MATCH(D122,sales!C:C,0)),"list없음")</f>
        <v>david.oh@stryker.com</v>
      </c>
      <c r="R122" s="24"/>
    </row>
    <row r="123">
      <c r="A123" s="13">
        <v>138.0</v>
      </c>
      <c r="B123" s="18" t="s">
        <v>525</v>
      </c>
      <c r="C123" s="15" t="s">
        <v>526</v>
      </c>
      <c r="D123" s="18" t="s">
        <v>527</v>
      </c>
      <c r="E123" s="18" t="s">
        <v>528</v>
      </c>
      <c r="F123" s="17" t="s">
        <v>142</v>
      </c>
      <c r="G123" s="18" t="s">
        <v>105</v>
      </c>
      <c r="H123" s="19" t="str">
        <f t="array" ref="H123">IFERROR(INDEX(Lease_List!D:D,MATCH(INDIRECT("All_User!D"&amp;ROW()),Lease_List!H:H,0)),"없음")</f>
        <v>5CG5430CQ6</v>
      </c>
      <c r="I123" s="22" t="s">
        <v>29</v>
      </c>
      <c r="J123" s="21"/>
      <c r="K123" s="22" t="str">
        <f t="array" ref="K123">IFERROR(INDEX(Ipad_List!C:C,MATCH(INDIRECT("All_User!D"&amp;ROW()),Ipad_List!J:J,0)),"없음")</f>
        <v>MP2C9F46FN</v>
      </c>
      <c r="L123" s="23" t="str">
        <f t="array" ref="L123">IFERROR(INDEX(TeamsNumber!B:B,MATCH(INDIRECT("All_User!D"&amp;ROW()),TeamsNumber!D:D,0)),"없음")</f>
        <v>tel:+82234517545</v>
      </c>
      <c r="M123" s="23" t="str">
        <f t="array" ref="M123">IFERROR(INDEX(Printer!D:D,MATCH(INDIRECT("All_User!D"&amp;ROW()),Printer!H:H,0)),"없음")</f>
        <v>없음</v>
      </c>
      <c r="N123" s="24" t="str">
        <f t="array" ref="N123">IFERROR(INDEX(Monitor!A:A,MATCH(INDIRECT("All_User!D"&amp;ROW()),Monitor!D:D,0)),"없음")</f>
        <v>없음</v>
      </c>
      <c r="O123" s="24" t="str">
        <f t="shared" si="1"/>
        <v>없음</v>
      </c>
      <c r="P123" s="35" t="s">
        <v>53</v>
      </c>
      <c r="Q123" s="24"/>
      <c r="R123" s="24"/>
    </row>
    <row r="124">
      <c r="A124" s="13">
        <v>139.0</v>
      </c>
      <c r="B124" s="15" t="s">
        <v>529</v>
      </c>
      <c r="C124" s="15" t="s">
        <v>530</v>
      </c>
      <c r="D124" s="18" t="s">
        <v>531</v>
      </c>
      <c r="E124" s="15" t="s">
        <v>532</v>
      </c>
      <c r="F124" s="27" t="s">
        <v>77</v>
      </c>
      <c r="G124" s="18" t="s">
        <v>53</v>
      </c>
      <c r="H124" s="19" t="str">
        <f t="array" ref="H124">IFERROR(INDEX(Lease_List!D:D,MATCH(INDIRECT("All_User!D"&amp;ROW()),Lease_List!H:H,0)),"없음")</f>
        <v>5CD4232BFQ</v>
      </c>
      <c r="I124" s="22" t="s">
        <v>533</v>
      </c>
      <c r="J124" s="21"/>
      <c r="K124" s="22" t="str">
        <f t="array" ref="K124">IFERROR(INDEX(Ipad_List!C:C,MATCH(INDIRECT("All_User!D"&amp;ROW()),Ipad_List!J:J,0)),"없음")</f>
        <v>MX224565CF</v>
      </c>
      <c r="L124" s="23" t="str">
        <f t="array" ref="L124">IFERROR(INDEX(TeamsNumber!B:B,MATCH(INDIRECT("All_User!D"&amp;ROW()),TeamsNumber!D:D,0)),"없음")</f>
        <v>tel:+82234517624</v>
      </c>
      <c r="M124" s="23" t="str">
        <f t="array" ref="M124">IFERROR(INDEX(Printer!D:D,MATCH(INDIRECT("All_User!D"&amp;ROW()),Printer!H:H,0)),"없음")</f>
        <v>2차 조사 정보 없음</v>
      </c>
      <c r="N124" s="24" t="str">
        <f t="array" ref="N124">IFERROR(INDEX(Monitor!A:A,MATCH(INDIRECT("All_User!D"&amp;ROW()),Monitor!D:D,0)),"없음")</f>
        <v>없음</v>
      </c>
      <c r="O124" s="24" t="str">
        <f t="shared" si="1"/>
        <v>없음</v>
      </c>
      <c r="P124" s="24" t="str">
        <f t="array" ref="P124">IFERROR(INDEX(sales!E:E,MATCH(D124,sales!C:C,0)),"없음")</f>
        <v>Sales</v>
      </c>
      <c r="Q124" s="24" t="str">
        <f t="array" ref="Q124">IFERROR(INDEX(sales!C:C,MATCH(D124,sales!C:C,0)),"list없음")</f>
        <v>mason.oh@stryker.com</v>
      </c>
      <c r="R124" s="24"/>
    </row>
    <row r="125">
      <c r="A125" s="13">
        <v>140.0</v>
      </c>
      <c r="B125" s="15" t="s">
        <v>534</v>
      </c>
      <c r="C125" s="15" t="s">
        <v>535</v>
      </c>
      <c r="D125" s="18" t="s">
        <v>536</v>
      </c>
      <c r="E125" s="15" t="s">
        <v>537</v>
      </c>
      <c r="F125" s="27" t="s">
        <v>77</v>
      </c>
      <c r="G125" s="15" t="s">
        <v>137</v>
      </c>
      <c r="H125" s="19" t="str">
        <f t="array" ref="H125">IFERROR(INDEX(Lease_List!D:D,MATCH(INDIRECT("All_User!D"&amp;ROW()),Lease_List!H:H,0)),"없음")</f>
        <v>없음</v>
      </c>
      <c r="I125" s="20" t="s">
        <v>538</v>
      </c>
      <c r="J125" s="21"/>
      <c r="K125" s="22" t="str">
        <f t="array" ref="K125">IFERROR(INDEX(Ipad_List!C:C,MATCH(INDIRECT("All_User!D"&amp;ROW()),Ipad_List!J:J,0)),"없음")</f>
        <v>없음</v>
      </c>
      <c r="L125" s="23" t="str">
        <f t="array" ref="L125">IFERROR(INDEX(TeamsNumber!B:B,MATCH(INDIRECT("All_User!D"&amp;ROW()),TeamsNumber!D:D,0)),"없음")</f>
        <v>tel:+82234517683</v>
      </c>
      <c r="M125" s="23" t="str">
        <f t="array" ref="M125">IFERROR(INDEX(Printer!D:D,MATCH(INDIRECT("All_User!D"&amp;ROW()),Printer!H:H,0)),"없음")</f>
        <v>없음</v>
      </c>
      <c r="N125" s="24" t="str">
        <f t="array" ref="N125">IFERROR(INDEX(Monitor!A:A,MATCH(INDIRECT("All_User!D"&amp;ROW()),Monitor!D:D,0)),"없음")</f>
        <v>없음</v>
      </c>
      <c r="O125" s="24" t="str">
        <f t="shared" si="1"/>
        <v>없음</v>
      </c>
      <c r="P125" s="24" t="str">
        <f t="array" ref="P125">IFERROR(INDEX(sales!E:E,MATCH(D125,sales!C:C,0)),"없음")</f>
        <v>MKT</v>
      </c>
      <c r="Q125" s="24"/>
      <c r="R125" s="24"/>
    </row>
    <row r="126">
      <c r="A126" s="13">
        <v>141.0</v>
      </c>
      <c r="B126" s="15" t="s">
        <v>539</v>
      </c>
      <c r="C126" s="15" t="s">
        <v>540</v>
      </c>
      <c r="D126" s="18" t="s">
        <v>541</v>
      </c>
      <c r="E126" s="15" t="s">
        <v>542</v>
      </c>
      <c r="F126" s="17" t="s">
        <v>67</v>
      </c>
      <c r="G126" s="15" t="s">
        <v>67</v>
      </c>
      <c r="H126" s="19" t="str">
        <f t="array" ref="H126">IFERROR(INDEX(Lease_List!D:D,MATCH(INDIRECT("All_User!D"&amp;ROW()),Lease_List!H:H,0)),"없음")</f>
        <v>5CD4232BFB</v>
      </c>
      <c r="I126" s="22" t="s">
        <v>29</v>
      </c>
      <c r="J126" s="21"/>
      <c r="K126" s="22" t="str">
        <f t="array" ref="K126">IFERROR(INDEX(Ipad_List!C:C,MATCH(INDIRECT("All_User!D"&amp;ROW()),Ipad_List!J:J,0)),"없음")</f>
        <v>없음</v>
      </c>
      <c r="L126" s="23" t="str">
        <f t="array" ref="L126">IFERROR(INDEX(TeamsNumber!B:B,MATCH(INDIRECT("All_User!D"&amp;ROW()),TeamsNumber!D:D,0)),"없음")</f>
        <v>tel:+82234517564</v>
      </c>
      <c r="M126" s="23" t="str">
        <f t="array" ref="M126">IFERROR(INDEX(Printer!D:D,MATCH(INDIRECT("All_User!D"&amp;ROW()),Printer!H:H,0)),"없음")</f>
        <v>없음</v>
      </c>
      <c r="N126" s="24" t="str">
        <f t="array" ref="N126">IFERROR(INDEX(Monitor!A:A,MATCH(INDIRECT("All_User!D"&amp;ROW()),Monitor!D:D,0)),"없음")</f>
        <v>없음</v>
      </c>
      <c r="O126" s="24" t="str">
        <f t="shared" si="1"/>
        <v>없음</v>
      </c>
      <c r="P126" s="24" t="str">
        <f t="array" ref="P126">IFERROR(INDEX(sales!E:E,MATCH(D126,sales!C:C,0)),"없음")</f>
        <v>없음</v>
      </c>
      <c r="Q126" s="24"/>
      <c r="R126" s="24"/>
    </row>
    <row r="127">
      <c r="A127" s="13">
        <v>142.0</v>
      </c>
      <c r="B127" s="15" t="s">
        <v>543</v>
      </c>
      <c r="C127" s="15" t="s">
        <v>544</v>
      </c>
      <c r="D127" s="18" t="s">
        <v>545</v>
      </c>
      <c r="E127" s="15" t="s">
        <v>546</v>
      </c>
      <c r="F127" s="27" t="s">
        <v>77</v>
      </c>
      <c r="G127" s="15" t="s">
        <v>82</v>
      </c>
      <c r="H127" s="19" t="str">
        <f t="array" ref="H127">IFERROR(INDEX(Lease_List!D:D,MATCH(INDIRECT("All_User!D"&amp;ROW()),Lease_List!H:H,0)),"없음")</f>
        <v>5CG53403D4</v>
      </c>
      <c r="I127" s="22" t="s">
        <v>29</v>
      </c>
      <c r="J127" s="25" t="s">
        <v>547</v>
      </c>
      <c r="K127" s="22" t="str">
        <f t="array" ref="K127">IFERROR(INDEX(Ipad_List!C:C,MATCH(INDIRECT("All_User!D"&amp;ROW()),Ipad_List!J:J,0)),"없음")</f>
        <v>없음</v>
      </c>
      <c r="L127" s="23" t="str">
        <f t="array" ref="L127">IFERROR(INDEX(TeamsNumber!B:B,MATCH(INDIRECT("All_User!D"&amp;ROW()),TeamsNumber!D:D,0)),"없음")</f>
        <v>tel:+82234517609</v>
      </c>
      <c r="M127" s="23" t="str">
        <f t="array" ref="M127">IFERROR(INDEX(Printer!D:D,MATCH(INDIRECT("All_User!D"&amp;ROW()),Printer!H:H,0)),"없음")</f>
        <v>없음</v>
      </c>
      <c r="N127" s="24" t="str">
        <f t="array" ref="N127">IFERROR(INDEX(Monitor!A:A,MATCH(INDIRECT("All_User!D"&amp;ROW()),Monitor!D:D,0)),"없음")</f>
        <v>LCD 모니터</v>
      </c>
      <c r="O127" s="24" t="str">
        <f t="shared" si="1"/>
        <v>없음</v>
      </c>
      <c r="P127" s="24" t="str">
        <f t="array" ref="P127">IFERROR(INDEX(sales!E:E,MATCH(D127,sales!C:C,0)),"없음")</f>
        <v>Sales</v>
      </c>
      <c r="Q127" s="24"/>
      <c r="R127" s="24"/>
    </row>
    <row r="128">
      <c r="A128" s="13">
        <v>143.0</v>
      </c>
      <c r="B128" s="15" t="s">
        <v>548</v>
      </c>
      <c r="C128" s="15" t="s">
        <v>549</v>
      </c>
      <c r="D128" s="18" t="s">
        <v>550</v>
      </c>
      <c r="E128" s="15" t="s">
        <v>551</v>
      </c>
      <c r="F128" s="17" t="s">
        <v>20</v>
      </c>
      <c r="G128" s="18" t="s">
        <v>53</v>
      </c>
      <c r="H128" s="19" t="str">
        <f t="array" ref="H128">IFERROR(INDEX(Lease_List!D:D,MATCH(INDIRECT("All_User!D"&amp;ROW()),Lease_List!H:H,0)),"없음")</f>
        <v>5CD5179KHL</v>
      </c>
      <c r="I128" s="22" t="s">
        <v>552</v>
      </c>
      <c r="J128" s="21"/>
      <c r="K128" s="22" t="str">
        <f t="array" ref="K128">IFERROR(INDEX(Ipad_List!C:C,MATCH(INDIRECT("All_User!D"&amp;ROW()),Ipad_List!J:J,0)),"없음")</f>
        <v>VCF25MJ6YY</v>
      </c>
      <c r="L128" s="23" t="str">
        <f t="array" ref="L128">IFERROR(INDEX(TeamsNumber!B:B,MATCH(INDIRECT("All_User!D"&amp;ROW()),TeamsNumber!D:D,0)),"없음")</f>
        <v>tel:+82234517684</v>
      </c>
      <c r="M128" s="23" t="str">
        <f t="array" ref="M128">IFERROR(INDEX(Printer!D:D,MATCH(INDIRECT("All_User!D"&amp;ROW()),Printer!H:H,0)),"없음")</f>
        <v>반납</v>
      </c>
      <c r="N128" s="24" t="str">
        <f t="array" ref="N128">IFERROR(INDEX(Monitor!A:A,MATCH(INDIRECT("All_User!D"&amp;ROW()),Monitor!D:D,0)),"없음")</f>
        <v>없음</v>
      </c>
      <c r="O128" s="24" t="str">
        <f t="shared" si="1"/>
        <v>없음</v>
      </c>
      <c r="P128" s="24" t="str">
        <f t="array" ref="P128">IFERROR(INDEX(sales!E:E,MATCH(D128,sales!C:C,0)),"없음")</f>
        <v>NV</v>
      </c>
      <c r="Q128" s="24" t="str">
        <f t="array" ref="Q128">IFERROR(INDEX(sales!C:C,MATCH(D128,sales!C:C,0)),"list없음")</f>
        <v>tyler.park@stryker.com</v>
      </c>
      <c r="R128" s="24"/>
    </row>
    <row r="129">
      <c r="A129" s="13">
        <v>144.0</v>
      </c>
      <c r="B129" s="15" t="s">
        <v>553</v>
      </c>
      <c r="C129" s="15" t="s">
        <v>554</v>
      </c>
      <c r="D129" s="18" t="s">
        <v>555</v>
      </c>
      <c r="E129" s="15" t="s">
        <v>556</v>
      </c>
      <c r="F129" s="17" t="s">
        <v>20</v>
      </c>
      <c r="G129" s="15" t="s">
        <v>137</v>
      </c>
      <c r="H129" s="19" t="str">
        <f t="array" ref="H129">IFERROR(INDEX(Lease_List!D:D,MATCH(INDIRECT("All_User!D"&amp;ROW()),Lease_List!H:H,0)),"없음")</f>
        <v>5CD4305D84</v>
      </c>
      <c r="I129" s="22" t="s">
        <v>29</v>
      </c>
      <c r="J129" s="21"/>
      <c r="K129" s="22" t="str">
        <f t="array" ref="K129">IFERROR(INDEX(Ipad_List!C:C,MATCH(INDIRECT("All_User!D"&amp;ROW()),Ipad_List!J:J,0)),"없음")</f>
        <v>TK79FYYWPV</v>
      </c>
      <c r="L129" s="23" t="str">
        <f t="array" ref="L129">IFERROR(INDEX(TeamsNumber!B:B,MATCH(INDIRECT("All_User!D"&amp;ROW()),TeamsNumber!D:D,0)),"없음")</f>
        <v>tel:+82234517679</v>
      </c>
      <c r="M129" s="23" t="str">
        <f t="array" ref="M129">IFERROR(INDEX(Printer!D:D,MATCH(INDIRECT("All_User!D"&amp;ROW()),Printer!H:H,0)),"없음")</f>
        <v>없음</v>
      </c>
      <c r="N129" s="24" t="str">
        <f t="array" ref="N129">IFERROR(INDEX(Monitor!A:A,MATCH(INDIRECT("All_User!D"&amp;ROW()),Monitor!D:D,0)),"없음")</f>
        <v>없음</v>
      </c>
      <c r="O129" s="24" t="str">
        <f t="shared" si="1"/>
        <v>없음</v>
      </c>
      <c r="P129" s="24" t="str">
        <f t="array" ref="P129">IFERROR(INDEX(sales!E:E,MATCH(D129,sales!C:C,0)),"없음")</f>
        <v>MKT</v>
      </c>
      <c r="Q129" s="24" t="str">
        <f t="array" ref="Q129">IFERROR(INDEX(sales!C:C,MATCH(D129,sales!C:C,0)),"list없음")</f>
        <v>julie.park@stryker.com</v>
      </c>
      <c r="R129" s="24"/>
    </row>
    <row r="130">
      <c r="A130" s="13">
        <v>145.0</v>
      </c>
      <c r="B130" s="36" t="s">
        <v>557</v>
      </c>
      <c r="C130" s="15" t="s">
        <v>558</v>
      </c>
      <c r="D130" s="15" t="s">
        <v>559</v>
      </c>
      <c r="E130" s="15" t="s">
        <v>560</v>
      </c>
      <c r="F130" s="17" t="s">
        <v>419</v>
      </c>
      <c r="G130" s="30" t="s">
        <v>436</v>
      </c>
      <c r="H130" s="19" t="str">
        <f t="array" ref="H130">IFERROR(INDEX(Lease_List!D:D,MATCH(INDIRECT("All_User!D"&amp;ROW()),Lease_List!H:H,0)),"없음")</f>
        <v>5CD5062YDX</v>
      </c>
      <c r="I130" s="22" t="s">
        <v>29</v>
      </c>
      <c r="J130" s="21"/>
      <c r="K130" s="22" t="str">
        <f t="array" ref="K130">IFERROR(INDEX(Ipad_List!C:C,MATCH(INDIRECT("All_User!D"&amp;ROW()),Ipad_List!J:J,0)),"없음")</f>
        <v>없음</v>
      </c>
      <c r="L130" s="23" t="str">
        <f t="array" ref="L130">IFERROR(INDEX(TeamsNumber!B:B,MATCH(INDIRECT("All_User!D"&amp;ROW()),TeamsNumber!D:D,0)),"없음")</f>
        <v>tel:+82234517673</v>
      </c>
      <c r="M130" s="23" t="str">
        <f t="array" ref="M130">IFERROR(INDEX(Printer!D:D,MATCH(INDIRECT("All_User!D"&amp;ROW()),Printer!H:H,0)),"없음")</f>
        <v>없음</v>
      </c>
      <c r="N130" s="24" t="str">
        <f t="array" ref="N130">IFERROR(INDEX(Monitor!A:A,MATCH(INDIRECT("All_User!D"&amp;ROW()),Monitor!D:D,0)),"없음")</f>
        <v>없음</v>
      </c>
      <c r="O130" s="24" t="str">
        <f t="shared" si="1"/>
        <v>없음</v>
      </c>
      <c r="P130" s="24" t="str">
        <f t="array" ref="P130">IFERROR(INDEX(sales!E:E,MATCH(D130,sales!C:C,0)),"없음")</f>
        <v>없음</v>
      </c>
      <c r="Q130" s="24"/>
      <c r="R130" s="24"/>
    </row>
    <row r="131">
      <c r="A131" s="13">
        <v>146.0</v>
      </c>
      <c r="B131" s="15" t="s">
        <v>561</v>
      </c>
      <c r="C131" s="15" t="s">
        <v>562</v>
      </c>
      <c r="D131" s="18" t="s">
        <v>563</v>
      </c>
      <c r="E131" s="18" t="s">
        <v>564</v>
      </c>
      <c r="F131" s="17" t="s">
        <v>62</v>
      </c>
      <c r="G131" s="18" t="s">
        <v>62</v>
      </c>
      <c r="H131" s="19" t="str">
        <f t="array" ref="H131">IFERROR(INDEX(Lease_List!D:D,MATCH(INDIRECT("All_User!D"&amp;ROW()),Lease_List!H:H,0)),"없음")</f>
        <v>5CG53403D9</v>
      </c>
      <c r="I131" s="22" t="s">
        <v>565</v>
      </c>
      <c r="J131" s="21"/>
      <c r="K131" s="22" t="str">
        <f t="array" ref="K131">IFERROR(INDEX(Ipad_List!C:C,MATCH(INDIRECT("All_User!D"&amp;ROW()),Ipad_List!J:J,0)),"없음")</f>
        <v>없음</v>
      </c>
      <c r="L131" s="23" t="str">
        <f t="array" ref="L131">IFERROR(INDEX(TeamsNumber!B:B,MATCH(INDIRECT("All_User!D"&amp;ROW()),TeamsNumber!D:D,0)),"없음")</f>
        <v>tel:+82234517663</v>
      </c>
      <c r="M131" s="23" t="str">
        <f t="array" ref="M131">IFERROR(INDEX(Printer!D:D,MATCH(INDIRECT("All_User!D"&amp;ROW()),Printer!H:H,0)),"없음")</f>
        <v>없음</v>
      </c>
      <c r="N131" s="24" t="str">
        <f t="array" ref="N131">IFERROR(INDEX(Monitor!A:A,MATCH(INDIRECT("All_User!D"&amp;ROW()),Monitor!D:D,0)),"없음")</f>
        <v>LCD 모니터</v>
      </c>
      <c r="O131" s="24" t="str">
        <f t="shared" si="1"/>
        <v>없음</v>
      </c>
      <c r="P131" s="24" t="str">
        <f t="array" ref="P131">IFERROR(INDEX(sales!E:E,MATCH(D131,sales!C:C,0)),"없음")</f>
        <v>없음</v>
      </c>
      <c r="Q131" s="24"/>
      <c r="R131" s="24"/>
    </row>
    <row r="132">
      <c r="A132" s="13">
        <v>147.0</v>
      </c>
      <c r="B132" s="15" t="s">
        <v>566</v>
      </c>
      <c r="C132" s="15" t="s">
        <v>567</v>
      </c>
      <c r="D132" s="18" t="s">
        <v>568</v>
      </c>
      <c r="E132" s="15" t="s">
        <v>72</v>
      </c>
      <c r="F132" s="17" t="s">
        <v>27</v>
      </c>
      <c r="G132" s="18" t="s">
        <v>28</v>
      </c>
      <c r="H132" s="19" t="str">
        <f t="array" ref="H132">IFERROR(INDEX(Lease_List!D:D,MATCH(INDIRECT("All_User!D"&amp;ROW()),Lease_List!H:H,0)),"없음")</f>
        <v>5CD3469HD5</v>
      </c>
      <c r="I132" s="22" t="s">
        <v>29</v>
      </c>
      <c r="J132" s="21"/>
      <c r="K132" s="22" t="str">
        <f t="array" ref="K132">IFERROR(INDEX(Ipad_List!C:C,MATCH(INDIRECT("All_User!D"&amp;ROW()),Ipad_List!J:J,0)),"없음")</f>
        <v>DY5F770LQ3</v>
      </c>
      <c r="L132" s="23" t="str">
        <f t="array" ref="L132">IFERROR(INDEX(TeamsNumber!B:B,MATCH(INDIRECT("All_User!D"&amp;ROW()),TeamsNumber!D:D,0)),"없음")</f>
        <v>tel:+82234517578</v>
      </c>
      <c r="M132" s="23" t="str">
        <f t="array" ref="M132">IFERROR(INDEX(Printer!D:D,MATCH(INDIRECT("All_User!D"&amp;ROW()),Printer!H:H,0)),"없음")</f>
        <v>없음</v>
      </c>
      <c r="N132" s="24" t="str">
        <f t="array" ref="N132">IFERROR(INDEX(Monitor!A:A,MATCH(INDIRECT("All_User!D"&amp;ROW()),Monitor!D:D,0)),"없음")</f>
        <v>없음</v>
      </c>
      <c r="O132" s="24" t="str">
        <f t="shared" si="1"/>
        <v>없음</v>
      </c>
      <c r="P132" s="24" t="str">
        <f t="array" ref="P132">IFERROR(INDEX(sales!E:E,MATCH(D132,sales!C:C,0)),"없음")</f>
        <v>MPS</v>
      </c>
      <c r="Q132" s="24" t="str">
        <f t="array" ref="Q132">IFERROR(INDEX(sales!C:C,MATCH(D132,sales!C:C,0)),"list없음")</f>
        <v>jackson.park@stryker.com</v>
      </c>
      <c r="R132" s="24"/>
    </row>
    <row r="133">
      <c r="A133" s="13">
        <v>148.0</v>
      </c>
      <c r="B133" s="15" t="s">
        <v>569</v>
      </c>
      <c r="C133" s="15" t="s">
        <v>570</v>
      </c>
      <c r="D133" s="15" t="s">
        <v>571</v>
      </c>
      <c r="E133" s="15" t="s">
        <v>207</v>
      </c>
      <c r="F133" s="17" t="s">
        <v>34</v>
      </c>
      <c r="G133" s="18" t="s">
        <v>94</v>
      </c>
      <c r="H133" s="19" t="str">
        <f t="array" ref="H133">IFERROR(INDEX(Lease_List!D:D,MATCH(INDIRECT("All_User!D"&amp;ROW()),Lease_List!H:H,0)),"없음")</f>
        <v>5CD3469HDC</v>
      </c>
      <c r="I133" s="22" t="s">
        <v>29</v>
      </c>
      <c r="J133" s="21"/>
      <c r="K133" s="22" t="str">
        <f t="array" ref="K133">IFERROR(INDEX(Ipad_List!C:C,MATCH(INDIRECT("All_User!D"&amp;ROW()),Ipad_List!J:J,0)),"없음")</f>
        <v>DP77MWKXNR</v>
      </c>
      <c r="L133" s="23" t="str">
        <f t="array" ref="L133">IFERROR(INDEX(TeamsNumber!B:B,MATCH(INDIRECT("All_User!D"&amp;ROW()),TeamsNumber!D:D,0)),"없음")</f>
        <v>tel:+82234517672</v>
      </c>
      <c r="M133" s="23" t="str">
        <f t="array" ref="M133">IFERROR(INDEX(Printer!D:D,MATCH(INDIRECT("All_User!D"&amp;ROW()),Printer!H:H,0)),"없음")</f>
        <v>없음</v>
      </c>
      <c r="N133" s="24" t="str">
        <f t="array" ref="N133">IFERROR(INDEX(Monitor!A:A,MATCH(INDIRECT("All_User!D"&amp;ROW()),Monitor!D:D,0)),"없음")</f>
        <v>없음</v>
      </c>
      <c r="O133" s="24" t="str">
        <f t="shared" si="1"/>
        <v>없음</v>
      </c>
      <c r="P133" s="24" t="str">
        <f t="array" ref="P133">IFERROR(INDEX(sales!E:E,MATCH(D133,sales!C:C,0)),"없음")</f>
        <v>TS</v>
      </c>
      <c r="Q133" s="24" t="str">
        <f t="array" ref="Q133">IFERROR(INDEX(sales!C:C,MATCH(D133,sales!C:C,0)),"list없음")</f>
        <v>owen.park@stryker.com</v>
      </c>
      <c r="R133" s="24"/>
    </row>
    <row r="134">
      <c r="A134" s="13">
        <v>149.0</v>
      </c>
      <c r="B134" s="15" t="s">
        <v>572</v>
      </c>
      <c r="C134" s="15" t="s">
        <v>573</v>
      </c>
      <c r="D134" s="15" t="s">
        <v>574</v>
      </c>
      <c r="E134" s="15" t="s">
        <v>575</v>
      </c>
      <c r="F134" s="17" t="s">
        <v>104</v>
      </c>
      <c r="G134" s="15" t="s">
        <v>354</v>
      </c>
      <c r="H134" s="19" t="str">
        <f t="array" ref="H134">IFERROR(INDEX(Lease_List!D:D,MATCH(INDIRECT("All_User!D"&amp;ROW()),Lease_List!H:H,0)),"없음")</f>
        <v>5CD3469HD4</v>
      </c>
      <c r="I134" s="22" t="s">
        <v>29</v>
      </c>
      <c r="J134" s="21"/>
      <c r="K134" s="22" t="str">
        <f t="array" ref="K134">IFERROR(INDEX(Ipad_List!C:C,MATCH(INDIRECT("All_User!D"&amp;ROW()),Ipad_List!J:J,0)),"없음")</f>
        <v>없음</v>
      </c>
      <c r="L134" s="23" t="str">
        <f t="array" ref="L134">IFERROR(INDEX(TeamsNumber!B:B,MATCH(INDIRECT("All_User!D"&amp;ROW()),TeamsNumber!D:D,0)),"없음")</f>
        <v>tel:+82234517544</v>
      </c>
      <c r="M134" s="23" t="str">
        <f t="array" ref="M134">IFERROR(INDEX(Printer!D:D,MATCH(INDIRECT("All_User!D"&amp;ROW()),Printer!H:H,0)),"없음")</f>
        <v>없음</v>
      </c>
      <c r="N134" s="24" t="str">
        <f t="array" ref="N134">IFERROR(INDEX(Monitor!A:A,MATCH(INDIRECT("All_User!D"&amp;ROW()),Monitor!D:D,0)),"없음")</f>
        <v>LCD 모니터</v>
      </c>
      <c r="O134" s="24" t="str">
        <f t="shared" si="1"/>
        <v>없음</v>
      </c>
      <c r="P134" s="24" t="str">
        <f t="array" ref="P134">IFERROR(INDEX(sales!E:E,MATCH(D134,sales!C:C,0)),"없음")</f>
        <v>없음</v>
      </c>
      <c r="Q134" s="24"/>
      <c r="R134" s="24"/>
    </row>
    <row r="135">
      <c r="A135" s="13">
        <v>150.0</v>
      </c>
      <c r="B135" s="15" t="s">
        <v>576</v>
      </c>
      <c r="C135" s="15" t="s">
        <v>577</v>
      </c>
      <c r="D135" s="18" t="s">
        <v>578</v>
      </c>
      <c r="E135" s="15" t="s">
        <v>76</v>
      </c>
      <c r="F135" s="27" t="s">
        <v>77</v>
      </c>
      <c r="G135" s="18" t="s">
        <v>53</v>
      </c>
      <c r="H135" s="19" t="str">
        <f t="array" ref="H135">IFERROR(INDEX(Lease_List!D:D,MATCH(INDIRECT("All_User!D"&amp;ROW()),Lease_List!H:H,0)),"없음")</f>
        <v>5CG53403DL</v>
      </c>
      <c r="I135" s="22" t="s">
        <v>29</v>
      </c>
      <c r="J135" s="25" t="s">
        <v>579</v>
      </c>
      <c r="K135" s="22" t="str">
        <f t="array" ref="K135">IFERROR(INDEX(Ipad_List!C:C,MATCH(INDIRECT("All_User!D"&amp;ROW()),Ipad_List!J:J,0)),"없음")</f>
        <v>GXK670F7DH</v>
      </c>
      <c r="L135" s="23" t="str">
        <f t="array" ref="L135">IFERROR(INDEX(TeamsNumber!B:B,MATCH(INDIRECT("All_User!D"&amp;ROW()),TeamsNumber!D:D,0)),"없음")</f>
        <v>tel:+82234517608</v>
      </c>
      <c r="M135" s="23" t="str">
        <f t="array" ref="M135">IFERROR(INDEX(Printer!D:D,MATCH(INDIRECT("All_User!D"&amp;ROW()),Printer!H:H,0)),"없음")</f>
        <v>SL-C438W</v>
      </c>
      <c r="N135" s="24" t="str">
        <f t="array" ref="N135">IFERROR(INDEX(Monitor!A:A,MATCH(INDIRECT("All_User!D"&amp;ROW()),Monitor!D:D,0)),"없음")</f>
        <v>없음</v>
      </c>
      <c r="O135" s="24" t="str">
        <f t="shared" si="1"/>
        <v>없음</v>
      </c>
      <c r="P135" s="24" t="str">
        <f t="array" ref="P135">IFERROR(INDEX(sales!E:E,MATCH(D135,sales!C:C,0)),"없음")</f>
        <v>Sales</v>
      </c>
      <c r="Q135" s="24" t="str">
        <f t="array" ref="Q135">IFERROR(INDEX(sales!C:C,MATCH(D135,sales!C:C,0)),"list없음")</f>
        <v>peter.park@stryker.com</v>
      </c>
      <c r="R135" s="24"/>
    </row>
    <row r="136" ht="17.25" customHeight="1">
      <c r="A136" s="13">
        <v>151.0</v>
      </c>
      <c r="B136" s="15" t="s">
        <v>580</v>
      </c>
      <c r="C136" s="15" t="s">
        <v>581</v>
      </c>
      <c r="D136" s="18" t="s">
        <v>582</v>
      </c>
      <c r="E136" s="15" t="s">
        <v>583</v>
      </c>
      <c r="F136" s="17" t="s">
        <v>584</v>
      </c>
      <c r="G136" s="18" t="s">
        <v>53</v>
      </c>
      <c r="H136" s="19" t="str">
        <f t="array" ref="H136">IFERROR(INDEX(Lease_List!D:D,MATCH(INDIRECT("All_User!D"&amp;ROW()),Lease_List!H:H,0)),"없음")</f>
        <v>5CD4305D88</v>
      </c>
      <c r="I136" s="22" t="s">
        <v>29</v>
      </c>
      <c r="J136" s="21"/>
      <c r="K136" s="22" t="str">
        <f t="array" ref="K136">IFERROR(INDEX(Ipad_List!C:C,MATCH(INDIRECT("All_User!D"&amp;ROW()),Ipad_List!J:J,0)),"없음")</f>
        <v>M9CN2VYJ46</v>
      </c>
      <c r="L136" s="23" t="str">
        <f t="array" ref="L136">IFERROR(INDEX(TeamsNumber!B:B,MATCH(INDIRECT("All_User!D"&amp;ROW()),TeamsNumber!D:D,0)),"없음")</f>
        <v>tel:+82234517571</v>
      </c>
      <c r="M136" s="23" t="str">
        <f t="array" ref="M136">IFERROR(INDEX(Printer!D:D,MATCH(INDIRECT("All_User!D"&amp;ROW()),Printer!H:H,0)),"없음")</f>
        <v>2차 조사 정보 없음</v>
      </c>
      <c r="N136" s="24" t="str">
        <f t="array" ref="N136">IFERROR(INDEX(Monitor!A:A,MATCH(INDIRECT("All_User!D"&amp;ROW()),Monitor!D:D,0)),"없음")</f>
        <v>없음</v>
      </c>
      <c r="O136" s="24" t="str">
        <f t="shared" si="1"/>
        <v>없음</v>
      </c>
      <c r="P136" s="24" t="str">
        <f t="array" ref="P136">IFERROR(INDEX(sales!E:E,MATCH(D136,sales!C:C,0)),"없음")</f>
        <v>Sales</v>
      </c>
      <c r="Q136" s="24" t="str">
        <f t="array" ref="Q136">IFERROR(INDEX(sales!C:C,MATCH(D136,sales!C:C,0)),"list없음")</f>
        <v>michelle.park@stryker.com</v>
      </c>
      <c r="R136" s="24"/>
    </row>
    <row r="137">
      <c r="A137" s="13">
        <v>152.0</v>
      </c>
      <c r="B137" s="15" t="s">
        <v>585</v>
      </c>
      <c r="C137" s="15" t="s">
        <v>586</v>
      </c>
      <c r="D137" s="15" t="s">
        <v>587</v>
      </c>
      <c r="E137" s="15" t="s">
        <v>588</v>
      </c>
      <c r="F137" s="17" t="s">
        <v>52</v>
      </c>
      <c r="G137" s="18" t="s">
        <v>53</v>
      </c>
      <c r="H137" s="19" t="str">
        <f t="array" ref="H137">IFERROR(INDEX(Lease_List!D:D,MATCH(INDIRECT("All_User!D"&amp;ROW()),Lease_List!H:H,0)),"없음")</f>
        <v>없음</v>
      </c>
      <c r="I137" s="22" t="s">
        <v>589</v>
      </c>
      <c r="J137" s="21"/>
      <c r="K137" s="22" t="str">
        <f t="array" ref="K137">IFERROR(INDEX(Ipad_List!C:C,MATCH(INDIRECT("All_User!D"&amp;ROW()),Ipad_List!J:J,0)),"없음")</f>
        <v>YWFN4L7RQJ</v>
      </c>
      <c r="L137" s="23" t="str">
        <f t="array" ref="L137">IFERROR(INDEX(TeamsNumber!B:B,MATCH(INDIRECT("All_User!D"&amp;ROW()),TeamsNumber!D:D,0)),"없음")</f>
        <v>tel:+82234517650</v>
      </c>
      <c r="M137" s="23" t="str">
        <f t="array" ref="M137">IFERROR(INDEX(Printer!D:D,MATCH(INDIRECT("All_User!D"&amp;ROW()),Printer!H:H,0)),"없음")</f>
        <v>2차 조사 정보 없음</v>
      </c>
      <c r="N137" s="24" t="str">
        <f t="array" ref="N137">IFERROR(INDEX(Monitor!A:A,MATCH(INDIRECT("All_User!D"&amp;ROW()),Monitor!D:D,0)),"없음")</f>
        <v>없음</v>
      </c>
      <c r="O137" s="24" t="str">
        <f t="shared" si="1"/>
        <v>없음</v>
      </c>
      <c r="P137" s="24" t="str">
        <f t="array" ref="P137">IFERROR(INDEX(sales!E:E,MATCH(D137,sales!C:C,0)),"없음")</f>
        <v>Sales</v>
      </c>
      <c r="Q137" s="24" t="str">
        <f t="array" ref="Q137">IFERROR(INDEX(sales!C:C,MATCH(D137,sales!C:C,0)),"list없음")</f>
        <v>jin.park@stryker.com</v>
      </c>
      <c r="R137" s="24"/>
    </row>
    <row r="138">
      <c r="A138" s="13">
        <v>153.0</v>
      </c>
      <c r="B138" s="15" t="s">
        <v>590</v>
      </c>
      <c r="C138" s="15" t="s">
        <v>591</v>
      </c>
      <c r="D138" s="15" t="s">
        <v>592</v>
      </c>
      <c r="E138" s="18" t="s">
        <v>593</v>
      </c>
      <c r="F138" s="17" t="s">
        <v>67</v>
      </c>
      <c r="G138" s="18" t="s">
        <v>180</v>
      </c>
      <c r="H138" s="19" t="str">
        <f t="array" ref="H138">IFERROR(INDEX(Lease_List!D:D,MATCH(INDIRECT("All_User!D"&amp;ROW()),Lease_List!H:H,0)),"없음")</f>
        <v>없음</v>
      </c>
      <c r="I138" s="20" t="s">
        <v>594</v>
      </c>
      <c r="J138" s="21"/>
      <c r="K138" s="22" t="str">
        <f t="array" ref="K138">IFERROR(INDEX(Ipad_List!C:C,MATCH(INDIRECT("All_User!D"&amp;ROW()),Ipad_List!J:J,0)),"없음")</f>
        <v>없음</v>
      </c>
      <c r="L138" s="23" t="str">
        <f t="array" ref="L138">IFERROR(INDEX(TeamsNumber!B:B,MATCH(INDIRECT("All_User!D"&amp;ROW()),TeamsNumber!D:D,0)),"없음")</f>
        <v>tel:+82234517616</v>
      </c>
      <c r="M138" s="23" t="str">
        <f t="array" ref="M138">IFERROR(INDEX(Printer!D:D,MATCH(INDIRECT("All_User!D"&amp;ROW()),Printer!H:H,0)),"없음")</f>
        <v>없음</v>
      </c>
      <c r="N138" s="24" t="str">
        <f t="array" ref="N138">IFERROR(INDEX(Monitor!A:A,MATCH(INDIRECT("All_User!D"&amp;ROW()),Monitor!D:D,0)),"없음")</f>
        <v>없음</v>
      </c>
      <c r="O138" s="24" t="str">
        <f t="shared" si="1"/>
        <v>없음</v>
      </c>
      <c r="P138" s="24" t="str">
        <f t="array" ref="P138">IFERROR(INDEX(sales!E:E,MATCH(D138,sales!C:C,0)),"없음")</f>
        <v>없음</v>
      </c>
      <c r="Q138" s="24"/>
      <c r="R138" s="24"/>
    </row>
    <row r="139">
      <c r="A139" s="13">
        <v>154.0</v>
      </c>
      <c r="B139" s="15" t="s">
        <v>595</v>
      </c>
      <c r="C139" s="15" t="s">
        <v>596</v>
      </c>
      <c r="D139" s="18" t="s">
        <v>597</v>
      </c>
      <c r="E139" s="15" t="s">
        <v>76</v>
      </c>
      <c r="F139" s="17" t="s">
        <v>52</v>
      </c>
      <c r="G139" s="18" t="s">
        <v>53</v>
      </c>
      <c r="H139" s="19" t="str">
        <f t="array" ref="H139">IFERROR(INDEX(Lease_List!D:D,MATCH(INDIRECT("All_User!D"&amp;ROW()),Lease_List!H:H,0)),"없음")</f>
        <v>없음</v>
      </c>
      <c r="I139" s="22" t="s">
        <v>598</v>
      </c>
      <c r="J139" s="25" t="s">
        <v>599</v>
      </c>
      <c r="K139" s="22" t="str">
        <f t="array" ref="K139">IFERROR(INDEX(Ipad_List!C:C,MATCH(INDIRECT("All_User!D"&amp;ROW()),Ipad_List!J:J,0)),"없음")</f>
        <v>W6RQPLQLJY</v>
      </c>
      <c r="L139" s="23" t="str">
        <f t="array" ref="L139">IFERROR(INDEX(TeamsNumber!B:B,MATCH(INDIRECT("All_User!D"&amp;ROW()),TeamsNumber!D:D,0)),"없음")</f>
        <v>tel:+82234517622</v>
      </c>
      <c r="M139" s="23" t="str">
        <f t="array" ref="M139">IFERROR(INDEX(Printer!D:D,MATCH(INDIRECT("All_User!D"&amp;ROW()),Printer!H:H,0)),"없음")</f>
        <v>SL-C563W</v>
      </c>
      <c r="N139" s="24" t="str">
        <f t="array" ref="N139">IFERROR(INDEX(Monitor!A:A,MATCH(INDIRECT("All_User!D"&amp;ROW()),Monitor!D:D,0)),"없음")</f>
        <v>없음</v>
      </c>
      <c r="O139" s="24" t="str">
        <f t="shared" si="1"/>
        <v>없음</v>
      </c>
      <c r="P139" s="24" t="str">
        <f t="array" ref="P139">IFERROR(INDEX(sales!E:E,MATCH(D139,sales!C:C,0)),"없음")</f>
        <v>Sales</v>
      </c>
      <c r="Q139" s="24" t="str">
        <f t="array" ref="Q139">IFERROR(INDEX(sales!C:C,MATCH(D139,sales!C:C,0)),"list없음")</f>
        <v>daniel.park@stryker.com</v>
      </c>
      <c r="R139" s="24"/>
    </row>
    <row r="140">
      <c r="A140" s="13">
        <v>155.0</v>
      </c>
      <c r="B140" s="15" t="s">
        <v>600</v>
      </c>
      <c r="C140" s="15" t="s">
        <v>601</v>
      </c>
      <c r="D140" s="18" t="s">
        <v>602</v>
      </c>
      <c r="E140" s="15" t="s">
        <v>125</v>
      </c>
      <c r="F140" s="17" t="s">
        <v>52</v>
      </c>
      <c r="G140" s="18" t="s">
        <v>53</v>
      </c>
      <c r="H140" s="19" t="str">
        <f t="array" ref="H140">IFERROR(INDEX(Lease_List!D:D,MATCH(INDIRECT("All_User!D"&amp;ROW()),Lease_List!H:H,0)),"없음")</f>
        <v>5CD442C073</v>
      </c>
      <c r="I140" s="22" t="s">
        <v>29</v>
      </c>
      <c r="J140" s="21"/>
      <c r="K140" s="22" t="str">
        <f t="array" ref="K140">IFERROR(INDEX(Ipad_List!C:C,MATCH(INDIRECT("All_User!D"&amp;ROW()),Ipad_List!J:J,0)),"없음")</f>
        <v>MNPXXL2C5X</v>
      </c>
      <c r="L140" s="23" t="str">
        <f t="array" ref="L140">IFERROR(INDEX(TeamsNumber!B:B,MATCH(INDIRECT("All_User!D"&amp;ROW()),TeamsNumber!D:D,0)),"없음")</f>
        <v>tel:+82234517649</v>
      </c>
      <c r="M140" s="23" t="str">
        <f t="array" ref="M140">IFERROR(INDEX(Printer!D:D,MATCH(INDIRECT("All_User!D"&amp;ROW()),Printer!H:H,0)),"없음")</f>
        <v>SL-C563W</v>
      </c>
      <c r="N140" s="24" t="str">
        <f t="array" ref="N140">IFERROR(INDEX(Monitor!A:A,MATCH(INDIRECT("All_User!D"&amp;ROW()),Monitor!D:D,0)),"없음")</f>
        <v>없음</v>
      </c>
      <c r="O140" s="24" t="str">
        <f t="shared" si="1"/>
        <v>없음</v>
      </c>
      <c r="P140" s="24" t="str">
        <f t="array" ref="P140">IFERROR(INDEX(sales!E:E,MATCH(D140,sales!C:C,0)),"없음")</f>
        <v>Sales</v>
      </c>
      <c r="Q140" s="24" t="str">
        <f t="array" ref="Q140">IFERROR(INDEX(sales!C:C,MATCH(D140,sales!C:C,0)),"list없음")</f>
        <v>hyoseon.park@stryker.com</v>
      </c>
      <c r="R140" s="24"/>
    </row>
    <row r="141">
      <c r="A141" s="13">
        <v>157.0</v>
      </c>
      <c r="B141" s="15" t="s">
        <v>603</v>
      </c>
      <c r="C141" s="15" t="s">
        <v>604</v>
      </c>
      <c r="D141" s="18" t="s">
        <v>605</v>
      </c>
      <c r="E141" s="15" t="s">
        <v>606</v>
      </c>
      <c r="F141" s="17" t="s">
        <v>27</v>
      </c>
      <c r="G141" s="15" t="s">
        <v>137</v>
      </c>
      <c r="H141" s="19" t="str">
        <f t="array" ref="H141">IFERROR(INDEX(Lease_List!D:D,MATCH(INDIRECT("All_User!D"&amp;ROW()),Lease_List!H:H,0)),"없음")</f>
        <v>5CD5179KH4</v>
      </c>
      <c r="I141" s="22" t="s">
        <v>29</v>
      </c>
      <c r="J141" s="21"/>
      <c r="K141" s="22" t="str">
        <f t="array" ref="K141">IFERROR(INDEX(Ipad_List!C:C,MATCH(INDIRECT("All_User!D"&amp;ROW()),Ipad_List!J:J,0)),"없음")</f>
        <v>K9J441WF9W</v>
      </c>
      <c r="L141" s="23" t="str">
        <f t="array" ref="L141">IFERROR(INDEX(TeamsNumber!B:B,MATCH(INDIRECT("All_User!D"&amp;ROW()),TeamsNumber!D:D,0)),"없음")</f>
        <v>tel:+82234517515</v>
      </c>
      <c r="M141" s="23" t="str">
        <f t="array" ref="M141">IFERROR(INDEX(Printer!D:D,MATCH(INDIRECT("All_User!D"&amp;ROW()),Printer!H:H,0)),"없음")</f>
        <v>없음</v>
      </c>
      <c r="N141" s="24" t="str">
        <f t="array" ref="N141">IFERROR(INDEX(Monitor!A:A,MATCH(INDIRECT("All_User!D"&amp;ROW()),Monitor!D:D,0)),"없음")</f>
        <v>LCD 모니터</v>
      </c>
      <c r="O141" s="24" t="str">
        <f t="shared" si="1"/>
        <v>없음</v>
      </c>
      <c r="P141" s="24" t="str">
        <f t="array" ref="P141">IFERROR(INDEX(sales!E:E,MATCH(D141,sales!C:C,0)),"없음")</f>
        <v>없음</v>
      </c>
      <c r="Q141" s="24"/>
      <c r="R141" s="24"/>
    </row>
    <row r="142">
      <c r="A142" s="13">
        <v>158.0</v>
      </c>
      <c r="B142" s="15" t="s">
        <v>607</v>
      </c>
      <c r="C142" s="15" t="s">
        <v>608</v>
      </c>
      <c r="D142" s="18" t="s">
        <v>609</v>
      </c>
      <c r="E142" s="15" t="s">
        <v>57</v>
      </c>
      <c r="F142" s="17" t="s">
        <v>27</v>
      </c>
      <c r="G142" s="18" t="s">
        <v>28</v>
      </c>
      <c r="H142" s="19" t="str">
        <f t="array" ref="H142">IFERROR(INDEX(Lease_List!D:D,MATCH(INDIRECT("All_User!D"&amp;ROW()),Lease_List!H:H,0)),"없음")</f>
        <v>5CD5062YDP</v>
      </c>
      <c r="I142" s="22" t="s">
        <v>29</v>
      </c>
      <c r="J142" s="21"/>
      <c r="K142" s="22" t="str">
        <f t="array" ref="K142">IFERROR(INDEX(Ipad_List!C:C,MATCH(INDIRECT("All_User!D"&amp;ROW()),Ipad_List!J:J,0)),"없음")</f>
        <v>L2717D33PM</v>
      </c>
      <c r="L142" s="23" t="str">
        <f t="array" ref="L142">IFERROR(INDEX(TeamsNumber!B:B,MATCH(INDIRECT("All_User!D"&amp;ROW()),TeamsNumber!D:D,0)),"없음")</f>
        <v>없음</v>
      </c>
      <c r="M142" s="23" t="str">
        <f t="array" ref="M142">IFERROR(INDEX(Printer!D:D,MATCH(INDIRECT("All_User!D"&amp;ROW()),Printer!H:H,0)),"없음")</f>
        <v>없음</v>
      </c>
      <c r="N142" s="24" t="str">
        <f t="array" ref="N142">IFERROR(INDEX(Monitor!A:A,MATCH(INDIRECT("All_User!D"&amp;ROW()),Monitor!D:D,0)),"없음")</f>
        <v>없음</v>
      </c>
      <c r="O142" s="24" t="str">
        <f t="shared" si="1"/>
        <v>없음</v>
      </c>
      <c r="P142" s="24" t="str">
        <f t="array" ref="P142">IFERROR(INDEX(sales!E:E,MATCH(D142,sales!C:C,0)),"없음")</f>
        <v>MPS</v>
      </c>
      <c r="Q142" s="24" t="str">
        <f t="array" ref="Q142">IFERROR(INDEX(sales!C:C,MATCH(D142,sales!C:C,0)),"list없음")</f>
        <v>lucia.park@stryker.com</v>
      </c>
      <c r="R142" s="24"/>
    </row>
    <row r="143">
      <c r="A143" s="13">
        <v>160.0</v>
      </c>
      <c r="B143" s="18" t="s">
        <v>610</v>
      </c>
      <c r="C143" s="15" t="s">
        <v>611</v>
      </c>
      <c r="D143" s="18" t="s">
        <v>612</v>
      </c>
      <c r="E143" s="18" t="s">
        <v>613</v>
      </c>
      <c r="F143" s="17" t="s">
        <v>62</v>
      </c>
      <c r="G143" s="18" t="s">
        <v>105</v>
      </c>
      <c r="H143" s="19" t="str">
        <f t="array" ref="H143">IFERROR(INDEX(Lease_List!D:D,MATCH(INDIRECT("All_User!D"&amp;ROW()),Lease_List!H:H,0)),"없음")</f>
        <v>5CD5179KH8</v>
      </c>
      <c r="I143" s="22" t="s">
        <v>614</v>
      </c>
      <c r="J143" s="21"/>
      <c r="K143" s="22" t="str">
        <f t="array" ref="K143">IFERROR(INDEX(Ipad_List!C:C,MATCH(INDIRECT("All_User!D"&amp;ROW()),Ipad_List!J:J,0)),"없음")</f>
        <v>JWXX9D7C0H</v>
      </c>
      <c r="L143" s="23" t="str">
        <f t="array" ref="L143">IFERROR(INDEX(TeamsNumber!B:B,MATCH(INDIRECT("All_User!D"&amp;ROW()),TeamsNumber!D:D,0)),"없음")</f>
        <v>tel:+82234517653</v>
      </c>
      <c r="M143" s="23" t="str">
        <f t="array" ref="M143">IFERROR(INDEX(Printer!D:D,MATCH(INDIRECT("All_User!D"&amp;ROW()),Printer!H:H,0)),"없음")</f>
        <v>없음</v>
      </c>
      <c r="N143" s="24" t="str">
        <f t="array" ref="N143">IFERROR(INDEX(Monitor!A:A,MATCH(INDIRECT("All_User!D"&amp;ROW()),Monitor!D:D,0)),"없음")</f>
        <v>없음</v>
      </c>
      <c r="O143" s="24" t="str">
        <f t="shared" si="1"/>
        <v>없음</v>
      </c>
      <c r="P143" s="24" t="str">
        <f t="array" ref="P143">IFERROR(INDEX(sales!E:E,MATCH(D143,sales!C:C,0)),"없음")</f>
        <v>없음</v>
      </c>
      <c r="Q143" s="24"/>
      <c r="R143" s="24"/>
    </row>
    <row r="144">
      <c r="A144" s="13">
        <v>161.0</v>
      </c>
      <c r="B144" s="15" t="s">
        <v>615</v>
      </c>
      <c r="C144" s="15" t="s">
        <v>616</v>
      </c>
      <c r="D144" s="15" t="s">
        <v>617</v>
      </c>
      <c r="E144" s="15" t="s">
        <v>618</v>
      </c>
      <c r="F144" s="17" t="s">
        <v>20</v>
      </c>
      <c r="G144" s="18" t="s">
        <v>53</v>
      </c>
      <c r="H144" s="19" t="str">
        <f t="array" ref="H144">IFERROR(INDEX(Lease_List!D:D,MATCH(INDIRECT("All_User!D"&amp;ROW()),Lease_List!H:H,0)),"없음")</f>
        <v>없음</v>
      </c>
      <c r="I144" s="22" t="s">
        <v>619</v>
      </c>
      <c r="J144" s="21"/>
      <c r="K144" s="22" t="str">
        <f t="array" ref="K144">IFERROR(INDEX(Ipad_List!C:C,MATCH(INDIRECT("All_User!D"&amp;ROW()),Ipad_List!J:J,0)),"없음")</f>
        <v>KJ44CP93XQ</v>
      </c>
      <c r="L144" s="23" t="str">
        <f t="array" ref="L144">IFERROR(INDEX(TeamsNumber!B:B,MATCH(INDIRECT("All_User!D"&amp;ROW()),TeamsNumber!D:D,0)),"없음")</f>
        <v>tel:+82234517548</v>
      </c>
      <c r="M144" s="23" t="str">
        <f t="array" ref="M144">IFERROR(INDEX(Printer!D:D,MATCH(INDIRECT("All_User!D"&amp;ROW()),Printer!H:H,0)),"없음")</f>
        <v>SL-C563W</v>
      </c>
      <c r="N144" s="24" t="str">
        <f t="array" ref="N144">IFERROR(INDEX(Monitor!A:A,MATCH(INDIRECT("All_User!D"&amp;ROW()),Monitor!D:D,0)),"없음")</f>
        <v>없음</v>
      </c>
      <c r="O144" s="24" t="str">
        <f t="shared" si="1"/>
        <v>없음</v>
      </c>
      <c r="P144" s="24" t="str">
        <f t="array" ref="P144">IFERROR(INDEX(sales!E:E,MATCH(D144,sales!C:C,0)),"없음")</f>
        <v>Sales</v>
      </c>
      <c r="Q144" s="24" t="str">
        <f t="array" ref="Q144">IFERROR(INDEX(sales!C:C,MATCH(D144,sales!C:C,0)),"list없음")</f>
        <v>Gregory.Seo@stryker.com</v>
      </c>
      <c r="R144" s="24"/>
    </row>
    <row r="145">
      <c r="A145" s="13">
        <v>162.0</v>
      </c>
      <c r="B145" s="15" t="s">
        <v>620</v>
      </c>
      <c r="C145" s="15" t="s">
        <v>621</v>
      </c>
      <c r="D145" s="15" t="s">
        <v>622</v>
      </c>
      <c r="E145" s="15" t="s">
        <v>623</v>
      </c>
      <c r="F145" s="17" t="s">
        <v>419</v>
      </c>
      <c r="G145" s="15" t="s">
        <v>82</v>
      </c>
      <c r="H145" s="19" t="str">
        <f t="array" ref="H145">IFERROR(INDEX(Lease_List!D:D,MATCH(INDIRECT("All_User!D"&amp;ROW()),Lease_List!H:H,0)),"없음")</f>
        <v>5CG53403DB</v>
      </c>
      <c r="I145" s="22" t="s">
        <v>29</v>
      </c>
      <c r="J145" s="21"/>
      <c r="K145" s="22" t="str">
        <f t="array" ref="K145">IFERROR(INDEX(Ipad_List!C:C,MATCH(INDIRECT("All_User!D"&amp;ROW()),Ipad_List!J:J,0)),"없음")</f>
        <v>없음</v>
      </c>
      <c r="L145" s="23" t="str">
        <f t="array" ref="L145">IFERROR(INDEX(TeamsNumber!B:B,MATCH(INDIRECT("All_User!D"&amp;ROW()),TeamsNumber!D:D,0)),"없음")</f>
        <v>tel:+82234517698</v>
      </c>
      <c r="M145" s="23" t="str">
        <f t="array" ref="M145">IFERROR(INDEX(Printer!D:D,MATCH(INDIRECT("All_User!D"&amp;ROW()),Printer!H:H,0)),"없음")</f>
        <v>없음</v>
      </c>
      <c r="N145" s="24" t="str">
        <f t="array" ref="N145">IFERROR(INDEX(Monitor!A:A,MATCH(INDIRECT("All_User!D"&amp;ROW()),Monitor!D:D,0)),"없음")</f>
        <v>없음</v>
      </c>
      <c r="O145" s="24" t="str">
        <f t="shared" si="1"/>
        <v>없음</v>
      </c>
      <c r="P145" s="24" t="str">
        <f t="array" ref="P145">IFERROR(INDEX(sales!E:E,MATCH(D145,sales!C:C,0)),"없음")</f>
        <v/>
      </c>
      <c r="Q145" s="24"/>
      <c r="R145" s="24"/>
    </row>
    <row r="146">
      <c r="A146" s="28">
        <v>163.0</v>
      </c>
      <c r="B146" s="29" t="s">
        <v>624</v>
      </c>
      <c r="C146" s="29" t="s">
        <v>625</v>
      </c>
      <c r="D146" s="30" t="s">
        <v>626</v>
      </c>
      <c r="E146" s="29" t="s">
        <v>627</v>
      </c>
      <c r="F146" s="17" t="s">
        <v>378</v>
      </c>
      <c r="G146" s="29" t="s">
        <v>628</v>
      </c>
      <c r="H146" s="19" t="str">
        <f t="array" ref="H146">IFERROR(INDEX(Lease_List!D:D,MATCH(INDIRECT("All_User!D"&amp;ROW()),Lease_List!H:H,0)),"없음")</f>
        <v>5CD5179KH0</v>
      </c>
      <c r="I146" s="31" t="s">
        <v>629</v>
      </c>
      <c r="J146" s="32"/>
      <c r="K146" s="22" t="str">
        <f t="array" ref="K146">IFERROR(INDEX(Ipad_List!C:C,MATCH(INDIRECT("All_User!D"&amp;ROW()),Ipad_List!J:J,0)),"없음")</f>
        <v>없음</v>
      </c>
      <c r="L146" s="23" t="str">
        <f t="array" ref="L146">IFERROR(INDEX(TeamsNumber!B:B,MATCH(INDIRECT("All_User!D"&amp;ROW()),TeamsNumber!D:D,0)),"없음")</f>
        <v>tel:+82234517619</v>
      </c>
      <c r="M146" s="23" t="str">
        <f t="array" ref="M146">IFERROR(INDEX(Printer!D:D,MATCH(INDIRECT("All_User!D"&amp;ROW()),Printer!H:H,0)),"없음")</f>
        <v>없음</v>
      </c>
      <c r="N146" s="24" t="str">
        <f t="array" ref="N146">IFERROR(INDEX(Monitor!A:A,MATCH(INDIRECT("All_User!D"&amp;ROW()),Monitor!D:D,0)),"없음")</f>
        <v>없음</v>
      </c>
      <c r="O146" s="24" t="str">
        <f t="shared" si="1"/>
        <v>없음</v>
      </c>
      <c r="P146" s="24" t="str">
        <f t="array" ref="P146">IFERROR(INDEX(sales!E:E,MATCH(D146,sales!C:C,0)),"없음")</f>
        <v>없음</v>
      </c>
    </row>
    <row r="147">
      <c r="A147" s="13">
        <v>164.0</v>
      </c>
      <c r="B147" s="15" t="s">
        <v>630</v>
      </c>
      <c r="C147" s="15" t="s">
        <v>631</v>
      </c>
      <c r="D147" s="15" t="s">
        <v>632</v>
      </c>
      <c r="E147" s="15" t="s">
        <v>633</v>
      </c>
      <c r="F147" s="27" t="s">
        <v>634</v>
      </c>
      <c r="G147" s="18" t="s">
        <v>635</v>
      </c>
      <c r="H147" s="19" t="str">
        <f t="array" ref="H147">IFERROR(INDEX(Lease_List!D:D,MATCH(INDIRECT("All_User!D"&amp;ROW()),Lease_List!H:H,0)),"없음")</f>
        <v>5CD4232BF9</v>
      </c>
      <c r="I147" s="22" t="s">
        <v>29</v>
      </c>
      <c r="J147" s="21"/>
      <c r="K147" s="22" t="str">
        <f t="array" ref="K147">IFERROR(INDEX(Ipad_List!C:C,MATCH(INDIRECT("All_User!D"&amp;ROW()),Ipad_List!J:J,0)),"없음")</f>
        <v>DLXCC00MKC43</v>
      </c>
      <c r="L147" s="23" t="str">
        <f t="array" ref="L147">IFERROR(INDEX(TeamsNumber!B:B,MATCH(INDIRECT("All_User!D"&amp;ROW()),TeamsNumber!D:D,0)),"없음")</f>
        <v>tel:+82234517520</v>
      </c>
      <c r="M147" s="23" t="str">
        <f t="array" ref="M147">IFERROR(INDEX(Printer!D:D,MATCH(INDIRECT("All_User!D"&amp;ROW()),Printer!H:H,0)),"없음")</f>
        <v>없음</v>
      </c>
      <c r="N147" s="24" t="str">
        <f t="array" ref="N147">IFERROR(INDEX(Monitor!A:A,MATCH(INDIRECT("All_User!D"&amp;ROW()),Monitor!D:D,0)),"없음")</f>
        <v>없음</v>
      </c>
      <c r="O147" s="24" t="str">
        <f t="shared" si="1"/>
        <v>없음</v>
      </c>
      <c r="P147" s="24" t="str">
        <f t="array" ref="P147">IFERROR(INDEX(sales!E:E,MATCH(D147,sales!C:C,0)),"없음")</f>
        <v>없음</v>
      </c>
      <c r="Q147" s="24"/>
      <c r="R147" s="24"/>
    </row>
    <row r="148">
      <c r="A148" s="13">
        <v>166.0</v>
      </c>
      <c r="B148" s="15" t="s">
        <v>636</v>
      </c>
      <c r="C148" s="15" t="s">
        <v>637</v>
      </c>
      <c r="D148" s="18" t="s">
        <v>638</v>
      </c>
      <c r="E148" s="15" t="s">
        <v>72</v>
      </c>
      <c r="F148" s="17" t="s">
        <v>27</v>
      </c>
      <c r="G148" s="18" t="s">
        <v>28</v>
      </c>
      <c r="H148" s="19" t="str">
        <f t="array" ref="H148">IFERROR(INDEX(Lease_List!D:D,MATCH(INDIRECT("All_User!D"&amp;ROW()),Lease_List!H:H,0)),"없음")</f>
        <v>없음</v>
      </c>
      <c r="I148" s="22" t="s">
        <v>29</v>
      </c>
      <c r="J148" s="25" t="s">
        <v>639</v>
      </c>
      <c r="K148" s="22" t="str">
        <f t="array" ref="K148">IFERROR(INDEX(Ipad_List!C:C,MATCH(INDIRECT("All_User!D"&amp;ROW()),Ipad_List!J:J,0)),"없음")</f>
        <v>LR4DPX93T4</v>
      </c>
      <c r="L148" s="23" t="str">
        <f t="array" ref="L148">IFERROR(INDEX(TeamsNumber!B:B,MATCH(INDIRECT("All_User!D"&amp;ROW()),TeamsNumber!D:D,0)),"없음")</f>
        <v>tel:+82234517522</v>
      </c>
      <c r="M148" s="23" t="str">
        <f t="array" ref="M148">IFERROR(INDEX(Printer!D:D,MATCH(INDIRECT("All_User!D"&amp;ROW()),Printer!H:H,0)),"없음")</f>
        <v>없음</v>
      </c>
      <c r="N148" s="24" t="str">
        <f t="array" ref="N148">IFERROR(INDEX(Monitor!A:A,MATCH(INDIRECT("All_User!D"&amp;ROW()),Monitor!D:D,0)),"없음")</f>
        <v>없음</v>
      </c>
      <c r="O148" s="24" t="str">
        <f t="shared" si="1"/>
        <v>없음</v>
      </c>
      <c r="P148" s="24" t="str">
        <f t="array" ref="P148">IFERROR(INDEX(sales!E:E,MATCH(D148,sales!C:C,0)),"없음")</f>
        <v>MPS</v>
      </c>
      <c r="Q148" s="24" t="str">
        <f t="array" ref="Q148">IFERROR(INDEX(sales!C:C,MATCH(D148,sales!C:C,0)),"list없음")</f>
        <v>chris.shin@stryker.com</v>
      </c>
      <c r="R148" s="24"/>
    </row>
    <row r="149">
      <c r="A149" s="13">
        <v>167.0</v>
      </c>
      <c r="B149" s="15" t="s">
        <v>640</v>
      </c>
      <c r="C149" s="15" t="s">
        <v>641</v>
      </c>
      <c r="D149" s="15" t="s">
        <v>642</v>
      </c>
      <c r="E149" s="15" t="s">
        <v>643</v>
      </c>
      <c r="F149" s="17" t="s">
        <v>295</v>
      </c>
      <c r="G149" s="18" t="s">
        <v>295</v>
      </c>
      <c r="H149" s="19" t="str">
        <f t="array" ref="H149">IFERROR(INDEX(Lease_List!D:D,MATCH(INDIRECT("All_User!D"&amp;ROW()),Lease_List!H:H,0)),"없음")</f>
        <v>5CD3469HDM</v>
      </c>
      <c r="I149" s="22" t="s">
        <v>29</v>
      </c>
      <c r="J149" s="21"/>
      <c r="K149" s="22" t="str">
        <f t="array" ref="K149">IFERROR(INDEX(Ipad_List!C:C,MATCH(INDIRECT("All_User!D"&amp;ROW()),Ipad_List!J:J,0)),"없음")</f>
        <v>없음</v>
      </c>
      <c r="L149" s="23" t="str">
        <f t="array" ref="L149">IFERROR(INDEX(TeamsNumber!B:B,MATCH(INDIRECT("All_User!D"&amp;ROW()),TeamsNumber!D:D,0)),"없음")</f>
        <v>tel:+82234517541</v>
      </c>
      <c r="M149" s="23" t="str">
        <f t="array" ref="M149">IFERROR(INDEX(Printer!D:D,MATCH(INDIRECT("All_User!D"&amp;ROW()),Printer!H:H,0)),"없음")</f>
        <v>없음</v>
      </c>
      <c r="N149" s="24" t="str">
        <f t="array" ref="N149">IFERROR(INDEX(Monitor!A:A,MATCH(INDIRECT("All_User!D"&amp;ROW()),Monitor!D:D,0)),"없음")</f>
        <v>없음</v>
      </c>
      <c r="O149" s="24" t="str">
        <f t="shared" si="1"/>
        <v>없음</v>
      </c>
      <c r="P149" s="24" t="str">
        <f t="array" ref="P149">IFERROR(INDEX(sales!E:E,MATCH(D149,sales!C:C,0)),"없음")</f>
        <v>없음</v>
      </c>
      <c r="Q149" s="24"/>
      <c r="R149" s="24"/>
    </row>
    <row r="150" ht="15.75" customHeight="1">
      <c r="A150" s="13">
        <v>168.0</v>
      </c>
      <c r="B150" s="15" t="s">
        <v>644</v>
      </c>
      <c r="C150" s="15" t="s">
        <v>645</v>
      </c>
      <c r="D150" s="15" t="s">
        <v>646</v>
      </c>
      <c r="E150" s="18" t="s">
        <v>109</v>
      </c>
      <c r="F150" s="17" t="s">
        <v>52</v>
      </c>
      <c r="G150" s="18" t="s">
        <v>53</v>
      </c>
      <c r="H150" s="19" t="str">
        <f t="array" ref="H150">IFERROR(INDEX(Lease_List!D:D,MATCH(INDIRECT("All_User!D"&amp;ROW()),Lease_List!H:H,0)),"없음")</f>
        <v>5CD5179KHC</v>
      </c>
      <c r="I150" s="22" t="s">
        <v>647</v>
      </c>
      <c r="J150" s="21"/>
      <c r="K150" s="22" t="str">
        <f t="array" ref="K150">IFERROR(INDEX(Ipad_List!C:C,MATCH(INDIRECT("All_User!D"&amp;ROW()),Ipad_List!J:J,0)),"없음")</f>
        <v>M90KHK7Y1F</v>
      </c>
      <c r="L150" s="23" t="str">
        <f t="array" ref="L150">IFERROR(INDEX(TeamsNumber!B:B,MATCH(INDIRECT("All_User!D"&amp;ROW()),TeamsNumber!D:D,0)),"없음")</f>
        <v>tel:+82234517528</v>
      </c>
      <c r="M150" s="23" t="str">
        <f t="array" ref="M150">IFERROR(INDEX(Printer!D:D,MATCH(INDIRECT("All_User!D"&amp;ROW()),Printer!H:H,0)),"없음")</f>
        <v>SL-C486FW</v>
      </c>
      <c r="N150" s="24" t="str">
        <f t="array" ref="N150">IFERROR(INDEX(Monitor!A:A,MATCH(INDIRECT("All_User!D"&amp;ROW()),Monitor!D:D,0)),"없음")</f>
        <v>없음</v>
      </c>
      <c r="O150" s="24" t="str">
        <f t="shared" si="1"/>
        <v>없음</v>
      </c>
      <c r="P150" s="24" t="str">
        <f t="array" ref="P150">IFERROR(INDEX(sales!E:E,MATCH(D150,sales!C:C,0)),"없음")</f>
        <v>Sales</v>
      </c>
      <c r="Q150" s="24" t="str">
        <f t="array" ref="Q150">IFERROR(INDEX(sales!C:C,MATCH(D150,sales!C:C,0)),"list없음")</f>
        <v>dana.shin@stryker.com</v>
      </c>
      <c r="R150" s="24"/>
    </row>
    <row r="151" ht="15.75" customHeight="1">
      <c r="A151" s="13">
        <v>171.0</v>
      </c>
      <c r="B151" s="15" t="s">
        <v>648</v>
      </c>
      <c r="C151" s="15" t="s">
        <v>649</v>
      </c>
      <c r="D151" s="18" t="s">
        <v>650</v>
      </c>
      <c r="E151" s="15" t="s">
        <v>651</v>
      </c>
      <c r="F151" s="17" t="s">
        <v>34</v>
      </c>
      <c r="G151" s="18" t="s">
        <v>105</v>
      </c>
      <c r="H151" s="19" t="str">
        <f t="array" ref="H151">IFERROR(INDEX(Lease_List!D:D,MATCH(INDIRECT("All_User!D"&amp;ROW()),Lease_List!H:H,0)),"없음")</f>
        <v>5CD5179KH7</v>
      </c>
      <c r="I151" s="22" t="s">
        <v>652</v>
      </c>
      <c r="J151" s="21"/>
      <c r="K151" s="22" t="str">
        <f t="array" ref="K151">IFERROR(INDEX(Ipad_List!C:C,MATCH(INDIRECT("All_User!D"&amp;ROW()),Ipad_List!J:J,0)),"없음")</f>
        <v>RFJJ97J4YG</v>
      </c>
      <c r="L151" s="23" t="str">
        <f t="array" ref="L151">IFERROR(INDEX(TeamsNumber!B:B,MATCH(INDIRECT("All_User!D"&amp;ROW()),TeamsNumber!D:D,0)),"없음")</f>
        <v>tel:+82234517667</v>
      </c>
      <c r="M151" s="23" t="str">
        <f t="array" ref="M151">IFERROR(INDEX(Printer!D:D,MATCH(INDIRECT("All_User!D"&amp;ROW()),Printer!H:H,0)),"없음")</f>
        <v>SL-C563W</v>
      </c>
      <c r="N151" s="24" t="str">
        <f t="array" ref="N151">IFERROR(INDEX(Monitor!A:A,MATCH(INDIRECT("All_User!D"&amp;ROW()),Monitor!D:D,0)),"없음")</f>
        <v>없음</v>
      </c>
      <c r="O151" s="24" t="str">
        <f t="shared" si="1"/>
        <v>없음</v>
      </c>
      <c r="P151" s="24" t="str">
        <f t="array" ref="P151">IFERROR(INDEX(sales!E:E,MATCH(D151,sales!C:C,0)),"없음")</f>
        <v>TS</v>
      </c>
      <c r="Q151" s="24" t="str">
        <f t="array" ref="Q151">IFERROR(INDEX(sales!C:C,MATCH(D151,sales!C:C,0)),"list없음")</f>
        <v>Huey.Sim@stryker.com</v>
      </c>
      <c r="R151" s="24"/>
    </row>
    <row r="152">
      <c r="A152" s="13">
        <v>172.0</v>
      </c>
      <c r="B152" s="15" t="s">
        <v>653</v>
      </c>
      <c r="C152" s="15" t="s">
        <v>654</v>
      </c>
      <c r="D152" s="18" t="s">
        <v>655</v>
      </c>
      <c r="E152" s="15" t="s">
        <v>656</v>
      </c>
      <c r="F152" s="17" t="s">
        <v>52</v>
      </c>
      <c r="G152" s="18" t="s">
        <v>53</v>
      </c>
      <c r="H152" s="19" t="str">
        <f t="array" ref="H152">IFERROR(INDEX(Lease_List!D:D,MATCH(INDIRECT("All_User!D"&amp;ROW()),Lease_List!H:H,0)),"없음")</f>
        <v>5CD5179KH9</v>
      </c>
      <c r="I152" s="22" t="s">
        <v>657</v>
      </c>
      <c r="J152" s="21"/>
      <c r="K152" s="22" t="str">
        <f t="array" ref="K152">IFERROR(INDEX(Ipad_List!C:C,MATCH(INDIRECT("All_User!D"&amp;ROW()),Ipad_List!J:J,0)),"없음")</f>
        <v>FWJG39XV9Q</v>
      </c>
      <c r="L152" s="23" t="str">
        <f t="array" ref="L152">IFERROR(INDEX(TeamsNumber!B:B,MATCH(INDIRECT("All_User!D"&amp;ROW()),TeamsNumber!D:D,0)),"없음")</f>
        <v>tel:+82234517592</v>
      </c>
      <c r="M152" s="23" t="str">
        <f t="array" ref="M152">IFERROR(INDEX(Printer!D:D,MATCH(INDIRECT("All_User!D"&amp;ROW()),Printer!H:H,0)),"없음")</f>
        <v>SL-C486FW</v>
      </c>
      <c r="N152" s="24" t="str">
        <f t="array" ref="N152">IFERROR(INDEX(Monitor!A:A,MATCH(INDIRECT("All_User!D"&amp;ROW()),Monitor!D:D,0)),"없음")</f>
        <v>없음</v>
      </c>
      <c r="O152" s="24" t="str">
        <f t="shared" si="1"/>
        <v>없음</v>
      </c>
      <c r="P152" s="24" t="str">
        <f t="array" ref="P152">IFERROR(INDEX(sales!E:E,MATCH(D152,sales!C:C,0)),"없음")</f>
        <v>Sales</v>
      </c>
      <c r="Q152" s="24" t="str">
        <f t="array" ref="Q152">IFERROR(INDEX(sales!C:C,MATCH(D152,sales!C:C,0)),"list없음")</f>
        <v>Simon.sin@stryker.com</v>
      </c>
      <c r="R152" s="24"/>
    </row>
    <row r="153">
      <c r="A153" s="13">
        <v>174.0</v>
      </c>
      <c r="B153" s="15" t="s">
        <v>658</v>
      </c>
      <c r="C153" s="15" t="s">
        <v>659</v>
      </c>
      <c r="D153" s="18" t="s">
        <v>660</v>
      </c>
      <c r="E153" s="15" t="s">
        <v>661</v>
      </c>
      <c r="F153" s="17" t="s">
        <v>584</v>
      </c>
      <c r="G153" s="15" t="s">
        <v>82</v>
      </c>
      <c r="H153" s="19" t="str">
        <f t="array" ref="H153">IFERROR(INDEX(Lease_List!D:D,MATCH(INDIRECT("All_User!D"&amp;ROW()),Lease_List!H:H,0)),"없음")</f>
        <v>5CD4305D8L</v>
      </c>
      <c r="I153" s="22" t="s">
        <v>29</v>
      </c>
      <c r="J153" s="21"/>
      <c r="K153" s="22" t="str">
        <f t="array" ref="K153">IFERROR(INDEX(Ipad_List!C:C,MATCH(INDIRECT("All_User!D"&amp;ROW()),Ipad_List!J:J,0)),"없음")</f>
        <v>없음</v>
      </c>
      <c r="L153" s="23" t="str">
        <f t="array" ref="L153">IFERROR(INDEX(TeamsNumber!B:B,MATCH(INDIRECT("All_User!D"&amp;ROW()),TeamsNumber!D:D,0)),"없음")</f>
        <v>tel:+82234517577</v>
      </c>
      <c r="M153" s="23" t="str">
        <f t="array" ref="M153">IFERROR(INDEX(Printer!D:D,MATCH(INDIRECT("All_User!D"&amp;ROW()),Printer!H:H,0)),"없음")</f>
        <v>없음</v>
      </c>
      <c r="N153" s="24" t="str">
        <f t="array" ref="N153">IFERROR(INDEX(Monitor!A:A,MATCH(INDIRECT("All_User!D"&amp;ROW()),Monitor!D:D,0)),"없음")</f>
        <v>없음</v>
      </c>
      <c r="O153" s="24" t="str">
        <f t="shared" si="1"/>
        <v>없음</v>
      </c>
      <c r="P153" s="24" t="str">
        <f t="array" ref="P153">IFERROR(INDEX(sales!E:E,MATCH(D153,sales!C:C,0)),"없음")</f>
        <v>없음</v>
      </c>
      <c r="Q153" s="24"/>
      <c r="R153" s="24"/>
    </row>
    <row r="154">
      <c r="A154" s="28">
        <v>175.0</v>
      </c>
      <c r="B154" s="29" t="s">
        <v>662</v>
      </c>
      <c r="C154" s="29" t="s">
        <v>663</v>
      </c>
      <c r="D154" s="30" t="s">
        <v>664</v>
      </c>
      <c r="E154" s="29" t="s">
        <v>665</v>
      </c>
      <c r="F154" s="37" t="s">
        <v>20</v>
      </c>
      <c r="G154" s="30" t="s">
        <v>53</v>
      </c>
      <c r="H154" s="19" t="str">
        <f t="array" ref="H154">IFERROR(INDEX(Lease_List!D:D,MATCH(INDIRECT("All_User!D"&amp;ROW()),Lease_List!H:H,0)),"없음")</f>
        <v>없음</v>
      </c>
      <c r="I154" s="31" t="s">
        <v>29</v>
      </c>
      <c r="J154" s="38" t="s">
        <v>666</v>
      </c>
      <c r="K154" s="22" t="str">
        <f t="array" ref="K154">IFERROR(INDEX(Ipad_List!C:C,MATCH(INDIRECT("All_User!D"&amp;ROW()),Ipad_List!J:J,0)),"없음")</f>
        <v>C2QFHGVW92</v>
      </c>
      <c r="L154" s="23" t="str">
        <f t="array" ref="L154">IFERROR(INDEX(TeamsNumber!B:B,MATCH(INDIRECT("All_User!D"&amp;ROW()),TeamsNumber!D:D,0)),"없음")</f>
        <v>tel:+82234517678</v>
      </c>
      <c r="M154" s="23" t="str">
        <f t="array" ref="M154">IFERROR(INDEX(Printer!D:D,MATCH(INDIRECT("All_User!D"&amp;ROW()),Printer!H:H,0)),"없음")</f>
        <v>없음</v>
      </c>
      <c r="N154" s="24" t="str">
        <f t="array" ref="N154">IFERROR(INDEX(Monitor!A:A,MATCH(INDIRECT("All_User!D"&amp;ROW()),Monitor!D:D,0)),"없음")</f>
        <v>없음</v>
      </c>
      <c r="O154" s="24" t="str">
        <f t="shared" si="1"/>
        <v>없음</v>
      </c>
      <c r="P154" s="24" t="str">
        <f t="array" ref="P154">IFERROR(INDEX(sales!E:E,MATCH(D154,sales!C:C,0)),"없음")</f>
        <v>NV</v>
      </c>
      <c r="Q154" s="24" t="str">
        <f t="array" ref="Q154">IFERROR(INDEX(sales!C:C,MATCH(D154,sales!C:C,0)),"list없음")</f>
        <v>mina.song@stryker.com</v>
      </c>
    </row>
    <row r="155">
      <c r="A155" s="13">
        <v>176.0</v>
      </c>
      <c r="B155" s="18" t="s">
        <v>667</v>
      </c>
      <c r="C155" s="15" t="s">
        <v>668</v>
      </c>
      <c r="D155" s="15" t="s">
        <v>669</v>
      </c>
      <c r="E155" s="18" t="s">
        <v>670</v>
      </c>
      <c r="F155" s="17" t="s">
        <v>671</v>
      </c>
      <c r="G155" s="18" t="s">
        <v>105</v>
      </c>
      <c r="H155" s="19" t="str">
        <f t="array" ref="H155">IFERROR(INDEX(Lease_List!D:D,MATCH(INDIRECT("All_User!D"&amp;ROW()),Lease_List!H:H,0)),"없음")</f>
        <v>5CG53403CW</v>
      </c>
      <c r="I155" s="22" t="s">
        <v>36</v>
      </c>
      <c r="J155" s="21"/>
      <c r="K155" s="22" t="str">
        <f t="array" ref="K155">IFERROR(INDEX(Ipad_List!C:C,MATCH(INDIRECT("All_User!D"&amp;ROW()),Ipad_List!J:J,0)),"없음")</f>
        <v>DXP5W6NH22</v>
      </c>
      <c r="L155" s="23" t="str">
        <f t="array" ref="L155">IFERROR(INDEX(TeamsNumber!B:B,MATCH(INDIRECT("All_User!D"&amp;ROW()),TeamsNumber!D:D,0)),"없음")</f>
        <v>없음</v>
      </c>
      <c r="M155" s="23" t="str">
        <f t="array" ref="M155">IFERROR(INDEX(Printer!D:D,MATCH(INDIRECT("All_User!D"&amp;ROW()),Printer!H:H,0)),"없음")</f>
        <v>없음</v>
      </c>
      <c r="N155" s="24" t="str">
        <f t="array" ref="N155">IFERROR(INDEX(Monitor!A:A,MATCH(INDIRECT("All_User!D"&amp;ROW()),Monitor!D:D,0)),"없음")</f>
        <v>없음</v>
      </c>
      <c r="O155" s="24" t="str">
        <f t="shared" si="1"/>
        <v>없음</v>
      </c>
      <c r="P155" s="24" t="str">
        <f t="array" ref="P155">IFERROR(INDEX(sales!E:E,MATCH(D155,sales!C:C,0)),"없음")</f>
        <v>없음</v>
      </c>
      <c r="Q155" s="24"/>
      <c r="R155" s="24"/>
    </row>
    <row r="156">
      <c r="A156" s="13">
        <v>177.0</v>
      </c>
      <c r="B156" s="15" t="s">
        <v>672</v>
      </c>
      <c r="C156" s="15" t="s">
        <v>673</v>
      </c>
      <c r="D156" s="15" t="s">
        <v>674</v>
      </c>
      <c r="E156" s="15" t="s">
        <v>268</v>
      </c>
      <c r="F156" s="17" t="s">
        <v>67</v>
      </c>
      <c r="G156" s="18" t="s">
        <v>68</v>
      </c>
      <c r="H156" s="19" t="str">
        <f t="array" ref="H156">IFERROR(INDEX(Lease_List!D:D,MATCH(INDIRECT("All_User!D"&amp;ROW()),Lease_List!H:H,0)),"없음")</f>
        <v>없음</v>
      </c>
      <c r="I156" s="22" t="s">
        <v>29</v>
      </c>
      <c r="J156" s="21"/>
      <c r="K156" s="22" t="str">
        <f t="array" ref="K156">IFERROR(INDEX(Ipad_List!C:C,MATCH(INDIRECT("All_User!D"&amp;ROW()),Ipad_List!J:J,0)),"없음")</f>
        <v>없음</v>
      </c>
      <c r="L156" s="23" t="str">
        <f t="array" ref="L156">IFERROR(INDEX(TeamsNumber!B:B,MATCH(INDIRECT("All_User!D"&amp;ROW()),TeamsNumber!D:D,0)),"없음")</f>
        <v>tel:+82234517640</v>
      </c>
      <c r="M156" s="23" t="str">
        <f t="array" ref="M156">IFERROR(INDEX(Printer!D:D,MATCH(INDIRECT("All_User!D"&amp;ROW()),Printer!H:H,0)),"없음")</f>
        <v>없음</v>
      </c>
      <c r="N156" s="24" t="str">
        <f t="array" ref="N156">IFERROR(INDEX(Monitor!A:A,MATCH(INDIRECT("All_User!D"&amp;ROW()),Monitor!D:D,0)),"없음")</f>
        <v>없음</v>
      </c>
      <c r="O156" s="24" t="str">
        <f t="shared" si="1"/>
        <v>없음</v>
      </c>
      <c r="P156" s="24" t="str">
        <f t="array" ref="P156">IFERROR(INDEX(sales!E:E,MATCH(D156,sales!C:C,0)),"없음")</f>
        <v>없음</v>
      </c>
      <c r="Q156" s="24"/>
      <c r="R156" s="24"/>
    </row>
    <row r="157">
      <c r="A157" s="39">
        <v>178.0</v>
      </c>
      <c r="B157" s="40" t="s">
        <v>675</v>
      </c>
      <c r="C157" s="40" t="s">
        <v>676</v>
      </c>
      <c r="D157" s="40" t="s">
        <v>677</v>
      </c>
      <c r="E157" s="40" t="s">
        <v>207</v>
      </c>
      <c r="F157" s="41" t="s">
        <v>34</v>
      </c>
      <c r="G157" s="42" t="s">
        <v>94</v>
      </c>
      <c r="H157" s="19" t="str">
        <f t="array" ref="H157">IFERROR(INDEX(Lease_List!D:D,MATCH(INDIRECT("All_User!D"&amp;ROW()),Lease_List!H:H,0)),"없음")</f>
        <v>5CD4232BFS</v>
      </c>
      <c r="I157" s="22" t="s">
        <v>678</v>
      </c>
      <c r="J157" s="21"/>
      <c r="K157" s="22" t="str">
        <f t="array" ref="K157">IFERROR(INDEX(Ipad_List!C:C,MATCH(INDIRECT("All_User!D"&amp;ROW()),Ipad_List!J:J,0)),"없음")</f>
        <v>RVF25297YV</v>
      </c>
      <c r="L157" s="23" t="str">
        <f t="array" ref="L157">IFERROR(INDEX(TeamsNumber!B:B,MATCH(INDIRECT("All_User!D"&amp;ROW()),TeamsNumber!D:D,0)),"없음")</f>
        <v>tel:+82234517669</v>
      </c>
      <c r="M157" s="23" t="str">
        <f t="array" ref="M157">IFERROR(INDEX(Printer!D:D,MATCH(INDIRECT("All_User!D"&amp;ROW()),Printer!H:H,0)),"없음")</f>
        <v>없음</v>
      </c>
      <c r="N157" s="24" t="str">
        <f t="array" ref="N157">IFERROR(INDEX(Monitor!A:A,MATCH(INDIRECT("All_User!D"&amp;ROW()),Monitor!D:D,0)),"없음")</f>
        <v>없음</v>
      </c>
      <c r="O157" s="24" t="str">
        <f t="shared" si="1"/>
        <v>없음</v>
      </c>
      <c r="P157" s="24" t="str">
        <f t="array" ref="P157">IFERROR(INDEX(sales!E:E,MATCH(D157,sales!C:C,0)),"없음")</f>
        <v>TS</v>
      </c>
      <c r="Q157" s="24" t="str">
        <f t="array" ref="Q157">IFERROR(INDEX(sales!C:C,MATCH(D157,sales!C:C,0)),"list없음")</f>
        <v>jayden.song@stryker.com</v>
      </c>
      <c r="R157" s="24"/>
    </row>
    <row r="158">
      <c r="A158" s="13">
        <v>179.0</v>
      </c>
      <c r="B158" s="15" t="s">
        <v>679</v>
      </c>
      <c r="C158" s="15" t="s">
        <v>680</v>
      </c>
      <c r="D158" s="18" t="s">
        <v>681</v>
      </c>
      <c r="E158" s="15" t="s">
        <v>72</v>
      </c>
      <c r="F158" s="17" t="s">
        <v>27</v>
      </c>
      <c r="G158" s="18" t="s">
        <v>28</v>
      </c>
      <c r="H158" s="19" t="str">
        <f t="array" ref="H158">IFERROR(INDEX(Lease_List!D:D,MATCH(INDIRECT("All_User!D"&amp;ROW()),Lease_List!H:H,0)),"없음")</f>
        <v>5CD5179KH3</v>
      </c>
      <c r="I158" s="22" t="s">
        <v>29</v>
      </c>
      <c r="J158" s="21"/>
      <c r="K158" s="22" t="str">
        <f t="array" ref="K158">IFERROR(INDEX(Ipad_List!C:C,MATCH(INDIRECT("All_User!D"&amp;ROW()),Ipad_List!J:J,0)),"없음")</f>
        <v>DPX6TM2FG4</v>
      </c>
      <c r="L158" s="23" t="str">
        <f t="array" ref="L158">IFERROR(INDEX(TeamsNumber!B:B,MATCH(INDIRECT("All_User!D"&amp;ROW()),TeamsNumber!D:D,0)),"없음")</f>
        <v>tel:+82234517542</v>
      </c>
      <c r="M158" s="23" t="str">
        <f t="array" ref="M158">IFERROR(INDEX(Printer!D:D,MATCH(INDIRECT("All_User!D"&amp;ROW()),Printer!H:H,0)),"없음")</f>
        <v>없음</v>
      </c>
      <c r="N158" s="24" t="str">
        <f t="array" ref="N158">IFERROR(INDEX(Monitor!A:A,MATCH(INDIRECT("All_User!D"&amp;ROW()),Monitor!D:D,0)),"없음")</f>
        <v>없음</v>
      </c>
      <c r="O158" s="24" t="str">
        <f t="shared" si="1"/>
        <v>없음</v>
      </c>
      <c r="P158" s="24" t="str">
        <f t="array" ref="P158">IFERROR(INDEX(sales!E:E,MATCH(D158,sales!C:C,0)),"없음")</f>
        <v>Sales</v>
      </c>
      <c r="Q158" s="24" t="str">
        <f t="array" ref="Q158">IFERROR(INDEX(sales!C:C,MATCH(D158,sales!C:C,0)),"list없음")</f>
        <v>ethan.song@stryker.com</v>
      </c>
      <c r="R158" s="24"/>
    </row>
    <row r="159">
      <c r="A159" s="13">
        <v>180.0</v>
      </c>
      <c r="B159" s="15" t="s">
        <v>682</v>
      </c>
      <c r="C159" s="15" t="s">
        <v>683</v>
      </c>
      <c r="D159" s="18" t="s">
        <v>684</v>
      </c>
      <c r="E159" s="15" t="s">
        <v>72</v>
      </c>
      <c r="F159" s="17" t="s">
        <v>27</v>
      </c>
      <c r="G159" s="18" t="s">
        <v>28</v>
      </c>
      <c r="H159" s="19" t="str">
        <f t="array" ref="H159">IFERROR(INDEX(Lease_List!D:D,MATCH(INDIRECT("All_User!D"&amp;ROW()),Lease_List!H:H,0)),"없음")</f>
        <v>5CD4232BFK</v>
      </c>
      <c r="I159" s="22" t="s">
        <v>29</v>
      </c>
      <c r="J159" s="21"/>
      <c r="K159" s="22" t="str">
        <f t="array" ref="K159">IFERROR(INDEX(Ipad_List!C:C,MATCH(INDIRECT("All_User!D"&amp;ROW()),Ipad_List!J:J,0)),"없음")</f>
        <v>F3720LW0J0</v>
      </c>
      <c r="L159" s="23" t="str">
        <f t="array" ref="L159">IFERROR(INDEX(TeamsNumber!B:B,MATCH(INDIRECT("All_User!D"&amp;ROW()),TeamsNumber!D:D,0)),"없음")</f>
        <v>tel:+82234517572</v>
      </c>
      <c r="M159" s="23" t="str">
        <f t="array" ref="M159">IFERROR(INDEX(Printer!D:D,MATCH(INDIRECT("All_User!D"&amp;ROW()),Printer!H:H,0)),"없음")</f>
        <v>SL-C563W</v>
      </c>
      <c r="N159" s="24" t="str">
        <f t="array" ref="N159">IFERROR(INDEX(Monitor!A:A,MATCH(INDIRECT("All_User!D"&amp;ROW()),Monitor!D:D,0)),"없음")</f>
        <v>없음</v>
      </c>
      <c r="O159" s="24" t="str">
        <f t="shared" si="1"/>
        <v>없음</v>
      </c>
      <c r="P159" s="24" t="str">
        <f t="array" ref="P159">IFERROR(INDEX(sales!E:E,MATCH(D159,sales!C:C,0)),"없음")</f>
        <v>MPS</v>
      </c>
      <c r="Q159" s="24" t="str">
        <f t="array" ref="Q159">IFERROR(INDEX(sales!C:C,MATCH(D159,sales!C:C,0)),"list없음")</f>
        <v>rosey.song@stryker.com</v>
      </c>
      <c r="R159" s="24"/>
    </row>
    <row r="160">
      <c r="A160" s="13">
        <v>181.0</v>
      </c>
      <c r="B160" s="15" t="s">
        <v>685</v>
      </c>
      <c r="C160" s="15" t="s">
        <v>686</v>
      </c>
      <c r="D160" s="18" t="s">
        <v>687</v>
      </c>
      <c r="E160" s="15" t="s">
        <v>72</v>
      </c>
      <c r="F160" s="17" t="s">
        <v>27</v>
      </c>
      <c r="G160" s="18" t="s">
        <v>28</v>
      </c>
      <c r="H160" s="19" t="str">
        <f t="array" ref="H160">IFERROR(INDEX(Lease_List!D:D,MATCH(INDIRECT("All_User!D"&amp;ROW()),Lease_List!H:H,0)),"없음")</f>
        <v>5CD5179KHP</v>
      </c>
      <c r="I160" s="22" t="s">
        <v>29</v>
      </c>
      <c r="J160" s="21"/>
      <c r="K160" s="22" t="str">
        <f t="array" ref="K160">IFERROR(INDEX(Ipad_List!C:C,MATCH(INDIRECT("All_User!D"&amp;ROW()),Ipad_List!J:J,0)),"없음")</f>
        <v>D1HJ9KM7XJ</v>
      </c>
      <c r="L160" s="23" t="str">
        <f t="array" ref="L160">IFERROR(INDEX(TeamsNumber!B:B,MATCH(INDIRECT("All_User!D"&amp;ROW()),TeamsNumber!D:D,0)),"없음")</f>
        <v>tel:+82234517583</v>
      </c>
      <c r="M160" s="23" t="str">
        <f t="array" ref="M160">IFERROR(INDEX(Printer!D:D,MATCH(INDIRECT("All_User!D"&amp;ROW()),Printer!H:H,0)),"없음")</f>
        <v>없음</v>
      </c>
      <c r="N160" s="24" t="str">
        <f t="array" ref="N160">IFERROR(INDEX(Monitor!A:A,MATCH(INDIRECT("All_User!D"&amp;ROW()),Monitor!D:D,0)),"없음")</f>
        <v>없음</v>
      </c>
      <c r="O160" s="24" t="str">
        <f t="shared" si="1"/>
        <v>없음</v>
      </c>
      <c r="P160" s="24" t="str">
        <f t="array" ref="P160">IFERROR(INDEX(sales!E:E,MATCH(D160,sales!C:C,0)),"없음")</f>
        <v>MPS</v>
      </c>
      <c r="Q160" s="24" t="str">
        <f t="array" ref="Q160">IFERROR(INDEX(sales!C:C,MATCH(D160,sales!C:C,0)),"list없음")</f>
        <v>hailey.song@stryker.com</v>
      </c>
      <c r="R160" s="24"/>
    </row>
    <row r="161">
      <c r="A161" s="13">
        <v>182.0</v>
      </c>
      <c r="B161" s="15" t="s">
        <v>688</v>
      </c>
      <c r="C161" s="15" t="s">
        <v>689</v>
      </c>
      <c r="D161" s="18" t="s">
        <v>690</v>
      </c>
      <c r="E161" s="15" t="s">
        <v>691</v>
      </c>
      <c r="F161" s="17" t="s">
        <v>41</v>
      </c>
      <c r="G161" s="18" t="s">
        <v>692</v>
      </c>
      <c r="H161" s="19" t="str">
        <f t="array" ref="H161">IFERROR(INDEX(Lease_List!D:D,MATCH(INDIRECT("All_User!D"&amp;ROW()),Lease_List!H:H,0)),"없음")</f>
        <v>5CD4305D96</v>
      </c>
      <c r="I161" s="22" t="s">
        <v>29</v>
      </c>
      <c r="J161" s="21"/>
      <c r="K161" s="22" t="str">
        <f t="array" ref="K161">IFERROR(INDEX(Ipad_List!C:C,MATCH(INDIRECT("All_User!D"&amp;ROW()),Ipad_List!J:J,0)),"없음")</f>
        <v>없음</v>
      </c>
      <c r="L161" s="23" t="str">
        <f t="array" ref="L161">IFERROR(INDEX(TeamsNumber!B:B,MATCH(INDIRECT("All_User!D"&amp;ROW()),TeamsNumber!D:D,0)),"없음")</f>
        <v>tel:+82234517674</v>
      </c>
      <c r="M161" s="23" t="str">
        <f t="array" ref="M161">IFERROR(INDEX(Printer!D:D,MATCH(INDIRECT("All_User!D"&amp;ROW()),Printer!H:H,0)),"없음")</f>
        <v>없음</v>
      </c>
      <c r="N161" s="24" t="str">
        <f t="array" ref="N161">IFERROR(INDEX(Monitor!A:A,MATCH(INDIRECT("All_User!D"&amp;ROW()),Monitor!D:D,0)),"없음")</f>
        <v>LCD 모니터</v>
      </c>
      <c r="O161" s="24" t="str">
        <f t="shared" si="1"/>
        <v>없음</v>
      </c>
      <c r="P161" s="24" t="str">
        <f t="array" ref="P161">IFERROR(INDEX(sales!E:E,MATCH(D161,sales!C:C,0)),"없음")</f>
        <v>없음</v>
      </c>
      <c r="Q161" s="24"/>
      <c r="R161" s="24"/>
    </row>
    <row r="162" ht="17.25" customHeight="1">
      <c r="A162" s="13">
        <v>183.0</v>
      </c>
      <c r="B162" s="15" t="s">
        <v>693</v>
      </c>
      <c r="C162" s="15" t="s">
        <v>694</v>
      </c>
      <c r="D162" s="18" t="s">
        <v>695</v>
      </c>
      <c r="E162" s="15" t="s">
        <v>89</v>
      </c>
      <c r="F162" s="17" t="s">
        <v>27</v>
      </c>
      <c r="G162" s="18" t="s">
        <v>696</v>
      </c>
      <c r="H162" s="19" t="str">
        <f t="array" ref="H162">IFERROR(INDEX(Lease_List!D:D,MATCH(INDIRECT("All_User!D"&amp;ROW()),Lease_List!H:H,0)),"없음")</f>
        <v>5CD5179KJ3</v>
      </c>
      <c r="I162" s="22" t="s">
        <v>697</v>
      </c>
      <c r="J162" s="21"/>
      <c r="K162" s="22" t="str">
        <f t="array" ref="K162">IFERROR(INDEX(Ipad_List!C:C,MATCH(INDIRECT("All_User!D"&amp;ROW()),Ipad_List!J:J,0)),"없음")</f>
        <v>T32JYKMQQF</v>
      </c>
      <c r="L162" s="23" t="str">
        <f t="array" ref="L162">IFERROR(INDEX(TeamsNumber!B:B,MATCH(INDIRECT("All_User!D"&amp;ROW()),TeamsNumber!D:D,0)),"없음")</f>
        <v>tel:+82234517533</v>
      </c>
      <c r="M162" s="23" t="str">
        <f t="array" ref="M162">IFERROR(INDEX(Printer!D:D,MATCH(INDIRECT("All_User!D"&amp;ROW()),Printer!H:H,0)),"없음")</f>
        <v>SL-C483FW</v>
      </c>
      <c r="N162" s="24" t="str">
        <f t="array" ref="N162">IFERROR(INDEX(Monitor!A:A,MATCH(INDIRECT("All_User!D"&amp;ROW()),Monitor!D:D,0)),"없음")</f>
        <v>없음</v>
      </c>
      <c r="O162" s="24" t="str">
        <f t="shared" si="1"/>
        <v>없음</v>
      </c>
      <c r="P162" s="24" t="str">
        <f t="array" ref="P162">IFERROR(INDEX(sales!E:E,MATCH(D162,sales!C:C,0)),"없음")</f>
        <v>Sales</v>
      </c>
      <c r="Q162" s="24" t="str">
        <f t="array" ref="Q162">IFERROR(INDEX(sales!C:C,MATCH(D162,sales!C:C,0)),"list없음")</f>
        <v>David.Yang@stryker.com</v>
      </c>
      <c r="R162" s="24"/>
    </row>
    <row r="163">
      <c r="A163" s="13">
        <v>184.0</v>
      </c>
      <c r="B163" s="15" t="s">
        <v>698</v>
      </c>
      <c r="C163" s="15" t="s">
        <v>699</v>
      </c>
      <c r="D163" s="15" t="s">
        <v>700</v>
      </c>
      <c r="E163" s="15" t="s">
        <v>701</v>
      </c>
      <c r="F163" s="17" t="s">
        <v>41</v>
      </c>
      <c r="G163" s="15" t="s">
        <v>42</v>
      </c>
      <c r="H163" s="19" t="str">
        <f t="array" ref="H163">IFERROR(INDEX(Lease_List!D:D,MATCH(INDIRECT("All_User!D"&amp;ROW()),Lease_List!H:H,0)),"없음")</f>
        <v>5CD442C07J</v>
      </c>
      <c r="I163" s="22" t="s">
        <v>702</v>
      </c>
      <c r="J163" s="21"/>
      <c r="K163" s="22" t="str">
        <f t="array" ref="K163">IFERROR(INDEX(Ipad_List!C:C,MATCH(INDIRECT("All_User!D"&amp;ROW()),Ipad_List!J:J,0)),"없음")</f>
        <v>없음</v>
      </c>
      <c r="L163" s="23" t="str">
        <f t="array" ref="L163">IFERROR(INDEX(TeamsNumber!B:B,MATCH(INDIRECT("All_User!D"&amp;ROW()),TeamsNumber!D:D,0)),"없음")</f>
        <v>tel:+82234517657</v>
      </c>
      <c r="M163" s="23" t="str">
        <f t="array" ref="M163">IFERROR(INDEX(Printer!D:D,MATCH(INDIRECT("All_User!D"&amp;ROW()),Printer!H:H,0)),"없음")</f>
        <v>없음</v>
      </c>
      <c r="N163" s="24" t="str">
        <f t="array" ref="N163">IFERROR(INDEX(Monitor!A:A,MATCH(INDIRECT("All_User!D"&amp;ROW()),Monitor!D:D,0)),"없음")</f>
        <v>없음</v>
      </c>
      <c r="O163" s="24" t="str">
        <f t="shared" si="1"/>
        <v>없음</v>
      </c>
      <c r="P163" s="24" t="str">
        <f t="array" ref="P163">IFERROR(INDEX(sales!E:E,MATCH(D163,sales!C:C,0)),"없음")</f>
        <v>없음</v>
      </c>
      <c r="Q163" s="24"/>
      <c r="R163" s="24"/>
    </row>
    <row r="164">
      <c r="A164" s="13">
        <v>186.0</v>
      </c>
      <c r="B164" s="15" t="s">
        <v>703</v>
      </c>
      <c r="C164" s="15" t="s">
        <v>704</v>
      </c>
      <c r="D164" s="15" t="s">
        <v>705</v>
      </c>
      <c r="E164" s="15" t="s">
        <v>706</v>
      </c>
      <c r="F164" s="17" t="s">
        <v>295</v>
      </c>
      <c r="G164" s="18" t="s">
        <v>707</v>
      </c>
      <c r="H164" s="19" t="str">
        <f t="array" ref="H164">IFERROR(INDEX(Lease_List!D:D,MATCH(INDIRECT("All_User!D"&amp;ROW()),Lease_List!H:H,0)),"없음")</f>
        <v>5CD5062YDR</v>
      </c>
      <c r="I164" s="22" t="s">
        <v>29</v>
      </c>
      <c r="J164" s="21"/>
      <c r="K164" s="22" t="str">
        <f t="array" ref="K164">IFERROR(INDEX(Ipad_List!C:C,MATCH(INDIRECT("All_User!D"&amp;ROW()),Ipad_List!J:J,0)),"없음")</f>
        <v>없음</v>
      </c>
      <c r="L164" s="23" t="str">
        <f t="array" ref="L164">IFERROR(INDEX(TeamsNumber!B:B,MATCH(INDIRECT("All_User!D"&amp;ROW()),TeamsNumber!D:D,0)),"없음")</f>
        <v>tel:+82234517537</v>
      </c>
      <c r="M164" s="23" t="str">
        <f t="array" ref="M164">IFERROR(INDEX(Printer!D:D,MATCH(INDIRECT("All_User!D"&amp;ROW()),Printer!H:H,0)),"없음")</f>
        <v>없음</v>
      </c>
      <c r="N164" s="24" t="str">
        <f t="array" ref="N164">IFERROR(INDEX(Monitor!A:A,MATCH(INDIRECT("All_User!D"&amp;ROW()),Monitor!D:D,0)),"없음")</f>
        <v>없음</v>
      </c>
      <c r="O164" s="24" t="str">
        <f t="shared" si="1"/>
        <v>없음</v>
      </c>
      <c r="P164" s="24" t="str">
        <f t="array" ref="P164">IFERROR(INDEX(sales!E:E,MATCH(D164,sales!C:C,0)),"없음")</f>
        <v>없음</v>
      </c>
      <c r="Q164" s="24"/>
      <c r="R164" s="24"/>
    </row>
    <row r="165">
      <c r="A165" s="13">
        <v>187.0</v>
      </c>
      <c r="B165" s="18" t="s">
        <v>708</v>
      </c>
      <c r="C165" s="15" t="s">
        <v>709</v>
      </c>
      <c r="D165" s="15" t="s">
        <v>710</v>
      </c>
      <c r="E165" s="15" t="s">
        <v>711</v>
      </c>
      <c r="F165" s="17" t="s">
        <v>41</v>
      </c>
      <c r="G165" s="18" t="s">
        <v>105</v>
      </c>
      <c r="H165" s="19" t="str">
        <f t="array" ref="H165">IFERROR(INDEX(Lease_List!D:D,MATCH(INDIRECT("All_User!D"&amp;ROW()),Lease_List!H:H,0)),"없음")</f>
        <v>5CD4305D8N</v>
      </c>
      <c r="I165" s="22" t="s">
        <v>29</v>
      </c>
      <c r="J165" s="21"/>
      <c r="K165" s="22" t="str">
        <f t="array" ref="K165">IFERROR(INDEX(Ipad_List!C:C,MATCH(INDIRECT("All_User!D"&amp;ROW()),Ipad_List!J:J,0)),"없음")</f>
        <v>G9YWDFP14H</v>
      </c>
      <c r="L165" s="23" t="str">
        <f t="array" ref="L165">IFERROR(INDEX(TeamsNumber!B:B,MATCH(INDIRECT("All_User!D"&amp;ROW()),TeamsNumber!D:D,0)),"없음")</f>
        <v>tel:+82234517586</v>
      </c>
      <c r="M165" s="23" t="str">
        <f t="array" ref="M165">IFERROR(INDEX(Printer!D:D,MATCH(INDIRECT("All_User!D"&amp;ROW()),Printer!H:H,0)),"없음")</f>
        <v>없음</v>
      </c>
      <c r="N165" s="24" t="str">
        <f t="array" ref="N165">IFERROR(INDEX(Monitor!A:A,MATCH(INDIRECT("All_User!D"&amp;ROW()),Monitor!D:D,0)),"없음")</f>
        <v>LCD 모니터</v>
      </c>
      <c r="O165" s="24" t="str">
        <f t="shared" si="1"/>
        <v>없음</v>
      </c>
      <c r="P165" s="24" t="str">
        <f t="array" ref="P165">IFERROR(INDEX(sales!E:E,MATCH(D165,sales!C:C,0)),"없음")</f>
        <v>없음</v>
      </c>
      <c r="Q165" s="24"/>
      <c r="R165" s="24"/>
    </row>
    <row r="166">
      <c r="A166" s="13">
        <v>188.0</v>
      </c>
      <c r="B166" s="15" t="s">
        <v>712</v>
      </c>
      <c r="C166" s="15" t="s">
        <v>713</v>
      </c>
      <c r="D166" s="15" t="s">
        <v>714</v>
      </c>
      <c r="E166" s="15" t="s">
        <v>715</v>
      </c>
      <c r="F166" s="17" t="s">
        <v>67</v>
      </c>
      <c r="G166" s="18" t="s">
        <v>68</v>
      </c>
      <c r="H166" s="19" t="str">
        <f t="array" ref="H166">IFERROR(INDEX(Lease_List!D:D,MATCH(INDIRECT("All_User!D"&amp;ROW()),Lease_List!H:H,0)),"없음")</f>
        <v>5CD4305D8V</v>
      </c>
      <c r="I166" s="22" t="s">
        <v>29</v>
      </c>
      <c r="J166" s="21"/>
      <c r="K166" s="22" t="str">
        <f t="array" ref="K166">IFERROR(INDEX(Ipad_List!C:C,MATCH(INDIRECT("All_User!D"&amp;ROW()),Ipad_List!J:J,0)),"없음")</f>
        <v>없음</v>
      </c>
      <c r="L166" s="23" t="str">
        <f t="array" ref="L166">IFERROR(INDEX(TeamsNumber!B:B,MATCH(INDIRECT("All_User!D"&amp;ROW()),TeamsNumber!D:D,0)),"없음")</f>
        <v>tel:+82234517511</v>
      </c>
      <c r="M166" s="23" t="str">
        <f t="array" ref="M166">IFERROR(INDEX(Printer!D:D,MATCH(INDIRECT("All_User!D"&amp;ROW()),Printer!H:H,0)),"없음")</f>
        <v>없음</v>
      </c>
      <c r="N166" s="24" t="str">
        <f t="array" ref="N166">IFERROR(INDEX(Monitor!A:A,MATCH(INDIRECT("All_User!D"&amp;ROW()),Monitor!D:D,0)),"없음")</f>
        <v>없음</v>
      </c>
      <c r="O166" s="24" t="str">
        <f t="shared" si="1"/>
        <v>없음</v>
      </c>
      <c r="P166" s="24" t="str">
        <f t="array" ref="P166">IFERROR(INDEX(sales!E:E,MATCH(D166,sales!C:C,0)),"없음")</f>
        <v>없음</v>
      </c>
      <c r="Q166" s="24"/>
      <c r="R166" s="24"/>
    </row>
    <row r="167">
      <c r="A167" s="13">
        <v>189.0</v>
      </c>
      <c r="B167" s="15" t="s">
        <v>716</v>
      </c>
      <c r="C167" s="15" t="s">
        <v>717</v>
      </c>
      <c r="D167" s="18" t="s">
        <v>718</v>
      </c>
      <c r="E167" s="15" t="s">
        <v>320</v>
      </c>
      <c r="F167" s="17" t="s">
        <v>142</v>
      </c>
      <c r="G167" s="18" t="s">
        <v>53</v>
      </c>
      <c r="H167" s="19" t="str">
        <f t="array" ref="H167">IFERROR(INDEX(Lease_List!D:D,MATCH(INDIRECT("All_User!D"&amp;ROW()),Lease_List!H:H,0)),"없음")</f>
        <v>5CD5179KH6</v>
      </c>
      <c r="I167" s="22" t="s">
        <v>719</v>
      </c>
      <c r="J167" s="21"/>
      <c r="K167" s="22" t="str">
        <f t="array" ref="K167">IFERROR(INDEX(Ipad_List!C:C,MATCH(INDIRECT("All_User!D"&amp;ROW()),Ipad_List!J:J,0)),"없음")</f>
        <v>JYVMXW3RWV</v>
      </c>
      <c r="L167" s="23" t="str">
        <f t="array" ref="L167">IFERROR(INDEX(TeamsNumber!B:B,MATCH(INDIRECT("All_User!D"&amp;ROW()),TeamsNumber!D:D,0)),"없음")</f>
        <v>tel:+82234517551</v>
      </c>
      <c r="M167" s="23" t="str">
        <f t="array" ref="M167">IFERROR(INDEX(Printer!D:D,MATCH(INDIRECT("All_User!D"&amp;ROW()),Printer!H:H,0)),"없음")</f>
        <v>SL-C486FW</v>
      </c>
      <c r="N167" s="24" t="str">
        <f t="array" ref="N167">IFERROR(INDEX(Monitor!A:A,MATCH(INDIRECT("All_User!D"&amp;ROW()),Monitor!D:D,0)),"없음")</f>
        <v>없음</v>
      </c>
      <c r="O167" s="24" t="str">
        <f t="shared" si="1"/>
        <v>없음</v>
      </c>
      <c r="P167" s="24" t="str">
        <f t="array" ref="P167">IFERROR(INDEX(sales!E:E,MATCH(D167,sales!C:C,0)),"없음")</f>
        <v>Sales</v>
      </c>
      <c r="Q167" s="24" t="str">
        <f t="array" ref="Q167">IFERROR(INDEX(sales!C:C,MATCH(D167,sales!C:C,0)),"list없음")</f>
        <v>jiho.yoo@stryker.com</v>
      </c>
      <c r="R167" s="24"/>
    </row>
    <row r="168">
      <c r="A168" s="13">
        <v>190.0</v>
      </c>
      <c r="B168" s="15" t="s">
        <v>720</v>
      </c>
      <c r="C168" s="15" t="s">
        <v>721</v>
      </c>
      <c r="D168" s="15" t="s">
        <v>722</v>
      </c>
      <c r="E168" s="15" t="s">
        <v>723</v>
      </c>
      <c r="F168" s="17" t="s">
        <v>104</v>
      </c>
      <c r="G168" s="15" t="s">
        <v>252</v>
      </c>
      <c r="H168" s="19" t="str">
        <f t="array" ref="H168">IFERROR(INDEX(Lease_List!D:D,MATCH(INDIRECT("All_User!D"&amp;ROW()),Lease_List!H:H,0)),"없음")</f>
        <v>5CD3469HD8</v>
      </c>
      <c r="I168" s="22" t="s">
        <v>29</v>
      </c>
      <c r="J168" s="21"/>
      <c r="K168" s="22" t="str">
        <f t="array" ref="K168">IFERROR(INDEX(Ipad_List!C:C,MATCH(INDIRECT("All_User!D"&amp;ROW()),Ipad_List!J:J,0)),"없음")</f>
        <v>없음</v>
      </c>
      <c r="L168" s="23" t="str">
        <f t="array" ref="L168">IFERROR(INDEX(TeamsNumber!B:B,MATCH(INDIRECT("All_User!D"&amp;ROW()),TeamsNumber!D:D,0)),"없음")</f>
        <v>tel:+82234517631</v>
      </c>
      <c r="M168" s="23" t="str">
        <f t="array" ref="M168">IFERROR(INDEX(Printer!D:D,MATCH(INDIRECT("All_User!D"&amp;ROW()),Printer!H:H,0)),"없음")</f>
        <v>없음</v>
      </c>
      <c r="N168" s="24" t="str">
        <f t="array" ref="N168">IFERROR(INDEX(Monitor!A:A,MATCH(INDIRECT("All_User!D"&amp;ROW()),Monitor!D:D,0)),"없음")</f>
        <v>없음</v>
      </c>
      <c r="O168" s="24" t="str">
        <f t="shared" si="1"/>
        <v>없음</v>
      </c>
      <c r="P168" s="24" t="str">
        <f t="array" ref="P168">IFERROR(INDEX(sales!E:E,MATCH(D168,sales!C:C,0)),"없음")</f>
        <v>없음</v>
      </c>
      <c r="Q168" s="24"/>
      <c r="R168" s="24"/>
    </row>
    <row r="169">
      <c r="A169" s="13">
        <v>191.0</v>
      </c>
      <c r="B169" s="15" t="s">
        <v>724</v>
      </c>
      <c r="C169" s="15" t="s">
        <v>725</v>
      </c>
      <c r="D169" s="18" t="s">
        <v>726</v>
      </c>
      <c r="E169" s="15" t="s">
        <v>136</v>
      </c>
      <c r="F169" s="17" t="s">
        <v>52</v>
      </c>
      <c r="G169" s="15" t="s">
        <v>137</v>
      </c>
      <c r="H169" s="19" t="str">
        <f t="array" ref="H169">IFERROR(INDEX(Lease_List!D:D,MATCH(INDIRECT("All_User!D"&amp;ROW()),Lease_List!H:H,0)),"없음")</f>
        <v>5CD4305D8F</v>
      </c>
      <c r="I169" s="22" t="s">
        <v>29</v>
      </c>
      <c r="J169" s="21"/>
      <c r="K169" s="22" t="str">
        <f t="array" ref="K169">IFERROR(INDEX(Ipad_List!C:C,MATCH(INDIRECT("All_User!D"&amp;ROW()),Ipad_List!J:J,0)),"없음")</f>
        <v>D50QVTWX76</v>
      </c>
      <c r="L169" s="23" t="str">
        <f t="array" ref="L169">IFERROR(INDEX(TeamsNumber!B:B,MATCH(INDIRECT("All_User!D"&amp;ROW()),TeamsNumber!D:D,0)),"없음")</f>
        <v>tel:+82234517561</v>
      </c>
      <c r="M169" s="23" t="str">
        <f t="array" ref="M169">IFERROR(INDEX(Printer!D:D,MATCH(INDIRECT("All_User!D"&amp;ROW()),Printer!H:H,0)),"없음")</f>
        <v>없음</v>
      </c>
      <c r="N169" s="24" t="str">
        <f t="array" ref="N169">IFERROR(INDEX(Monitor!A:A,MATCH(INDIRECT("All_User!D"&amp;ROW()),Monitor!D:D,0)),"없음")</f>
        <v>LCD 모니터</v>
      </c>
      <c r="O169" s="24" t="str">
        <f t="shared" si="1"/>
        <v>없음</v>
      </c>
      <c r="P169" s="24" t="str">
        <f t="array" ref="P169">IFERROR(INDEX(sales!E:E,MATCH(D169,sales!C:C,0)),"없음")</f>
        <v>MKT</v>
      </c>
      <c r="Q169" s="24" t="str">
        <f t="array" ref="Q169">IFERROR(INDEX(sales!C:C,MATCH(D169,sales!C:C,0)),"list없음")</f>
        <v>bella.yoon@stryker.com</v>
      </c>
      <c r="R169" s="24"/>
    </row>
    <row r="170">
      <c r="A170" s="13">
        <v>192.0</v>
      </c>
      <c r="B170" s="15" t="s">
        <v>727</v>
      </c>
      <c r="C170" s="15" t="s">
        <v>728</v>
      </c>
      <c r="D170" s="18" t="s">
        <v>729</v>
      </c>
      <c r="E170" s="18" t="s">
        <v>72</v>
      </c>
      <c r="F170" s="17" t="s">
        <v>27</v>
      </c>
      <c r="G170" s="18" t="s">
        <v>28</v>
      </c>
      <c r="H170" s="19" t="str">
        <f t="array" ref="H170">IFERROR(INDEX(Lease_List!D:D,MATCH(INDIRECT("All_User!D"&amp;ROW()),Lease_List!H:H,0)),"없음")</f>
        <v>5CD4305D8P</v>
      </c>
      <c r="I170" s="22" t="s">
        <v>29</v>
      </c>
      <c r="J170" s="21"/>
      <c r="K170" s="22" t="str">
        <f t="array" ref="K170">IFERROR(INDEX(Ipad_List!C:C,MATCH(INDIRECT("All_User!D"&amp;ROW()),Ipad_List!J:J,0)),"없음")</f>
        <v>DMW34MWM7C</v>
      </c>
      <c r="L170" s="23" t="str">
        <f t="array" ref="L170">IFERROR(INDEX(TeamsNumber!B:B,MATCH(INDIRECT("All_User!D"&amp;ROW()),TeamsNumber!D:D,0)),"없음")</f>
        <v>tel:+82234517695</v>
      </c>
      <c r="M170" s="23" t="str">
        <f t="array" ref="M170">IFERROR(INDEX(Printer!D:D,MATCH(INDIRECT("All_User!D"&amp;ROW()),Printer!H:H,0)),"없음")</f>
        <v>없음</v>
      </c>
      <c r="N170" s="24" t="str">
        <f t="array" ref="N170">IFERROR(INDEX(Monitor!A:A,MATCH(INDIRECT("All_User!D"&amp;ROW()),Monitor!D:D,0)),"없음")</f>
        <v>없음</v>
      </c>
      <c r="O170" s="24" t="str">
        <f t="shared" si="1"/>
        <v>없음</v>
      </c>
      <c r="P170" s="24" t="str">
        <f t="array" ref="P170">IFERROR(INDEX(sales!E:E,MATCH(D170,sales!C:C,0)),"없음")</f>
        <v>MPS</v>
      </c>
      <c r="Q170" s="24" t="str">
        <f t="array" ref="Q170">IFERROR(INDEX(sales!C:C,MATCH(D170,sales!C:C,0)),"list없음")</f>
        <v>ayaan.yoon@stryker.com</v>
      </c>
      <c r="R170" s="24"/>
    </row>
    <row r="171">
      <c r="A171" s="13">
        <v>193.0</v>
      </c>
      <c r="B171" s="15" t="s">
        <v>730</v>
      </c>
      <c r="C171" s="15" t="s">
        <v>731</v>
      </c>
      <c r="D171" s="18" t="s">
        <v>732</v>
      </c>
      <c r="E171" s="15" t="s">
        <v>733</v>
      </c>
      <c r="F171" s="17" t="s">
        <v>142</v>
      </c>
      <c r="G171" s="18" t="s">
        <v>734</v>
      </c>
      <c r="H171" s="19" t="str">
        <f t="array" ref="H171">IFERROR(INDEX(Lease_List!D:D,MATCH(INDIRECT("All_User!D"&amp;ROW()),Lease_List!H:H,0)),"없음")</f>
        <v>5CD4145N3H</v>
      </c>
      <c r="I171" s="22" t="s">
        <v>29</v>
      </c>
      <c r="J171" s="21"/>
      <c r="K171" s="22" t="str">
        <f t="array" ref="K171">IFERROR(INDEX(Ipad_List!C:C,MATCH(INDIRECT("All_User!D"&amp;ROW()),Ipad_List!J:J,0)),"없음")</f>
        <v>JWR90CCXJ3</v>
      </c>
      <c r="L171" s="23" t="str">
        <f t="array" ref="L171">IFERROR(INDEX(TeamsNumber!B:B,MATCH(INDIRECT("All_User!D"&amp;ROW()),TeamsNumber!D:D,0)),"없음")</f>
        <v>tel:+82234517660</v>
      </c>
      <c r="M171" s="23" t="str">
        <f t="array" ref="M171">IFERROR(INDEX(Printer!D:D,MATCH(INDIRECT("All_User!D"&amp;ROW()),Printer!H:H,0)),"없음")</f>
        <v>2차 조사 정보 없음</v>
      </c>
      <c r="N171" s="24" t="str">
        <f t="array" ref="N171">IFERROR(INDEX(Monitor!A:A,MATCH(INDIRECT("All_User!D"&amp;ROW()),Monitor!D:D,0)),"없음")</f>
        <v>없음</v>
      </c>
      <c r="O171" s="24" t="str">
        <f t="shared" si="1"/>
        <v>없음</v>
      </c>
      <c r="P171" s="24" t="str">
        <f t="array" ref="P171">IFERROR(INDEX(sales!E:E,MATCH(D171,sales!C:C,0)),"없음")</f>
        <v>Sales</v>
      </c>
      <c r="Q171" s="24" t="str">
        <f t="array" ref="Q171">IFERROR(INDEX(sales!C:C,MATCH(D171,sales!C:C,0)),"list없음")</f>
        <v>jw.yoon@stryker.com</v>
      </c>
      <c r="R171" s="24"/>
    </row>
    <row r="172">
      <c r="A172" s="13">
        <v>194.0</v>
      </c>
      <c r="B172" s="15" t="s">
        <v>735</v>
      </c>
      <c r="C172" s="15" t="s">
        <v>736</v>
      </c>
      <c r="D172" s="18" t="s">
        <v>737</v>
      </c>
      <c r="E172" s="15" t="s">
        <v>57</v>
      </c>
      <c r="F172" s="17" t="s">
        <v>27</v>
      </c>
      <c r="G172" s="18" t="s">
        <v>28</v>
      </c>
      <c r="H172" s="19" t="str">
        <f t="array" ref="H172">IFERROR(INDEX(Lease_List!D:D,MATCH(INDIRECT("All_User!D"&amp;ROW()),Lease_List!H:H,0)),"없음")</f>
        <v>5CD5062YDK</v>
      </c>
      <c r="I172" s="22" t="s">
        <v>29</v>
      </c>
      <c r="J172" s="21"/>
      <c r="K172" s="22" t="str">
        <f t="array" ref="K172">IFERROR(INDEX(Ipad_List!C:C,MATCH(INDIRECT("All_User!D"&amp;ROW()),Ipad_List!J:J,0)),"없음")</f>
        <v>M90G1Q6XFP</v>
      </c>
      <c r="L172" s="23" t="str">
        <f t="array" ref="L172">IFERROR(INDEX(TeamsNumber!B:B,MATCH(INDIRECT("All_User!D"&amp;ROW()),TeamsNumber!D:D,0)),"없음")</f>
        <v>tel:+82234517689</v>
      </c>
      <c r="M172" s="23" t="str">
        <f t="array" ref="M172">IFERROR(INDEX(Printer!D:D,MATCH(INDIRECT("All_User!D"&amp;ROW()),Printer!H:H,0)),"없음")</f>
        <v>없음</v>
      </c>
      <c r="N172" s="24" t="str">
        <f t="array" ref="N172">IFERROR(INDEX(Monitor!A:A,MATCH(INDIRECT("All_User!D"&amp;ROW()),Monitor!D:D,0)),"없음")</f>
        <v>없음</v>
      </c>
      <c r="O172" s="24" t="str">
        <f t="shared" si="1"/>
        <v>없음</v>
      </c>
      <c r="P172" s="24" t="str">
        <f t="array" ref="P172">IFERROR(INDEX(sales!E:E,MATCH(D172,sales!C:C,0)),"없음")</f>
        <v>MPS</v>
      </c>
      <c r="Q172" s="24" t="str">
        <f t="array" ref="Q172">IFERROR(INDEX(sales!C:C,MATCH(D172,sales!C:C,0)),"list없음")</f>
        <v>aaron.yoon@stryker.com</v>
      </c>
      <c r="R172" s="24"/>
    </row>
    <row r="173">
      <c r="A173" s="13">
        <v>195.0</v>
      </c>
      <c r="B173" s="15" t="s">
        <v>738</v>
      </c>
      <c r="C173" s="15" t="s">
        <v>739</v>
      </c>
      <c r="D173" s="18" t="s">
        <v>740</v>
      </c>
      <c r="E173" s="15" t="s">
        <v>741</v>
      </c>
      <c r="F173" s="27" t="s">
        <v>77</v>
      </c>
      <c r="G173" s="15" t="s">
        <v>137</v>
      </c>
      <c r="H173" s="19" t="str">
        <f t="array" ref="H173">IFERROR(INDEX(Lease_List!D:D,MATCH(INDIRECT("All_User!D"&amp;ROW()),Lease_List!H:H,0)),"없음")</f>
        <v>5CG53403D3</v>
      </c>
      <c r="I173" s="22" t="s">
        <v>29</v>
      </c>
      <c r="J173" s="25" t="s">
        <v>742</v>
      </c>
      <c r="K173" s="22" t="str">
        <f t="array" ref="K173">IFERROR(INDEX(Ipad_List!C:C,MATCH(INDIRECT("All_User!D"&amp;ROW()),Ipad_List!J:J,0)),"없음")</f>
        <v>HYC714DK25</v>
      </c>
      <c r="L173" s="23" t="str">
        <f t="array" ref="L173">IFERROR(INDEX(TeamsNumber!B:B,MATCH(INDIRECT("All_User!D"&amp;ROW()),TeamsNumber!D:D,0)),"없음")</f>
        <v>tel:+82234517556</v>
      </c>
      <c r="M173" s="23" t="str">
        <f t="array" ref="M173">IFERROR(INDEX(Printer!D:D,MATCH(INDIRECT("All_User!D"&amp;ROW()),Printer!H:H,0)),"없음")</f>
        <v>없음</v>
      </c>
      <c r="N173" s="24" t="str">
        <f t="array" ref="N173">IFERROR(INDEX(Monitor!A:A,MATCH(INDIRECT("All_User!D"&amp;ROW()),Monitor!D:D,0)),"없음")</f>
        <v>없음</v>
      </c>
      <c r="O173" s="24" t="str">
        <f t="shared" si="1"/>
        <v>없음</v>
      </c>
      <c r="P173" s="24" t="str">
        <f t="array" ref="P173">IFERROR(INDEX(sales!E:E,MATCH(D173,sales!C:C,0)),"없음")</f>
        <v>MKT</v>
      </c>
      <c r="Q173" s="24" t="str">
        <f t="array" ref="Q173">IFERROR(INDEX(sales!C:C,MATCH(D173,sales!C:C,0)),"list없음")</f>
        <v>sarah.youn@stryker.com</v>
      </c>
      <c r="R173" s="24"/>
    </row>
    <row r="174">
      <c r="A174" s="28">
        <v>196.0</v>
      </c>
      <c r="B174" s="43" t="s">
        <v>743</v>
      </c>
      <c r="C174" s="44"/>
      <c r="D174" s="45" t="s">
        <v>744</v>
      </c>
      <c r="E174" s="30" t="s">
        <v>745</v>
      </c>
      <c r="F174" s="37" t="s">
        <v>671</v>
      </c>
      <c r="G174" s="30" t="s">
        <v>746</v>
      </c>
      <c r="H174" s="19" t="str">
        <f t="array" ref="H174">IFERROR(INDEX(Lease_List!D:D,MATCH(INDIRECT("All_User!D"&amp;ROW()),Lease_List!H:H,0)),"없음")</f>
        <v>5CD3469HCZ</v>
      </c>
      <c r="I174" s="31" t="s">
        <v>29</v>
      </c>
      <c r="J174" s="32"/>
      <c r="K174" s="22" t="str">
        <f t="array" ref="K174">IFERROR(INDEX(Ipad_List!C:C,MATCH(INDIRECT("All_User!D"&amp;ROW()),Ipad_List!J:J,0)),"없음")</f>
        <v>J1XWPW66YY</v>
      </c>
      <c r="L174" s="23" t="str">
        <f t="array" ref="L174">IFERROR(INDEX(TeamsNumber!B:B,MATCH(INDIRECT("All_User!D"&amp;ROW()),TeamsNumber!D:D,0)),"없음")</f>
        <v>tel:+82234517681</v>
      </c>
      <c r="M174" s="23" t="str">
        <f t="array" ref="M174">IFERROR(INDEX(Printer!D:D,MATCH(INDIRECT("All_User!D"&amp;ROW()),Printer!H:H,0)),"없음")</f>
        <v>없음</v>
      </c>
      <c r="N174" s="24" t="str">
        <f t="array" ref="N174">IFERROR(INDEX(Monitor!A:A,MATCH(INDIRECT("All_User!D"&amp;ROW()),Monitor!D:D,0)),"없음")</f>
        <v>없음</v>
      </c>
      <c r="O174" s="24" t="str">
        <f t="shared" si="1"/>
        <v>없음</v>
      </c>
      <c r="P174" s="24" t="str">
        <f t="array" ref="P174">IFERROR(INDEX(sales!E:E,MATCH(D174,sales!C:C,0)),"없음")</f>
        <v>없음</v>
      </c>
      <c r="R174" s="46" t="s">
        <v>747</v>
      </c>
    </row>
    <row r="175">
      <c r="A175" s="13">
        <v>197.0</v>
      </c>
      <c r="B175" s="47" t="s">
        <v>748</v>
      </c>
      <c r="C175" s="48"/>
      <c r="D175" s="49" t="s">
        <v>749</v>
      </c>
      <c r="E175" s="26"/>
      <c r="F175" s="17" t="s">
        <v>750</v>
      </c>
      <c r="G175" s="18" t="s">
        <v>750</v>
      </c>
      <c r="H175" s="19" t="str">
        <f t="array" ref="H175">IFERROR(INDEX(Lease_List!D:D,MATCH(INDIRECT("All_User!D"&amp;ROW()),Lease_List!H:H,0)),"없음")</f>
        <v>5CD3469HDG</v>
      </c>
      <c r="I175" s="22" t="s">
        <v>29</v>
      </c>
      <c r="J175" s="21"/>
      <c r="K175" s="22" t="str">
        <f t="array" ref="K175">IFERROR(INDEX(Ipad_List!C:C,MATCH(INDIRECT("All_User!D"&amp;ROW()),Ipad_List!J:J,0)),"없음")</f>
        <v>없음</v>
      </c>
      <c r="L175" s="23" t="str">
        <f t="array" ref="L175">IFERROR(INDEX(TeamsNumber!B:B,MATCH(INDIRECT("All_User!D"&amp;ROW()),TeamsNumber!D:D,0)),"없음")</f>
        <v>없음</v>
      </c>
      <c r="M175" s="23" t="str">
        <f t="array" ref="M175">IFERROR(INDEX(Printer!D:D,MATCH(INDIRECT("All_User!D"&amp;ROW()),Printer!H:H,0)),"없음")</f>
        <v>없음</v>
      </c>
      <c r="N175" s="24" t="str">
        <f t="array" ref="N175">IFERROR(INDEX(Monitor!A:A,MATCH(INDIRECT("All_User!D"&amp;ROW()),Monitor!D:D,0)),"없음")</f>
        <v>없음</v>
      </c>
      <c r="O175" s="24" t="str">
        <f t="shared" si="1"/>
        <v>없음</v>
      </c>
      <c r="P175" s="24" t="str">
        <f t="array" ref="P175">IFERROR(INDEX(sales!E:E,MATCH(D175,sales!C:C,0)),"없음")</f>
        <v>없음</v>
      </c>
      <c r="Q175" s="24"/>
      <c r="R175" s="24"/>
    </row>
    <row r="176">
      <c r="A176" s="13">
        <v>198.0</v>
      </c>
      <c r="B176" s="47" t="s">
        <v>751</v>
      </c>
      <c r="C176" s="48"/>
      <c r="D176" s="49" t="s">
        <v>752</v>
      </c>
      <c r="E176" s="26"/>
      <c r="F176" s="17" t="s">
        <v>750</v>
      </c>
      <c r="G176" s="18" t="s">
        <v>750</v>
      </c>
      <c r="H176" s="19" t="str">
        <f t="array" ref="H176">IFERROR(INDEX(Lease_List!D:D,MATCH(INDIRECT("All_User!D"&amp;ROW()),Lease_List!H:H,0)),"없음")</f>
        <v>5CD3469HDK</v>
      </c>
      <c r="I176" s="22" t="s">
        <v>29</v>
      </c>
      <c r="J176" s="21"/>
      <c r="K176" s="22" t="str">
        <f t="array" ref="K176">IFERROR(INDEX(Ipad_List!C:C,MATCH(INDIRECT("All_User!D"&amp;ROW()),Ipad_List!J:J,0)),"없음")</f>
        <v>없음</v>
      </c>
      <c r="L176" s="23" t="str">
        <f t="array" ref="L176">IFERROR(INDEX(TeamsNumber!B:B,MATCH(INDIRECT("All_User!D"&amp;ROW()),TeamsNumber!D:D,0)),"없음")</f>
        <v>없음</v>
      </c>
      <c r="M176" s="23" t="str">
        <f t="array" ref="M176">IFERROR(INDEX(Printer!D:D,MATCH(INDIRECT("All_User!D"&amp;ROW()),Printer!H:H,0)),"없음")</f>
        <v>없음</v>
      </c>
      <c r="N176" s="24" t="str">
        <f t="array" ref="N176">IFERROR(INDEX(Monitor!A:A,MATCH(INDIRECT("All_User!D"&amp;ROW()),Monitor!D:D,0)),"없음")</f>
        <v>없음</v>
      </c>
      <c r="O176" s="24" t="str">
        <f t="shared" si="1"/>
        <v>없음</v>
      </c>
      <c r="P176" s="24" t="str">
        <f t="array" ref="P176">IFERROR(INDEX(sales!E:E,MATCH(D176,sales!C:C,0)),"없음")</f>
        <v>없음</v>
      </c>
      <c r="Q176" s="24"/>
      <c r="R176" s="24"/>
    </row>
    <row r="177">
      <c r="A177" s="13">
        <v>199.0</v>
      </c>
      <c r="B177" s="47" t="s">
        <v>753</v>
      </c>
      <c r="C177" s="48"/>
      <c r="D177" s="49" t="s">
        <v>754</v>
      </c>
      <c r="E177" s="15"/>
      <c r="F177" s="17" t="s">
        <v>750</v>
      </c>
      <c r="G177" s="18" t="s">
        <v>750</v>
      </c>
      <c r="H177" s="19" t="str">
        <f t="array" ref="H177">IFERROR(INDEX(Lease_List!D:D,MATCH(INDIRECT("All_User!D"&amp;ROW()),Lease_List!H:H,0)),"없음")</f>
        <v>5CD4145N3F</v>
      </c>
      <c r="I177" s="22" t="s">
        <v>29</v>
      </c>
      <c r="J177" s="21"/>
      <c r="K177" s="22" t="str">
        <f t="array" ref="K177">IFERROR(INDEX(Ipad_List!C:C,MATCH(INDIRECT("All_User!D"&amp;ROW()),Ipad_List!J:J,0)),"없음")</f>
        <v>없음</v>
      </c>
      <c r="L177" s="23" t="str">
        <f t="array" ref="L177">IFERROR(INDEX(TeamsNumber!B:B,MATCH(INDIRECT("All_User!D"&amp;ROW()),TeamsNumber!D:D,0)),"없음")</f>
        <v>없음</v>
      </c>
      <c r="M177" s="23" t="str">
        <f t="array" ref="M177">IFERROR(INDEX(Printer!D:D,MATCH(INDIRECT("All_User!D"&amp;ROW()),Printer!H:H,0)),"없음")</f>
        <v>없음</v>
      </c>
      <c r="N177" s="24" t="str">
        <f t="array" ref="N177">IFERROR(INDEX(Monitor!A:A,MATCH(INDIRECT("All_User!D"&amp;ROW()),Monitor!D:D,0)),"없음")</f>
        <v>없음</v>
      </c>
      <c r="O177" s="24" t="str">
        <f t="shared" si="1"/>
        <v>없음</v>
      </c>
      <c r="P177" s="24" t="str">
        <f t="array" ref="P177">IFERROR(INDEX(sales!E:E,MATCH(D177,sales!C:C,0)),"없음")</f>
        <v>없음</v>
      </c>
      <c r="Q177" s="24"/>
      <c r="R177" s="24"/>
    </row>
    <row r="178">
      <c r="A178" s="13">
        <v>200.0</v>
      </c>
      <c r="B178" s="47" t="s">
        <v>755</v>
      </c>
      <c r="C178" s="48"/>
      <c r="D178" s="49" t="s">
        <v>756</v>
      </c>
      <c r="E178" s="15" t="s">
        <v>745</v>
      </c>
      <c r="F178" s="37" t="s">
        <v>671</v>
      </c>
      <c r="G178" s="30" t="s">
        <v>746</v>
      </c>
      <c r="H178" s="19" t="str">
        <f t="array" ref="H178">IFERROR(INDEX(Lease_List!D:D,MATCH(INDIRECT("All_User!D"&amp;ROW()),Lease_List!H:H,0)),"없음")</f>
        <v>5CD4232BFM</v>
      </c>
      <c r="I178" s="22" t="s">
        <v>29</v>
      </c>
      <c r="J178" s="21"/>
      <c r="K178" s="22" t="str">
        <f t="array" ref="K178">IFERROR(INDEX(Ipad_List!C:C,MATCH(INDIRECT("All_User!D"&amp;ROW()),Ipad_List!J:J,0)),"없음")</f>
        <v>없음</v>
      </c>
      <c r="L178" s="23" t="str">
        <f t="array" ref="L178">IFERROR(INDEX(TeamsNumber!B:B,MATCH(INDIRECT("All_User!D"&amp;ROW()),TeamsNumber!D:D,0)),"없음")</f>
        <v>없음</v>
      </c>
      <c r="M178" s="23" t="str">
        <f t="array" ref="M178">IFERROR(INDEX(Printer!D:D,MATCH(INDIRECT("All_User!D"&amp;ROW()),Printer!H:H,0)),"없음")</f>
        <v>없음</v>
      </c>
      <c r="N178" s="24" t="str">
        <f t="array" ref="N178">IFERROR(INDEX(Monitor!A:A,MATCH(INDIRECT("All_User!D"&amp;ROW()),Monitor!D:D,0)),"없음")</f>
        <v>없음</v>
      </c>
      <c r="O178" s="24" t="str">
        <f t="shared" si="1"/>
        <v>없음</v>
      </c>
      <c r="P178" s="24" t="str">
        <f t="array" ref="P178">IFERROR(INDEX(sales!E:E,MATCH(D178,sales!C:C,0)),"없음")</f>
        <v>없음</v>
      </c>
      <c r="Q178" s="24"/>
      <c r="R178" s="24"/>
    </row>
    <row r="179">
      <c r="A179" s="13">
        <v>201.0</v>
      </c>
      <c r="B179" s="47" t="s">
        <v>757</v>
      </c>
      <c r="C179" s="48"/>
      <c r="D179" s="49" t="s">
        <v>758</v>
      </c>
      <c r="E179" s="26"/>
      <c r="F179" s="17" t="s">
        <v>750</v>
      </c>
      <c r="G179" s="18" t="s">
        <v>750</v>
      </c>
      <c r="H179" s="19" t="str">
        <f t="array" ref="H179">IFERROR(INDEX(Lease_List!D:D,MATCH(INDIRECT("All_User!D"&amp;ROW()),Lease_List!H:H,0)),"없음")</f>
        <v>없음</v>
      </c>
      <c r="I179" s="22" t="s">
        <v>29</v>
      </c>
      <c r="J179" s="21"/>
      <c r="K179" s="22" t="str">
        <f t="array" ref="K179">IFERROR(INDEX(Ipad_List!C:C,MATCH(INDIRECT("All_User!D"&amp;ROW()),Ipad_List!J:J,0)),"없음")</f>
        <v>없음</v>
      </c>
      <c r="L179" s="23" t="str">
        <f t="array" ref="L179">IFERROR(INDEX(TeamsNumber!B:B,MATCH(INDIRECT("All_User!D"&amp;ROW()),TeamsNumber!D:D,0)),"없음")</f>
        <v>없음</v>
      </c>
      <c r="M179" s="23" t="str">
        <f t="array" ref="M179">IFERROR(INDEX(Printer!D:D,MATCH(INDIRECT("All_User!D"&amp;ROW()),Printer!H:H,0)),"없음")</f>
        <v>없음</v>
      </c>
      <c r="N179" s="24" t="str">
        <f t="array" ref="N179">IFERROR(INDEX(Monitor!A:A,MATCH(INDIRECT("All_User!D"&amp;ROW()),Monitor!D:D,0)),"없음")</f>
        <v>없음</v>
      </c>
      <c r="O179" s="24" t="str">
        <f t="shared" si="1"/>
        <v>없음</v>
      </c>
      <c r="P179" s="24" t="str">
        <f t="array" ref="P179">IFERROR(INDEX(sales!E:E,MATCH(D179,sales!C:C,0)),"없음")</f>
        <v>없음</v>
      </c>
      <c r="Q179" s="24"/>
      <c r="R179" s="24"/>
    </row>
    <row r="180">
      <c r="A180" s="13">
        <v>202.0</v>
      </c>
      <c r="B180" s="47" t="s">
        <v>759</v>
      </c>
      <c r="C180" s="48"/>
      <c r="D180" s="49" t="s">
        <v>760</v>
      </c>
      <c r="E180" s="26"/>
      <c r="F180" s="17" t="s">
        <v>750</v>
      </c>
      <c r="G180" s="18" t="s">
        <v>750</v>
      </c>
      <c r="H180" s="19" t="str">
        <f t="array" ref="H180">IFERROR(INDEX(Lease_List!D:D,MATCH(INDIRECT("All_User!D"&amp;ROW()),Lease_List!H:H,0)),"없음")</f>
        <v>5CD4305D92</v>
      </c>
      <c r="I180" s="22" t="s">
        <v>761</v>
      </c>
      <c r="J180" s="21"/>
      <c r="K180" s="22" t="str">
        <f t="array" ref="K180">IFERROR(INDEX(Ipad_List!C:C,MATCH(INDIRECT("All_User!D"&amp;ROW()),Ipad_List!J:J,0)),"없음")</f>
        <v>없음</v>
      </c>
      <c r="L180" s="23" t="str">
        <f t="array" ref="L180">IFERROR(INDEX(TeamsNumber!B:B,MATCH(INDIRECT("All_User!D"&amp;ROW()),TeamsNumber!D:D,0)),"없음")</f>
        <v>없음</v>
      </c>
      <c r="M180" s="23" t="str">
        <f t="array" ref="M180">IFERROR(INDEX(Printer!D:D,MATCH(INDIRECT("All_User!D"&amp;ROW()),Printer!H:H,0)),"없음")</f>
        <v>없음</v>
      </c>
      <c r="N180" s="24" t="str">
        <f t="array" ref="N180">IFERROR(INDEX(Monitor!A:A,MATCH(INDIRECT("All_User!D"&amp;ROW()),Monitor!D:D,0)),"없음")</f>
        <v>없음</v>
      </c>
      <c r="O180" s="24" t="str">
        <f t="shared" si="1"/>
        <v>없음</v>
      </c>
      <c r="P180" s="24" t="str">
        <f t="array" ref="P180">IFERROR(INDEX(sales!E:E,MATCH(D180,sales!C:C,0)),"없음")</f>
        <v>없음</v>
      </c>
      <c r="Q180" s="24"/>
      <c r="R180" s="24"/>
    </row>
    <row r="181">
      <c r="A181" s="13">
        <v>203.0</v>
      </c>
      <c r="B181" s="50" t="s">
        <v>762</v>
      </c>
      <c r="C181" s="48"/>
      <c r="D181" s="49" t="s">
        <v>763</v>
      </c>
      <c r="E181" s="15" t="s">
        <v>745</v>
      </c>
      <c r="F181" s="37" t="s">
        <v>671</v>
      </c>
      <c r="G181" s="30" t="s">
        <v>746</v>
      </c>
      <c r="H181" s="19" t="str">
        <f t="array" ref="H181">IFERROR(INDEX(Lease_List!D:D,MATCH(INDIRECT("All_User!D"&amp;ROW()),Lease_List!H:H,0)),"없음")</f>
        <v>5CD4305D8S</v>
      </c>
      <c r="I181" s="22" t="s">
        <v>29</v>
      </c>
      <c r="J181" s="21"/>
      <c r="K181" s="22" t="str">
        <f t="array" ref="K181">IFERROR(INDEX(Ipad_List!C:C,MATCH(INDIRECT("All_User!D"&amp;ROW()),Ipad_List!J:J,0)),"없음")</f>
        <v>F6PHK00AQ195 </v>
      </c>
      <c r="L181" s="23" t="str">
        <f t="array" ref="L181">IFERROR(INDEX(TeamsNumber!B:B,MATCH(INDIRECT("All_User!D"&amp;ROW()),TeamsNumber!D:D,0)),"없음")</f>
        <v>tel:+82234517677</v>
      </c>
      <c r="M181" s="23" t="str">
        <f t="array" ref="M181">IFERROR(INDEX(Printer!D:D,MATCH(INDIRECT("All_User!D"&amp;ROW()),Printer!H:H,0)),"없음")</f>
        <v>없음</v>
      </c>
      <c r="N181" s="24" t="str">
        <f t="array" ref="N181">IFERROR(INDEX(Monitor!A:A,MATCH(INDIRECT("All_User!D"&amp;ROW()),Monitor!D:D,0)),"없음")</f>
        <v>없음</v>
      </c>
      <c r="O181" s="24" t="str">
        <f t="shared" si="1"/>
        <v>없음</v>
      </c>
      <c r="P181" s="24" t="str">
        <f t="array" ref="P181">IFERROR(INDEX(sales!E:E,MATCH(D181,sales!C:C,0)),"없음")</f>
        <v>없음</v>
      </c>
      <c r="Q181" s="24"/>
      <c r="R181" s="24"/>
    </row>
    <row r="182">
      <c r="A182" s="13">
        <v>204.0</v>
      </c>
      <c r="B182" s="47" t="s">
        <v>764</v>
      </c>
      <c r="C182" s="48"/>
      <c r="D182" s="49" t="s">
        <v>765</v>
      </c>
      <c r="E182" s="26"/>
      <c r="F182" s="17" t="s">
        <v>34</v>
      </c>
      <c r="G182" s="18" t="s">
        <v>35</v>
      </c>
      <c r="H182" s="19" t="str">
        <f t="array" ref="H182">IFERROR(INDEX(Lease_List!D:D,MATCH(INDIRECT("All_User!D"&amp;ROW()),Lease_List!H:H,0)),"없음")</f>
        <v>5CD4305D83</v>
      </c>
      <c r="I182" s="22" t="s">
        <v>29</v>
      </c>
      <c r="J182" s="21"/>
      <c r="K182" s="22" t="str">
        <f t="array" ref="K182">IFERROR(INDEX(Ipad_List!C:C,MATCH(INDIRECT("All_User!D"&amp;ROW()),Ipad_List!J:J,0)),"없음")</f>
        <v>없음</v>
      </c>
      <c r="L182" s="23" t="str">
        <f t="array" ref="L182">IFERROR(INDEX(TeamsNumber!B:B,MATCH(INDIRECT("All_User!D"&amp;ROW()),TeamsNumber!D:D,0)),"없음")</f>
        <v>없음</v>
      </c>
      <c r="M182" s="23" t="str">
        <f t="array" ref="M182">IFERROR(INDEX(Printer!D:D,MATCH(INDIRECT("All_User!D"&amp;ROW()),Printer!H:H,0)),"없음")</f>
        <v>없음</v>
      </c>
      <c r="N182" s="24" t="str">
        <f t="array" ref="N182">IFERROR(INDEX(Monitor!A:A,MATCH(INDIRECT("All_User!D"&amp;ROW()),Monitor!D:D,0)),"없음")</f>
        <v>없음</v>
      </c>
      <c r="O182" s="24" t="str">
        <f t="shared" si="1"/>
        <v>없음</v>
      </c>
      <c r="P182" s="24" t="str">
        <f t="array" ref="P182">IFERROR(INDEX(sales!E:E,MATCH(D182,sales!C:C,0)),"없음")</f>
        <v>없음</v>
      </c>
      <c r="Q182" s="24"/>
      <c r="R182" s="24"/>
    </row>
    <row r="183">
      <c r="A183" s="13">
        <v>205.0</v>
      </c>
      <c r="B183" s="47" t="s">
        <v>766</v>
      </c>
      <c r="C183" s="48"/>
      <c r="D183" s="49" t="s">
        <v>767</v>
      </c>
      <c r="E183" s="26"/>
      <c r="F183" s="17" t="s">
        <v>750</v>
      </c>
      <c r="G183" s="18" t="s">
        <v>750</v>
      </c>
      <c r="H183" s="19" t="str">
        <f t="array" ref="H183">IFERROR(INDEX(Lease_List!D:D,MATCH(INDIRECT("All_User!D"&amp;ROW()),Lease_List!H:H,0)),"없음")</f>
        <v>5CD4305D86</v>
      </c>
      <c r="I183" s="22" t="s">
        <v>29</v>
      </c>
      <c r="J183" s="21"/>
      <c r="K183" s="22" t="str">
        <f t="array" ref="K183">IFERROR(INDEX(Ipad_List!C:C,MATCH(INDIRECT("All_User!D"&amp;ROW()),Ipad_List!J:J,0)),"없음")</f>
        <v>없음</v>
      </c>
      <c r="L183" s="23" t="str">
        <f t="array" ref="L183">IFERROR(INDEX(TeamsNumber!B:B,MATCH(INDIRECT("All_User!D"&amp;ROW()),TeamsNumber!D:D,0)),"없음")</f>
        <v>없음</v>
      </c>
      <c r="M183" s="23" t="str">
        <f t="array" ref="M183">IFERROR(INDEX(Printer!D:D,MATCH(INDIRECT("All_User!D"&amp;ROW()),Printer!H:H,0)),"없음")</f>
        <v>없음</v>
      </c>
      <c r="N183" s="24" t="str">
        <f t="array" ref="N183">IFERROR(INDEX(Monitor!A:A,MATCH(INDIRECT("All_User!D"&amp;ROW()),Monitor!D:D,0)),"없음")</f>
        <v>없음</v>
      </c>
      <c r="O183" s="24" t="str">
        <f t="shared" si="1"/>
        <v>없음</v>
      </c>
      <c r="P183" s="24" t="str">
        <f t="array" ref="P183">IFERROR(INDEX(sales!E:E,MATCH(D183,sales!C:C,0)),"없음")</f>
        <v>없음</v>
      </c>
      <c r="Q183" s="24"/>
      <c r="R183" s="24"/>
    </row>
    <row r="184">
      <c r="A184" s="13">
        <v>206.0</v>
      </c>
      <c r="B184" s="47" t="s">
        <v>768</v>
      </c>
      <c r="C184" s="51" t="s">
        <v>769</v>
      </c>
      <c r="D184" s="51" t="s">
        <v>770</v>
      </c>
      <c r="E184" s="52" t="s">
        <v>141</v>
      </c>
      <c r="F184" s="17" t="s">
        <v>27</v>
      </c>
      <c r="G184" s="18" t="s">
        <v>53</v>
      </c>
      <c r="H184" s="19" t="str">
        <f t="array" ref="H184">IFERROR(INDEX(Lease_List!D:D,MATCH(INDIRECT("All_User!D"&amp;ROW()),Lease_List!H:H,0)),"없음")</f>
        <v>5CD5179KJ8</v>
      </c>
      <c r="I184" s="22" t="s">
        <v>29</v>
      </c>
      <c r="J184" s="21"/>
      <c r="K184" s="22" t="str">
        <f t="array" ref="K184">IFERROR(INDEX(Ipad_List!C:C,MATCH(INDIRECT("All_User!D"&amp;ROW()),Ipad_List!J:J,0)),"없음")</f>
        <v>FHTK4GJCF9</v>
      </c>
      <c r="L184" s="23" t="str">
        <f t="array" ref="L184">IFERROR(INDEX(TeamsNumber!B:B,MATCH(INDIRECT("All_User!D"&amp;ROW()),TeamsNumber!D:D,0)),"없음")</f>
        <v>없음</v>
      </c>
      <c r="M184" s="23" t="str">
        <f t="array" ref="M184">IFERROR(INDEX(Printer!D:D,MATCH(INDIRECT("All_User!D"&amp;ROW()),Printer!H:H,0)),"없음")</f>
        <v>SL-C563W</v>
      </c>
      <c r="N184" s="24" t="str">
        <f t="array" ref="N184">IFERROR(INDEX(Monitor!A:A,MATCH(INDIRECT("All_User!D"&amp;ROW()),Monitor!D:D,0)),"없음")</f>
        <v>없음</v>
      </c>
      <c r="O184" s="24" t="str">
        <f t="shared" si="1"/>
        <v>없음</v>
      </c>
      <c r="P184" s="24" t="str">
        <f t="array" ref="P184">IFERROR(INDEX(sales!E:E,MATCH(D184,sales!C:C,0)),"없음")</f>
        <v>Sales</v>
      </c>
      <c r="Q184" s="24" t="str">
        <f t="array" ref="Q184">IFERROR(INDEX(sales!C:C,MATCH(D184,sales!C:C,0)),"list없음")</f>
        <v>neal.kim@stryker.com</v>
      </c>
      <c r="R184" s="24"/>
    </row>
    <row r="185">
      <c r="A185" s="13">
        <v>207.0</v>
      </c>
      <c r="B185" s="47" t="s">
        <v>771</v>
      </c>
      <c r="C185" s="48"/>
      <c r="D185" s="49" t="s">
        <v>772</v>
      </c>
      <c r="E185" s="15"/>
      <c r="F185" s="17" t="s">
        <v>750</v>
      </c>
      <c r="G185" s="18" t="s">
        <v>750</v>
      </c>
      <c r="H185" s="19" t="str">
        <f t="array" ref="H185">IFERROR(INDEX(Lease_List!D:D,MATCH(INDIRECT("All_User!D"&amp;ROW()),Lease_List!H:H,0)),"없음")</f>
        <v>5CD4305D8B</v>
      </c>
      <c r="I185" s="22" t="s">
        <v>29</v>
      </c>
      <c r="J185" s="21"/>
      <c r="K185" s="22" t="str">
        <f t="array" ref="K185">IFERROR(INDEX(Ipad_List!C:C,MATCH(INDIRECT("All_User!D"&amp;ROW()),Ipad_List!J:J,0)),"없음")</f>
        <v>없음</v>
      </c>
      <c r="L185" s="23" t="str">
        <f t="array" ref="L185">IFERROR(INDEX(TeamsNumber!B:B,MATCH(INDIRECT("All_User!D"&amp;ROW()),TeamsNumber!D:D,0)),"없음")</f>
        <v>없음</v>
      </c>
      <c r="M185" s="23" t="str">
        <f t="array" ref="M185">IFERROR(INDEX(Printer!D:D,MATCH(INDIRECT("All_User!D"&amp;ROW()),Printer!H:H,0)),"없음")</f>
        <v>없음</v>
      </c>
      <c r="N185" s="24" t="str">
        <f t="array" ref="N185">IFERROR(INDEX(Monitor!A:A,MATCH(INDIRECT("All_User!D"&amp;ROW()),Monitor!D:D,0)),"없음")</f>
        <v>없음</v>
      </c>
      <c r="O185" s="24" t="str">
        <f t="shared" si="1"/>
        <v>없음</v>
      </c>
      <c r="P185" s="24" t="str">
        <f t="array" ref="P185">IFERROR(INDEX(sales!E:E,MATCH(D185,sales!C:C,0)),"없음")</f>
        <v>없음</v>
      </c>
      <c r="Q185" s="24"/>
      <c r="R185" s="24"/>
    </row>
    <row r="186">
      <c r="A186" s="13">
        <v>208.0</v>
      </c>
      <c r="B186" s="47" t="s">
        <v>773</v>
      </c>
      <c r="C186" s="48"/>
      <c r="D186" s="49" t="s">
        <v>774</v>
      </c>
      <c r="E186" s="26"/>
      <c r="F186" s="17" t="s">
        <v>750</v>
      </c>
      <c r="G186" s="18" t="s">
        <v>750</v>
      </c>
      <c r="H186" s="19" t="str">
        <f t="array" ref="H186">IFERROR(INDEX(Lease_List!D:D,MATCH(INDIRECT("All_User!D"&amp;ROW()),Lease_List!H:H,0)),"없음")</f>
        <v>5CD5062YDL</v>
      </c>
      <c r="I186" s="22" t="s">
        <v>29</v>
      </c>
      <c r="J186" s="21"/>
      <c r="K186" s="22" t="str">
        <f t="array" ref="K186">IFERROR(INDEX(Ipad_List!C:C,MATCH(INDIRECT("All_User!D"&amp;ROW()),Ipad_List!J:J,0)),"없음")</f>
        <v>없음</v>
      </c>
      <c r="L186" s="23" t="str">
        <f t="array" ref="L186">IFERROR(INDEX(TeamsNumber!B:B,MATCH(INDIRECT("All_User!D"&amp;ROW()),TeamsNumber!D:D,0)),"없음")</f>
        <v>없음</v>
      </c>
      <c r="M186" s="23" t="str">
        <f t="array" ref="M186">IFERROR(INDEX(Printer!D:D,MATCH(INDIRECT("All_User!D"&amp;ROW()),Printer!H:H,0)),"없음")</f>
        <v>없음</v>
      </c>
      <c r="N186" s="24" t="str">
        <f t="array" ref="N186">IFERROR(INDEX(Monitor!A:A,MATCH(INDIRECT("All_User!D"&amp;ROW()),Monitor!D:D,0)),"없음")</f>
        <v>없음</v>
      </c>
      <c r="O186" s="24" t="str">
        <f t="shared" si="1"/>
        <v>없음</v>
      </c>
      <c r="P186" s="24" t="str">
        <f t="array" ref="P186">IFERROR(INDEX(sales!E:E,MATCH(D186,sales!C:C,0)),"없음")</f>
        <v>없음</v>
      </c>
      <c r="Q186" s="24"/>
      <c r="R186" s="24"/>
    </row>
    <row r="187">
      <c r="A187" s="13">
        <v>209.0</v>
      </c>
      <c r="B187" s="47" t="s">
        <v>775</v>
      </c>
      <c r="C187" s="48"/>
      <c r="D187" s="49" t="s">
        <v>776</v>
      </c>
      <c r="E187" s="26"/>
      <c r="F187" s="17" t="s">
        <v>750</v>
      </c>
      <c r="G187" s="18" t="s">
        <v>750</v>
      </c>
      <c r="H187" s="19" t="str">
        <f t="array" ref="H187">IFERROR(INDEX(Lease_List!D:D,MATCH(INDIRECT("All_User!D"&amp;ROW()),Lease_List!H:H,0)),"없음")</f>
        <v>5CD5062YF7</v>
      </c>
      <c r="I187" s="22" t="s">
        <v>29</v>
      </c>
      <c r="J187" s="21"/>
      <c r="K187" s="22" t="str">
        <f t="array" ref="K187">IFERROR(INDEX(Ipad_List!C:C,MATCH(INDIRECT("All_User!D"&amp;ROW()),Ipad_List!J:J,0)),"없음")</f>
        <v>없음</v>
      </c>
      <c r="L187" s="23" t="str">
        <f t="array" ref="L187">IFERROR(INDEX(TeamsNumber!B:B,MATCH(INDIRECT("All_User!D"&amp;ROW()),TeamsNumber!D:D,0)),"없음")</f>
        <v>없음</v>
      </c>
      <c r="M187" s="23" t="str">
        <f t="array" ref="M187">IFERROR(INDEX(Printer!D:D,MATCH(INDIRECT("All_User!D"&amp;ROW()),Printer!H:H,0)),"없음")</f>
        <v>없음</v>
      </c>
      <c r="N187" s="24" t="str">
        <f t="array" ref="N187">IFERROR(INDEX(Monitor!A:A,MATCH(INDIRECT("All_User!D"&amp;ROW()),Monitor!D:D,0)),"없음")</f>
        <v>E2422H</v>
      </c>
      <c r="O187" s="24" t="str">
        <f t="shared" si="1"/>
        <v>없음</v>
      </c>
      <c r="P187" s="24" t="str">
        <f t="array" ref="P187">IFERROR(INDEX(sales!E:E,MATCH(D187,sales!C:C,0)),"없음")</f>
        <v>없음</v>
      </c>
      <c r="Q187" s="24"/>
      <c r="R187" s="24"/>
    </row>
    <row r="188">
      <c r="A188" s="13">
        <v>210.0</v>
      </c>
      <c r="B188" s="47" t="s">
        <v>777</v>
      </c>
      <c r="C188" s="51" t="s">
        <v>778</v>
      </c>
      <c r="D188" s="51" t="s">
        <v>779</v>
      </c>
      <c r="E188" s="18" t="s">
        <v>780</v>
      </c>
      <c r="F188" s="17" t="s">
        <v>52</v>
      </c>
      <c r="G188" s="15" t="s">
        <v>137</v>
      </c>
      <c r="H188" s="19" t="str">
        <f t="array" ref="H188">IFERROR(INDEX(Lease_List!D:D,MATCH(INDIRECT("All_User!D"&amp;ROW()),Lease_List!H:H,0)),"없음")</f>
        <v>5CD5062YF9</v>
      </c>
      <c r="I188" s="22" t="s">
        <v>29</v>
      </c>
      <c r="J188" s="21"/>
      <c r="K188" s="22" t="str">
        <f t="array" ref="K188">IFERROR(INDEX(Ipad_List!C:C,MATCH(INDIRECT("All_User!D"&amp;ROW()),Ipad_List!J:J,0)),"없음")</f>
        <v>없음</v>
      </c>
      <c r="L188" s="23" t="str">
        <f t="array" ref="L188">IFERROR(INDEX(TeamsNumber!B:B,MATCH(INDIRECT("All_User!D"&amp;ROW()),TeamsNumber!D:D,0)),"없음")</f>
        <v>없음</v>
      </c>
      <c r="M188" s="23" t="str">
        <f t="array" ref="M188">IFERROR(INDEX(Printer!D:D,MATCH(INDIRECT("All_User!D"&amp;ROW()),Printer!H:H,0)),"없음")</f>
        <v>없음</v>
      </c>
      <c r="N188" s="24" t="str">
        <f t="array" ref="N188">IFERROR(INDEX(Monitor!A:A,MATCH(INDIRECT("All_User!D"&amp;ROW()),Monitor!D:D,0)),"없음")</f>
        <v>LCD 모니터</v>
      </c>
      <c r="O188" s="24" t="str">
        <f t="shared" si="1"/>
        <v>없음</v>
      </c>
      <c r="P188" s="24" t="str">
        <f t="array" ref="P188">IFERROR(INDEX(sales!E:E,MATCH(D188,sales!C:C,0)),"없음")</f>
        <v>없음</v>
      </c>
      <c r="Q188" s="24"/>
      <c r="R188" s="24"/>
    </row>
    <row r="189">
      <c r="A189" s="13">
        <v>211.0</v>
      </c>
      <c r="B189" s="47" t="s">
        <v>781</v>
      </c>
      <c r="C189" s="48"/>
      <c r="D189" s="49" t="s">
        <v>782</v>
      </c>
      <c r="E189" s="26"/>
      <c r="F189" s="17" t="s">
        <v>750</v>
      </c>
      <c r="G189" s="18" t="s">
        <v>750</v>
      </c>
      <c r="H189" s="19" t="str">
        <f t="array" ref="H189">IFERROR(INDEX(Lease_List!D:D,MATCH(INDIRECT("All_User!D"&amp;ROW()),Lease_List!H:H,0)),"없음")</f>
        <v>5CD5062YDS</v>
      </c>
      <c r="I189" s="22" t="s">
        <v>29</v>
      </c>
      <c r="J189" s="21"/>
      <c r="K189" s="22" t="str">
        <f t="array" ref="K189">IFERROR(INDEX(Ipad_List!C:C,MATCH(INDIRECT("All_User!D"&amp;ROW()),Ipad_List!J:J,0)),"없음")</f>
        <v>없음</v>
      </c>
      <c r="L189" s="23" t="str">
        <f t="array" ref="L189">IFERROR(INDEX(TeamsNumber!B:B,MATCH(INDIRECT("All_User!D"&amp;ROW()),TeamsNumber!D:D,0)),"없음")</f>
        <v>없음</v>
      </c>
      <c r="M189" s="23" t="str">
        <f t="array" ref="M189">IFERROR(INDEX(Printer!D:D,MATCH(INDIRECT("All_User!D"&amp;ROW()),Printer!H:H,0)),"없음")</f>
        <v>없음</v>
      </c>
      <c r="N189" s="24" t="str">
        <f t="array" ref="N189">IFERROR(INDEX(Monitor!A:A,MATCH(INDIRECT("All_User!D"&amp;ROW()),Monitor!D:D,0)),"없음")</f>
        <v>없음</v>
      </c>
      <c r="O189" s="24" t="str">
        <f t="shared" si="1"/>
        <v>없음</v>
      </c>
      <c r="P189" s="24" t="str">
        <f t="array" ref="P189">IFERROR(INDEX(sales!E:E,MATCH(D189,sales!C:C,0)),"없음")</f>
        <v>없음</v>
      </c>
      <c r="Q189" s="24"/>
      <c r="R189" s="24"/>
    </row>
    <row r="190">
      <c r="A190" s="13">
        <v>212.0</v>
      </c>
      <c r="B190" s="47" t="s">
        <v>783</v>
      </c>
      <c r="C190" s="48"/>
      <c r="D190" s="49" t="s">
        <v>784</v>
      </c>
      <c r="E190" s="15"/>
      <c r="F190" s="17" t="s">
        <v>750</v>
      </c>
      <c r="G190" s="18" t="s">
        <v>750</v>
      </c>
      <c r="H190" s="19" t="str">
        <f t="array" ref="H190">IFERROR(INDEX(Lease_List!D:D,MATCH(INDIRECT("All_User!D"&amp;ROW()),Lease_List!H:H,0)),"없음")</f>
        <v>5CD5062YDQ</v>
      </c>
      <c r="I190" s="22" t="s">
        <v>29</v>
      </c>
      <c r="J190" s="21"/>
      <c r="K190" s="22" t="str">
        <f t="array" ref="K190">IFERROR(INDEX(Ipad_List!C:C,MATCH(INDIRECT("All_User!D"&amp;ROW()),Ipad_List!J:J,0)),"없음")</f>
        <v>없음</v>
      </c>
      <c r="L190" s="23" t="str">
        <f t="array" ref="L190">IFERROR(INDEX(TeamsNumber!B:B,MATCH(INDIRECT("All_User!D"&amp;ROW()),TeamsNumber!D:D,0)),"없음")</f>
        <v>없음</v>
      </c>
      <c r="M190" s="23" t="str">
        <f t="array" ref="M190">IFERROR(INDEX(Printer!D:D,MATCH(INDIRECT("All_User!D"&amp;ROW()),Printer!H:H,0)),"없음")</f>
        <v>없음</v>
      </c>
      <c r="N190" s="24" t="str">
        <f t="array" ref="N190">IFERROR(INDEX(Monitor!A:A,MATCH(INDIRECT("All_User!D"&amp;ROW()),Monitor!D:D,0)),"없음")</f>
        <v>없음</v>
      </c>
      <c r="O190" s="24" t="str">
        <f t="shared" si="1"/>
        <v>없음</v>
      </c>
      <c r="P190" s="24" t="str">
        <f t="array" ref="P190">IFERROR(INDEX(sales!E:E,MATCH(D190,sales!C:C,0)),"없음")</f>
        <v>없음</v>
      </c>
      <c r="Q190" s="24"/>
      <c r="R190" s="24"/>
    </row>
    <row r="191">
      <c r="A191" s="13">
        <v>213.0</v>
      </c>
      <c r="B191" s="47" t="s">
        <v>785</v>
      </c>
      <c r="C191" s="48"/>
      <c r="D191" s="49" t="s">
        <v>786</v>
      </c>
      <c r="E191" s="26"/>
      <c r="F191" s="17" t="s">
        <v>750</v>
      </c>
      <c r="G191" s="18" t="s">
        <v>750</v>
      </c>
      <c r="H191" s="19" t="str">
        <f t="array" ref="H191">IFERROR(INDEX(Lease_List!D:D,MATCH(INDIRECT("All_User!D"&amp;ROW()),Lease_List!H:H,0)),"없음")</f>
        <v>5CD5062YDJ</v>
      </c>
      <c r="I191" s="22" t="s">
        <v>29</v>
      </c>
      <c r="J191" s="21"/>
      <c r="K191" s="22" t="str">
        <f t="array" ref="K191">IFERROR(INDEX(Ipad_List!C:C,MATCH(INDIRECT("All_User!D"&amp;ROW()),Ipad_List!J:J,0)),"없음")</f>
        <v>없음</v>
      </c>
      <c r="L191" s="23" t="str">
        <f t="array" ref="L191">IFERROR(INDEX(TeamsNumber!B:B,MATCH(INDIRECT("All_User!D"&amp;ROW()),TeamsNumber!D:D,0)),"없음")</f>
        <v>없음</v>
      </c>
      <c r="M191" s="23" t="str">
        <f t="array" ref="M191">IFERROR(INDEX(Printer!D:D,MATCH(INDIRECT("All_User!D"&amp;ROW()),Printer!H:H,0)),"없음")</f>
        <v>없음</v>
      </c>
      <c r="N191" s="24" t="str">
        <f t="array" ref="N191">IFERROR(INDEX(Monitor!A:A,MATCH(INDIRECT("All_User!D"&amp;ROW()),Monitor!D:D,0)),"없음")</f>
        <v>없음</v>
      </c>
      <c r="O191" s="24" t="str">
        <f t="shared" si="1"/>
        <v>없음</v>
      </c>
      <c r="P191" s="24" t="str">
        <f t="array" ref="P191">IFERROR(INDEX(sales!E:E,MATCH(D191,sales!C:C,0)),"없음")</f>
        <v>없음</v>
      </c>
      <c r="Q191" s="24"/>
      <c r="R191" s="24"/>
    </row>
    <row r="192">
      <c r="A192" s="13">
        <v>214.0</v>
      </c>
      <c r="B192" s="47" t="s">
        <v>787</v>
      </c>
      <c r="C192" s="48"/>
      <c r="D192" s="53" t="s">
        <v>788</v>
      </c>
      <c r="E192" s="26"/>
      <c r="F192" s="17" t="s">
        <v>750</v>
      </c>
      <c r="G192" s="18" t="s">
        <v>750</v>
      </c>
      <c r="H192" s="19" t="str">
        <f t="array" ref="H192">IFERROR(INDEX(Lease_List!D:D,MATCH(INDIRECT("All_User!D"&amp;ROW()),Lease_List!H:H,0)),"없음")</f>
        <v>5CD5062YF3</v>
      </c>
      <c r="I192" s="22" t="s">
        <v>29</v>
      </c>
      <c r="J192" s="21"/>
      <c r="K192" s="22" t="str">
        <f t="array" ref="K192">IFERROR(INDEX(Ipad_List!C:C,MATCH(INDIRECT("All_User!D"&amp;ROW()),Ipad_List!J:J,0)),"없음")</f>
        <v>없음</v>
      </c>
      <c r="L192" s="23" t="str">
        <f t="array" ref="L192">IFERROR(INDEX(TeamsNumber!B:B,MATCH(INDIRECT("All_User!D"&amp;ROW()),TeamsNumber!D:D,0)),"없음")</f>
        <v>없음</v>
      </c>
      <c r="M192" s="23" t="str">
        <f t="array" ref="M192">IFERROR(INDEX(Printer!D:D,MATCH(INDIRECT("All_User!D"&amp;ROW()),Printer!H:H,0)),"없음")</f>
        <v>없음</v>
      </c>
      <c r="N192" s="24" t="str">
        <f t="array" ref="N192">IFERROR(INDEX(Monitor!A:A,MATCH(INDIRECT("All_User!D"&amp;ROW()),Monitor!D:D,0)),"없음")</f>
        <v>없음</v>
      </c>
      <c r="O192" s="24" t="str">
        <f t="shared" si="1"/>
        <v>없음</v>
      </c>
      <c r="P192" s="24" t="str">
        <f t="array" ref="P192">IFERROR(INDEX(sales!E:E,MATCH(D192,sales!C:C,0)),"없음")</f>
        <v>없음</v>
      </c>
      <c r="Q192" s="24"/>
      <c r="R192" s="24"/>
    </row>
    <row r="193">
      <c r="A193" s="13">
        <v>215.0</v>
      </c>
      <c r="B193" s="47" t="s">
        <v>789</v>
      </c>
      <c r="C193" s="48"/>
      <c r="D193" s="51" t="s">
        <v>790</v>
      </c>
      <c r="E193" s="18" t="s">
        <v>72</v>
      </c>
      <c r="F193" s="54" t="s">
        <v>27</v>
      </c>
      <c r="G193" s="18" t="s">
        <v>28</v>
      </c>
      <c r="H193" s="19" t="str">
        <f t="array" ref="H193">IFERROR(INDEX(Lease_List!D:D,MATCH(INDIRECT("All_User!D"&amp;ROW()),Lease_List!H:H,0)),"없음")</f>
        <v>5CD5062YDF</v>
      </c>
      <c r="I193" s="22" t="s">
        <v>29</v>
      </c>
      <c r="J193" s="21"/>
      <c r="K193" s="22" t="str">
        <f t="array" ref="K193">IFERROR(INDEX(Ipad_List!C:C,MATCH(INDIRECT("All_User!D"&amp;ROW()),Ipad_List!J:J,0)),"없음")</f>
        <v>H2JWWY6V5C</v>
      </c>
      <c r="L193" s="23" t="str">
        <f t="array" ref="L193">IFERROR(INDEX(TeamsNumber!B:B,MATCH(INDIRECT("All_User!D"&amp;ROW()),TeamsNumber!D:D,0)),"없음")</f>
        <v>없음</v>
      </c>
      <c r="M193" s="23" t="str">
        <f t="array" ref="M193">IFERROR(INDEX(Printer!D:D,MATCH(INDIRECT("All_User!D"&amp;ROW()),Printer!H:H,0)),"없음")</f>
        <v>없음</v>
      </c>
      <c r="N193" s="24" t="str">
        <f t="array" ref="N193">IFERROR(INDEX(Monitor!A:A,MATCH(INDIRECT("All_User!D"&amp;ROW()),Monitor!D:D,0)),"없음")</f>
        <v>없음</v>
      </c>
      <c r="O193" s="24" t="str">
        <f t="shared" si="1"/>
        <v>없음</v>
      </c>
      <c r="P193" s="24" t="str">
        <f t="array" ref="P193">IFERROR(INDEX(sales!E:E,MATCH(D193,sales!C:C,0)),"없음")</f>
        <v>MPS</v>
      </c>
      <c r="Q193" s="24" t="str">
        <f t="array" ref="Q193">IFERROR(INDEX(sales!C:C,MATCH(D193,sales!C:C,0)),"list없음")</f>
        <v>lucas.heo@stryker.com</v>
      </c>
      <c r="R193" s="24"/>
    </row>
    <row r="194">
      <c r="A194" s="13">
        <v>216.0</v>
      </c>
      <c r="B194" s="47" t="s">
        <v>791</v>
      </c>
      <c r="C194" s="48"/>
      <c r="D194" s="49" t="s">
        <v>792</v>
      </c>
      <c r="E194" s="26"/>
      <c r="F194" s="17" t="s">
        <v>750</v>
      </c>
      <c r="G194" s="18" t="s">
        <v>750</v>
      </c>
      <c r="H194" s="19" t="str">
        <f t="array" ref="H194">IFERROR(INDEX(Lease_List!D:D,MATCH(INDIRECT("All_User!D"&amp;ROW()),Lease_List!H:H,0)),"없음")</f>
        <v>5CD5179KHB</v>
      </c>
      <c r="I194" s="22" t="s">
        <v>29</v>
      </c>
      <c r="J194" s="21"/>
      <c r="K194" s="22" t="str">
        <f t="array" ref="K194">IFERROR(INDEX(Ipad_List!C:C,MATCH(INDIRECT("All_User!D"&amp;ROW()),Ipad_List!J:J,0)),"없음")</f>
        <v>없음</v>
      </c>
      <c r="L194" s="23" t="str">
        <f t="array" ref="L194">IFERROR(INDEX(TeamsNumber!B:B,MATCH(INDIRECT("All_User!D"&amp;ROW()),TeamsNumber!D:D,0)),"없음")</f>
        <v>없음</v>
      </c>
      <c r="M194" s="23" t="str">
        <f t="array" ref="M194">IFERROR(INDEX(Printer!D:D,MATCH(INDIRECT("All_User!D"&amp;ROW()),Printer!H:H,0)),"없음")</f>
        <v>없음</v>
      </c>
      <c r="N194" s="24" t="str">
        <f t="array" ref="N194">IFERROR(INDEX(Monitor!A:A,MATCH(INDIRECT("All_User!D"&amp;ROW()),Monitor!D:D,0)),"없음")</f>
        <v>없음</v>
      </c>
      <c r="O194" s="24" t="str">
        <f t="shared" si="1"/>
        <v>없음</v>
      </c>
      <c r="P194" s="24" t="str">
        <f t="array" ref="P194">IFERROR(INDEX(sales!E:E,MATCH(D194,sales!C:C,0)),"없음")</f>
        <v>없음</v>
      </c>
      <c r="Q194" s="24"/>
      <c r="R194" s="24"/>
    </row>
    <row r="195">
      <c r="A195" s="13">
        <v>217.0</v>
      </c>
      <c r="B195" s="47" t="s">
        <v>793</v>
      </c>
      <c r="C195" s="48"/>
      <c r="D195" s="49" t="s">
        <v>794</v>
      </c>
      <c r="E195" s="26"/>
      <c r="F195" s="17" t="s">
        <v>750</v>
      </c>
      <c r="G195" s="18" t="s">
        <v>750</v>
      </c>
      <c r="H195" s="19" t="str">
        <f t="array" ref="H195">IFERROR(INDEX(Lease_List!D:D,MATCH(INDIRECT("All_User!D"&amp;ROW()),Lease_List!H:H,0)),"없음")</f>
        <v>5CD5179KJD</v>
      </c>
      <c r="I195" s="22" t="s">
        <v>29</v>
      </c>
      <c r="J195" s="21"/>
      <c r="K195" s="22" t="str">
        <f t="array" ref="K195">IFERROR(INDEX(Ipad_List!C:C,MATCH(INDIRECT("All_User!D"&amp;ROW()),Ipad_List!J:J,0)),"없음")</f>
        <v>없음</v>
      </c>
      <c r="L195" s="23" t="str">
        <f t="array" ref="L195">IFERROR(INDEX(TeamsNumber!B:B,MATCH(INDIRECT("All_User!D"&amp;ROW()),TeamsNumber!D:D,0)),"없음")</f>
        <v>없음</v>
      </c>
      <c r="M195" s="23" t="str">
        <f t="array" ref="M195">IFERROR(INDEX(Printer!D:D,MATCH(INDIRECT("All_User!D"&amp;ROW()),Printer!H:H,0)),"없음")</f>
        <v>없음</v>
      </c>
      <c r="N195" s="24" t="str">
        <f t="array" ref="N195">IFERROR(INDEX(Monitor!A:A,MATCH(INDIRECT("All_User!D"&amp;ROW()),Monitor!D:D,0)),"없음")</f>
        <v>없음</v>
      </c>
      <c r="O195" s="24" t="str">
        <f t="shared" si="1"/>
        <v>없음</v>
      </c>
      <c r="P195" s="24" t="str">
        <f t="array" ref="P195">IFERROR(INDEX(sales!E:E,MATCH(D195,sales!C:C,0)),"없음")</f>
        <v>없음</v>
      </c>
      <c r="Q195" s="24"/>
      <c r="R195" s="24"/>
    </row>
    <row r="196">
      <c r="A196" s="13">
        <v>218.0</v>
      </c>
      <c r="B196" s="47" t="s">
        <v>795</v>
      </c>
      <c r="C196" s="48"/>
      <c r="D196" s="49" t="s">
        <v>796</v>
      </c>
      <c r="E196" s="26"/>
      <c r="F196" s="17" t="s">
        <v>750</v>
      </c>
      <c r="G196" s="18" t="s">
        <v>750</v>
      </c>
      <c r="H196" s="19" t="str">
        <f t="array" ref="H196">IFERROR(INDEX(Lease_List!D:D,MATCH(INDIRECT("All_User!D"&amp;ROW()),Lease_List!H:H,0)),"없음")</f>
        <v>5CD5179KHV</v>
      </c>
      <c r="I196" s="22" t="s">
        <v>29</v>
      </c>
      <c r="J196" s="21"/>
      <c r="K196" s="22" t="str">
        <f t="array" ref="K196">IFERROR(INDEX(Ipad_List!C:C,MATCH(INDIRECT("All_User!D"&amp;ROW()),Ipad_List!J:J,0)),"없음")</f>
        <v>없음</v>
      </c>
      <c r="L196" s="23" t="str">
        <f t="array" ref="L196">IFERROR(INDEX(TeamsNumber!B:B,MATCH(INDIRECT("All_User!D"&amp;ROW()),TeamsNumber!D:D,0)),"없음")</f>
        <v>없음</v>
      </c>
      <c r="M196" s="23" t="str">
        <f t="array" ref="M196">IFERROR(INDEX(Printer!D:D,MATCH(INDIRECT("All_User!D"&amp;ROW()),Printer!H:H,0)),"없음")</f>
        <v>없음</v>
      </c>
      <c r="N196" s="24" t="str">
        <f t="array" ref="N196">IFERROR(INDEX(Monitor!A:A,MATCH(INDIRECT("All_User!D"&amp;ROW()),Monitor!D:D,0)),"없음")</f>
        <v>없음</v>
      </c>
      <c r="O196" s="24" t="str">
        <f t="shared" si="1"/>
        <v>없음</v>
      </c>
      <c r="P196" s="24" t="str">
        <f t="array" ref="P196">IFERROR(INDEX(sales!E:E,MATCH(D196,sales!C:C,0)),"없음")</f>
        <v>없음</v>
      </c>
      <c r="Q196" s="24"/>
      <c r="R196" s="24"/>
    </row>
    <row r="197">
      <c r="A197" s="13">
        <v>219.0</v>
      </c>
      <c r="B197" s="47" t="s">
        <v>797</v>
      </c>
      <c r="C197" s="48"/>
      <c r="D197" s="49" t="s">
        <v>798</v>
      </c>
      <c r="E197" s="26"/>
      <c r="F197" s="17" t="s">
        <v>750</v>
      </c>
      <c r="G197" s="18" t="s">
        <v>750</v>
      </c>
      <c r="H197" s="19" t="str">
        <f t="array" ref="H197">IFERROR(INDEX(Lease_List!D:D,MATCH(INDIRECT("All_User!D"&amp;ROW()),Lease_List!H:H,0)),"없음")</f>
        <v>5CD5179KH5</v>
      </c>
      <c r="I197" s="22" t="s">
        <v>29</v>
      </c>
      <c r="J197" s="21"/>
      <c r="K197" s="22" t="str">
        <f t="array" ref="K197">IFERROR(INDEX(Ipad_List!C:C,MATCH(INDIRECT("All_User!D"&amp;ROW()),Ipad_List!J:J,0)),"없음")</f>
        <v>없음</v>
      </c>
      <c r="L197" s="23" t="str">
        <f t="array" ref="L197">IFERROR(INDEX(TeamsNumber!B:B,MATCH(INDIRECT("All_User!D"&amp;ROW()),TeamsNumber!D:D,0)),"없음")</f>
        <v>없음</v>
      </c>
      <c r="M197" s="23" t="str">
        <f t="array" ref="M197">IFERROR(INDEX(Printer!D:D,MATCH(INDIRECT("All_User!D"&amp;ROW()),Printer!H:H,0)),"없음")</f>
        <v>없음</v>
      </c>
      <c r="N197" s="24" t="str">
        <f t="array" ref="N197">IFERROR(INDEX(Monitor!A:A,MATCH(INDIRECT("All_User!D"&amp;ROW()),Monitor!D:D,0)),"없음")</f>
        <v>없음</v>
      </c>
      <c r="O197" s="24" t="str">
        <f t="shared" si="1"/>
        <v>없음</v>
      </c>
      <c r="P197" s="24" t="str">
        <f t="array" ref="P197">IFERROR(INDEX(sales!E:E,MATCH(D197,sales!C:C,0)),"없음")</f>
        <v>없음</v>
      </c>
      <c r="Q197" s="24"/>
      <c r="R197" s="24"/>
    </row>
    <row r="198">
      <c r="A198" s="13">
        <v>220.0</v>
      </c>
      <c r="B198" s="47" t="s">
        <v>799</v>
      </c>
      <c r="C198" s="48"/>
      <c r="D198" s="49" t="s">
        <v>800</v>
      </c>
      <c r="E198" s="26"/>
      <c r="F198" s="17" t="s">
        <v>750</v>
      </c>
      <c r="G198" s="18" t="s">
        <v>750</v>
      </c>
      <c r="H198" s="19" t="str">
        <f t="array" ref="H198">IFERROR(INDEX(Lease_List!D:D,MATCH(INDIRECT("All_User!D"&amp;ROW()),Lease_List!H:H,0)),"없음")</f>
        <v>5CD5179KJ5</v>
      </c>
      <c r="I198" s="22" t="s">
        <v>29</v>
      </c>
      <c r="J198" s="21"/>
      <c r="K198" s="22" t="str">
        <f t="array" ref="K198">IFERROR(INDEX(Ipad_List!C:C,MATCH(INDIRECT("All_User!D"&amp;ROW()),Ipad_List!J:J,0)),"없음")</f>
        <v>없음</v>
      </c>
      <c r="L198" s="23" t="str">
        <f t="array" ref="L198">IFERROR(INDEX(TeamsNumber!B:B,MATCH(INDIRECT("All_User!D"&amp;ROW()),TeamsNumber!D:D,0)),"없음")</f>
        <v>없음</v>
      </c>
      <c r="M198" s="23" t="str">
        <f t="array" ref="M198">IFERROR(INDEX(Printer!D:D,MATCH(INDIRECT("All_User!D"&amp;ROW()),Printer!H:H,0)),"없음")</f>
        <v>없음</v>
      </c>
      <c r="N198" s="24" t="str">
        <f t="array" ref="N198">IFERROR(INDEX(Monitor!A:A,MATCH(INDIRECT("All_User!D"&amp;ROW()),Monitor!D:D,0)),"없음")</f>
        <v>없음</v>
      </c>
      <c r="O198" s="24" t="str">
        <f t="shared" si="1"/>
        <v>없음</v>
      </c>
      <c r="P198" s="24" t="str">
        <f t="array" ref="P198">IFERROR(INDEX(sales!E:E,MATCH(D198,sales!C:C,0)),"없음")</f>
        <v>없음</v>
      </c>
      <c r="Q198" s="24"/>
      <c r="R198" s="24"/>
    </row>
    <row r="199">
      <c r="A199" s="13">
        <v>221.0</v>
      </c>
      <c r="B199" s="47" t="s">
        <v>801</v>
      </c>
      <c r="C199" s="48"/>
      <c r="D199" s="49" t="s">
        <v>802</v>
      </c>
      <c r="E199" s="26"/>
      <c r="F199" s="17" t="s">
        <v>750</v>
      </c>
      <c r="G199" s="18" t="s">
        <v>750</v>
      </c>
      <c r="H199" s="19" t="str">
        <f t="array" ref="H199">IFERROR(INDEX(Lease_List!D:D,MATCH(INDIRECT("All_User!D"&amp;ROW()),Lease_List!H:H,0)),"없음")</f>
        <v>5CD5179KHT</v>
      </c>
      <c r="I199" s="22" t="s">
        <v>29</v>
      </c>
      <c r="J199" s="21"/>
      <c r="K199" s="22" t="str">
        <f t="array" ref="K199">IFERROR(INDEX(Ipad_List!C:C,MATCH(INDIRECT("All_User!D"&amp;ROW()),Ipad_List!J:J,0)),"없음")</f>
        <v>없음</v>
      </c>
      <c r="L199" s="23" t="str">
        <f t="array" ref="L199">IFERROR(INDEX(TeamsNumber!B:B,MATCH(INDIRECT("All_User!D"&amp;ROW()),TeamsNumber!D:D,0)),"없음")</f>
        <v>없음</v>
      </c>
      <c r="M199" s="23" t="str">
        <f t="array" ref="M199">IFERROR(INDEX(Printer!D:D,MATCH(INDIRECT("All_User!D"&amp;ROW()),Printer!H:H,0)),"없음")</f>
        <v>없음</v>
      </c>
      <c r="N199" s="24" t="str">
        <f t="array" ref="N199">IFERROR(INDEX(Monitor!A:A,MATCH(INDIRECT("All_User!D"&amp;ROW()),Monitor!D:D,0)),"없음")</f>
        <v>없음</v>
      </c>
      <c r="O199" s="24" t="str">
        <f t="shared" si="1"/>
        <v>없음</v>
      </c>
      <c r="P199" s="24" t="str">
        <f t="array" ref="P199">IFERROR(INDEX(sales!E:E,MATCH(D199,sales!C:C,0)),"없음")</f>
        <v>없음</v>
      </c>
      <c r="Q199" s="24"/>
      <c r="R199" s="24"/>
    </row>
    <row r="200">
      <c r="A200" s="13">
        <v>222.0</v>
      </c>
      <c r="B200" s="47" t="s">
        <v>803</v>
      </c>
      <c r="C200" s="48"/>
      <c r="D200" s="49" t="s">
        <v>804</v>
      </c>
      <c r="E200" s="26"/>
      <c r="F200" s="17" t="s">
        <v>750</v>
      </c>
      <c r="G200" s="18" t="s">
        <v>750</v>
      </c>
      <c r="H200" s="19" t="str">
        <f t="array" ref="H200">IFERROR(INDEX(Lease_List!D:D,MATCH(INDIRECT("All_User!D"&amp;ROW()),Lease_List!H:H,0)),"없음")</f>
        <v>5CD5179KHK</v>
      </c>
      <c r="I200" s="22" t="s">
        <v>29</v>
      </c>
      <c r="J200" s="21"/>
      <c r="K200" s="22" t="str">
        <f t="array" ref="K200">IFERROR(INDEX(Ipad_List!C:C,MATCH(INDIRECT("All_User!D"&amp;ROW()),Ipad_List!J:J,0)),"없음")</f>
        <v>없음</v>
      </c>
      <c r="L200" s="23" t="str">
        <f t="array" ref="L200">IFERROR(INDEX(TeamsNumber!B:B,MATCH(INDIRECT("All_User!D"&amp;ROW()),TeamsNumber!D:D,0)),"없음")</f>
        <v>없음</v>
      </c>
      <c r="M200" s="23" t="str">
        <f t="array" ref="M200">IFERROR(INDEX(Printer!D:D,MATCH(INDIRECT("All_User!D"&amp;ROW()),Printer!H:H,0)),"없음")</f>
        <v>없음</v>
      </c>
      <c r="N200" s="24" t="str">
        <f t="array" ref="N200">IFERROR(INDEX(Monitor!A:A,MATCH(INDIRECT("All_User!D"&amp;ROW()),Monitor!D:D,0)),"없음")</f>
        <v>없음</v>
      </c>
      <c r="O200" s="24" t="str">
        <f t="shared" si="1"/>
        <v>없음</v>
      </c>
      <c r="P200" s="24" t="str">
        <f t="array" ref="P200">IFERROR(INDEX(sales!E:E,MATCH(D200,sales!C:C,0)),"없음")</f>
        <v>없음</v>
      </c>
      <c r="Q200" s="24"/>
      <c r="R200" s="24"/>
    </row>
    <row r="201">
      <c r="A201" s="13">
        <v>223.0</v>
      </c>
      <c r="B201" s="47" t="s">
        <v>805</v>
      </c>
      <c r="C201" s="48"/>
      <c r="D201" s="49" t="s">
        <v>806</v>
      </c>
      <c r="E201" s="26"/>
      <c r="F201" s="17" t="s">
        <v>750</v>
      </c>
      <c r="G201" s="18" t="s">
        <v>750</v>
      </c>
      <c r="H201" s="19" t="str">
        <f t="array" ref="H201">IFERROR(INDEX(Lease_List!D:D,MATCH(INDIRECT("All_User!D"&amp;ROW()),Lease_List!H:H,0)),"없음")</f>
        <v>5CD5179KHF</v>
      </c>
      <c r="I201" s="22" t="s">
        <v>29</v>
      </c>
      <c r="J201" s="21"/>
      <c r="K201" s="22" t="str">
        <f t="array" ref="K201">IFERROR(INDEX(Ipad_List!C:C,MATCH(INDIRECT("All_User!D"&amp;ROW()),Ipad_List!J:J,0)),"없음")</f>
        <v>없음</v>
      </c>
      <c r="L201" s="23" t="str">
        <f t="array" ref="L201">IFERROR(INDEX(TeamsNumber!B:B,MATCH(INDIRECT("All_User!D"&amp;ROW()),TeamsNumber!D:D,0)),"없음")</f>
        <v>없음</v>
      </c>
      <c r="M201" s="23" t="str">
        <f t="array" ref="M201">IFERROR(INDEX(Printer!D:D,MATCH(INDIRECT("All_User!D"&amp;ROW()),Printer!H:H,0)),"없음")</f>
        <v>없음</v>
      </c>
      <c r="N201" s="24" t="str">
        <f t="array" ref="N201">IFERROR(INDEX(Monitor!A:A,MATCH(INDIRECT("All_User!D"&amp;ROW()),Monitor!D:D,0)),"없음")</f>
        <v>없음</v>
      </c>
      <c r="O201" s="24" t="str">
        <f t="shared" si="1"/>
        <v>없음</v>
      </c>
      <c r="P201" s="24" t="str">
        <f t="array" ref="P201">IFERROR(INDEX(sales!E:E,MATCH(D201,sales!C:C,0)),"없음")</f>
        <v>없음</v>
      </c>
      <c r="Q201" s="24"/>
      <c r="R201" s="24"/>
    </row>
    <row r="202">
      <c r="A202" s="13">
        <v>224.0</v>
      </c>
      <c r="B202" s="55" t="s">
        <v>807</v>
      </c>
      <c r="C202" s="55" t="s">
        <v>808</v>
      </c>
      <c r="D202" s="47" t="s">
        <v>809</v>
      </c>
      <c r="E202" s="18" t="s">
        <v>497</v>
      </c>
      <c r="F202" s="17" t="s">
        <v>62</v>
      </c>
      <c r="G202" s="18" t="s">
        <v>62</v>
      </c>
      <c r="H202" s="19" t="str">
        <f t="array" ref="H202">IFERROR(INDEX(Lease_List!D:D,MATCH(INDIRECT("All_User!D"&amp;ROW()),Lease_List!H:H,0)),"없음")</f>
        <v>5CD5062YF2</v>
      </c>
      <c r="I202" s="22" t="s">
        <v>29</v>
      </c>
      <c r="J202" s="21"/>
      <c r="K202" s="22" t="str">
        <f t="array" ref="K202">IFERROR(INDEX(Ipad_List!C:C,MATCH(INDIRECT("All_User!D"&amp;ROW()),Ipad_List!J:J,0)),"없음")</f>
        <v>없음</v>
      </c>
      <c r="L202" s="23" t="str">
        <f t="array" ref="L202">IFERROR(INDEX(TeamsNumber!B:B,MATCH(INDIRECT("All_User!D"&amp;ROW()),TeamsNumber!D:D,0)),"없음")</f>
        <v>없음</v>
      </c>
      <c r="M202" s="23" t="str">
        <f t="array" ref="M202">IFERROR(INDEX(Printer!D:D,MATCH(INDIRECT("All_User!D"&amp;ROW()),Printer!H:H,0)),"없음")</f>
        <v>없음</v>
      </c>
      <c r="N202" s="24" t="str">
        <f t="array" ref="N202">IFERROR(INDEX(Monitor!A:A,MATCH(INDIRECT("All_User!D"&amp;ROW()),Monitor!D:D,0)),"없음")</f>
        <v>없음</v>
      </c>
      <c r="O202" s="24" t="str">
        <f t="shared" si="1"/>
        <v>없음</v>
      </c>
      <c r="P202" s="24" t="str">
        <f t="array" ref="P202">IFERROR(INDEX(sales!E:E,MATCH(D202,sales!C:C,0)),"없음")</f>
        <v>없음</v>
      </c>
      <c r="Q202" s="24"/>
      <c r="R202" s="24"/>
    </row>
    <row r="203">
      <c r="A203" s="13">
        <v>225.0</v>
      </c>
      <c r="B203" s="55" t="s">
        <v>810</v>
      </c>
      <c r="C203" s="55" t="s">
        <v>811</v>
      </c>
      <c r="D203" s="56" t="s">
        <v>812</v>
      </c>
      <c r="E203" s="47" t="s">
        <v>109</v>
      </c>
      <c r="F203" s="27" t="s">
        <v>52</v>
      </c>
      <c r="G203" s="15" t="s">
        <v>137</v>
      </c>
      <c r="H203" s="19" t="str">
        <f t="array" ref="H203">IFERROR(INDEX(Lease_List!D:D,MATCH(INDIRECT("All_User!D"&amp;ROW()),Lease_List!H:H,0)),"없음")</f>
        <v>5CD5179KJ4</v>
      </c>
      <c r="I203" s="22" t="s">
        <v>29</v>
      </c>
      <c r="J203" s="21"/>
      <c r="K203" s="22" t="str">
        <f t="array" ref="K203">IFERROR(INDEX(Ipad_List!C:C,MATCH(INDIRECT("All_User!D"&amp;ROW()),Ipad_List!J:J,0)),"없음")</f>
        <v>없음</v>
      </c>
      <c r="L203" s="23" t="str">
        <f t="array" ref="L203">IFERROR(INDEX(TeamsNumber!B:B,MATCH(INDIRECT("All_User!D"&amp;ROW()),TeamsNumber!D:D,0)),"없음")</f>
        <v>없음</v>
      </c>
      <c r="M203" s="23" t="str">
        <f t="array" ref="M203">IFERROR(INDEX(Printer!D:D,MATCH(INDIRECT("All_User!D"&amp;ROW()),Printer!H:H,0)),"없음")</f>
        <v>없음</v>
      </c>
      <c r="N203" s="24" t="str">
        <f t="array" ref="N203">IFERROR(INDEX(Monitor!A:A,MATCH(INDIRECT("All_User!D"&amp;ROW()),Monitor!D:D,0)),"없음")</f>
        <v>없음</v>
      </c>
      <c r="O203" s="24" t="str">
        <f t="shared" si="1"/>
        <v>없음</v>
      </c>
      <c r="P203" s="24" t="str">
        <f t="array" ref="P203">IFERROR(INDEX(sales!E:E,MATCH(D203,sales!C:C,0)),"없음")</f>
        <v>없음</v>
      </c>
      <c r="Q203" s="24"/>
      <c r="R203" s="24"/>
    </row>
    <row r="204">
      <c r="A204" s="13">
        <v>226.0</v>
      </c>
      <c r="B204" s="55" t="s">
        <v>813</v>
      </c>
      <c r="C204" s="55" t="s">
        <v>814</v>
      </c>
      <c r="D204" s="47" t="s">
        <v>815</v>
      </c>
      <c r="E204" s="18" t="s">
        <v>72</v>
      </c>
      <c r="F204" s="54" t="s">
        <v>27</v>
      </c>
      <c r="G204" s="18" t="s">
        <v>28</v>
      </c>
      <c r="H204" s="19" t="str">
        <f t="array" ref="H204">IFERROR(INDEX(Lease_List!D:D,MATCH(INDIRECT("All_User!D"&amp;ROW()),Lease_List!H:H,0)),"없음")</f>
        <v>5CD5179KJ9</v>
      </c>
      <c r="I204" s="22" t="s">
        <v>29</v>
      </c>
      <c r="J204" s="21"/>
      <c r="K204" s="22" t="str">
        <f t="array" ref="K204">IFERROR(INDEX(Ipad_List!C:C,MATCH(INDIRECT("All_User!D"&amp;ROW()),Ipad_List!J:J,0)),"없음")</f>
        <v>WR34FVRW4C</v>
      </c>
      <c r="L204" s="23" t="str">
        <f t="array" ref="L204">IFERROR(INDEX(TeamsNumber!B:B,MATCH(INDIRECT("All_User!D"&amp;ROW()),TeamsNumber!D:D,0)),"없음")</f>
        <v>없음</v>
      </c>
      <c r="M204" s="23" t="str">
        <f t="array" ref="M204">IFERROR(INDEX(Printer!D:D,MATCH(INDIRECT("All_User!D"&amp;ROW()),Printer!H:H,0)),"없음")</f>
        <v>없음</v>
      </c>
      <c r="N204" s="24" t="str">
        <f t="array" ref="N204">IFERROR(INDEX(Monitor!A:A,MATCH(INDIRECT("All_User!D"&amp;ROW()),Monitor!D:D,0)),"없음")</f>
        <v>없음</v>
      </c>
      <c r="O204" s="24" t="str">
        <f t="shared" si="1"/>
        <v>없음</v>
      </c>
      <c r="P204" s="24" t="str">
        <f t="array" ref="P204">IFERROR(INDEX(sales!E:E,MATCH(D204,sales!C:C,0)),"없음")</f>
        <v>MPS</v>
      </c>
      <c r="Q204" s="24" t="str">
        <f t="array" ref="Q204">IFERROR(INDEX(sales!C:C,MATCH(D204,sales!C:C,0)),"list없음")</f>
        <v>bryan.park@stryker.com</v>
      </c>
      <c r="R204" s="24"/>
    </row>
    <row r="205">
      <c r="A205" s="13">
        <v>227.0</v>
      </c>
      <c r="B205" s="57" t="s">
        <v>816</v>
      </c>
      <c r="C205" s="57" t="s">
        <v>817</v>
      </c>
      <c r="D205" s="47" t="s">
        <v>818</v>
      </c>
      <c r="E205" s="58" t="s">
        <v>546</v>
      </c>
      <c r="F205" s="27" t="s">
        <v>52</v>
      </c>
      <c r="G205" s="15" t="s">
        <v>82</v>
      </c>
      <c r="H205" s="19" t="str">
        <f t="array" ref="H205">IFERROR(INDEX(Lease_List!D:D,MATCH(INDIRECT("All_User!D"&amp;ROW()),Lease_List!H:H,0)),"없음")</f>
        <v>5CD5179KJ7</v>
      </c>
      <c r="I205" s="22" t="s">
        <v>29</v>
      </c>
      <c r="J205" s="21"/>
      <c r="K205" s="22" t="str">
        <f t="array" ref="K205">IFERROR(INDEX(Ipad_List!C:C,MATCH(INDIRECT("All_User!D"&amp;ROW()),Ipad_List!J:J,0)),"없음")</f>
        <v>없음</v>
      </c>
      <c r="L205" s="23" t="str">
        <f t="array" ref="L205">IFERROR(INDEX(TeamsNumber!B:B,MATCH(INDIRECT("All_User!D"&amp;ROW()),TeamsNumber!D:D,0)),"없음")</f>
        <v>tel:+82234517580</v>
      </c>
      <c r="M205" s="23" t="str">
        <f t="array" ref="M205">IFERROR(INDEX(Printer!D:D,MATCH(INDIRECT("All_User!D"&amp;ROW()),Printer!H:H,0)),"없음")</f>
        <v>없음</v>
      </c>
      <c r="N205" s="24" t="str">
        <f t="array" ref="N205">IFERROR(INDEX(Monitor!A:A,MATCH(INDIRECT("All_User!D"&amp;ROW()),Monitor!D:D,0)),"없음")</f>
        <v>없음</v>
      </c>
      <c r="O205" s="24" t="str">
        <f t="shared" si="1"/>
        <v>없음</v>
      </c>
      <c r="P205" s="24" t="str">
        <f t="array" ref="P205">IFERROR(INDEX(sales!E:E,MATCH(D205,sales!C:C,0)),"없음")</f>
        <v>없음</v>
      </c>
      <c r="Q205" s="24"/>
      <c r="R205" s="24"/>
    </row>
    <row r="206">
      <c r="A206" s="13">
        <v>228.0</v>
      </c>
      <c r="B206" s="59" t="s">
        <v>819</v>
      </c>
      <c r="C206" s="60"/>
      <c r="D206" s="45" t="s">
        <v>820</v>
      </c>
      <c r="E206" s="61"/>
      <c r="F206" s="62"/>
      <c r="G206" s="61"/>
      <c r="H206" s="19" t="str">
        <f t="array" ref="H206">IFERROR(INDEX(Lease_List!D:D,MATCH(INDIRECT("All_User!D"&amp;ROW()),Lease_List!H:H,0)),"없음")</f>
        <v>5CD409908N</v>
      </c>
      <c r="I206" s="22" t="s">
        <v>29</v>
      </c>
      <c r="J206" s="21"/>
      <c r="K206" s="22" t="str">
        <f t="array" ref="K206">IFERROR(INDEX(Ipad_List!C:C,MATCH(INDIRECT("All_User!D"&amp;ROW()),Ipad_List!J:J,0)),"없음")</f>
        <v>없음</v>
      </c>
      <c r="L206" s="23" t="str">
        <f t="array" ref="L206">IFERROR(INDEX(TeamsNumber!B:B,MATCH(INDIRECT("All_User!D"&amp;ROW()),TeamsNumber!D:D,0)),"없음")</f>
        <v>없음</v>
      </c>
      <c r="M206" s="23" t="str">
        <f t="array" ref="M206">IFERROR(INDEX(Printer!D:D,MATCH(INDIRECT("All_User!D"&amp;ROW()),Printer!H:H,0)),"없음")</f>
        <v>없음</v>
      </c>
      <c r="N206" s="24" t="str">
        <f t="array" ref="N206">IFERROR(INDEX(Monitor!A:A,MATCH(INDIRECT("All_User!D"&amp;ROW()),Monitor!D:D,0)),"없음")</f>
        <v>없음</v>
      </c>
      <c r="O206" s="24" t="str">
        <f t="shared" si="1"/>
        <v>없음</v>
      </c>
      <c r="P206" s="24" t="str">
        <f t="array" ref="P206">IFERROR(INDEX(sales!E:E,MATCH(D206,sales!C:C,0)),"없음")</f>
        <v>없음</v>
      </c>
    </row>
    <row r="207">
      <c r="A207" s="13">
        <v>229.0</v>
      </c>
      <c r="B207" s="59" t="s">
        <v>821</v>
      </c>
      <c r="C207" s="60" t="s">
        <v>822</v>
      </c>
      <c r="D207" s="63" t="s">
        <v>823</v>
      </c>
      <c r="E207" s="30" t="s">
        <v>824</v>
      </c>
      <c r="F207" s="62" t="s">
        <v>202</v>
      </c>
      <c r="G207" s="30" t="s">
        <v>825</v>
      </c>
      <c r="H207" s="19" t="str">
        <f t="array" ref="H207">IFERROR(INDEX(Lease_List!D:D,MATCH(INDIRECT("All_User!D"&amp;ROW()),Lease_List!H:H,0)),"없음")</f>
        <v>5CD5179KHN</v>
      </c>
      <c r="I207" s="22" t="s">
        <v>29</v>
      </c>
      <c r="J207" s="21"/>
      <c r="K207" s="22" t="str">
        <f t="array" ref="K207">IFERROR(INDEX(Ipad_List!C:C,MATCH(INDIRECT("All_User!D"&amp;ROW()),Ipad_List!J:J,0)),"없음")</f>
        <v>없음</v>
      </c>
      <c r="L207" s="23" t="str">
        <f t="array" ref="L207">IFERROR(INDEX(TeamsNumber!B:B,MATCH(INDIRECT("All_User!D"&amp;ROW()),TeamsNumber!D:D,0)),"없음")</f>
        <v>tel:+82234517523</v>
      </c>
      <c r="M207" s="23" t="str">
        <f t="array" ref="M207">IFERROR(INDEX(Printer!D:D,MATCH(INDIRECT("All_User!D"&amp;ROW()),Printer!H:H,0)),"없음")</f>
        <v>없음</v>
      </c>
      <c r="N207" s="24" t="str">
        <f t="array" ref="N207">IFERROR(INDEX(Monitor!A:A,MATCH(INDIRECT("All_User!D"&amp;ROW()),Monitor!D:D,0)),"없음")</f>
        <v>SE2425H</v>
      </c>
      <c r="O207" s="24" t="str">
        <f t="shared" si="1"/>
        <v>없음</v>
      </c>
      <c r="P207" s="24" t="str">
        <f t="array" ref="P207">IFERROR(INDEX(sales!E:E,MATCH(D207,sales!C:C,0)),"없음")</f>
        <v>없음</v>
      </c>
    </row>
    <row r="208">
      <c r="A208" s="13">
        <v>230.0</v>
      </c>
      <c r="B208" s="59" t="s">
        <v>826</v>
      </c>
      <c r="C208" s="60" t="s">
        <v>827</v>
      </c>
      <c r="D208" s="63" t="s">
        <v>828</v>
      </c>
      <c r="E208" s="30" t="s">
        <v>829</v>
      </c>
      <c r="F208" s="62" t="s">
        <v>20</v>
      </c>
      <c r="G208" s="64" t="s">
        <v>53</v>
      </c>
      <c r="H208" s="19" t="str">
        <f t="array" ref="H208">IFERROR(INDEX(Lease_List!D:D,MATCH(INDIRECT("All_User!D"&amp;ROW()),Lease_List!H:H,0)),"없음")</f>
        <v>5CD5062YDD</v>
      </c>
      <c r="I208" s="22" t="s">
        <v>29</v>
      </c>
      <c r="J208" s="21"/>
      <c r="K208" s="22" t="str">
        <f t="array" ref="K208">IFERROR(INDEX(Ipad_List!C:C,MATCH(INDIRECT("All_User!D"&amp;ROW()),Ipad_List!J:J,0)),"없음")</f>
        <v>GHL46K1F9M</v>
      </c>
      <c r="L208" s="23" t="str">
        <f t="array" ref="L208">IFERROR(INDEX(TeamsNumber!B:B,MATCH(INDIRECT("All_User!D"&amp;ROW()),TeamsNumber!D:D,0)),"없음")</f>
        <v>tel:+82234517573</v>
      </c>
      <c r="M208" s="23" t="str">
        <f t="array" ref="M208">IFERROR(INDEX(Printer!D:D,MATCH(INDIRECT("All_User!D"&amp;ROW()),Printer!H:H,0)),"없음")</f>
        <v>SL-C563W</v>
      </c>
      <c r="N208" s="24" t="str">
        <f t="array" ref="N208">IFERROR(INDEX(Monitor!A:A,MATCH(INDIRECT("All_User!D"&amp;ROW()),Monitor!D:D,0)),"없음")</f>
        <v>없음</v>
      </c>
      <c r="O208" s="24" t="str">
        <f t="shared" si="1"/>
        <v>없음</v>
      </c>
      <c r="P208" s="24" t="str">
        <f t="array" ref="P208">IFERROR(INDEX(sales!E:E,MATCH(D208,sales!C:C,0)),"없음")</f>
        <v>Sales</v>
      </c>
      <c r="Q208" s="24" t="str">
        <f t="array" ref="Q208">IFERROR(INDEX(sales!C:C,MATCH(D208,sales!C:C,0)),"list없음")</f>
        <v>ian.hwang@stryker.com</v>
      </c>
    </row>
    <row r="209">
      <c r="A209" s="13">
        <v>231.0</v>
      </c>
      <c r="B209" s="60" t="s">
        <v>830</v>
      </c>
      <c r="C209" s="65"/>
      <c r="D209" s="63" t="s">
        <v>831</v>
      </c>
      <c r="E209" s="61"/>
      <c r="F209" s="17" t="s">
        <v>104</v>
      </c>
      <c r="G209" s="30" t="s">
        <v>832</v>
      </c>
      <c r="H209" s="19" t="str">
        <f t="array" ref="H209">IFERROR(INDEX(Lease_List!D:D,MATCH(INDIRECT("All_User!D"&amp;ROW()),Lease_List!H:H,0)),"없음")</f>
        <v>5CD4145N3G</v>
      </c>
      <c r="I209" s="22" t="s">
        <v>29</v>
      </c>
      <c r="J209" s="21"/>
      <c r="K209" s="22" t="str">
        <f t="array" ref="K209">IFERROR(INDEX(Ipad_List!C:C,MATCH(INDIRECT("All_User!D"&amp;ROW()),Ipad_List!J:J,0)),"없음")</f>
        <v>없음</v>
      </c>
      <c r="L209" s="23" t="str">
        <f t="array" ref="L209">IFERROR(INDEX(TeamsNumber!B:B,MATCH(INDIRECT("All_User!D"&amp;ROW()),TeamsNumber!D:D,0)),"없음")</f>
        <v>없음</v>
      </c>
      <c r="M209" s="23" t="str">
        <f t="array" ref="M209">IFERROR(INDEX(Printer!D:D,MATCH(INDIRECT("All_User!D"&amp;ROW()),Printer!H:H,0)),"없음")</f>
        <v>없음</v>
      </c>
      <c r="N209" s="24" t="str">
        <f t="array" ref="N209">IFERROR(INDEX(Monitor!A:A,MATCH(INDIRECT("All_User!D"&amp;ROW()),Monitor!D:D,0)),"없음")</f>
        <v>없음</v>
      </c>
      <c r="O209" s="24" t="str">
        <f t="shared" si="1"/>
        <v>없음</v>
      </c>
      <c r="P209" s="24" t="str">
        <f t="array" ref="P209">IFERROR(INDEX(sales!E:E,MATCH(D209,sales!C:C,0)),"없음")</f>
        <v>없음</v>
      </c>
    </row>
    <row r="210">
      <c r="A210" s="13">
        <v>232.0</v>
      </c>
      <c r="B210" s="33" t="s">
        <v>833</v>
      </c>
      <c r="C210" s="65"/>
      <c r="D210" s="63" t="s">
        <v>834</v>
      </c>
      <c r="E210" s="61"/>
      <c r="F210" s="17" t="s">
        <v>104</v>
      </c>
      <c r="G210" s="30" t="s">
        <v>832</v>
      </c>
      <c r="H210" s="19" t="str">
        <f t="array" ref="H210">IFERROR(INDEX(Lease_List!D:D,MATCH(INDIRECT("All_User!D"&amp;ROW()),Lease_List!H:H,0)),"없음")</f>
        <v>5CD3469HDP</v>
      </c>
      <c r="I210" s="22" t="s">
        <v>29</v>
      </c>
      <c r="J210" s="21"/>
      <c r="K210" s="22" t="str">
        <f t="array" ref="K210">IFERROR(INDEX(Ipad_List!C:C,MATCH(INDIRECT("All_User!D"&amp;ROW()),Ipad_List!J:J,0)),"없음")</f>
        <v>없음</v>
      </c>
      <c r="L210" s="23" t="str">
        <f t="array" ref="L210">IFERROR(INDEX(TeamsNumber!B:B,MATCH(INDIRECT("All_User!D"&amp;ROW()),TeamsNumber!D:D,0)),"없음")</f>
        <v>없음</v>
      </c>
      <c r="M210" s="23" t="str">
        <f t="array" ref="M210">IFERROR(INDEX(Printer!D:D,MATCH(INDIRECT("All_User!D"&amp;ROW()),Printer!H:H,0)),"없음")</f>
        <v>없음</v>
      </c>
      <c r="N210" s="24" t="str">
        <f t="array" ref="N210">IFERROR(INDEX(Monitor!A:A,MATCH(INDIRECT("All_User!D"&amp;ROW()),Monitor!D:D,0)),"없음")</f>
        <v>없음</v>
      </c>
      <c r="O210" s="24" t="str">
        <f t="shared" si="1"/>
        <v>없음</v>
      </c>
      <c r="P210" s="24" t="str">
        <f t="array" ref="P210">IFERROR(INDEX(sales!E:E,MATCH(D210,sales!C:C,0)),"없음")</f>
        <v>없음</v>
      </c>
    </row>
    <row r="211">
      <c r="A211" s="13">
        <v>233.0</v>
      </c>
      <c r="B211" s="59" t="s">
        <v>835</v>
      </c>
      <c r="C211" s="33" t="s">
        <v>836</v>
      </c>
      <c r="D211" s="63" t="s">
        <v>837</v>
      </c>
      <c r="E211" s="58" t="s">
        <v>57</v>
      </c>
      <c r="F211" s="54" t="s">
        <v>27</v>
      </c>
      <c r="G211" s="18" t="s">
        <v>28</v>
      </c>
      <c r="H211" s="19" t="str">
        <f t="array" ref="H211">IFERROR(INDEX(Lease_List!D:D,MATCH(INDIRECT("All_User!D"&amp;ROW()),Lease_List!H:H,0)),"없음")</f>
        <v>5CD5179KJC</v>
      </c>
      <c r="I211" s="22" t="s">
        <v>29</v>
      </c>
      <c r="J211" s="32"/>
      <c r="K211" s="22" t="str">
        <f t="array" ref="K211">IFERROR(INDEX(Ipad_List!C:C,MATCH(INDIRECT("All_User!D"&amp;ROW()),Ipad_List!J:J,0)),"없음")</f>
        <v>KVKXR477HX</v>
      </c>
      <c r="L211" s="23" t="str">
        <f t="array" ref="L211">IFERROR(INDEX(TeamsNumber!B:B,MATCH(INDIRECT("All_User!D"&amp;ROW()),TeamsNumber!D:D,0)),"없음")</f>
        <v>없음</v>
      </c>
      <c r="M211" s="23" t="str">
        <f t="array" ref="M211">IFERROR(INDEX(Printer!D:D,MATCH(INDIRECT("All_User!D"&amp;ROW()),Printer!H:H,0)),"없음")</f>
        <v>없음</v>
      </c>
      <c r="N211" s="24" t="str">
        <f t="array" ref="N211">IFERROR(INDEX(Monitor!A:A,MATCH(INDIRECT("All_User!D"&amp;ROW()),Monitor!D:D,0)),"없음")</f>
        <v>없음</v>
      </c>
      <c r="O211" s="24" t="str">
        <f t="shared" si="1"/>
        <v>없음</v>
      </c>
      <c r="P211" s="24" t="str">
        <f t="array" ref="P211">IFERROR(INDEX(sales!E:E,MATCH(D211,sales!C:C,0)),"없음")</f>
        <v>없음</v>
      </c>
    </row>
    <row r="212">
      <c r="A212" s="13">
        <v>234.0</v>
      </c>
      <c r="B212" s="59" t="s">
        <v>838</v>
      </c>
      <c r="C212" s="33" t="s">
        <v>839</v>
      </c>
      <c r="D212" s="66" t="s">
        <v>840</v>
      </c>
      <c r="E212" s="61"/>
      <c r="F212" s="37" t="s">
        <v>295</v>
      </c>
      <c r="G212" s="30" t="s">
        <v>295</v>
      </c>
      <c r="H212" s="19" t="str">
        <f t="array" ref="H212">IFERROR(INDEX(Lease_List!D:D,MATCH(INDIRECT("All_User!D"&amp;ROW()),Lease_List!H:H,0)),"없음")</f>
        <v>5CD4305D89</v>
      </c>
      <c r="I212" s="67"/>
      <c r="J212" s="32"/>
      <c r="K212" s="22" t="str">
        <f t="array" ref="K212">IFERROR(INDEX(Ipad_List!C:C,MATCH(INDIRECT("All_User!D"&amp;ROW()),Ipad_List!J:J,0)),"없음")</f>
        <v>없음</v>
      </c>
      <c r="L212" s="23" t="str">
        <f t="array" ref="L212">IFERROR(INDEX(TeamsNumber!B:B,MATCH(INDIRECT("All_User!D"&amp;ROW()),TeamsNumber!D:D,0)),"없음")</f>
        <v>없음</v>
      </c>
      <c r="M212" s="23" t="str">
        <f t="array" ref="M212">IFERROR(INDEX(Printer!D:D,MATCH(INDIRECT("All_User!D"&amp;ROW()),Printer!H:H,0)),"없음")</f>
        <v>없음</v>
      </c>
      <c r="N212" s="24" t="str">
        <f t="array" ref="N212">IFERROR(INDEX(Monitor!A:A,MATCH(INDIRECT("All_User!D"&amp;ROW()),Monitor!D:D,0)),"없음")</f>
        <v>없음</v>
      </c>
      <c r="O212" s="24" t="str">
        <f t="shared" si="1"/>
        <v>없음</v>
      </c>
      <c r="P212" s="24" t="str">
        <f t="array" ref="P212">IFERROR(INDEX(sales!E:E,MATCH(D212,sales!C:C,0)),"없음")</f>
        <v>없음</v>
      </c>
    </row>
    <row r="213">
      <c r="A213" s="13">
        <v>235.0</v>
      </c>
      <c r="B213" s="68" t="s">
        <v>841</v>
      </c>
      <c r="C213" s="57" t="s">
        <v>842</v>
      </c>
      <c r="D213" s="69" t="s">
        <v>843</v>
      </c>
      <c r="E213" s="61"/>
      <c r="F213" s="17" t="s">
        <v>41</v>
      </c>
      <c r="G213" s="30" t="s">
        <v>844</v>
      </c>
      <c r="H213" s="19" t="str">
        <f t="array" ref="H213">IFERROR(INDEX(Lease_List!D:D,MATCH(INDIRECT("All_User!D"&amp;ROW()),Lease_List!H:H,0)),"없음")</f>
        <v>5CD3469HD2</v>
      </c>
      <c r="I213" s="67"/>
      <c r="J213" s="32"/>
      <c r="K213" s="22" t="str">
        <f t="array" ref="K213">IFERROR(INDEX(Ipad_List!C:C,MATCH(INDIRECT("All_User!D"&amp;ROW()),Ipad_List!J:J,0)),"없음")</f>
        <v>없음</v>
      </c>
      <c r="L213" s="23" t="str">
        <f t="array" ref="L213">IFERROR(INDEX(TeamsNumber!B:B,MATCH(INDIRECT("All_User!D"&amp;ROW()),TeamsNumber!D:D,0)),"없음")</f>
        <v>없음</v>
      </c>
      <c r="M213" s="23" t="str">
        <f t="array" ref="M213">IFERROR(INDEX(Printer!D:D,MATCH(INDIRECT("All_User!D"&amp;ROW()),Printer!H:H,0)),"없음")</f>
        <v>없음</v>
      </c>
      <c r="N213" s="24" t="str">
        <f t="array" ref="N213">IFERROR(INDEX(Monitor!A:A,MATCH(INDIRECT("All_User!D"&amp;ROW()),Monitor!D:D,0)),"없음")</f>
        <v>없음</v>
      </c>
      <c r="O213" s="24" t="str">
        <f t="shared" si="1"/>
        <v>없음</v>
      </c>
      <c r="P213" s="24" t="str">
        <f t="array" ref="P213">IFERROR(INDEX(sales!E:E,MATCH(D213,sales!C:C,0)),"없음")</f>
        <v>없음</v>
      </c>
    </row>
    <row r="214">
      <c r="A214" s="13">
        <v>236.0</v>
      </c>
      <c r="B214" s="64" t="s">
        <v>845</v>
      </c>
      <c r="C214" s="64" t="s">
        <v>846</v>
      </c>
      <c r="D214" s="69" t="s">
        <v>847</v>
      </c>
      <c r="E214" s="30" t="s">
        <v>146</v>
      </c>
      <c r="F214" s="62" t="s">
        <v>67</v>
      </c>
      <c r="G214" s="30" t="s">
        <v>68</v>
      </c>
      <c r="H214" s="19" t="str">
        <f t="array" ref="H214">IFERROR(INDEX(Lease_List!D:D,MATCH(INDIRECT("All_User!D"&amp;ROW()),Lease_List!H:H,0)),"없음")</f>
        <v>5CD5062YDV</v>
      </c>
      <c r="I214" s="22" t="s">
        <v>29</v>
      </c>
      <c r="J214" s="32"/>
      <c r="K214" s="22" t="str">
        <f t="array" ref="K214">IFERROR(INDEX(Ipad_List!C:C,MATCH(INDIRECT("All_User!D"&amp;ROW()),Ipad_List!J:J,0)),"없음")</f>
        <v>없음</v>
      </c>
      <c r="L214" s="23" t="str">
        <f t="array" ref="L214">IFERROR(INDEX(TeamsNumber!B:B,MATCH(INDIRECT("All_User!D"&amp;ROW()),TeamsNumber!D:D,0)),"없음")</f>
        <v>없음</v>
      </c>
      <c r="M214" s="23" t="str">
        <f t="array" ref="M214">IFERROR(INDEX(Printer!D:D,MATCH(INDIRECT("All_User!D"&amp;ROW()),Printer!H:H,0)),"없음")</f>
        <v>없음</v>
      </c>
      <c r="N214" s="24" t="str">
        <f t="array" ref="N214">IFERROR(INDEX(Monitor!A:A,MATCH(INDIRECT("All_User!D"&amp;ROW()),Monitor!D:D,0)),"없음")</f>
        <v>E2422H</v>
      </c>
      <c r="O214" s="24" t="str">
        <f t="shared" si="1"/>
        <v>없음</v>
      </c>
      <c r="P214" s="24" t="str">
        <f t="array" ref="P214">IFERROR(INDEX(sales!E:E,MATCH(D214,sales!C:C,0)),"없음")</f>
        <v>없음</v>
      </c>
    </row>
    <row r="215">
      <c r="A215" s="13">
        <v>237.0</v>
      </c>
      <c r="B215" s="70" t="s">
        <v>848</v>
      </c>
      <c r="C215" s="65"/>
      <c r="D215" s="71" t="s">
        <v>849</v>
      </c>
      <c r="E215" s="61"/>
      <c r="F215" s="72" t="s">
        <v>671</v>
      </c>
      <c r="G215" s="73" t="s">
        <v>671</v>
      </c>
      <c r="H215" s="19" t="str">
        <f t="array" ref="H215">IFERROR(INDEX(Lease_List!D:D,MATCH(INDIRECT("All_User!D"&amp;ROW()),Lease_List!H:H,0)),"없음")</f>
        <v>5CD4145N3J</v>
      </c>
      <c r="I215" s="67"/>
      <c r="J215" s="32"/>
      <c r="K215" s="22" t="str">
        <f t="array" ref="K215">IFERROR(INDEX(Ipad_List!C:C,MATCH(INDIRECT("All_User!D"&amp;ROW()),Ipad_List!J:J,0)),"없음")</f>
        <v>없음</v>
      </c>
      <c r="L215" s="23" t="str">
        <f t="array" ref="L215">IFERROR(INDEX(TeamsNumber!B:B,MATCH(INDIRECT("All_User!D"&amp;ROW()),TeamsNumber!D:D,0)),"없음")</f>
        <v>없음</v>
      </c>
      <c r="M215" s="23" t="str">
        <f t="array" ref="M215">IFERROR(INDEX(Printer!D:D,MATCH(INDIRECT("All_User!D"&amp;ROW()),Printer!H:H,0)),"없음")</f>
        <v>없음</v>
      </c>
      <c r="N215" s="24" t="str">
        <f t="array" ref="N215">IFERROR(INDEX(Monitor!A:A,MATCH(INDIRECT("All_User!D"&amp;ROW()),Monitor!D:D,0)),"없음")</f>
        <v>없음</v>
      </c>
      <c r="O215" s="24" t="str">
        <f t="shared" si="1"/>
        <v>없음</v>
      </c>
      <c r="P215" s="24" t="str">
        <f t="array" ref="P215">IFERROR(INDEX(sales!E:E,MATCH(D215,sales!C:C,0)),"없음")</f>
        <v>없음</v>
      </c>
    </row>
    <row r="216">
      <c r="A216" s="13">
        <v>238.0</v>
      </c>
      <c r="B216" s="70" t="s">
        <v>850</v>
      </c>
      <c r="C216" s="65"/>
      <c r="D216" s="74" t="s">
        <v>851</v>
      </c>
      <c r="E216" s="61"/>
      <c r="F216" s="75" t="s">
        <v>750</v>
      </c>
      <c r="G216" s="76" t="s">
        <v>750</v>
      </c>
      <c r="H216" s="19" t="str">
        <f t="array" ref="H216">IFERROR(INDEX(Lease_List!D:D,MATCH(INDIRECT("All_User!D"&amp;ROW()),Lease_List!H:H,0)),"없음")</f>
        <v>5CD4232BF5</v>
      </c>
      <c r="I216" s="67"/>
      <c r="J216" s="32"/>
      <c r="K216" s="22" t="str">
        <f t="array" ref="K216">IFERROR(INDEX(Ipad_List!C:C,MATCH(INDIRECT("All_User!D"&amp;ROW()),Ipad_List!J:J,0)),"없음")</f>
        <v>없음</v>
      </c>
      <c r="L216" s="23" t="str">
        <f t="array" ref="L216">IFERROR(INDEX(TeamsNumber!B:B,MATCH(INDIRECT("All_User!D"&amp;ROW()),TeamsNumber!D:D,0)),"없음")</f>
        <v>없음</v>
      </c>
      <c r="M216" s="23" t="str">
        <f t="array" ref="M216">IFERROR(INDEX(Printer!D:D,MATCH(INDIRECT("All_User!D"&amp;ROW()),Printer!H:H,0)),"없음")</f>
        <v>없음</v>
      </c>
      <c r="N216" s="24" t="str">
        <f t="array" ref="N216">IFERROR(INDEX(Monitor!A:A,MATCH(INDIRECT("All_User!D"&amp;ROW()),Monitor!D:D,0)),"없음")</f>
        <v>없음</v>
      </c>
      <c r="O216" s="24" t="str">
        <f t="shared" si="1"/>
        <v>없음</v>
      </c>
      <c r="P216" s="24" t="str">
        <f t="array" ref="P216">IFERROR(INDEX(sales!E:E,MATCH(D216,sales!C:C,0)),"없음")</f>
        <v>없음</v>
      </c>
    </row>
    <row r="217">
      <c r="A217" s="13">
        <v>239.0</v>
      </c>
      <c r="B217" s="70" t="s">
        <v>759</v>
      </c>
      <c r="C217" s="65"/>
      <c r="D217" s="71" t="s">
        <v>852</v>
      </c>
      <c r="E217" s="61"/>
      <c r="F217" s="75" t="s">
        <v>750</v>
      </c>
      <c r="G217" s="76" t="s">
        <v>750</v>
      </c>
      <c r="H217" s="19" t="str">
        <f t="array" ref="H217">IFERROR(INDEX(Lease_List!D:D,MATCH(INDIRECT("All_User!D"&amp;ROW()),Lease_List!H:H,0)),"없음")</f>
        <v>5CD4232BF8</v>
      </c>
      <c r="I217" s="67"/>
      <c r="J217" s="32"/>
      <c r="K217" s="22" t="str">
        <f t="array" ref="K217">IFERROR(INDEX(Ipad_List!C:C,MATCH(INDIRECT("All_User!D"&amp;ROW()),Ipad_List!J:J,0)),"없음")</f>
        <v>없음</v>
      </c>
      <c r="L217" s="23" t="str">
        <f t="array" ref="L217">IFERROR(INDEX(TeamsNumber!B:B,MATCH(INDIRECT("All_User!D"&amp;ROW()),TeamsNumber!D:D,0)),"없음")</f>
        <v>없음</v>
      </c>
      <c r="M217" s="23" t="str">
        <f t="array" ref="M217">IFERROR(INDEX(Printer!D:D,MATCH(INDIRECT("All_User!D"&amp;ROW()),Printer!H:H,0)),"없음")</f>
        <v>없음</v>
      </c>
      <c r="N217" s="24" t="str">
        <f t="array" ref="N217">IFERROR(INDEX(Monitor!A:A,MATCH(INDIRECT("All_User!D"&amp;ROW()),Monitor!D:D,0)),"없음")</f>
        <v>없음</v>
      </c>
      <c r="O217" s="24" t="str">
        <f t="shared" si="1"/>
        <v>없음</v>
      </c>
      <c r="P217" s="24" t="str">
        <f t="array" ref="P217">IFERROR(INDEX(sales!E:E,MATCH(D217,sales!C:C,0)),"없음")</f>
        <v>없음</v>
      </c>
    </row>
    <row r="218">
      <c r="A218" s="13">
        <v>240.0</v>
      </c>
      <c r="B218" s="70" t="s">
        <v>853</v>
      </c>
      <c r="C218" s="65"/>
      <c r="D218" s="71" t="s">
        <v>853</v>
      </c>
      <c r="E218" s="61"/>
      <c r="F218" s="72" t="s">
        <v>853</v>
      </c>
      <c r="G218" s="61"/>
      <c r="H218" s="19" t="str">
        <f t="array" ref="H218">IFERROR(INDEX(Lease_List!D:D,MATCH(INDIRECT("All_User!D"&amp;ROW()),Lease_List!H:H,0)),"없음")</f>
        <v>없음</v>
      </c>
      <c r="I218" s="67"/>
      <c r="J218" s="32"/>
      <c r="K218" s="22" t="str">
        <f t="array" ref="K218">IFERROR(INDEX(Ipad_List!C:C,MATCH(INDIRECT("All_User!D"&amp;ROW()),Ipad_List!J:J,0)),"없음")</f>
        <v>없음</v>
      </c>
      <c r="L218" s="23" t="str">
        <f t="array" ref="L218">IFERROR(INDEX(TeamsNumber!B:B,MATCH(INDIRECT("All_User!D"&amp;ROW()),TeamsNumber!D:D,0)),"없음")</f>
        <v>없음</v>
      </c>
      <c r="M218" s="23" t="str">
        <f t="array" ref="M218">IFERROR(INDEX(Printer!D:D,MATCH(INDIRECT("All_User!D"&amp;ROW()),Printer!H:H,0)),"없음")</f>
        <v>없음</v>
      </c>
      <c r="N218" s="24" t="str">
        <f t="array" ref="N218">IFERROR(INDEX(Monitor!A:A,MATCH(INDIRECT("All_User!D"&amp;ROW()),Monitor!D:D,0)),"없음")</f>
        <v>없음</v>
      </c>
      <c r="O218" s="24" t="str">
        <f t="shared" si="1"/>
        <v>없음</v>
      </c>
      <c r="P218" s="24" t="str">
        <f t="array" ref="P218">IFERROR(INDEX(sales!E:E,MATCH(D218,sales!C:C,0)),"없음")</f>
        <v>없음</v>
      </c>
    </row>
    <row r="219">
      <c r="A219" s="13">
        <v>241.0</v>
      </c>
      <c r="B219" s="70" t="s">
        <v>854</v>
      </c>
      <c r="C219" s="33" t="s">
        <v>855</v>
      </c>
      <c r="D219" s="77" t="s">
        <v>856</v>
      </c>
      <c r="E219" s="30" t="s">
        <v>857</v>
      </c>
      <c r="F219" s="17" t="s">
        <v>52</v>
      </c>
      <c r="G219" s="30" t="s">
        <v>858</v>
      </c>
      <c r="H219" s="19" t="str">
        <f t="array" ref="H219">IFERROR(INDEX(Lease_List!D:D,MATCH(INDIRECT("All_User!D"&amp;ROW()),Lease_List!H:H,0)),"없음")</f>
        <v>5CD5179KHW</v>
      </c>
      <c r="I219" s="67"/>
      <c r="J219" s="32"/>
      <c r="K219" s="22" t="str">
        <f t="array" ref="K219">IFERROR(INDEX(Ipad_List!C:C,MATCH(INDIRECT("All_User!D"&amp;ROW()),Ipad_List!J:J,0)),"없음")</f>
        <v>없음</v>
      </c>
      <c r="L219" s="23" t="str">
        <f t="array" ref="L219">IFERROR(INDEX(TeamsNumber!B:B,MATCH(INDIRECT("All_User!D"&amp;ROW()),TeamsNumber!D:D,0)),"없음")</f>
        <v>tel:+82234517602</v>
      </c>
      <c r="M219" s="23" t="str">
        <f t="array" ref="M219">IFERROR(INDEX(Printer!D:D,MATCH(INDIRECT("All_User!D"&amp;ROW()),Printer!H:H,0)),"없음")</f>
        <v>없음</v>
      </c>
      <c r="N219" s="24" t="str">
        <f t="array" ref="N219">IFERROR(INDEX(Monitor!A:A,MATCH(INDIRECT("All_User!D"&amp;ROW()),Monitor!D:D,0)),"없음")</f>
        <v>없음</v>
      </c>
      <c r="O219" s="24" t="str">
        <f t="shared" si="1"/>
        <v>없음</v>
      </c>
      <c r="P219" s="24" t="str">
        <f t="array" ref="P219">IFERROR(INDEX(sales!E:E,MATCH(D219,sales!C:C,0)),"없음")</f>
        <v>없음</v>
      </c>
    </row>
    <row r="220">
      <c r="A220" s="13">
        <v>242.0</v>
      </c>
      <c r="B220" s="70" t="s">
        <v>859</v>
      </c>
      <c r="C220" s="33" t="s">
        <v>860</v>
      </c>
      <c r="D220" s="77" t="s">
        <v>861</v>
      </c>
      <c r="E220" s="30" t="s">
        <v>862</v>
      </c>
      <c r="F220" s="17" t="s">
        <v>142</v>
      </c>
      <c r="G220" s="30" t="s">
        <v>436</v>
      </c>
      <c r="H220" s="19" t="str">
        <f t="array" ref="H220">IFERROR(INDEX(Lease_List!D:D,MATCH(INDIRECT("All_User!D"&amp;ROW()),Lease_List!H:H,0)),"없음")</f>
        <v>5CG53403D6</v>
      </c>
      <c r="I220" s="67"/>
      <c r="J220" s="32"/>
      <c r="K220" s="22" t="str">
        <f t="array" ref="K220">IFERROR(INDEX(Ipad_List!C:C,MATCH(INDIRECT("All_User!D"&amp;ROW()),Ipad_List!J:J,0)),"없음")</f>
        <v>없음</v>
      </c>
      <c r="L220" s="23" t="str">
        <f t="array" ref="L220">IFERROR(INDEX(TeamsNumber!B:B,MATCH(INDIRECT("All_User!D"&amp;ROW()),TeamsNumber!D:D,0)),"없음")</f>
        <v>없음</v>
      </c>
      <c r="M220" s="23" t="str">
        <f t="array" ref="M220">IFERROR(INDEX(Printer!D:D,MATCH(INDIRECT("All_User!D"&amp;ROW()),Printer!H:H,0)),"없음")</f>
        <v>없음</v>
      </c>
      <c r="N220" s="24" t="str">
        <f t="array" ref="N220">IFERROR(INDEX(Monitor!A:A,MATCH(INDIRECT("All_User!D"&amp;ROW()),Monitor!D:D,0)),"없음")</f>
        <v>없음</v>
      </c>
      <c r="O220" s="24" t="str">
        <f t="shared" si="1"/>
        <v>없음</v>
      </c>
      <c r="P220" s="24" t="str">
        <f t="array" ref="P220">IFERROR(INDEX(sales!E:E,MATCH(D220,sales!C:C,0)),"없음")</f>
        <v>없음</v>
      </c>
    </row>
    <row r="221">
      <c r="A221" s="13">
        <v>243.0</v>
      </c>
      <c r="B221" s="59" t="s">
        <v>863</v>
      </c>
      <c r="C221" s="60" t="s">
        <v>864</v>
      </c>
      <c r="D221" s="63" t="s">
        <v>865</v>
      </c>
      <c r="E221" s="30" t="s">
        <v>866</v>
      </c>
      <c r="F221" s="27" t="s">
        <v>77</v>
      </c>
      <c r="G221" s="30" t="s">
        <v>105</v>
      </c>
      <c r="H221" s="19" t="str">
        <f t="array" ref="H221">IFERROR(INDEX(Lease_List!D:D,MATCH(INDIRECT("All_User!D"&amp;ROW()),Lease_List!H:H,0)),"없음")</f>
        <v>5CG53403D7</v>
      </c>
      <c r="I221" s="67"/>
      <c r="J221" s="32"/>
      <c r="K221" s="22" t="str">
        <f t="array" ref="K221">IFERROR(INDEX(Ipad_List!C:C,MATCH(INDIRECT("All_User!D"&amp;ROW()),Ipad_List!J:J,0)),"없음")</f>
        <v>D4C9Q50Q09</v>
      </c>
      <c r="L221" s="23" t="str">
        <f t="array" ref="L221">IFERROR(INDEX(TeamsNumber!B:B,MATCH(INDIRECT("All_User!D"&amp;ROW()),TeamsNumber!D:D,0)),"없음")</f>
        <v>tel:+82234517534</v>
      </c>
      <c r="M221" s="23" t="str">
        <f t="array" ref="M221">IFERROR(INDEX(Printer!D:D,MATCH(INDIRECT("All_User!D"&amp;ROW()),Printer!H:H,0)),"없음")</f>
        <v>없음</v>
      </c>
      <c r="N221" s="24" t="str">
        <f t="array" ref="N221">IFERROR(INDEX(Monitor!A:A,MATCH(INDIRECT("All_User!D"&amp;ROW()),Monitor!D:D,0)),"없음")</f>
        <v>없음</v>
      </c>
      <c r="O221" s="24" t="str">
        <f t="shared" si="1"/>
        <v>없음</v>
      </c>
      <c r="P221" s="24" t="str">
        <f t="array" ref="P221">IFERROR(INDEX(sales!E:E,MATCH(D221,sales!C:C,0)),"없음")</f>
        <v>없음</v>
      </c>
    </row>
    <row r="222">
      <c r="A222" s="13">
        <v>244.0</v>
      </c>
      <c r="B222" s="59" t="s">
        <v>867</v>
      </c>
      <c r="C222" s="33" t="s">
        <v>868</v>
      </c>
      <c r="D222" s="63" t="s">
        <v>869</v>
      </c>
      <c r="E222" s="30" t="s">
        <v>57</v>
      </c>
      <c r="F222" s="54" t="s">
        <v>27</v>
      </c>
      <c r="G222" s="18" t="s">
        <v>28</v>
      </c>
      <c r="H222" s="19" t="str">
        <f t="array" ref="H222">IFERROR(INDEX(Lease_List!D:D,MATCH(INDIRECT("All_User!D"&amp;ROW()),Lease_List!H:H,0)),"없음")</f>
        <v>5CD4305D8J</v>
      </c>
      <c r="I222" s="67"/>
      <c r="J222" s="32"/>
      <c r="K222" s="22" t="str">
        <f t="array" ref="K222">IFERROR(INDEX(Ipad_List!C:C,MATCH(INDIRECT("All_User!D"&amp;ROW()),Ipad_List!J:J,0)),"없음")</f>
        <v>C19HH7PP2V</v>
      </c>
      <c r="L222" s="23" t="str">
        <f t="array" ref="L222">IFERROR(INDEX(TeamsNumber!B:B,MATCH(INDIRECT("All_User!D"&amp;ROW()),TeamsNumber!D:D,0)),"없음")</f>
        <v>없음</v>
      </c>
      <c r="M222" s="23" t="str">
        <f t="array" ref="M222">IFERROR(INDEX(Printer!D:D,MATCH(INDIRECT("All_User!D"&amp;ROW()),Printer!H:H,0)),"없음")</f>
        <v>없음</v>
      </c>
      <c r="N222" s="24" t="str">
        <f t="array" ref="N222">IFERROR(INDEX(Monitor!A:A,MATCH(INDIRECT("All_User!D"&amp;ROW()),Monitor!D:D,0)),"없음")</f>
        <v>없음</v>
      </c>
      <c r="O222" s="24" t="str">
        <f t="shared" si="1"/>
        <v>없음</v>
      </c>
      <c r="P222" s="24" t="str">
        <f t="array" ref="P222">IFERROR(INDEX(sales!E:E,MATCH(D222,sales!C:C,0)),"없음")</f>
        <v>없음</v>
      </c>
    </row>
    <row r="223">
      <c r="A223" s="13">
        <v>245.0</v>
      </c>
      <c r="B223" s="59" t="s">
        <v>870</v>
      </c>
      <c r="C223" s="33" t="s">
        <v>871</v>
      </c>
      <c r="D223" s="63" t="s">
        <v>872</v>
      </c>
      <c r="E223" s="30" t="s">
        <v>57</v>
      </c>
      <c r="F223" s="54" t="s">
        <v>27</v>
      </c>
      <c r="G223" s="18" t="s">
        <v>28</v>
      </c>
      <c r="H223" s="19" t="str">
        <f t="array" ref="H223">IFERROR(INDEX(Lease_List!D:D,MATCH(INDIRECT("All_User!D"&amp;ROW()),Lease_List!H:H,0)),"없음")</f>
        <v>5CD3469HDQ</v>
      </c>
      <c r="I223" s="67"/>
      <c r="J223" s="32"/>
      <c r="K223" s="22" t="str">
        <f t="array" ref="K223">IFERROR(INDEX(Ipad_List!C:C,MATCH(INDIRECT("All_User!D"&amp;ROW()),Ipad_List!J:J,0)),"없음")</f>
        <v>K9NWHMWT44</v>
      </c>
      <c r="L223" s="23" t="str">
        <f t="array" ref="L223">IFERROR(INDEX(TeamsNumber!B:B,MATCH(INDIRECT("All_User!D"&amp;ROW()),TeamsNumber!D:D,0)),"없음")</f>
        <v>없음</v>
      </c>
      <c r="M223" s="23" t="str">
        <f t="array" ref="M223">IFERROR(INDEX(Printer!D:D,MATCH(INDIRECT("All_User!D"&amp;ROW()),Printer!H:H,0)),"없음")</f>
        <v>없음</v>
      </c>
      <c r="N223" s="24" t="str">
        <f t="array" ref="N223">IFERROR(INDEX(Monitor!A:A,MATCH(INDIRECT("All_User!D"&amp;ROW()),Monitor!D:D,0)),"없음")</f>
        <v>없음</v>
      </c>
      <c r="O223" s="24" t="str">
        <f t="shared" si="1"/>
        <v>없음</v>
      </c>
      <c r="P223" s="24" t="str">
        <f t="array" ref="P223">IFERROR(INDEX(sales!E:E,MATCH(D223,sales!C:C,0)),"없음")</f>
        <v>없음</v>
      </c>
    </row>
    <row r="224">
      <c r="A224" s="13">
        <v>246.0</v>
      </c>
      <c r="B224" s="59" t="s">
        <v>873</v>
      </c>
      <c r="C224" s="33" t="s">
        <v>874</v>
      </c>
      <c r="D224" s="63" t="s">
        <v>875</v>
      </c>
      <c r="E224" s="30" t="s">
        <v>57</v>
      </c>
      <c r="F224" s="54" t="s">
        <v>27</v>
      </c>
      <c r="G224" s="18" t="s">
        <v>28</v>
      </c>
      <c r="H224" s="19" t="str">
        <f t="array" ref="H224">IFERROR(INDEX(Lease_List!D:D,MATCH(INDIRECT("All_User!D"&amp;ROW()),Lease_List!H:H,0)),"없음")</f>
        <v>5CD4305D8D</v>
      </c>
      <c r="I224" s="67"/>
      <c r="J224" s="32"/>
      <c r="K224" s="22" t="str">
        <f t="array" ref="K224">IFERROR(INDEX(Ipad_List!C:C,MATCH(INDIRECT("All_User!D"&amp;ROW()),Ipad_List!J:J,0)),"없음")</f>
        <v>VKGPQR7276</v>
      </c>
      <c r="L224" s="23" t="str">
        <f t="array" ref="L224">IFERROR(INDEX(TeamsNumber!B:B,MATCH(INDIRECT("All_User!D"&amp;ROW()),TeamsNumber!D:D,0)),"없음")</f>
        <v>없음</v>
      </c>
      <c r="M224" s="23" t="str">
        <f t="array" ref="M224">IFERROR(INDEX(Printer!D:D,MATCH(INDIRECT("All_User!D"&amp;ROW()),Printer!H:H,0)),"없음")</f>
        <v>없음</v>
      </c>
      <c r="N224" s="24" t="str">
        <f t="array" ref="N224">IFERROR(INDEX(Monitor!A:A,MATCH(INDIRECT("All_User!D"&amp;ROW()),Monitor!D:D,0)),"없음")</f>
        <v>없음</v>
      </c>
      <c r="O224" s="24" t="str">
        <f t="shared" si="1"/>
        <v>없음</v>
      </c>
      <c r="P224" s="24" t="str">
        <f t="array" ref="P224">IFERROR(INDEX(sales!E:E,MATCH(D224,sales!C:C,0)),"없음")</f>
        <v>없음</v>
      </c>
    </row>
    <row r="225">
      <c r="A225" s="78"/>
      <c r="B225" s="79"/>
      <c r="C225" s="79"/>
      <c r="D225" s="80"/>
      <c r="E225" s="81"/>
      <c r="F225" s="82"/>
      <c r="G225" s="79"/>
      <c r="H225" s="83"/>
      <c r="I225" s="84"/>
      <c r="J225" s="85"/>
      <c r="K225" s="84"/>
      <c r="L225" s="86"/>
      <c r="M225" s="86"/>
      <c r="N225" s="87"/>
      <c r="O225" s="87"/>
      <c r="P225" s="87"/>
      <c r="Q225" s="87"/>
      <c r="R225" s="88"/>
    </row>
    <row r="226">
      <c r="A226" s="89"/>
      <c r="B226" s="90"/>
      <c r="C226" s="90"/>
      <c r="D226" s="90"/>
      <c r="E226" s="90"/>
      <c r="F226" s="91"/>
      <c r="G226" s="90"/>
      <c r="H226" s="92"/>
      <c r="I226" s="93"/>
      <c r="J226" s="94"/>
      <c r="K226" s="93"/>
      <c r="L226" s="95"/>
      <c r="M226" s="95"/>
      <c r="N226" s="96"/>
      <c r="O226" s="96"/>
      <c r="P226" s="96"/>
      <c r="Q226" s="97"/>
      <c r="R226" s="97"/>
    </row>
    <row r="227">
      <c r="A227" s="89"/>
      <c r="B227" s="90"/>
      <c r="C227" s="90"/>
      <c r="D227" s="90"/>
      <c r="E227" s="90"/>
      <c r="F227" s="91"/>
      <c r="G227" s="90"/>
      <c r="H227" s="92"/>
      <c r="I227" s="93"/>
      <c r="J227" s="94"/>
      <c r="K227" s="93"/>
      <c r="L227" s="95"/>
      <c r="M227" s="95"/>
      <c r="N227" s="96"/>
      <c r="O227" s="96"/>
      <c r="P227" s="96"/>
      <c r="Q227" s="97"/>
      <c r="R227" s="97"/>
    </row>
    <row r="228" ht="18.0" customHeight="1">
      <c r="A228" s="78"/>
      <c r="B228" s="79"/>
      <c r="C228" s="79"/>
      <c r="D228" s="80"/>
      <c r="E228" s="79"/>
      <c r="F228" s="82"/>
      <c r="G228" s="79"/>
      <c r="H228" s="83"/>
      <c r="I228" s="84"/>
      <c r="J228" s="85"/>
      <c r="K228" s="84"/>
      <c r="L228" s="98"/>
      <c r="M228" s="98"/>
      <c r="N228" s="87"/>
      <c r="O228" s="87"/>
      <c r="P228" s="87"/>
      <c r="Q228" s="87"/>
      <c r="R228" s="88"/>
    </row>
    <row r="229">
      <c r="A229" s="89"/>
      <c r="B229" s="90"/>
      <c r="C229" s="90"/>
      <c r="D229" s="90"/>
      <c r="E229" s="90"/>
      <c r="F229" s="91"/>
      <c r="G229" s="90"/>
      <c r="H229" s="92"/>
      <c r="I229" s="93"/>
      <c r="J229" s="99"/>
      <c r="K229" s="93"/>
      <c r="L229" s="95"/>
      <c r="M229" s="95"/>
      <c r="N229" s="96"/>
      <c r="O229" s="96"/>
      <c r="P229" s="96"/>
      <c r="Q229" s="97"/>
      <c r="R229" s="97"/>
    </row>
    <row r="230">
      <c r="A230" s="78"/>
      <c r="B230" s="79"/>
      <c r="C230" s="100"/>
      <c r="D230" s="79"/>
      <c r="E230" s="79"/>
      <c r="F230" s="82"/>
      <c r="G230" s="79"/>
      <c r="H230" s="83"/>
      <c r="I230" s="84"/>
      <c r="J230" s="85"/>
      <c r="K230" s="84"/>
      <c r="L230" s="86"/>
      <c r="M230" s="86"/>
      <c r="N230" s="87"/>
      <c r="O230" s="87"/>
      <c r="P230" s="87"/>
      <c r="Q230" s="87"/>
      <c r="R230" s="86"/>
    </row>
    <row r="231">
      <c r="A231" s="78"/>
      <c r="B231" s="79"/>
      <c r="C231" s="79"/>
      <c r="D231" s="79"/>
      <c r="E231" s="81"/>
      <c r="F231" s="82"/>
      <c r="G231" s="79"/>
      <c r="H231" s="83"/>
      <c r="I231" s="84"/>
      <c r="J231" s="85"/>
      <c r="K231" s="84"/>
      <c r="L231" s="86"/>
      <c r="M231" s="86"/>
      <c r="N231" s="87"/>
      <c r="O231" s="87"/>
      <c r="P231" s="87"/>
      <c r="Q231" s="86"/>
      <c r="R231" s="86"/>
    </row>
    <row r="232">
      <c r="A232" s="89"/>
      <c r="B232" s="90"/>
      <c r="C232" s="90"/>
      <c r="D232" s="101"/>
      <c r="E232" s="90"/>
      <c r="F232" s="91"/>
      <c r="G232" s="90"/>
      <c r="H232" s="92"/>
      <c r="I232" s="93"/>
      <c r="J232" s="99"/>
      <c r="K232" s="93"/>
      <c r="L232" s="95"/>
      <c r="M232" s="95"/>
      <c r="N232" s="96"/>
      <c r="O232" s="96"/>
      <c r="P232" s="96"/>
      <c r="Q232" s="97"/>
      <c r="R232" s="97"/>
    </row>
    <row r="233">
      <c r="A233" s="89"/>
      <c r="B233" s="90"/>
      <c r="C233" s="90"/>
      <c r="D233" s="90"/>
      <c r="E233" s="90"/>
      <c r="F233" s="91"/>
      <c r="G233" s="90"/>
      <c r="H233" s="92"/>
      <c r="I233" s="93"/>
      <c r="J233" s="99"/>
      <c r="K233" s="93"/>
      <c r="L233" s="95"/>
      <c r="M233" s="95"/>
      <c r="N233" s="96"/>
      <c r="O233" s="96"/>
      <c r="P233" s="96"/>
      <c r="Q233" s="97"/>
      <c r="R233" s="97"/>
    </row>
    <row r="234">
      <c r="A234" s="78"/>
      <c r="B234" s="79"/>
      <c r="C234" s="79"/>
      <c r="D234" s="80"/>
      <c r="E234" s="79"/>
      <c r="F234" s="82"/>
      <c r="G234" s="79"/>
      <c r="H234" s="83"/>
      <c r="I234" s="84"/>
      <c r="J234" s="85"/>
      <c r="K234" s="84"/>
      <c r="L234" s="98"/>
      <c r="M234" s="98"/>
      <c r="N234" s="87"/>
      <c r="O234" s="87"/>
      <c r="P234" s="87"/>
      <c r="Q234" s="87"/>
      <c r="R234" s="88"/>
    </row>
    <row r="235">
      <c r="A235" s="89"/>
      <c r="B235" s="90"/>
      <c r="C235" s="90"/>
      <c r="D235" s="90"/>
      <c r="E235" s="90"/>
      <c r="F235" s="91"/>
      <c r="G235" s="90"/>
      <c r="H235" s="92"/>
      <c r="I235" s="93"/>
      <c r="J235" s="99"/>
      <c r="K235" s="93"/>
      <c r="L235" s="95"/>
      <c r="M235" s="95"/>
      <c r="N235" s="96"/>
      <c r="O235" s="96"/>
      <c r="P235" s="96"/>
      <c r="Q235" s="97"/>
      <c r="R235" s="97"/>
    </row>
    <row r="236">
      <c r="A236" s="89"/>
      <c r="B236" s="90"/>
      <c r="C236" s="90"/>
      <c r="D236" s="90"/>
      <c r="E236" s="90"/>
      <c r="F236" s="91"/>
      <c r="G236" s="90"/>
      <c r="H236" s="92"/>
      <c r="I236" s="93"/>
      <c r="J236" s="99"/>
      <c r="K236" s="93"/>
      <c r="L236" s="95"/>
      <c r="M236" s="95"/>
      <c r="N236" s="96"/>
      <c r="O236" s="96"/>
      <c r="P236" s="96"/>
      <c r="Q236" s="96"/>
      <c r="R236" s="97"/>
    </row>
    <row r="237">
      <c r="A237" s="89"/>
      <c r="B237" s="90"/>
      <c r="C237" s="90"/>
      <c r="D237" s="90"/>
      <c r="E237" s="90"/>
      <c r="F237" s="91"/>
      <c r="G237" s="90"/>
      <c r="H237" s="92"/>
      <c r="I237" s="93"/>
      <c r="J237" s="94"/>
      <c r="K237" s="93"/>
      <c r="L237" s="95"/>
      <c r="M237" s="95"/>
      <c r="N237" s="96"/>
      <c r="O237" s="96"/>
      <c r="P237" s="96"/>
      <c r="Q237" s="97"/>
      <c r="R237" s="97"/>
    </row>
    <row r="238">
      <c r="A238" s="89"/>
      <c r="B238" s="90"/>
      <c r="C238" s="90"/>
      <c r="D238" s="90"/>
      <c r="E238" s="90"/>
      <c r="F238" s="91"/>
      <c r="G238" s="90"/>
      <c r="H238" s="92"/>
      <c r="I238" s="93"/>
      <c r="J238" s="99"/>
      <c r="K238" s="93"/>
      <c r="L238" s="95"/>
      <c r="M238" s="95"/>
      <c r="N238" s="96"/>
      <c r="O238" s="96"/>
      <c r="P238" s="96"/>
      <c r="Q238" s="97"/>
      <c r="R238" s="97"/>
    </row>
    <row r="239">
      <c r="A239" s="78"/>
      <c r="B239" s="79"/>
      <c r="C239" s="79"/>
      <c r="D239" s="79"/>
      <c r="E239" s="79"/>
      <c r="F239" s="82"/>
      <c r="G239" s="79"/>
      <c r="H239" s="83"/>
      <c r="I239" s="84"/>
      <c r="J239" s="85"/>
      <c r="K239" s="84"/>
      <c r="L239" s="86"/>
      <c r="M239" s="86"/>
      <c r="N239" s="87"/>
      <c r="O239" s="87"/>
      <c r="P239" s="87"/>
      <c r="Q239" s="86"/>
      <c r="R239" s="86"/>
    </row>
    <row r="240">
      <c r="A240" s="89"/>
      <c r="B240" s="90"/>
      <c r="C240" s="90"/>
      <c r="D240" s="90"/>
      <c r="E240" s="90"/>
      <c r="F240" s="91"/>
      <c r="G240" s="90"/>
      <c r="H240" s="92"/>
      <c r="I240" s="93"/>
      <c r="J240" s="99"/>
      <c r="K240" s="93"/>
      <c r="L240" s="95"/>
      <c r="M240" s="95"/>
      <c r="N240" s="96"/>
      <c r="O240" s="96"/>
      <c r="P240" s="96"/>
      <c r="Q240" s="97"/>
      <c r="R240" s="97"/>
    </row>
    <row r="241">
      <c r="A241" s="78"/>
      <c r="B241" s="79"/>
      <c r="C241" s="79"/>
      <c r="D241" s="79"/>
      <c r="E241" s="79"/>
      <c r="F241" s="102"/>
      <c r="G241" s="79"/>
      <c r="H241" s="83"/>
      <c r="I241" s="84"/>
      <c r="J241" s="85"/>
      <c r="K241" s="84"/>
      <c r="L241" s="86"/>
      <c r="M241" s="86"/>
      <c r="N241" s="87"/>
      <c r="O241" s="87"/>
      <c r="P241" s="87"/>
      <c r="Q241" s="87"/>
      <c r="R241" s="88"/>
    </row>
    <row r="242">
      <c r="A242" s="103"/>
      <c r="B242" s="104"/>
      <c r="C242" s="105"/>
      <c r="D242" s="106"/>
      <c r="E242" s="105"/>
      <c r="F242" s="107"/>
      <c r="G242" s="105"/>
      <c r="H242" s="108"/>
      <c r="I242" s="109"/>
      <c r="J242" s="110"/>
      <c r="K242" s="109"/>
      <c r="L242" s="109"/>
      <c r="M242" s="109"/>
    </row>
    <row r="243">
      <c r="A243" s="103"/>
      <c r="B243" s="104"/>
      <c r="C243" s="105"/>
      <c r="D243" s="106"/>
      <c r="E243" s="105"/>
      <c r="F243" s="107"/>
      <c r="G243" s="105"/>
      <c r="H243" s="108"/>
      <c r="I243" s="109"/>
      <c r="J243" s="110"/>
      <c r="K243" s="109"/>
      <c r="L243" s="109"/>
      <c r="M243" s="109"/>
    </row>
    <row r="244">
      <c r="A244" s="103"/>
      <c r="B244" s="104"/>
      <c r="C244" s="105"/>
      <c r="D244" s="106"/>
      <c r="E244" s="105"/>
      <c r="F244" s="107"/>
      <c r="G244" s="105"/>
      <c r="H244" s="108"/>
      <c r="I244" s="109"/>
      <c r="J244" s="110"/>
      <c r="K244" s="109"/>
      <c r="L244" s="109"/>
      <c r="M244" s="109"/>
    </row>
    <row r="245">
      <c r="A245" s="103"/>
      <c r="B245" s="104"/>
      <c r="C245" s="105"/>
      <c r="D245" s="106"/>
      <c r="E245" s="105"/>
      <c r="F245" s="107"/>
      <c r="G245" s="105"/>
      <c r="H245" s="108"/>
      <c r="I245" s="109"/>
      <c r="J245" s="110"/>
      <c r="K245" s="109"/>
      <c r="L245" s="109"/>
      <c r="M245" s="109"/>
    </row>
    <row r="246">
      <c r="A246" s="103"/>
      <c r="B246" s="104"/>
      <c r="C246" s="105"/>
      <c r="D246" s="106"/>
      <c r="E246" s="105"/>
      <c r="F246" s="107"/>
      <c r="G246" s="105"/>
      <c r="H246" s="108"/>
      <c r="I246" s="109"/>
      <c r="J246" s="110"/>
      <c r="K246" s="109"/>
      <c r="L246" s="109"/>
      <c r="M246" s="109"/>
    </row>
    <row r="247">
      <c r="A247" s="103"/>
      <c r="B247" s="104"/>
      <c r="C247" s="105"/>
      <c r="D247" s="106"/>
      <c r="E247" s="105"/>
      <c r="F247" s="107"/>
      <c r="G247" s="105"/>
      <c r="H247" s="108"/>
      <c r="I247" s="109"/>
      <c r="J247" s="110"/>
      <c r="K247" s="109"/>
      <c r="L247" s="109"/>
      <c r="M247" s="109"/>
    </row>
    <row r="248">
      <c r="A248" s="103"/>
      <c r="B248" s="104"/>
      <c r="C248" s="105"/>
      <c r="D248" s="106"/>
      <c r="E248" s="105"/>
      <c r="F248" s="107"/>
      <c r="G248" s="105"/>
      <c r="H248" s="108"/>
      <c r="I248" s="109"/>
      <c r="J248" s="110"/>
      <c r="K248" s="109"/>
      <c r="L248" s="109"/>
      <c r="M248" s="109"/>
    </row>
    <row r="249">
      <c r="A249" s="103"/>
      <c r="B249" s="104"/>
      <c r="C249" s="105"/>
      <c r="D249" s="106"/>
      <c r="E249" s="105"/>
      <c r="F249" s="107"/>
      <c r="G249" s="105"/>
      <c r="H249" s="108"/>
      <c r="I249" s="109"/>
      <c r="J249" s="110"/>
      <c r="K249" s="109"/>
      <c r="L249" s="109"/>
      <c r="M249" s="109"/>
    </row>
    <row r="250">
      <c r="A250" s="103"/>
      <c r="B250" s="104"/>
      <c r="C250" s="105"/>
      <c r="D250" s="106"/>
      <c r="E250" s="105"/>
      <c r="F250" s="107"/>
      <c r="G250" s="105"/>
      <c r="H250" s="108"/>
      <c r="I250" s="109"/>
      <c r="J250" s="110"/>
      <c r="K250" s="109"/>
      <c r="L250" s="109"/>
      <c r="M250" s="109"/>
    </row>
    <row r="251">
      <c r="A251" s="103"/>
      <c r="B251" s="104"/>
      <c r="C251" s="105"/>
      <c r="D251" s="106"/>
      <c r="E251" s="105"/>
      <c r="F251" s="107"/>
      <c r="G251" s="105"/>
      <c r="H251" s="108"/>
      <c r="I251" s="109"/>
      <c r="J251" s="110"/>
      <c r="K251" s="109"/>
      <c r="L251" s="109"/>
      <c r="M251" s="109"/>
    </row>
    <row r="252">
      <c r="A252" s="103"/>
      <c r="B252" s="104"/>
      <c r="C252" s="105"/>
      <c r="D252" s="106"/>
      <c r="E252" s="105"/>
      <c r="F252" s="107"/>
      <c r="G252" s="105"/>
      <c r="H252" s="108"/>
      <c r="I252" s="109"/>
      <c r="J252" s="110"/>
      <c r="K252" s="109"/>
      <c r="L252" s="109"/>
      <c r="M252" s="109"/>
    </row>
    <row r="253">
      <c r="A253" s="103"/>
      <c r="B253" s="104"/>
      <c r="C253" s="105"/>
      <c r="D253" s="106"/>
      <c r="E253" s="105"/>
      <c r="F253" s="107"/>
      <c r="G253" s="105"/>
      <c r="H253" s="108"/>
      <c r="I253" s="109"/>
      <c r="J253" s="110"/>
      <c r="K253" s="109"/>
      <c r="L253" s="109"/>
      <c r="M253" s="109"/>
    </row>
    <row r="254">
      <c r="A254" s="103"/>
      <c r="B254" s="104"/>
      <c r="C254" s="105"/>
      <c r="D254" s="106"/>
      <c r="E254" s="105"/>
      <c r="F254" s="107"/>
      <c r="G254" s="105"/>
      <c r="H254" s="108"/>
      <c r="I254" s="109"/>
      <c r="J254" s="110"/>
      <c r="K254" s="109"/>
      <c r="L254" s="109"/>
      <c r="M254" s="109"/>
    </row>
    <row r="255">
      <c r="A255" s="103"/>
      <c r="B255" s="104"/>
      <c r="C255" s="105"/>
      <c r="D255" s="106"/>
      <c r="E255" s="105"/>
      <c r="F255" s="107"/>
      <c r="G255" s="105"/>
      <c r="H255" s="108"/>
      <c r="I255" s="109"/>
      <c r="J255" s="110"/>
      <c r="K255" s="109"/>
      <c r="L255" s="109"/>
      <c r="M255" s="109"/>
    </row>
    <row r="256">
      <c r="A256" s="103"/>
      <c r="B256" s="104"/>
      <c r="C256" s="105"/>
      <c r="D256" s="106"/>
      <c r="E256" s="105"/>
      <c r="F256" s="107"/>
      <c r="G256" s="105"/>
      <c r="H256" s="108"/>
      <c r="I256" s="109"/>
      <c r="J256" s="110"/>
      <c r="K256" s="109"/>
      <c r="L256" s="109"/>
      <c r="M256" s="109"/>
    </row>
    <row r="257">
      <c r="A257" s="103"/>
      <c r="B257" s="104"/>
      <c r="C257" s="105"/>
      <c r="D257" s="106"/>
      <c r="E257" s="105"/>
      <c r="F257" s="107"/>
      <c r="G257" s="105"/>
      <c r="H257" s="108"/>
      <c r="I257" s="109"/>
      <c r="J257" s="110"/>
      <c r="K257" s="109"/>
      <c r="L257" s="109"/>
      <c r="M257" s="109"/>
    </row>
    <row r="258">
      <c r="A258" s="103"/>
      <c r="B258" s="104"/>
      <c r="C258" s="105"/>
      <c r="D258" s="106"/>
      <c r="E258" s="105"/>
      <c r="F258" s="107"/>
      <c r="G258" s="105"/>
      <c r="H258" s="108"/>
      <c r="I258" s="109"/>
      <c r="J258" s="110"/>
      <c r="K258" s="109"/>
      <c r="L258" s="109"/>
      <c r="M258" s="109"/>
    </row>
    <row r="259">
      <c r="A259" s="103"/>
      <c r="B259" s="104"/>
      <c r="C259" s="105"/>
      <c r="D259" s="106"/>
      <c r="E259" s="105"/>
      <c r="F259" s="107"/>
      <c r="G259" s="105"/>
      <c r="H259" s="108"/>
      <c r="I259" s="109"/>
      <c r="J259" s="110"/>
      <c r="K259" s="109"/>
      <c r="L259" s="109"/>
      <c r="M259" s="109"/>
    </row>
    <row r="260">
      <c r="A260" s="103"/>
      <c r="B260" s="104"/>
      <c r="C260" s="105"/>
      <c r="D260" s="106"/>
      <c r="E260" s="105"/>
      <c r="F260" s="107"/>
      <c r="G260" s="105"/>
      <c r="H260" s="108"/>
      <c r="I260" s="109"/>
      <c r="J260" s="110"/>
      <c r="K260" s="109"/>
      <c r="L260" s="109"/>
      <c r="M260" s="109"/>
    </row>
    <row r="261">
      <c r="A261" s="103"/>
      <c r="B261" s="104"/>
      <c r="C261" s="105"/>
      <c r="D261" s="106"/>
      <c r="E261" s="105"/>
      <c r="F261" s="107"/>
      <c r="G261" s="105"/>
      <c r="H261" s="108"/>
      <c r="I261" s="109"/>
      <c r="J261" s="110"/>
      <c r="K261" s="109"/>
      <c r="L261" s="109"/>
      <c r="M261" s="109"/>
    </row>
    <row r="262">
      <c r="A262" s="103"/>
      <c r="B262" s="104"/>
      <c r="C262" s="105"/>
      <c r="D262" s="106"/>
      <c r="E262" s="105"/>
      <c r="F262" s="107"/>
      <c r="G262" s="105"/>
      <c r="H262" s="108"/>
      <c r="I262" s="109"/>
      <c r="J262" s="110"/>
      <c r="K262" s="109"/>
      <c r="L262" s="109"/>
      <c r="M262" s="109"/>
    </row>
    <row r="263">
      <c r="A263" s="103"/>
      <c r="B263" s="104"/>
      <c r="C263" s="105"/>
      <c r="D263" s="106"/>
      <c r="E263" s="105"/>
      <c r="F263" s="107"/>
      <c r="G263" s="105"/>
      <c r="H263" s="108"/>
      <c r="I263" s="109"/>
      <c r="J263" s="110"/>
      <c r="K263" s="109"/>
      <c r="L263" s="109"/>
      <c r="M263" s="109"/>
    </row>
    <row r="264">
      <c r="A264" s="103"/>
      <c r="B264" s="104"/>
      <c r="C264" s="105"/>
      <c r="D264" s="106"/>
      <c r="E264" s="105"/>
      <c r="F264" s="107"/>
      <c r="G264" s="105"/>
      <c r="H264" s="108"/>
      <c r="I264" s="109"/>
      <c r="J264" s="110"/>
      <c r="K264" s="109"/>
      <c r="L264" s="109"/>
      <c r="M264" s="109"/>
    </row>
    <row r="265">
      <c r="A265" s="103"/>
      <c r="B265" s="104"/>
      <c r="C265" s="105"/>
      <c r="D265" s="106"/>
      <c r="E265" s="105"/>
      <c r="F265" s="107"/>
      <c r="G265" s="105"/>
      <c r="H265" s="108"/>
      <c r="I265" s="109"/>
      <c r="J265" s="110"/>
      <c r="K265" s="109"/>
      <c r="L265" s="109"/>
      <c r="M265" s="109"/>
    </row>
    <row r="266">
      <c r="A266" s="103"/>
      <c r="B266" s="104"/>
      <c r="C266" s="105"/>
      <c r="D266" s="106"/>
      <c r="E266" s="105"/>
      <c r="F266" s="107"/>
      <c r="G266" s="105"/>
      <c r="H266" s="108"/>
      <c r="I266" s="109"/>
      <c r="J266" s="110"/>
      <c r="K266" s="109"/>
      <c r="L266" s="109"/>
      <c r="M266" s="109"/>
    </row>
    <row r="267">
      <c r="A267" s="103"/>
      <c r="B267" s="104"/>
      <c r="C267" s="105"/>
      <c r="D267" s="106"/>
      <c r="E267" s="105"/>
      <c r="F267" s="107"/>
      <c r="G267" s="105"/>
      <c r="H267" s="108"/>
      <c r="I267" s="109"/>
      <c r="J267" s="110"/>
      <c r="K267" s="109"/>
      <c r="L267" s="109"/>
      <c r="M267" s="109"/>
    </row>
    <row r="268">
      <c r="A268" s="103"/>
      <c r="B268" s="104"/>
      <c r="C268" s="105"/>
      <c r="D268" s="106"/>
      <c r="E268" s="105"/>
      <c r="F268" s="107"/>
      <c r="G268" s="105"/>
      <c r="H268" s="108"/>
      <c r="I268" s="109"/>
      <c r="J268" s="110"/>
      <c r="K268" s="109"/>
      <c r="L268" s="109"/>
      <c r="M268" s="109"/>
    </row>
    <row r="269">
      <c r="A269" s="103"/>
      <c r="B269" s="104"/>
      <c r="C269" s="105"/>
      <c r="D269" s="106"/>
      <c r="E269" s="105"/>
      <c r="F269" s="107"/>
      <c r="G269" s="105"/>
      <c r="H269" s="108"/>
      <c r="I269" s="109"/>
      <c r="J269" s="110"/>
      <c r="K269" s="109"/>
      <c r="L269" s="109"/>
      <c r="M269" s="109"/>
    </row>
    <row r="270">
      <c r="A270" s="103"/>
      <c r="B270" s="104"/>
      <c r="C270" s="105"/>
      <c r="D270" s="106"/>
      <c r="E270" s="105"/>
      <c r="F270" s="107"/>
      <c r="G270" s="105"/>
      <c r="H270" s="108"/>
      <c r="I270" s="109"/>
      <c r="J270" s="110"/>
      <c r="K270" s="109"/>
      <c r="L270" s="109"/>
      <c r="M270" s="109"/>
    </row>
    <row r="271">
      <c r="A271" s="103"/>
      <c r="B271" s="104"/>
      <c r="C271" s="105"/>
      <c r="D271" s="106"/>
      <c r="E271" s="105"/>
      <c r="F271" s="107"/>
      <c r="G271" s="105"/>
      <c r="H271" s="108"/>
      <c r="I271" s="109"/>
      <c r="J271" s="110"/>
      <c r="K271" s="109"/>
      <c r="L271" s="109"/>
      <c r="M271" s="109"/>
    </row>
    <row r="272">
      <c r="A272" s="103"/>
      <c r="B272" s="104"/>
      <c r="C272" s="105"/>
      <c r="D272" s="106"/>
      <c r="E272" s="105"/>
      <c r="F272" s="107"/>
      <c r="G272" s="105"/>
      <c r="H272" s="108"/>
      <c r="I272" s="109"/>
      <c r="J272" s="110"/>
      <c r="K272" s="109"/>
      <c r="L272" s="109"/>
      <c r="M272" s="109"/>
    </row>
    <row r="273">
      <c r="A273" s="103"/>
      <c r="B273" s="104"/>
      <c r="C273" s="105"/>
      <c r="D273" s="106"/>
      <c r="E273" s="105"/>
      <c r="F273" s="107"/>
      <c r="G273" s="105"/>
      <c r="H273" s="108"/>
      <c r="I273" s="109"/>
      <c r="J273" s="110"/>
      <c r="K273" s="109"/>
      <c r="L273" s="109"/>
      <c r="M273" s="109"/>
    </row>
    <row r="274">
      <c r="A274" s="103"/>
      <c r="B274" s="104"/>
      <c r="C274" s="105"/>
      <c r="D274" s="106"/>
      <c r="E274" s="105"/>
      <c r="F274" s="107"/>
      <c r="G274" s="105"/>
      <c r="H274" s="108"/>
      <c r="I274" s="109"/>
      <c r="J274" s="110"/>
      <c r="K274" s="109"/>
      <c r="L274" s="109"/>
      <c r="M274" s="109"/>
    </row>
    <row r="275">
      <c r="A275" s="103"/>
      <c r="B275" s="104"/>
      <c r="C275" s="105"/>
      <c r="D275" s="106"/>
      <c r="E275" s="105"/>
      <c r="F275" s="107"/>
      <c r="G275" s="105"/>
      <c r="H275" s="108"/>
      <c r="I275" s="109"/>
      <c r="J275" s="110"/>
      <c r="K275" s="109"/>
      <c r="L275" s="109"/>
      <c r="M275" s="109"/>
    </row>
    <row r="276">
      <c r="A276" s="103"/>
      <c r="B276" s="104"/>
      <c r="C276" s="105"/>
      <c r="D276" s="106"/>
      <c r="E276" s="105"/>
      <c r="F276" s="107"/>
      <c r="G276" s="105"/>
      <c r="H276" s="108"/>
      <c r="I276" s="109"/>
      <c r="J276" s="110"/>
      <c r="K276" s="109"/>
      <c r="L276" s="109"/>
      <c r="M276" s="109"/>
    </row>
    <row r="277">
      <c r="A277" s="103"/>
      <c r="B277" s="104"/>
      <c r="C277" s="105"/>
      <c r="D277" s="106"/>
      <c r="E277" s="105"/>
      <c r="F277" s="107"/>
      <c r="G277" s="105"/>
      <c r="H277" s="108"/>
      <c r="I277" s="109"/>
      <c r="J277" s="110"/>
      <c r="K277" s="109"/>
      <c r="L277" s="109"/>
      <c r="M277" s="109"/>
    </row>
    <row r="278">
      <c r="A278" s="103"/>
      <c r="B278" s="104"/>
      <c r="C278" s="105"/>
      <c r="D278" s="106"/>
      <c r="E278" s="105"/>
      <c r="F278" s="107"/>
      <c r="G278" s="105"/>
      <c r="H278" s="108"/>
      <c r="I278" s="109"/>
      <c r="J278" s="110"/>
      <c r="K278" s="109"/>
      <c r="L278" s="109"/>
      <c r="M278" s="109"/>
    </row>
    <row r="279">
      <c r="A279" s="103"/>
      <c r="B279" s="104"/>
      <c r="C279" s="105"/>
      <c r="D279" s="106"/>
      <c r="E279" s="105"/>
      <c r="F279" s="107"/>
      <c r="G279" s="105"/>
      <c r="H279" s="108"/>
      <c r="I279" s="109"/>
      <c r="J279" s="110"/>
      <c r="K279" s="109"/>
      <c r="L279" s="109"/>
      <c r="M279" s="109"/>
    </row>
    <row r="280">
      <c r="A280" s="103"/>
      <c r="B280" s="104"/>
      <c r="C280" s="105"/>
      <c r="D280" s="106"/>
      <c r="E280" s="105"/>
      <c r="F280" s="107"/>
      <c r="G280" s="105"/>
      <c r="H280" s="108"/>
      <c r="I280" s="109"/>
      <c r="J280" s="110"/>
      <c r="K280" s="109"/>
      <c r="L280" s="109"/>
      <c r="M280" s="109"/>
    </row>
    <row r="281">
      <c r="A281" s="103"/>
      <c r="B281" s="104"/>
      <c r="C281" s="105"/>
      <c r="D281" s="106"/>
      <c r="E281" s="105"/>
      <c r="F281" s="107"/>
      <c r="G281" s="105"/>
      <c r="H281" s="108"/>
      <c r="I281" s="109"/>
      <c r="J281" s="110"/>
      <c r="K281" s="109"/>
      <c r="L281" s="109"/>
      <c r="M281" s="109"/>
    </row>
    <row r="282">
      <c r="A282" s="103"/>
      <c r="B282" s="104"/>
      <c r="C282" s="105"/>
      <c r="D282" s="106"/>
      <c r="E282" s="105"/>
      <c r="F282" s="107"/>
      <c r="G282" s="105"/>
      <c r="H282" s="108"/>
      <c r="I282" s="109"/>
      <c r="J282" s="110"/>
      <c r="K282" s="109"/>
      <c r="L282" s="109"/>
      <c r="M282" s="109"/>
    </row>
    <row r="283">
      <c r="A283" s="103"/>
      <c r="B283" s="104"/>
      <c r="C283" s="105"/>
      <c r="D283" s="106"/>
      <c r="E283" s="105"/>
      <c r="F283" s="107"/>
      <c r="G283" s="105"/>
      <c r="H283" s="108"/>
      <c r="I283" s="109"/>
      <c r="J283" s="110"/>
      <c r="K283" s="109"/>
      <c r="L283" s="109"/>
      <c r="M283" s="109"/>
    </row>
    <row r="284">
      <c r="A284" s="103"/>
      <c r="B284" s="104"/>
      <c r="C284" s="105"/>
      <c r="D284" s="106"/>
      <c r="E284" s="105"/>
      <c r="F284" s="107"/>
      <c r="G284" s="105"/>
      <c r="H284" s="108"/>
      <c r="I284" s="109"/>
      <c r="J284" s="110"/>
      <c r="K284" s="109"/>
      <c r="L284" s="109"/>
      <c r="M284" s="109"/>
    </row>
    <row r="285">
      <c r="A285" s="103"/>
      <c r="B285" s="104"/>
      <c r="C285" s="105"/>
      <c r="D285" s="106"/>
      <c r="E285" s="105"/>
      <c r="F285" s="107"/>
      <c r="G285" s="105"/>
      <c r="H285" s="108"/>
      <c r="I285" s="109"/>
      <c r="J285" s="110"/>
      <c r="K285" s="109"/>
      <c r="L285" s="109"/>
      <c r="M285" s="109"/>
    </row>
    <row r="286">
      <c r="A286" s="103"/>
      <c r="B286" s="104"/>
      <c r="C286" s="105"/>
      <c r="D286" s="106"/>
      <c r="E286" s="105"/>
      <c r="F286" s="107"/>
      <c r="G286" s="105"/>
      <c r="H286" s="108"/>
      <c r="I286" s="109"/>
      <c r="J286" s="110"/>
      <c r="K286" s="109"/>
      <c r="L286" s="109"/>
      <c r="M286" s="109"/>
    </row>
    <row r="287">
      <c r="A287" s="103"/>
      <c r="B287" s="104"/>
      <c r="C287" s="105"/>
      <c r="D287" s="106"/>
      <c r="E287" s="105"/>
      <c r="F287" s="107"/>
      <c r="G287" s="105"/>
      <c r="H287" s="108"/>
      <c r="I287" s="109"/>
      <c r="J287" s="110"/>
      <c r="K287" s="109"/>
      <c r="L287" s="109"/>
      <c r="M287" s="109"/>
    </row>
    <row r="288">
      <c r="A288" s="103"/>
      <c r="B288" s="104"/>
      <c r="C288" s="105"/>
      <c r="D288" s="106"/>
      <c r="E288" s="105"/>
      <c r="F288" s="107"/>
      <c r="G288" s="105"/>
      <c r="H288" s="108"/>
      <c r="I288" s="109"/>
      <c r="J288" s="110"/>
      <c r="K288" s="109"/>
      <c r="L288" s="109"/>
      <c r="M288" s="109"/>
    </row>
    <row r="289">
      <c r="A289" s="103"/>
      <c r="B289" s="104"/>
      <c r="C289" s="105"/>
      <c r="D289" s="106"/>
      <c r="E289" s="105"/>
      <c r="F289" s="107"/>
      <c r="G289" s="105"/>
      <c r="H289" s="108"/>
      <c r="I289" s="109"/>
      <c r="J289" s="110"/>
      <c r="K289" s="109"/>
      <c r="L289" s="109"/>
      <c r="M289" s="109"/>
    </row>
    <row r="290">
      <c r="A290" s="103"/>
      <c r="B290" s="104"/>
      <c r="C290" s="105"/>
      <c r="D290" s="106"/>
      <c r="E290" s="105"/>
      <c r="F290" s="107"/>
      <c r="G290" s="105"/>
      <c r="H290" s="108"/>
      <c r="I290" s="109"/>
      <c r="J290" s="110"/>
      <c r="K290" s="109"/>
      <c r="L290" s="109"/>
      <c r="M290" s="109"/>
    </row>
    <row r="291">
      <c r="A291" s="103"/>
      <c r="B291" s="104"/>
      <c r="C291" s="105"/>
      <c r="D291" s="106"/>
      <c r="E291" s="105"/>
      <c r="F291" s="107"/>
      <c r="G291" s="105"/>
      <c r="H291" s="108"/>
      <c r="I291" s="109"/>
      <c r="J291" s="110"/>
      <c r="K291" s="109"/>
      <c r="L291" s="109"/>
      <c r="M291" s="109"/>
    </row>
    <row r="292">
      <c r="A292" s="103"/>
      <c r="B292" s="104"/>
      <c r="C292" s="105"/>
      <c r="D292" s="106"/>
      <c r="E292" s="105"/>
      <c r="F292" s="107"/>
      <c r="G292" s="105"/>
      <c r="H292" s="108"/>
      <c r="I292" s="109"/>
      <c r="J292" s="110"/>
      <c r="K292" s="109"/>
      <c r="L292" s="109"/>
      <c r="M292" s="109"/>
    </row>
    <row r="293">
      <c r="A293" s="103"/>
      <c r="B293" s="104"/>
      <c r="C293" s="105"/>
      <c r="D293" s="106"/>
      <c r="E293" s="105"/>
      <c r="F293" s="107"/>
      <c r="G293" s="105"/>
      <c r="H293" s="108"/>
      <c r="I293" s="109"/>
      <c r="J293" s="110"/>
      <c r="K293" s="109"/>
      <c r="L293" s="109"/>
      <c r="M293" s="109"/>
    </row>
    <row r="294">
      <c r="A294" s="103"/>
      <c r="B294" s="104"/>
      <c r="C294" s="105"/>
      <c r="D294" s="106"/>
      <c r="E294" s="105"/>
      <c r="F294" s="107"/>
      <c r="G294" s="105"/>
      <c r="H294" s="108"/>
      <c r="I294" s="109"/>
      <c r="J294" s="110"/>
      <c r="K294" s="109"/>
      <c r="L294" s="109"/>
      <c r="M294" s="109"/>
    </row>
    <row r="295">
      <c r="A295" s="103"/>
      <c r="B295" s="104"/>
      <c r="C295" s="105"/>
      <c r="D295" s="106"/>
      <c r="E295" s="105"/>
      <c r="F295" s="107"/>
      <c r="G295" s="105"/>
      <c r="H295" s="108"/>
      <c r="I295" s="109"/>
      <c r="J295" s="110"/>
      <c r="K295" s="109"/>
      <c r="L295" s="109"/>
      <c r="M295" s="109"/>
    </row>
    <row r="296">
      <c r="A296" s="103"/>
      <c r="B296" s="104"/>
      <c r="C296" s="105"/>
      <c r="D296" s="106"/>
      <c r="E296" s="105"/>
      <c r="F296" s="107"/>
      <c r="G296" s="105"/>
      <c r="H296" s="108"/>
      <c r="I296" s="109"/>
      <c r="J296" s="110"/>
      <c r="K296" s="109"/>
      <c r="L296" s="109"/>
      <c r="M296" s="109"/>
    </row>
    <row r="297">
      <c r="A297" s="103"/>
      <c r="B297" s="104"/>
      <c r="C297" s="105"/>
      <c r="D297" s="106"/>
      <c r="E297" s="105"/>
      <c r="F297" s="107"/>
      <c r="G297" s="105"/>
      <c r="H297" s="108"/>
      <c r="I297" s="109"/>
      <c r="J297" s="110"/>
      <c r="K297" s="109"/>
      <c r="L297" s="109"/>
      <c r="M297" s="109"/>
    </row>
    <row r="298">
      <c r="A298" s="103"/>
      <c r="B298" s="104"/>
      <c r="C298" s="105"/>
      <c r="D298" s="106"/>
      <c r="E298" s="105"/>
      <c r="F298" s="107"/>
      <c r="G298" s="105"/>
      <c r="H298" s="108"/>
      <c r="I298" s="109"/>
      <c r="J298" s="110"/>
      <c r="K298" s="109"/>
      <c r="L298" s="109"/>
      <c r="M298" s="109"/>
    </row>
    <row r="299">
      <c r="A299" s="103"/>
      <c r="B299" s="104"/>
      <c r="C299" s="105"/>
      <c r="D299" s="106"/>
      <c r="E299" s="105"/>
      <c r="F299" s="107"/>
      <c r="G299" s="105"/>
      <c r="H299" s="108"/>
      <c r="I299" s="109"/>
      <c r="J299" s="110"/>
      <c r="K299" s="109"/>
      <c r="L299" s="109"/>
      <c r="M299" s="109"/>
    </row>
    <row r="300">
      <c r="A300" s="103"/>
      <c r="B300" s="104"/>
      <c r="C300" s="105"/>
      <c r="D300" s="106"/>
      <c r="E300" s="105"/>
      <c r="F300" s="107"/>
      <c r="G300" s="105"/>
      <c r="H300" s="108"/>
      <c r="I300" s="109"/>
      <c r="J300" s="110"/>
      <c r="K300" s="109"/>
      <c r="L300" s="109"/>
      <c r="M300" s="109"/>
    </row>
    <row r="301">
      <c r="A301" s="103"/>
      <c r="B301" s="104"/>
      <c r="C301" s="105"/>
      <c r="D301" s="106"/>
      <c r="E301" s="105"/>
      <c r="F301" s="107"/>
      <c r="G301" s="105"/>
      <c r="H301" s="108"/>
      <c r="I301" s="109"/>
      <c r="J301" s="110"/>
      <c r="K301" s="109"/>
      <c r="L301" s="109"/>
      <c r="M301" s="109"/>
    </row>
    <row r="302">
      <c r="A302" s="103"/>
      <c r="B302" s="104"/>
      <c r="C302" s="105"/>
      <c r="D302" s="106"/>
      <c r="E302" s="105"/>
      <c r="F302" s="107"/>
      <c r="G302" s="105"/>
      <c r="H302" s="108"/>
      <c r="I302" s="109"/>
      <c r="J302" s="110"/>
      <c r="K302" s="109"/>
      <c r="L302" s="109"/>
      <c r="M302" s="109"/>
    </row>
    <row r="303">
      <c r="A303" s="103"/>
      <c r="B303" s="104"/>
      <c r="C303" s="105"/>
      <c r="D303" s="106"/>
      <c r="E303" s="105"/>
      <c r="F303" s="107"/>
      <c r="G303" s="105"/>
      <c r="H303" s="108"/>
      <c r="I303" s="109"/>
      <c r="J303" s="110"/>
      <c r="K303" s="109"/>
      <c r="L303" s="109"/>
      <c r="M303" s="109"/>
    </row>
    <row r="304">
      <c r="A304" s="103"/>
      <c r="B304" s="104"/>
      <c r="C304" s="105"/>
      <c r="D304" s="106"/>
      <c r="E304" s="105"/>
      <c r="F304" s="107"/>
      <c r="G304" s="105"/>
      <c r="H304" s="108"/>
      <c r="I304" s="109"/>
      <c r="J304" s="110"/>
      <c r="K304" s="109"/>
      <c r="L304" s="109"/>
      <c r="M304" s="109"/>
    </row>
    <row r="305">
      <c r="A305" s="103"/>
      <c r="B305" s="104"/>
      <c r="C305" s="105"/>
      <c r="D305" s="106"/>
      <c r="E305" s="105"/>
      <c r="F305" s="107"/>
      <c r="G305" s="105"/>
      <c r="H305" s="108"/>
      <c r="I305" s="109"/>
      <c r="J305" s="110"/>
      <c r="K305" s="109"/>
      <c r="L305" s="109"/>
      <c r="M305" s="109"/>
    </row>
    <row r="306">
      <c r="A306" s="103"/>
      <c r="B306" s="104"/>
      <c r="C306" s="105"/>
      <c r="D306" s="106"/>
      <c r="E306" s="105"/>
      <c r="F306" s="107"/>
      <c r="G306" s="105"/>
      <c r="H306" s="108"/>
      <c r="I306" s="109"/>
      <c r="J306" s="110"/>
      <c r="K306" s="109"/>
      <c r="L306" s="109"/>
      <c r="M306" s="109"/>
    </row>
    <row r="307">
      <c r="A307" s="103"/>
      <c r="B307" s="104"/>
      <c r="C307" s="105"/>
      <c r="D307" s="106"/>
      <c r="E307" s="105"/>
      <c r="F307" s="107"/>
      <c r="G307" s="105"/>
      <c r="H307" s="108"/>
      <c r="I307" s="109"/>
      <c r="J307" s="110"/>
      <c r="K307" s="109"/>
      <c r="L307" s="109"/>
      <c r="M307" s="109"/>
    </row>
    <row r="308">
      <c r="A308" s="103"/>
      <c r="B308" s="104"/>
      <c r="C308" s="105"/>
      <c r="D308" s="106"/>
      <c r="E308" s="105"/>
      <c r="F308" s="107"/>
      <c r="G308" s="105"/>
      <c r="H308" s="108"/>
      <c r="I308" s="109"/>
      <c r="J308" s="110"/>
      <c r="K308" s="109"/>
      <c r="L308" s="109"/>
      <c r="M308" s="109"/>
    </row>
    <row r="309">
      <c r="A309" s="103"/>
      <c r="B309" s="104"/>
      <c r="C309" s="105"/>
      <c r="D309" s="106"/>
      <c r="E309" s="105"/>
      <c r="F309" s="107"/>
      <c r="G309" s="105"/>
      <c r="H309" s="108"/>
      <c r="I309" s="109"/>
      <c r="J309" s="110"/>
      <c r="K309" s="109"/>
      <c r="L309" s="109"/>
      <c r="M309" s="109"/>
    </row>
    <row r="310">
      <c r="A310" s="103"/>
      <c r="B310" s="104"/>
      <c r="C310" s="105"/>
      <c r="D310" s="106"/>
      <c r="E310" s="105"/>
      <c r="F310" s="107"/>
      <c r="G310" s="105"/>
      <c r="H310" s="108"/>
      <c r="I310" s="109"/>
      <c r="J310" s="110"/>
      <c r="K310" s="109"/>
      <c r="L310" s="109"/>
      <c r="M310" s="109"/>
    </row>
    <row r="311">
      <c r="A311" s="103"/>
      <c r="B311" s="104"/>
      <c r="C311" s="105"/>
      <c r="D311" s="106"/>
      <c r="E311" s="105"/>
      <c r="F311" s="107"/>
      <c r="G311" s="105"/>
      <c r="H311" s="108"/>
      <c r="I311" s="109"/>
      <c r="J311" s="110"/>
      <c r="K311" s="109"/>
      <c r="L311" s="109"/>
      <c r="M311" s="109"/>
    </row>
    <row r="312">
      <c r="A312" s="103"/>
      <c r="B312" s="104"/>
      <c r="C312" s="105"/>
      <c r="D312" s="106"/>
      <c r="E312" s="105"/>
      <c r="F312" s="107"/>
      <c r="G312" s="105"/>
      <c r="H312" s="108"/>
      <c r="I312" s="109"/>
      <c r="J312" s="110"/>
      <c r="K312" s="109"/>
      <c r="L312" s="109"/>
      <c r="M312" s="109"/>
    </row>
    <row r="313">
      <c r="A313" s="103"/>
      <c r="B313" s="104"/>
      <c r="C313" s="105"/>
      <c r="D313" s="106"/>
      <c r="E313" s="105"/>
      <c r="F313" s="107"/>
      <c r="G313" s="105"/>
      <c r="H313" s="108"/>
      <c r="I313" s="109"/>
      <c r="J313" s="110"/>
      <c r="K313" s="109"/>
      <c r="L313" s="109"/>
      <c r="M313" s="109"/>
    </row>
    <row r="314">
      <c r="A314" s="103"/>
      <c r="B314" s="104"/>
      <c r="C314" s="105"/>
      <c r="D314" s="106"/>
      <c r="E314" s="105"/>
      <c r="F314" s="107"/>
      <c r="G314" s="105"/>
      <c r="H314" s="108"/>
      <c r="I314" s="109"/>
      <c r="J314" s="110"/>
      <c r="K314" s="109"/>
      <c r="L314" s="109"/>
      <c r="M314" s="109"/>
    </row>
    <row r="315">
      <c r="A315" s="103"/>
      <c r="B315" s="104"/>
      <c r="C315" s="105"/>
      <c r="D315" s="106"/>
      <c r="E315" s="105"/>
      <c r="F315" s="107"/>
      <c r="G315" s="105"/>
      <c r="H315" s="108"/>
      <c r="I315" s="109"/>
      <c r="J315" s="110"/>
      <c r="K315" s="109"/>
      <c r="L315" s="109"/>
      <c r="M315" s="109"/>
    </row>
    <row r="316">
      <c r="A316" s="103"/>
      <c r="B316" s="104"/>
      <c r="C316" s="105"/>
      <c r="D316" s="106"/>
      <c r="E316" s="105"/>
      <c r="F316" s="107"/>
      <c r="G316" s="105"/>
      <c r="H316" s="108"/>
      <c r="I316" s="109"/>
      <c r="J316" s="110"/>
      <c r="K316" s="109"/>
      <c r="L316" s="109"/>
      <c r="M316" s="109"/>
    </row>
    <row r="317">
      <c r="A317" s="103"/>
      <c r="B317" s="104"/>
      <c r="C317" s="105"/>
      <c r="D317" s="106"/>
      <c r="E317" s="105"/>
      <c r="F317" s="107"/>
      <c r="G317" s="105"/>
      <c r="H317" s="108"/>
      <c r="I317" s="109"/>
      <c r="J317" s="110"/>
      <c r="K317" s="109"/>
      <c r="L317" s="109"/>
      <c r="M317" s="109"/>
    </row>
    <row r="318">
      <c r="A318" s="103"/>
      <c r="B318" s="104"/>
      <c r="C318" s="105"/>
      <c r="D318" s="106"/>
      <c r="E318" s="105"/>
      <c r="F318" s="107"/>
      <c r="G318" s="105"/>
      <c r="H318" s="108"/>
      <c r="I318" s="109"/>
      <c r="J318" s="110"/>
      <c r="K318" s="109"/>
      <c r="L318" s="109"/>
      <c r="M318" s="109"/>
    </row>
    <row r="319">
      <c r="A319" s="103"/>
      <c r="B319" s="104"/>
      <c r="C319" s="105"/>
      <c r="D319" s="106"/>
      <c r="E319" s="105"/>
      <c r="F319" s="107"/>
      <c r="G319" s="105"/>
      <c r="H319" s="108"/>
      <c r="I319" s="109"/>
      <c r="J319" s="110"/>
      <c r="K319" s="109"/>
      <c r="L319" s="109"/>
      <c r="M319" s="109"/>
    </row>
    <row r="320">
      <c r="A320" s="103"/>
      <c r="B320" s="104"/>
      <c r="C320" s="105"/>
      <c r="D320" s="106"/>
      <c r="E320" s="105"/>
      <c r="F320" s="107"/>
      <c r="G320" s="105"/>
      <c r="H320" s="108"/>
      <c r="I320" s="109"/>
      <c r="J320" s="110"/>
      <c r="K320" s="109"/>
      <c r="L320" s="109"/>
      <c r="M320" s="109"/>
    </row>
    <row r="321">
      <c r="A321" s="103"/>
      <c r="B321" s="104"/>
      <c r="C321" s="105"/>
      <c r="D321" s="106"/>
      <c r="E321" s="105"/>
      <c r="F321" s="107"/>
      <c r="G321" s="105"/>
      <c r="H321" s="108"/>
      <c r="I321" s="109"/>
      <c r="J321" s="110"/>
      <c r="K321" s="109"/>
      <c r="L321" s="109"/>
      <c r="M321" s="109"/>
    </row>
    <row r="322">
      <c r="A322" s="103"/>
      <c r="B322" s="104"/>
      <c r="C322" s="105"/>
      <c r="D322" s="106"/>
      <c r="E322" s="105"/>
      <c r="F322" s="107"/>
      <c r="G322" s="105"/>
      <c r="H322" s="108"/>
      <c r="I322" s="109"/>
      <c r="J322" s="110"/>
      <c r="K322" s="109"/>
      <c r="L322" s="109"/>
      <c r="M322" s="109"/>
    </row>
    <row r="323">
      <c r="A323" s="103"/>
      <c r="B323" s="104"/>
      <c r="C323" s="105"/>
      <c r="D323" s="106"/>
      <c r="E323" s="105"/>
      <c r="F323" s="107"/>
      <c r="G323" s="105"/>
      <c r="H323" s="108"/>
      <c r="I323" s="109"/>
      <c r="J323" s="110"/>
      <c r="K323" s="109"/>
      <c r="L323" s="109"/>
      <c r="M323" s="109"/>
    </row>
    <row r="324">
      <c r="A324" s="103"/>
      <c r="B324" s="104"/>
      <c r="C324" s="105"/>
      <c r="D324" s="106"/>
      <c r="E324" s="105"/>
      <c r="F324" s="107"/>
      <c r="G324" s="105"/>
      <c r="H324" s="108"/>
      <c r="I324" s="109"/>
      <c r="J324" s="110"/>
      <c r="K324" s="109"/>
      <c r="L324" s="109"/>
      <c r="M324" s="109"/>
    </row>
    <row r="325">
      <c r="A325" s="103"/>
      <c r="B325" s="104"/>
      <c r="C325" s="105"/>
      <c r="D325" s="106"/>
      <c r="E325" s="105"/>
      <c r="F325" s="107"/>
      <c r="G325" s="105"/>
      <c r="H325" s="108"/>
      <c r="I325" s="109"/>
      <c r="J325" s="110"/>
      <c r="K325" s="109"/>
      <c r="L325" s="109"/>
      <c r="M325" s="109"/>
    </row>
    <row r="326">
      <c r="A326" s="103"/>
      <c r="B326" s="104"/>
      <c r="C326" s="105"/>
      <c r="D326" s="106"/>
      <c r="E326" s="105"/>
      <c r="F326" s="107"/>
      <c r="G326" s="105"/>
      <c r="H326" s="108"/>
      <c r="I326" s="109"/>
      <c r="J326" s="110"/>
      <c r="K326" s="109"/>
      <c r="L326" s="109"/>
      <c r="M326" s="109"/>
    </row>
    <row r="327">
      <c r="A327" s="103"/>
      <c r="B327" s="104"/>
      <c r="C327" s="105"/>
      <c r="D327" s="106"/>
      <c r="E327" s="105"/>
      <c r="F327" s="107"/>
      <c r="G327" s="105"/>
      <c r="H327" s="108"/>
      <c r="I327" s="109"/>
      <c r="J327" s="110"/>
      <c r="K327" s="109"/>
      <c r="L327" s="109"/>
      <c r="M327" s="109"/>
    </row>
    <row r="328">
      <c r="A328" s="103"/>
      <c r="B328" s="104"/>
      <c r="C328" s="105"/>
      <c r="D328" s="106"/>
      <c r="E328" s="105"/>
      <c r="F328" s="107"/>
      <c r="G328" s="105"/>
      <c r="H328" s="108"/>
      <c r="I328" s="109"/>
      <c r="J328" s="110"/>
      <c r="K328" s="109"/>
      <c r="L328" s="109"/>
      <c r="M328" s="109"/>
    </row>
    <row r="329">
      <c r="A329" s="103"/>
      <c r="B329" s="104"/>
      <c r="C329" s="105"/>
      <c r="D329" s="106"/>
      <c r="E329" s="105"/>
      <c r="F329" s="107"/>
      <c r="G329" s="105"/>
      <c r="H329" s="108"/>
      <c r="I329" s="109"/>
      <c r="J329" s="110"/>
      <c r="K329" s="109"/>
      <c r="L329" s="109"/>
      <c r="M329" s="109"/>
    </row>
    <row r="330">
      <c r="A330" s="103"/>
      <c r="B330" s="104"/>
      <c r="C330" s="105"/>
      <c r="D330" s="106"/>
      <c r="E330" s="105"/>
      <c r="F330" s="107"/>
      <c r="G330" s="105"/>
      <c r="H330" s="108"/>
      <c r="I330" s="109"/>
      <c r="J330" s="110"/>
      <c r="K330" s="109"/>
      <c r="L330" s="109"/>
      <c r="M330" s="109"/>
    </row>
    <row r="331">
      <c r="A331" s="103"/>
      <c r="B331" s="104"/>
      <c r="C331" s="105"/>
      <c r="D331" s="106"/>
      <c r="E331" s="105"/>
      <c r="F331" s="107"/>
      <c r="G331" s="105"/>
      <c r="H331" s="108"/>
      <c r="I331" s="109"/>
      <c r="J331" s="110"/>
      <c r="K331" s="109"/>
      <c r="L331" s="109"/>
      <c r="M331" s="109"/>
    </row>
    <row r="332">
      <c r="A332" s="103"/>
      <c r="B332" s="104"/>
      <c r="C332" s="105"/>
      <c r="D332" s="106"/>
      <c r="E332" s="105"/>
      <c r="F332" s="107"/>
      <c r="G332" s="105"/>
      <c r="H332" s="108"/>
      <c r="I332" s="109"/>
      <c r="J332" s="110"/>
      <c r="K332" s="109"/>
      <c r="L332" s="109"/>
      <c r="M332" s="109"/>
    </row>
    <row r="333">
      <c r="A333" s="103"/>
      <c r="B333" s="104"/>
      <c r="C333" s="105"/>
      <c r="D333" s="106"/>
      <c r="E333" s="105"/>
      <c r="F333" s="107"/>
      <c r="G333" s="105"/>
      <c r="H333" s="108"/>
      <c r="I333" s="109"/>
      <c r="J333" s="110"/>
      <c r="K333" s="109"/>
      <c r="L333" s="109"/>
      <c r="M333" s="109"/>
    </row>
    <row r="334">
      <c r="A334" s="103"/>
      <c r="B334" s="104"/>
      <c r="C334" s="105"/>
      <c r="D334" s="106"/>
      <c r="E334" s="105"/>
      <c r="F334" s="107"/>
      <c r="G334" s="105"/>
      <c r="H334" s="108"/>
      <c r="I334" s="109"/>
      <c r="J334" s="110"/>
      <c r="K334" s="109"/>
      <c r="L334" s="109"/>
      <c r="M334" s="109"/>
    </row>
    <row r="335">
      <c r="A335" s="103"/>
      <c r="B335" s="104"/>
      <c r="C335" s="105"/>
      <c r="D335" s="106"/>
      <c r="E335" s="105"/>
      <c r="F335" s="107"/>
      <c r="G335" s="105"/>
      <c r="H335" s="108"/>
      <c r="I335" s="109"/>
      <c r="J335" s="110"/>
      <c r="K335" s="109"/>
      <c r="L335" s="109"/>
      <c r="M335" s="109"/>
    </row>
    <row r="336">
      <c r="A336" s="103"/>
      <c r="B336" s="104"/>
      <c r="C336" s="105"/>
      <c r="D336" s="106"/>
      <c r="E336" s="105"/>
      <c r="F336" s="107"/>
      <c r="G336" s="105"/>
      <c r="H336" s="108"/>
      <c r="I336" s="109"/>
      <c r="J336" s="110"/>
      <c r="K336" s="109"/>
      <c r="L336" s="109"/>
      <c r="M336" s="109"/>
    </row>
    <row r="337">
      <c r="A337" s="103"/>
      <c r="B337" s="104"/>
      <c r="C337" s="105"/>
      <c r="D337" s="106"/>
      <c r="E337" s="105"/>
      <c r="F337" s="107"/>
      <c r="G337" s="105"/>
      <c r="H337" s="108"/>
      <c r="I337" s="109"/>
      <c r="J337" s="110"/>
      <c r="K337" s="109"/>
      <c r="L337" s="109"/>
      <c r="M337" s="109"/>
    </row>
    <row r="338">
      <c r="A338" s="103"/>
      <c r="B338" s="104"/>
      <c r="C338" s="105"/>
      <c r="D338" s="106"/>
      <c r="E338" s="105"/>
      <c r="F338" s="107"/>
      <c r="G338" s="105"/>
      <c r="H338" s="108"/>
      <c r="I338" s="109"/>
      <c r="J338" s="110"/>
      <c r="K338" s="109"/>
      <c r="L338" s="109"/>
      <c r="M338" s="109"/>
    </row>
    <row r="339">
      <c r="A339" s="103"/>
      <c r="B339" s="104"/>
      <c r="C339" s="105"/>
      <c r="D339" s="106"/>
      <c r="E339" s="105"/>
      <c r="F339" s="107"/>
      <c r="G339" s="105"/>
      <c r="H339" s="108"/>
      <c r="I339" s="109"/>
      <c r="J339" s="110"/>
      <c r="K339" s="109"/>
      <c r="L339" s="109"/>
      <c r="M339" s="109"/>
    </row>
    <row r="340">
      <c r="A340" s="103"/>
      <c r="B340" s="104"/>
      <c r="C340" s="105"/>
      <c r="D340" s="106"/>
      <c r="E340" s="105"/>
      <c r="F340" s="107"/>
      <c r="G340" s="105"/>
      <c r="H340" s="108"/>
      <c r="I340" s="109"/>
      <c r="J340" s="110"/>
      <c r="K340" s="109"/>
      <c r="L340" s="109"/>
      <c r="M340" s="109"/>
    </row>
    <row r="341">
      <c r="A341" s="103"/>
      <c r="B341" s="104"/>
      <c r="C341" s="105"/>
      <c r="D341" s="106"/>
      <c r="E341" s="105"/>
      <c r="F341" s="107"/>
      <c r="G341" s="105"/>
      <c r="H341" s="108"/>
      <c r="I341" s="109"/>
      <c r="J341" s="110"/>
      <c r="K341" s="109"/>
      <c r="L341" s="109"/>
      <c r="M341" s="109"/>
    </row>
    <row r="342">
      <c r="A342" s="103"/>
      <c r="B342" s="104"/>
      <c r="C342" s="105"/>
      <c r="D342" s="106"/>
      <c r="E342" s="105"/>
      <c r="F342" s="107"/>
      <c r="G342" s="105"/>
      <c r="H342" s="108"/>
      <c r="I342" s="109"/>
      <c r="J342" s="110"/>
      <c r="K342" s="109"/>
      <c r="L342" s="109"/>
      <c r="M342" s="109"/>
    </row>
    <row r="343">
      <c r="A343" s="103"/>
      <c r="B343" s="104"/>
      <c r="C343" s="105"/>
      <c r="D343" s="106"/>
      <c r="E343" s="105"/>
      <c r="F343" s="107"/>
      <c r="G343" s="105"/>
      <c r="H343" s="108"/>
      <c r="I343" s="109"/>
      <c r="J343" s="110"/>
      <c r="K343" s="109"/>
      <c r="L343" s="109"/>
      <c r="M343" s="109"/>
    </row>
    <row r="344">
      <c r="A344" s="103"/>
      <c r="B344" s="104"/>
      <c r="C344" s="105"/>
      <c r="D344" s="106"/>
      <c r="E344" s="105"/>
      <c r="F344" s="107"/>
      <c r="G344" s="105"/>
      <c r="H344" s="108"/>
      <c r="I344" s="109"/>
      <c r="J344" s="110"/>
      <c r="K344" s="109"/>
      <c r="L344" s="109"/>
      <c r="M344" s="109"/>
    </row>
    <row r="345">
      <c r="A345" s="103"/>
      <c r="B345" s="104"/>
      <c r="C345" s="105"/>
      <c r="D345" s="106"/>
      <c r="E345" s="105"/>
      <c r="F345" s="107"/>
      <c r="G345" s="105"/>
      <c r="H345" s="108"/>
      <c r="I345" s="109"/>
      <c r="J345" s="110"/>
      <c r="K345" s="109"/>
      <c r="L345" s="109"/>
      <c r="M345" s="109"/>
    </row>
    <row r="346">
      <c r="A346" s="103"/>
      <c r="B346" s="104"/>
      <c r="C346" s="105"/>
      <c r="D346" s="106"/>
      <c r="E346" s="105"/>
      <c r="F346" s="107"/>
      <c r="G346" s="105"/>
      <c r="H346" s="108"/>
      <c r="I346" s="109"/>
      <c r="J346" s="110"/>
      <c r="K346" s="109"/>
      <c r="L346" s="109"/>
      <c r="M346" s="109"/>
    </row>
    <row r="347">
      <c r="A347" s="103"/>
      <c r="B347" s="104"/>
      <c r="C347" s="105"/>
      <c r="D347" s="106"/>
      <c r="E347" s="105"/>
      <c r="F347" s="107"/>
      <c r="G347" s="105"/>
      <c r="H347" s="108"/>
      <c r="I347" s="109"/>
      <c r="J347" s="110"/>
      <c r="K347" s="109"/>
      <c r="L347" s="109"/>
      <c r="M347" s="109"/>
    </row>
    <row r="348">
      <c r="A348" s="103"/>
      <c r="B348" s="104"/>
      <c r="C348" s="105"/>
      <c r="D348" s="106"/>
      <c r="E348" s="105"/>
      <c r="F348" s="107"/>
      <c r="G348" s="105"/>
      <c r="H348" s="108"/>
      <c r="I348" s="109"/>
      <c r="J348" s="110"/>
      <c r="K348" s="109"/>
      <c r="L348" s="109"/>
      <c r="M348" s="109"/>
    </row>
    <row r="349">
      <c r="A349" s="103"/>
      <c r="B349" s="104"/>
      <c r="C349" s="105"/>
      <c r="D349" s="106"/>
      <c r="E349" s="105"/>
      <c r="F349" s="107"/>
      <c r="G349" s="105"/>
      <c r="H349" s="108"/>
      <c r="I349" s="109"/>
      <c r="J349" s="110"/>
      <c r="K349" s="109"/>
      <c r="L349" s="109"/>
      <c r="M349" s="109"/>
    </row>
    <row r="350">
      <c r="A350" s="103"/>
      <c r="B350" s="104"/>
      <c r="C350" s="105"/>
      <c r="D350" s="106"/>
      <c r="E350" s="105"/>
      <c r="F350" s="107"/>
      <c r="G350" s="105"/>
      <c r="H350" s="108"/>
      <c r="I350" s="109"/>
      <c r="J350" s="110"/>
      <c r="K350" s="109"/>
      <c r="L350" s="109"/>
      <c r="M350" s="109"/>
    </row>
    <row r="351">
      <c r="A351" s="103"/>
      <c r="B351" s="104"/>
      <c r="C351" s="105"/>
      <c r="D351" s="106"/>
      <c r="E351" s="105"/>
      <c r="F351" s="107"/>
      <c r="G351" s="105"/>
      <c r="H351" s="108"/>
      <c r="I351" s="109"/>
      <c r="J351" s="110"/>
      <c r="K351" s="109"/>
      <c r="L351" s="109"/>
      <c r="M351" s="109"/>
    </row>
    <row r="352">
      <c r="A352" s="103"/>
      <c r="B352" s="104"/>
      <c r="C352" s="105"/>
      <c r="D352" s="106"/>
      <c r="E352" s="105"/>
      <c r="F352" s="107"/>
      <c r="G352" s="105"/>
      <c r="H352" s="108"/>
      <c r="I352" s="109"/>
      <c r="J352" s="110"/>
      <c r="K352" s="109"/>
      <c r="L352" s="109"/>
      <c r="M352" s="109"/>
    </row>
    <row r="353">
      <c r="A353" s="103"/>
      <c r="B353" s="104"/>
      <c r="C353" s="105"/>
      <c r="D353" s="106"/>
      <c r="E353" s="105"/>
      <c r="F353" s="107"/>
      <c r="G353" s="105"/>
      <c r="H353" s="108"/>
      <c r="I353" s="109"/>
      <c r="J353" s="110"/>
      <c r="K353" s="109"/>
      <c r="L353" s="109"/>
      <c r="M353" s="109"/>
    </row>
    <row r="354">
      <c r="A354" s="103"/>
      <c r="B354" s="104"/>
      <c r="C354" s="105"/>
      <c r="D354" s="106"/>
      <c r="E354" s="105"/>
      <c r="F354" s="107"/>
      <c r="G354" s="105"/>
      <c r="H354" s="108"/>
      <c r="I354" s="109"/>
      <c r="J354" s="110"/>
      <c r="K354" s="109"/>
      <c r="L354" s="109"/>
      <c r="M354" s="109"/>
    </row>
    <row r="355">
      <c r="A355" s="103"/>
      <c r="B355" s="104"/>
      <c r="C355" s="105"/>
      <c r="D355" s="106"/>
      <c r="E355" s="105"/>
      <c r="F355" s="107"/>
      <c r="G355" s="105"/>
      <c r="H355" s="108"/>
      <c r="I355" s="109"/>
      <c r="J355" s="110"/>
      <c r="K355" s="109"/>
      <c r="L355" s="109"/>
      <c r="M355" s="109"/>
    </row>
    <row r="356">
      <c r="A356" s="103"/>
      <c r="B356" s="104"/>
      <c r="C356" s="105"/>
      <c r="D356" s="106"/>
      <c r="E356" s="105"/>
      <c r="F356" s="107"/>
      <c r="G356" s="105"/>
      <c r="H356" s="108"/>
      <c r="I356" s="109"/>
      <c r="J356" s="110"/>
      <c r="K356" s="109"/>
      <c r="L356" s="109"/>
      <c r="M356" s="109"/>
    </row>
    <row r="357">
      <c r="A357" s="103"/>
      <c r="B357" s="104"/>
      <c r="C357" s="105"/>
      <c r="D357" s="106"/>
      <c r="E357" s="105"/>
      <c r="F357" s="107"/>
      <c r="G357" s="105"/>
      <c r="H357" s="108"/>
      <c r="I357" s="109"/>
      <c r="J357" s="110"/>
      <c r="K357" s="109"/>
      <c r="L357" s="109"/>
      <c r="M357" s="109"/>
    </row>
    <row r="358">
      <c r="A358" s="103"/>
      <c r="B358" s="104"/>
      <c r="C358" s="105"/>
      <c r="D358" s="106"/>
      <c r="E358" s="105"/>
      <c r="F358" s="107"/>
      <c r="G358" s="105"/>
      <c r="H358" s="108"/>
      <c r="I358" s="109"/>
      <c r="J358" s="110"/>
      <c r="K358" s="109"/>
      <c r="L358" s="109"/>
      <c r="M358" s="109"/>
    </row>
    <row r="359">
      <c r="A359" s="103"/>
      <c r="B359" s="104"/>
      <c r="C359" s="105"/>
      <c r="D359" s="106"/>
      <c r="E359" s="105"/>
      <c r="F359" s="107"/>
      <c r="G359" s="105"/>
      <c r="H359" s="108"/>
      <c r="I359" s="109"/>
      <c r="J359" s="110"/>
      <c r="K359" s="109"/>
      <c r="L359" s="109"/>
      <c r="M359" s="109"/>
    </row>
    <row r="360">
      <c r="A360" s="103"/>
      <c r="B360" s="104"/>
      <c r="C360" s="105"/>
      <c r="D360" s="106"/>
      <c r="E360" s="105"/>
      <c r="F360" s="107"/>
      <c r="G360" s="105"/>
      <c r="H360" s="108"/>
      <c r="I360" s="109"/>
      <c r="J360" s="110"/>
      <c r="K360" s="109"/>
      <c r="L360" s="109"/>
      <c r="M360" s="109"/>
    </row>
    <row r="361">
      <c r="A361" s="103"/>
      <c r="B361" s="104"/>
      <c r="C361" s="105"/>
      <c r="D361" s="106"/>
      <c r="E361" s="105"/>
      <c r="F361" s="107"/>
      <c r="G361" s="105"/>
      <c r="H361" s="108"/>
      <c r="I361" s="109"/>
      <c r="J361" s="110"/>
      <c r="K361" s="109"/>
      <c r="L361" s="109"/>
      <c r="M361" s="109"/>
    </row>
    <row r="362">
      <c r="A362" s="103"/>
      <c r="B362" s="104"/>
      <c r="C362" s="105"/>
      <c r="D362" s="106"/>
      <c r="E362" s="105"/>
      <c r="F362" s="107"/>
      <c r="G362" s="105"/>
      <c r="H362" s="108"/>
      <c r="I362" s="109"/>
      <c r="J362" s="110"/>
      <c r="K362" s="109"/>
      <c r="L362" s="109"/>
      <c r="M362" s="109"/>
    </row>
    <row r="363">
      <c r="A363" s="103"/>
      <c r="B363" s="104"/>
      <c r="C363" s="105"/>
      <c r="D363" s="106"/>
      <c r="E363" s="105"/>
      <c r="F363" s="107"/>
      <c r="G363" s="105"/>
      <c r="H363" s="108"/>
      <c r="I363" s="109"/>
      <c r="J363" s="110"/>
      <c r="K363" s="109"/>
      <c r="L363" s="109"/>
      <c r="M363" s="109"/>
    </row>
    <row r="364">
      <c r="A364" s="103"/>
      <c r="B364" s="104"/>
      <c r="C364" s="105"/>
      <c r="D364" s="106"/>
      <c r="E364" s="105"/>
      <c r="F364" s="107"/>
      <c r="G364" s="105"/>
      <c r="H364" s="108"/>
      <c r="I364" s="109"/>
      <c r="J364" s="110"/>
      <c r="K364" s="109"/>
      <c r="L364" s="109"/>
      <c r="M364" s="109"/>
    </row>
    <row r="365">
      <c r="A365" s="103"/>
      <c r="B365" s="104"/>
      <c r="C365" s="105"/>
      <c r="D365" s="106"/>
      <c r="E365" s="105"/>
      <c r="F365" s="107"/>
      <c r="G365" s="105"/>
      <c r="H365" s="108"/>
      <c r="I365" s="109"/>
      <c r="J365" s="110"/>
      <c r="K365" s="109"/>
      <c r="L365" s="109"/>
      <c r="M365" s="109"/>
    </row>
    <row r="366">
      <c r="A366" s="103"/>
      <c r="B366" s="104"/>
      <c r="C366" s="105"/>
      <c r="D366" s="106"/>
      <c r="E366" s="105"/>
      <c r="F366" s="107"/>
      <c r="G366" s="105"/>
      <c r="H366" s="108"/>
      <c r="I366" s="109"/>
      <c r="J366" s="110"/>
      <c r="K366" s="109"/>
      <c r="L366" s="109"/>
      <c r="M366" s="109"/>
    </row>
    <row r="367">
      <c r="A367" s="103"/>
      <c r="B367" s="104"/>
      <c r="C367" s="105"/>
      <c r="D367" s="106"/>
      <c r="E367" s="105"/>
      <c r="F367" s="107"/>
      <c r="G367" s="105"/>
      <c r="H367" s="108"/>
      <c r="I367" s="109"/>
      <c r="J367" s="110"/>
      <c r="K367" s="109"/>
      <c r="L367" s="109"/>
      <c r="M367" s="109"/>
    </row>
    <row r="368">
      <c r="A368" s="103"/>
      <c r="B368" s="104"/>
      <c r="C368" s="105"/>
      <c r="D368" s="106"/>
      <c r="E368" s="105"/>
      <c r="F368" s="107"/>
      <c r="G368" s="105"/>
      <c r="H368" s="108"/>
      <c r="I368" s="109"/>
      <c r="J368" s="110"/>
      <c r="K368" s="109"/>
      <c r="L368" s="109"/>
      <c r="M368" s="109"/>
    </row>
    <row r="369">
      <c r="A369" s="103"/>
      <c r="B369" s="104"/>
      <c r="C369" s="105"/>
      <c r="D369" s="106"/>
      <c r="E369" s="105"/>
      <c r="F369" s="107"/>
      <c r="G369" s="105"/>
      <c r="H369" s="108"/>
      <c r="I369" s="109"/>
      <c r="J369" s="110"/>
      <c r="K369" s="109"/>
      <c r="L369" s="109"/>
      <c r="M369" s="109"/>
    </row>
    <row r="370">
      <c r="A370" s="103"/>
      <c r="B370" s="104"/>
      <c r="C370" s="105"/>
      <c r="D370" s="106"/>
      <c r="E370" s="105"/>
      <c r="F370" s="107"/>
      <c r="G370" s="105"/>
      <c r="H370" s="108"/>
      <c r="I370" s="109"/>
      <c r="J370" s="110"/>
      <c r="K370" s="109"/>
      <c r="L370" s="109"/>
      <c r="M370" s="109"/>
    </row>
    <row r="371">
      <c r="A371" s="103"/>
      <c r="B371" s="104"/>
      <c r="C371" s="105"/>
      <c r="D371" s="106"/>
      <c r="E371" s="105"/>
      <c r="F371" s="107"/>
      <c r="G371" s="105"/>
      <c r="H371" s="108"/>
      <c r="I371" s="109"/>
      <c r="J371" s="110"/>
      <c r="K371" s="109"/>
      <c r="L371" s="109"/>
      <c r="M371" s="109"/>
    </row>
    <row r="372">
      <c r="A372" s="103"/>
      <c r="B372" s="104"/>
      <c r="C372" s="105"/>
      <c r="D372" s="106"/>
      <c r="E372" s="105"/>
      <c r="F372" s="107"/>
      <c r="G372" s="105"/>
      <c r="H372" s="108"/>
      <c r="I372" s="109"/>
      <c r="J372" s="110"/>
      <c r="K372" s="109"/>
      <c r="L372" s="109"/>
      <c r="M372" s="109"/>
    </row>
    <row r="373">
      <c r="A373" s="103"/>
      <c r="B373" s="104"/>
      <c r="C373" s="105"/>
      <c r="D373" s="106"/>
      <c r="E373" s="105"/>
      <c r="F373" s="107"/>
      <c r="G373" s="105"/>
      <c r="H373" s="108"/>
      <c r="I373" s="109"/>
      <c r="J373" s="110"/>
      <c r="K373" s="109"/>
      <c r="L373" s="109"/>
      <c r="M373" s="109"/>
    </row>
    <row r="374">
      <c r="A374" s="103"/>
      <c r="B374" s="104"/>
      <c r="C374" s="105"/>
      <c r="D374" s="106"/>
      <c r="E374" s="105"/>
      <c r="F374" s="107"/>
      <c r="G374" s="105"/>
      <c r="H374" s="108"/>
      <c r="I374" s="109"/>
      <c r="J374" s="110"/>
      <c r="K374" s="109"/>
      <c r="L374" s="109"/>
      <c r="M374" s="109"/>
    </row>
    <row r="375">
      <c r="A375" s="103"/>
      <c r="B375" s="104"/>
      <c r="C375" s="105"/>
      <c r="D375" s="106"/>
      <c r="E375" s="105"/>
      <c r="F375" s="107"/>
      <c r="G375" s="105"/>
      <c r="H375" s="108"/>
      <c r="I375" s="109"/>
      <c r="J375" s="110"/>
      <c r="K375" s="109"/>
      <c r="L375" s="109"/>
      <c r="M375" s="109"/>
    </row>
    <row r="376">
      <c r="A376" s="103"/>
      <c r="B376" s="104"/>
      <c r="C376" s="105"/>
      <c r="D376" s="106"/>
      <c r="E376" s="105"/>
      <c r="F376" s="107"/>
      <c r="G376" s="105"/>
      <c r="H376" s="108"/>
      <c r="I376" s="109"/>
      <c r="J376" s="110"/>
      <c r="K376" s="109"/>
      <c r="L376" s="109"/>
      <c r="M376" s="109"/>
    </row>
    <row r="377">
      <c r="A377" s="103"/>
      <c r="B377" s="104"/>
      <c r="C377" s="105"/>
      <c r="D377" s="106"/>
      <c r="E377" s="105"/>
      <c r="F377" s="107"/>
      <c r="G377" s="105"/>
      <c r="H377" s="108"/>
      <c r="I377" s="109"/>
      <c r="J377" s="110"/>
      <c r="K377" s="109"/>
      <c r="L377" s="109"/>
      <c r="M377" s="109"/>
    </row>
    <row r="378">
      <c r="A378" s="103"/>
      <c r="B378" s="104"/>
      <c r="C378" s="105"/>
      <c r="D378" s="106"/>
      <c r="E378" s="105"/>
      <c r="F378" s="107"/>
      <c r="G378" s="105"/>
      <c r="H378" s="108"/>
      <c r="I378" s="109"/>
      <c r="J378" s="110"/>
      <c r="K378" s="109"/>
      <c r="L378" s="109"/>
      <c r="M378" s="109"/>
    </row>
    <row r="379">
      <c r="A379" s="103"/>
      <c r="B379" s="104"/>
      <c r="C379" s="105"/>
      <c r="D379" s="106"/>
      <c r="E379" s="105"/>
      <c r="F379" s="107"/>
      <c r="G379" s="105"/>
      <c r="H379" s="108"/>
      <c r="I379" s="109"/>
      <c r="J379" s="110"/>
      <c r="K379" s="109"/>
      <c r="L379" s="109"/>
      <c r="M379" s="109"/>
    </row>
    <row r="380">
      <c r="A380" s="103"/>
      <c r="B380" s="104"/>
      <c r="C380" s="105"/>
      <c r="D380" s="106"/>
      <c r="E380" s="105"/>
      <c r="F380" s="107"/>
      <c r="G380" s="105"/>
      <c r="H380" s="108"/>
      <c r="I380" s="109"/>
      <c r="J380" s="110"/>
      <c r="K380" s="109"/>
      <c r="L380" s="109"/>
      <c r="M380" s="109"/>
    </row>
    <row r="381">
      <c r="A381" s="103"/>
      <c r="B381" s="104"/>
      <c r="C381" s="105"/>
      <c r="D381" s="106"/>
      <c r="E381" s="105"/>
      <c r="F381" s="107"/>
      <c r="G381" s="105"/>
      <c r="H381" s="108"/>
      <c r="I381" s="109"/>
      <c r="J381" s="110"/>
      <c r="K381" s="109"/>
      <c r="L381" s="109"/>
      <c r="M381" s="109"/>
    </row>
    <row r="382">
      <c r="A382" s="103"/>
      <c r="B382" s="104"/>
      <c r="C382" s="105"/>
      <c r="D382" s="106"/>
      <c r="E382" s="105"/>
      <c r="F382" s="107"/>
      <c r="G382" s="105"/>
      <c r="H382" s="108"/>
      <c r="I382" s="109"/>
      <c r="J382" s="110"/>
      <c r="K382" s="109"/>
      <c r="L382" s="109"/>
      <c r="M382" s="109"/>
    </row>
    <row r="383">
      <c r="A383" s="103"/>
      <c r="B383" s="104"/>
      <c r="C383" s="105"/>
      <c r="D383" s="106"/>
      <c r="E383" s="105"/>
      <c r="F383" s="107"/>
      <c r="G383" s="105"/>
      <c r="H383" s="108"/>
      <c r="I383" s="109"/>
      <c r="J383" s="110"/>
      <c r="K383" s="109"/>
      <c r="L383" s="109"/>
      <c r="M383" s="109"/>
    </row>
    <row r="384">
      <c r="A384" s="103"/>
      <c r="B384" s="104"/>
      <c r="C384" s="105"/>
      <c r="D384" s="106"/>
      <c r="E384" s="105"/>
      <c r="F384" s="107"/>
      <c r="G384" s="105"/>
      <c r="H384" s="108"/>
      <c r="I384" s="109"/>
      <c r="J384" s="110"/>
      <c r="K384" s="109"/>
      <c r="L384" s="109"/>
      <c r="M384" s="109"/>
    </row>
    <row r="385">
      <c r="A385" s="103"/>
      <c r="B385" s="104"/>
      <c r="C385" s="105"/>
      <c r="D385" s="106"/>
      <c r="E385" s="105"/>
      <c r="F385" s="107"/>
      <c r="G385" s="105"/>
      <c r="H385" s="108"/>
      <c r="I385" s="109"/>
      <c r="J385" s="110"/>
      <c r="K385" s="109"/>
      <c r="L385" s="109"/>
      <c r="M385" s="109"/>
    </row>
    <row r="386">
      <c r="A386" s="103"/>
      <c r="B386" s="104"/>
      <c r="C386" s="105"/>
      <c r="D386" s="106"/>
      <c r="E386" s="105"/>
      <c r="F386" s="107"/>
      <c r="G386" s="105"/>
      <c r="H386" s="108"/>
      <c r="I386" s="109"/>
      <c r="J386" s="110"/>
      <c r="K386" s="109"/>
      <c r="L386" s="109"/>
      <c r="M386" s="109"/>
    </row>
    <row r="387">
      <c r="A387" s="103"/>
      <c r="B387" s="104"/>
      <c r="C387" s="105"/>
      <c r="D387" s="106"/>
      <c r="E387" s="105"/>
      <c r="F387" s="107"/>
      <c r="G387" s="105"/>
      <c r="H387" s="108"/>
      <c r="I387" s="109"/>
      <c r="J387" s="110"/>
      <c r="K387" s="109"/>
      <c r="L387" s="109"/>
      <c r="M387" s="109"/>
    </row>
    <row r="388">
      <c r="A388" s="103"/>
      <c r="B388" s="104"/>
      <c r="C388" s="105"/>
      <c r="D388" s="106"/>
      <c r="E388" s="105"/>
      <c r="F388" s="107"/>
      <c r="G388" s="105"/>
      <c r="H388" s="108"/>
      <c r="I388" s="109"/>
      <c r="J388" s="110"/>
      <c r="K388" s="109"/>
      <c r="L388" s="109"/>
      <c r="M388" s="109"/>
    </row>
    <row r="389">
      <c r="A389" s="103"/>
      <c r="B389" s="104"/>
      <c r="C389" s="105"/>
      <c r="D389" s="106"/>
      <c r="E389" s="105"/>
      <c r="F389" s="107"/>
      <c r="G389" s="105"/>
      <c r="H389" s="108"/>
      <c r="I389" s="109"/>
      <c r="J389" s="110"/>
      <c r="K389" s="109"/>
      <c r="L389" s="109"/>
      <c r="M389" s="109"/>
    </row>
    <row r="390">
      <c r="A390" s="103"/>
      <c r="B390" s="104"/>
      <c r="C390" s="105"/>
      <c r="D390" s="106"/>
      <c r="E390" s="105"/>
      <c r="F390" s="107"/>
      <c r="G390" s="105"/>
      <c r="H390" s="108"/>
      <c r="I390" s="109"/>
      <c r="J390" s="110"/>
      <c r="K390" s="109"/>
      <c r="L390" s="109"/>
      <c r="M390" s="109"/>
    </row>
    <row r="391">
      <c r="A391" s="103"/>
      <c r="B391" s="104"/>
      <c r="C391" s="105"/>
      <c r="D391" s="106"/>
      <c r="E391" s="105"/>
      <c r="F391" s="107"/>
      <c r="G391" s="105"/>
      <c r="H391" s="108"/>
      <c r="I391" s="109"/>
      <c r="J391" s="110"/>
      <c r="K391" s="109"/>
      <c r="L391" s="109"/>
      <c r="M391" s="109"/>
    </row>
    <row r="392">
      <c r="A392" s="103"/>
      <c r="B392" s="104"/>
      <c r="C392" s="105"/>
      <c r="D392" s="106"/>
      <c r="E392" s="105"/>
      <c r="F392" s="107"/>
      <c r="G392" s="105"/>
      <c r="H392" s="108"/>
      <c r="I392" s="109"/>
      <c r="J392" s="110"/>
      <c r="K392" s="109"/>
      <c r="L392" s="109"/>
      <c r="M392" s="109"/>
    </row>
    <row r="393">
      <c r="A393" s="103"/>
      <c r="B393" s="104"/>
      <c r="C393" s="105"/>
      <c r="D393" s="106"/>
      <c r="E393" s="105"/>
      <c r="F393" s="107"/>
      <c r="G393" s="105"/>
      <c r="H393" s="108"/>
      <c r="I393" s="109"/>
      <c r="J393" s="110"/>
      <c r="K393" s="109"/>
      <c r="L393" s="109"/>
      <c r="M393" s="109"/>
    </row>
    <row r="394">
      <c r="A394" s="103"/>
      <c r="B394" s="104"/>
      <c r="C394" s="105"/>
      <c r="D394" s="106"/>
      <c r="E394" s="105"/>
      <c r="F394" s="107"/>
      <c r="G394" s="105"/>
      <c r="H394" s="108"/>
      <c r="I394" s="109"/>
      <c r="J394" s="110"/>
      <c r="K394" s="109"/>
      <c r="L394" s="109"/>
      <c r="M394" s="109"/>
    </row>
    <row r="395">
      <c r="A395" s="103"/>
      <c r="B395" s="104"/>
      <c r="C395" s="105"/>
      <c r="D395" s="106"/>
      <c r="E395" s="105"/>
      <c r="F395" s="107"/>
      <c r="G395" s="105"/>
      <c r="H395" s="108"/>
      <c r="I395" s="109"/>
      <c r="J395" s="110"/>
      <c r="K395" s="109"/>
      <c r="L395" s="109"/>
      <c r="M395" s="109"/>
    </row>
    <row r="396">
      <c r="A396" s="103"/>
      <c r="B396" s="104"/>
      <c r="C396" s="105"/>
      <c r="D396" s="106"/>
      <c r="E396" s="105"/>
      <c r="F396" s="107"/>
      <c r="G396" s="105"/>
      <c r="H396" s="108"/>
      <c r="I396" s="109"/>
      <c r="J396" s="110"/>
      <c r="K396" s="109"/>
      <c r="L396" s="109"/>
      <c r="M396" s="109"/>
    </row>
    <row r="397">
      <c r="A397" s="103"/>
      <c r="B397" s="104"/>
      <c r="C397" s="105"/>
      <c r="D397" s="106"/>
      <c r="E397" s="105"/>
      <c r="F397" s="107"/>
      <c r="G397" s="105"/>
      <c r="H397" s="108"/>
      <c r="I397" s="109"/>
      <c r="J397" s="110"/>
      <c r="K397" s="109"/>
      <c r="L397" s="109"/>
      <c r="M397" s="109"/>
    </row>
    <row r="398">
      <c r="A398" s="103"/>
      <c r="B398" s="104"/>
      <c r="C398" s="105"/>
      <c r="D398" s="106"/>
      <c r="E398" s="105"/>
      <c r="F398" s="107"/>
      <c r="G398" s="105"/>
      <c r="H398" s="108"/>
      <c r="I398" s="109"/>
      <c r="J398" s="110"/>
      <c r="K398" s="109"/>
      <c r="L398" s="109"/>
      <c r="M398" s="109"/>
    </row>
    <row r="399">
      <c r="A399" s="103"/>
      <c r="B399" s="104"/>
      <c r="C399" s="105"/>
      <c r="D399" s="106"/>
      <c r="E399" s="105"/>
      <c r="F399" s="107"/>
      <c r="G399" s="105"/>
      <c r="H399" s="108"/>
      <c r="I399" s="109"/>
      <c r="J399" s="110"/>
      <c r="K399" s="109"/>
      <c r="L399" s="109"/>
      <c r="M399" s="109"/>
    </row>
    <row r="400">
      <c r="A400" s="103"/>
      <c r="B400" s="104"/>
      <c r="C400" s="105"/>
      <c r="D400" s="106"/>
      <c r="E400" s="105"/>
      <c r="F400" s="107"/>
      <c r="G400" s="105"/>
      <c r="H400" s="108"/>
      <c r="I400" s="109"/>
      <c r="J400" s="110"/>
      <c r="K400" s="109"/>
      <c r="L400" s="109"/>
      <c r="M400" s="109"/>
    </row>
    <row r="401">
      <c r="A401" s="103"/>
      <c r="B401" s="104"/>
      <c r="C401" s="105"/>
      <c r="D401" s="106"/>
      <c r="E401" s="105"/>
      <c r="F401" s="107"/>
      <c r="G401" s="105"/>
      <c r="H401" s="108"/>
      <c r="I401" s="109"/>
      <c r="J401" s="110"/>
      <c r="K401" s="109"/>
      <c r="L401" s="109"/>
      <c r="M401" s="109"/>
    </row>
    <row r="402">
      <c r="A402" s="103"/>
      <c r="B402" s="104"/>
      <c r="C402" s="105"/>
      <c r="D402" s="106"/>
      <c r="E402" s="105"/>
      <c r="F402" s="107"/>
      <c r="G402" s="105"/>
      <c r="H402" s="108"/>
      <c r="I402" s="109"/>
      <c r="J402" s="110"/>
      <c r="K402" s="109"/>
      <c r="L402" s="109"/>
      <c r="M402" s="109"/>
    </row>
    <row r="403">
      <c r="A403" s="103"/>
      <c r="B403" s="104"/>
      <c r="C403" s="105"/>
      <c r="D403" s="106"/>
      <c r="E403" s="105"/>
      <c r="F403" s="107"/>
      <c r="G403" s="105"/>
      <c r="H403" s="108"/>
      <c r="I403" s="109"/>
      <c r="J403" s="110"/>
      <c r="K403" s="109"/>
      <c r="L403" s="109"/>
      <c r="M403" s="109"/>
    </row>
    <row r="404">
      <c r="A404" s="103"/>
      <c r="B404" s="104"/>
      <c r="C404" s="105"/>
      <c r="D404" s="106"/>
      <c r="E404" s="105"/>
      <c r="F404" s="107"/>
      <c r="G404" s="105"/>
      <c r="H404" s="108"/>
      <c r="I404" s="109"/>
      <c r="J404" s="110"/>
      <c r="K404" s="109"/>
      <c r="L404" s="109"/>
      <c r="M404" s="109"/>
    </row>
    <row r="405">
      <c r="A405" s="103"/>
      <c r="B405" s="104"/>
      <c r="C405" s="105"/>
      <c r="D405" s="106"/>
      <c r="E405" s="105"/>
      <c r="F405" s="107"/>
      <c r="G405" s="105"/>
      <c r="H405" s="108"/>
      <c r="I405" s="109"/>
      <c r="J405" s="110"/>
      <c r="K405" s="109"/>
      <c r="L405" s="109"/>
      <c r="M405" s="109"/>
    </row>
    <row r="406">
      <c r="A406" s="103"/>
      <c r="B406" s="104"/>
      <c r="C406" s="105"/>
      <c r="D406" s="106"/>
      <c r="E406" s="105"/>
      <c r="F406" s="107"/>
      <c r="G406" s="105"/>
      <c r="H406" s="108"/>
      <c r="I406" s="109"/>
      <c r="J406" s="110"/>
      <c r="K406" s="109"/>
      <c r="L406" s="109"/>
      <c r="M406" s="109"/>
    </row>
    <row r="407">
      <c r="A407" s="103"/>
      <c r="B407" s="104"/>
      <c r="C407" s="105"/>
      <c r="D407" s="106"/>
      <c r="E407" s="105"/>
      <c r="F407" s="107"/>
      <c r="G407" s="105"/>
      <c r="H407" s="108"/>
      <c r="I407" s="109"/>
      <c r="J407" s="110"/>
      <c r="K407" s="109"/>
      <c r="L407" s="109"/>
      <c r="M407" s="109"/>
    </row>
    <row r="408">
      <c r="A408" s="103"/>
      <c r="B408" s="104"/>
      <c r="C408" s="105"/>
      <c r="D408" s="106"/>
      <c r="E408" s="105"/>
      <c r="F408" s="107"/>
      <c r="G408" s="105"/>
      <c r="H408" s="108"/>
      <c r="I408" s="109"/>
      <c r="J408" s="110"/>
      <c r="K408" s="109"/>
      <c r="L408" s="109"/>
      <c r="M408" s="109"/>
    </row>
    <row r="409">
      <c r="A409" s="103"/>
      <c r="B409" s="104"/>
      <c r="C409" s="105"/>
      <c r="D409" s="106"/>
      <c r="E409" s="105"/>
      <c r="F409" s="107"/>
      <c r="G409" s="105"/>
      <c r="H409" s="108"/>
      <c r="I409" s="109"/>
      <c r="J409" s="110"/>
      <c r="K409" s="109"/>
      <c r="L409" s="109"/>
      <c r="M409" s="109"/>
    </row>
    <row r="410">
      <c r="A410" s="103"/>
      <c r="B410" s="104"/>
      <c r="C410" s="105"/>
      <c r="D410" s="106"/>
      <c r="E410" s="105"/>
      <c r="F410" s="107"/>
      <c r="G410" s="105"/>
      <c r="H410" s="108"/>
      <c r="I410" s="109"/>
      <c r="J410" s="110"/>
      <c r="K410" s="109"/>
      <c r="L410" s="109"/>
      <c r="M410" s="109"/>
    </row>
    <row r="411">
      <c r="A411" s="103"/>
      <c r="B411" s="104"/>
      <c r="C411" s="105"/>
      <c r="D411" s="106"/>
      <c r="E411" s="105"/>
      <c r="F411" s="107"/>
      <c r="G411" s="105"/>
      <c r="H411" s="108"/>
      <c r="I411" s="109"/>
      <c r="J411" s="110"/>
      <c r="K411" s="109"/>
      <c r="L411" s="109"/>
      <c r="M411" s="109"/>
    </row>
    <row r="412">
      <c r="A412" s="103"/>
      <c r="B412" s="104"/>
      <c r="C412" s="105"/>
      <c r="D412" s="106"/>
      <c r="E412" s="105"/>
      <c r="F412" s="107"/>
      <c r="G412" s="105"/>
      <c r="H412" s="108"/>
      <c r="I412" s="109"/>
      <c r="J412" s="110"/>
      <c r="K412" s="109"/>
      <c r="L412" s="109"/>
      <c r="M412" s="109"/>
    </row>
    <row r="413">
      <c r="A413" s="103"/>
      <c r="B413" s="104"/>
      <c r="C413" s="105"/>
      <c r="D413" s="106"/>
      <c r="E413" s="105"/>
      <c r="F413" s="107"/>
      <c r="G413" s="105"/>
      <c r="H413" s="108"/>
      <c r="I413" s="109"/>
      <c r="J413" s="110"/>
      <c r="K413" s="109"/>
      <c r="L413" s="109"/>
      <c r="M413" s="109"/>
    </row>
    <row r="414">
      <c r="A414" s="103"/>
      <c r="B414" s="104"/>
      <c r="C414" s="105"/>
      <c r="D414" s="106"/>
      <c r="E414" s="105"/>
      <c r="F414" s="107"/>
      <c r="G414" s="105"/>
      <c r="H414" s="108"/>
      <c r="I414" s="109"/>
      <c r="J414" s="110"/>
      <c r="K414" s="109"/>
      <c r="L414" s="109"/>
      <c r="M414" s="109"/>
    </row>
    <row r="415">
      <c r="A415" s="103"/>
      <c r="B415" s="104"/>
      <c r="C415" s="105"/>
      <c r="D415" s="106"/>
      <c r="E415" s="105"/>
      <c r="F415" s="107"/>
      <c r="G415" s="105"/>
      <c r="H415" s="108"/>
      <c r="I415" s="109"/>
      <c r="J415" s="110"/>
      <c r="K415" s="109"/>
      <c r="L415" s="109"/>
      <c r="M415" s="109"/>
    </row>
    <row r="416">
      <c r="A416" s="103"/>
      <c r="B416" s="104"/>
      <c r="C416" s="105"/>
      <c r="D416" s="106"/>
      <c r="E416" s="105"/>
      <c r="F416" s="107"/>
      <c r="G416" s="105"/>
      <c r="H416" s="108"/>
      <c r="I416" s="109"/>
      <c r="J416" s="110"/>
      <c r="K416" s="109"/>
      <c r="L416" s="109"/>
      <c r="M416" s="109"/>
    </row>
    <row r="417">
      <c r="A417" s="103"/>
      <c r="B417" s="104"/>
      <c r="C417" s="105"/>
      <c r="D417" s="106"/>
      <c r="E417" s="105"/>
      <c r="F417" s="107"/>
      <c r="G417" s="105"/>
      <c r="H417" s="108"/>
      <c r="I417" s="109"/>
      <c r="J417" s="110"/>
      <c r="K417" s="109"/>
      <c r="L417" s="109"/>
      <c r="M417" s="109"/>
    </row>
    <row r="418">
      <c r="A418" s="103"/>
      <c r="B418" s="104"/>
      <c r="C418" s="105"/>
      <c r="D418" s="106"/>
      <c r="E418" s="105"/>
      <c r="F418" s="107"/>
      <c r="G418" s="105"/>
      <c r="H418" s="108"/>
      <c r="I418" s="109"/>
      <c r="J418" s="110"/>
      <c r="K418" s="109"/>
      <c r="L418" s="109"/>
      <c r="M418" s="109"/>
    </row>
    <row r="419">
      <c r="A419" s="103"/>
      <c r="B419" s="104"/>
      <c r="C419" s="105"/>
      <c r="D419" s="106"/>
      <c r="E419" s="105"/>
      <c r="F419" s="107"/>
      <c r="G419" s="105"/>
      <c r="H419" s="108"/>
      <c r="I419" s="109"/>
      <c r="J419" s="110"/>
      <c r="K419" s="109"/>
      <c r="L419" s="109"/>
      <c r="M419" s="109"/>
    </row>
    <row r="420">
      <c r="A420" s="103"/>
      <c r="B420" s="104"/>
      <c r="C420" s="105"/>
      <c r="D420" s="106"/>
      <c r="E420" s="105"/>
      <c r="F420" s="107"/>
      <c r="G420" s="105"/>
      <c r="H420" s="108"/>
      <c r="I420" s="109"/>
      <c r="J420" s="110"/>
      <c r="K420" s="109"/>
      <c r="L420" s="109"/>
      <c r="M420" s="109"/>
    </row>
    <row r="421">
      <c r="A421" s="103"/>
      <c r="B421" s="104"/>
      <c r="C421" s="105"/>
      <c r="D421" s="106"/>
      <c r="E421" s="105"/>
      <c r="F421" s="107"/>
      <c r="G421" s="105"/>
      <c r="H421" s="108"/>
      <c r="I421" s="109"/>
      <c r="J421" s="110"/>
      <c r="K421" s="109"/>
      <c r="L421" s="109"/>
      <c r="M421" s="109"/>
    </row>
    <row r="422">
      <c r="A422" s="103"/>
      <c r="B422" s="104"/>
      <c r="C422" s="105"/>
      <c r="D422" s="106"/>
      <c r="E422" s="105"/>
      <c r="F422" s="107"/>
      <c r="G422" s="105"/>
      <c r="H422" s="108"/>
      <c r="I422" s="109"/>
      <c r="J422" s="110"/>
      <c r="K422" s="109"/>
      <c r="L422" s="109"/>
      <c r="M422" s="109"/>
    </row>
    <row r="423">
      <c r="A423" s="103"/>
      <c r="B423" s="104"/>
      <c r="C423" s="105"/>
      <c r="D423" s="106"/>
      <c r="E423" s="105"/>
      <c r="F423" s="107"/>
      <c r="G423" s="105"/>
      <c r="H423" s="108"/>
      <c r="I423" s="109"/>
      <c r="J423" s="110"/>
      <c r="K423" s="109"/>
      <c r="L423" s="109"/>
      <c r="M423" s="109"/>
    </row>
    <row r="424">
      <c r="A424" s="103"/>
      <c r="B424" s="104"/>
      <c r="C424" s="105"/>
      <c r="D424" s="106"/>
      <c r="E424" s="105"/>
      <c r="F424" s="107"/>
      <c r="G424" s="105"/>
      <c r="H424" s="108"/>
      <c r="I424" s="109"/>
      <c r="J424" s="110"/>
      <c r="K424" s="109"/>
      <c r="L424" s="109"/>
      <c r="M424" s="109"/>
    </row>
    <row r="425">
      <c r="A425" s="103"/>
      <c r="B425" s="104"/>
      <c r="C425" s="105"/>
      <c r="D425" s="106"/>
      <c r="E425" s="105"/>
      <c r="F425" s="107"/>
      <c r="G425" s="105"/>
      <c r="H425" s="108"/>
      <c r="I425" s="109"/>
      <c r="J425" s="110"/>
      <c r="K425" s="109"/>
      <c r="L425" s="109"/>
      <c r="M425" s="109"/>
    </row>
    <row r="426">
      <c r="A426" s="103"/>
      <c r="B426" s="104"/>
      <c r="C426" s="105"/>
      <c r="D426" s="106"/>
      <c r="E426" s="105"/>
      <c r="F426" s="107"/>
      <c r="G426" s="105"/>
      <c r="H426" s="108"/>
      <c r="I426" s="109"/>
      <c r="J426" s="110"/>
      <c r="K426" s="109"/>
      <c r="L426" s="109"/>
      <c r="M426" s="109"/>
    </row>
    <row r="427">
      <c r="A427" s="103"/>
      <c r="B427" s="104"/>
      <c r="C427" s="105"/>
      <c r="D427" s="106"/>
      <c r="E427" s="105"/>
      <c r="F427" s="107"/>
      <c r="G427" s="105"/>
      <c r="H427" s="108"/>
      <c r="I427" s="109"/>
      <c r="J427" s="110"/>
      <c r="K427" s="109"/>
      <c r="L427" s="109"/>
      <c r="M427" s="109"/>
    </row>
    <row r="428">
      <c r="A428" s="103"/>
      <c r="B428" s="104"/>
      <c r="C428" s="105"/>
      <c r="D428" s="106"/>
      <c r="E428" s="105"/>
      <c r="F428" s="107"/>
      <c r="G428" s="105"/>
      <c r="H428" s="108"/>
      <c r="I428" s="109"/>
      <c r="J428" s="110"/>
      <c r="K428" s="109"/>
      <c r="L428" s="109"/>
      <c r="M428" s="109"/>
    </row>
    <row r="429">
      <c r="A429" s="103"/>
      <c r="B429" s="104"/>
      <c r="C429" s="105"/>
      <c r="D429" s="106"/>
      <c r="E429" s="105"/>
      <c r="F429" s="107"/>
      <c r="G429" s="105"/>
      <c r="H429" s="108"/>
      <c r="I429" s="109"/>
      <c r="J429" s="110"/>
      <c r="K429" s="109"/>
      <c r="L429" s="109"/>
      <c r="M429" s="109"/>
    </row>
    <row r="430">
      <c r="A430" s="103"/>
      <c r="B430" s="104"/>
      <c r="C430" s="105"/>
      <c r="D430" s="106"/>
      <c r="E430" s="105"/>
      <c r="F430" s="107"/>
      <c r="G430" s="105"/>
      <c r="H430" s="108"/>
      <c r="I430" s="109"/>
      <c r="J430" s="110"/>
      <c r="K430" s="109"/>
      <c r="L430" s="109"/>
      <c r="M430" s="109"/>
    </row>
    <row r="431">
      <c r="A431" s="103"/>
      <c r="B431" s="104"/>
      <c r="C431" s="105"/>
      <c r="D431" s="106"/>
      <c r="E431" s="105"/>
      <c r="F431" s="107"/>
      <c r="G431" s="105"/>
      <c r="H431" s="108"/>
      <c r="I431" s="109"/>
      <c r="J431" s="110"/>
      <c r="K431" s="109"/>
      <c r="L431" s="109"/>
      <c r="M431" s="109"/>
    </row>
    <row r="432">
      <c r="A432" s="103"/>
      <c r="B432" s="104"/>
      <c r="C432" s="105"/>
      <c r="D432" s="106"/>
      <c r="E432" s="105"/>
      <c r="F432" s="107"/>
      <c r="G432" s="105"/>
      <c r="H432" s="108"/>
      <c r="I432" s="109"/>
      <c r="J432" s="110"/>
      <c r="K432" s="109"/>
      <c r="L432" s="109"/>
      <c r="M432" s="109"/>
    </row>
    <row r="433">
      <c r="A433" s="103"/>
      <c r="B433" s="104"/>
      <c r="C433" s="105"/>
      <c r="D433" s="106"/>
      <c r="E433" s="105"/>
      <c r="F433" s="107"/>
      <c r="G433" s="105"/>
      <c r="H433" s="108"/>
      <c r="I433" s="109"/>
      <c r="J433" s="110"/>
      <c r="K433" s="109"/>
      <c r="L433" s="109"/>
      <c r="M433" s="109"/>
    </row>
    <row r="434">
      <c r="A434" s="103"/>
      <c r="B434" s="104"/>
      <c r="C434" s="105"/>
      <c r="D434" s="106"/>
      <c r="E434" s="105"/>
      <c r="F434" s="107"/>
      <c r="G434" s="105"/>
      <c r="H434" s="108"/>
      <c r="I434" s="109"/>
      <c r="J434" s="110"/>
      <c r="K434" s="109"/>
      <c r="L434" s="109"/>
      <c r="M434" s="109"/>
    </row>
    <row r="435">
      <c r="A435" s="103"/>
      <c r="B435" s="104"/>
      <c r="C435" s="105"/>
      <c r="D435" s="106"/>
      <c r="E435" s="105"/>
      <c r="F435" s="107"/>
      <c r="G435" s="105"/>
      <c r="H435" s="108"/>
      <c r="I435" s="109"/>
      <c r="J435" s="110"/>
      <c r="K435" s="109"/>
      <c r="L435" s="109"/>
      <c r="M435" s="109"/>
    </row>
    <row r="436">
      <c r="A436" s="103"/>
      <c r="B436" s="104"/>
      <c r="C436" s="105"/>
      <c r="D436" s="106"/>
      <c r="E436" s="105"/>
      <c r="F436" s="107"/>
      <c r="G436" s="105"/>
      <c r="H436" s="108"/>
      <c r="I436" s="109"/>
      <c r="J436" s="110"/>
      <c r="K436" s="109"/>
      <c r="L436" s="109"/>
      <c r="M436" s="109"/>
    </row>
    <row r="437">
      <c r="A437" s="103"/>
      <c r="B437" s="104"/>
      <c r="C437" s="105"/>
      <c r="D437" s="106"/>
      <c r="E437" s="105"/>
      <c r="F437" s="107"/>
      <c r="G437" s="105"/>
      <c r="H437" s="108"/>
      <c r="I437" s="109"/>
      <c r="J437" s="110"/>
      <c r="K437" s="109"/>
      <c r="L437" s="109"/>
      <c r="M437" s="109"/>
    </row>
    <row r="438">
      <c r="A438" s="103"/>
      <c r="B438" s="104"/>
      <c r="C438" s="105"/>
      <c r="D438" s="106"/>
      <c r="E438" s="105"/>
      <c r="F438" s="107"/>
      <c r="G438" s="105"/>
      <c r="H438" s="108"/>
      <c r="I438" s="109"/>
      <c r="J438" s="110"/>
      <c r="K438" s="109"/>
      <c r="L438" s="109"/>
      <c r="M438" s="109"/>
    </row>
    <row r="439">
      <c r="A439" s="103"/>
      <c r="B439" s="104"/>
      <c r="C439" s="105"/>
      <c r="D439" s="106"/>
      <c r="E439" s="105"/>
      <c r="F439" s="107"/>
      <c r="G439" s="105"/>
      <c r="H439" s="108"/>
      <c r="I439" s="109"/>
      <c r="J439" s="110"/>
      <c r="K439" s="109"/>
      <c r="L439" s="109"/>
      <c r="M439" s="109"/>
    </row>
    <row r="440">
      <c r="A440" s="103"/>
      <c r="B440" s="104"/>
      <c r="C440" s="105"/>
      <c r="D440" s="106"/>
      <c r="E440" s="105"/>
      <c r="F440" s="107"/>
      <c r="G440" s="105"/>
      <c r="H440" s="108"/>
      <c r="I440" s="109"/>
      <c r="J440" s="110"/>
      <c r="K440" s="109"/>
      <c r="L440" s="109"/>
      <c r="M440" s="109"/>
    </row>
    <row r="441">
      <c r="A441" s="103"/>
      <c r="B441" s="104"/>
      <c r="C441" s="105"/>
      <c r="D441" s="106"/>
      <c r="E441" s="105"/>
      <c r="F441" s="107"/>
      <c r="G441" s="105"/>
      <c r="H441" s="108"/>
      <c r="I441" s="109"/>
      <c r="J441" s="110"/>
      <c r="K441" s="109"/>
      <c r="L441" s="109"/>
      <c r="M441" s="109"/>
    </row>
    <row r="442">
      <c r="A442" s="103"/>
      <c r="B442" s="104"/>
      <c r="C442" s="105"/>
      <c r="D442" s="106"/>
      <c r="E442" s="105"/>
      <c r="F442" s="107"/>
      <c r="G442" s="105"/>
      <c r="H442" s="108"/>
      <c r="I442" s="109"/>
      <c r="J442" s="110"/>
      <c r="K442" s="109"/>
      <c r="L442" s="109"/>
      <c r="M442" s="109"/>
    </row>
    <row r="443">
      <c r="A443" s="103"/>
      <c r="B443" s="104"/>
      <c r="C443" s="105"/>
      <c r="D443" s="106"/>
      <c r="E443" s="105"/>
      <c r="F443" s="107"/>
      <c r="G443" s="105"/>
      <c r="H443" s="108"/>
      <c r="I443" s="109"/>
      <c r="J443" s="110"/>
      <c r="K443" s="109"/>
      <c r="L443" s="109"/>
      <c r="M443" s="109"/>
    </row>
    <row r="444">
      <c r="A444" s="103"/>
      <c r="B444" s="104"/>
      <c r="C444" s="105"/>
      <c r="D444" s="106"/>
      <c r="E444" s="105"/>
      <c r="F444" s="107"/>
      <c r="G444" s="105"/>
      <c r="H444" s="108"/>
      <c r="I444" s="109"/>
      <c r="J444" s="110"/>
      <c r="K444" s="109"/>
      <c r="L444" s="109"/>
      <c r="M444" s="109"/>
    </row>
    <row r="445">
      <c r="A445" s="103"/>
      <c r="B445" s="104"/>
      <c r="C445" s="105"/>
      <c r="D445" s="106"/>
      <c r="E445" s="105"/>
      <c r="F445" s="107"/>
      <c r="G445" s="105"/>
      <c r="H445" s="108"/>
      <c r="I445" s="109"/>
      <c r="J445" s="110"/>
      <c r="K445" s="109"/>
      <c r="L445" s="109"/>
      <c r="M445" s="109"/>
    </row>
    <row r="446">
      <c r="A446" s="103"/>
      <c r="B446" s="104"/>
      <c r="C446" s="105"/>
      <c r="D446" s="106"/>
      <c r="E446" s="105"/>
      <c r="F446" s="107"/>
      <c r="G446" s="105"/>
      <c r="H446" s="108"/>
      <c r="I446" s="109"/>
      <c r="J446" s="110"/>
      <c r="K446" s="109"/>
      <c r="L446" s="109"/>
      <c r="M446" s="109"/>
    </row>
    <row r="447">
      <c r="A447" s="103"/>
      <c r="B447" s="104"/>
      <c r="C447" s="105"/>
      <c r="D447" s="106"/>
      <c r="E447" s="105"/>
      <c r="F447" s="107"/>
      <c r="G447" s="105"/>
      <c r="H447" s="108"/>
      <c r="I447" s="109"/>
      <c r="J447" s="110"/>
      <c r="K447" s="109"/>
      <c r="L447" s="109"/>
      <c r="M447" s="109"/>
    </row>
    <row r="448">
      <c r="A448" s="103"/>
      <c r="B448" s="104"/>
      <c r="C448" s="105"/>
      <c r="D448" s="106"/>
      <c r="E448" s="105"/>
      <c r="F448" s="107"/>
      <c r="G448" s="105"/>
      <c r="H448" s="108"/>
      <c r="I448" s="109"/>
      <c r="J448" s="110"/>
      <c r="K448" s="109"/>
      <c r="L448" s="109"/>
      <c r="M448" s="109"/>
    </row>
    <row r="449">
      <c r="A449" s="103"/>
      <c r="B449" s="104"/>
      <c r="C449" s="105"/>
      <c r="D449" s="106"/>
      <c r="E449" s="105"/>
      <c r="F449" s="107"/>
      <c r="G449" s="105"/>
      <c r="H449" s="108"/>
      <c r="I449" s="109"/>
      <c r="J449" s="110"/>
      <c r="K449" s="109"/>
      <c r="L449" s="109"/>
      <c r="M449" s="109"/>
    </row>
    <row r="450">
      <c r="A450" s="103"/>
      <c r="B450" s="104"/>
      <c r="C450" s="105"/>
      <c r="D450" s="106"/>
      <c r="E450" s="105"/>
      <c r="F450" s="107"/>
      <c r="G450" s="105"/>
      <c r="H450" s="108"/>
      <c r="I450" s="109"/>
      <c r="J450" s="110"/>
      <c r="K450" s="109"/>
      <c r="L450" s="109"/>
      <c r="M450" s="109"/>
    </row>
    <row r="451">
      <c r="A451" s="103"/>
      <c r="B451" s="104"/>
      <c r="C451" s="105"/>
      <c r="D451" s="106"/>
      <c r="E451" s="105"/>
      <c r="F451" s="107"/>
      <c r="G451" s="105"/>
      <c r="H451" s="108"/>
      <c r="I451" s="109"/>
      <c r="J451" s="110"/>
      <c r="K451" s="109"/>
      <c r="L451" s="109"/>
      <c r="M451" s="109"/>
    </row>
    <row r="452">
      <c r="A452" s="103"/>
      <c r="B452" s="104"/>
      <c r="C452" s="105"/>
      <c r="D452" s="106"/>
      <c r="E452" s="105"/>
      <c r="F452" s="107"/>
      <c r="G452" s="105"/>
      <c r="H452" s="108"/>
      <c r="I452" s="109"/>
      <c r="J452" s="110"/>
      <c r="K452" s="109"/>
      <c r="L452" s="109"/>
      <c r="M452" s="109"/>
    </row>
    <row r="453">
      <c r="A453" s="103"/>
      <c r="B453" s="104"/>
      <c r="C453" s="105"/>
      <c r="D453" s="106"/>
      <c r="E453" s="105"/>
      <c r="F453" s="107"/>
      <c r="G453" s="105"/>
      <c r="H453" s="108"/>
      <c r="I453" s="109"/>
      <c r="J453" s="110"/>
      <c r="K453" s="109"/>
      <c r="L453" s="109"/>
      <c r="M453" s="109"/>
    </row>
    <row r="454">
      <c r="A454" s="103"/>
      <c r="B454" s="104"/>
      <c r="C454" s="105"/>
      <c r="D454" s="106"/>
      <c r="E454" s="105"/>
      <c r="F454" s="107"/>
      <c r="G454" s="105"/>
      <c r="H454" s="108"/>
      <c r="I454" s="109"/>
      <c r="J454" s="110"/>
      <c r="K454" s="109"/>
      <c r="L454" s="109"/>
      <c r="M454" s="109"/>
    </row>
    <row r="455">
      <c r="A455" s="103"/>
      <c r="B455" s="104"/>
      <c r="C455" s="105"/>
      <c r="D455" s="106"/>
      <c r="E455" s="105"/>
      <c r="F455" s="107"/>
      <c r="G455" s="105"/>
      <c r="H455" s="108"/>
      <c r="I455" s="109"/>
      <c r="J455" s="110"/>
      <c r="K455" s="109"/>
      <c r="L455" s="109"/>
      <c r="M455" s="109"/>
    </row>
    <row r="456">
      <c r="A456" s="103"/>
      <c r="B456" s="104"/>
      <c r="C456" s="105"/>
      <c r="D456" s="106"/>
      <c r="E456" s="105"/>
      <c r="F456" s="107"/>
      <c r="G456" s="105"/>
      <c r="H456" s="108"/>
      <c r="I456" s="109"/>
      <c r="J456" s="110"/>
      <c r="K456" s="109"/>
      <c r="L456" s="109"/>
      <c r="M456" s="109"/>
    </row>
    <row r="457">
      <c r="A457" s="103"/>
      <c r="B457" s="104"/>
      <c r="C457" s="105"/>
      <c r="D457" s="106"/>
      <c r="E457" s="105"/>
      <c r="F457" s="107"/>
      <c r="G457" s="105"/>
      <c r="H457" s="108"/>
      <c r="I457" s="109"/>
      <c r="J457" s="110"/>
      <c r="K457" s="109"/>
      <c r="L457" s="109"/>
      <c r="M457" s="109"/>
    </row>
    <row r="458">
      <c r="A458" s="103"/>
      <c r="B458" s="104"/>
      <c r="C458" s="105"/>
      <c r="D458" s="106"/>
      <c r="E458" s="105"/>
      <c r="F458" s="107"/>
      <c r="G458" s="105"/>
      <c r="H458" s="108"/>
      <c r="I458" s="109"/>
      <c r="J458" s="110"/>
      <c r="K458" s="109"/>
      <c r="L458" s="109"/>
      <c r="M458" s="109"/>
    </row>
    <row r="459">
      <c r="A459" s="103"/>
      <c r="B459" s="104"/>
      <c r="C459" s="105"/>
      <c r="D459" s="106"/>
      <c r="E459" s="105"/>
      <c r="F459" s="107"/>
      <c r="G459" s="105"/>
      <c r="H459" s="108"/>
      <c r="I459" s="109"/>
      <c r="J459" s="110"/>
      <c r="K459" s="109"/>
      <c r="L459" s="109"/>
      <c r="M459" s="109"/>
    </row>
    <row r="460">
      <c r="A460" s="103"/>
      <c r="B460" s="104"/>
      <c r="C460" s="105"/>
      <c r="D460" s="106"/>
      <c r="E460" s="105"/>
      <c r="F460" s="107"/>
      <c r="G460" s="105"/>
      <c r="H460" s="108"/>
      <c r="I460" s="109"/>
      <c r="J460" s="110"/>
      <c r="K460" s="109"/>
      <c r="L460" s="109"/>
      <c r="M460" s="109"/>
    </row>
    <row r="461">
      <c r="A461" s="103"/>
      <c r="B461" s="104"/>
      <c r="C461" s="105"/>
      <c r="D461" s="106"/>
      <c r="E461" s="105"/>
      <c r="F461" s="107"/>
      <c r="G461" s="105"/>
      <c r="H461" s="108"/>
      <c r="I461" s="109"/>
      <c r="J461" s="110"/>
      <c r="K461" s="109"/>
      <c r="L461" s="109"/>
      <c r="M461" s="109"/>
    </row>
    <row r="462">
      <c r="A462" s="103"/>
      <c r="B462" s="104"/>
      <c r="C462" s="105"/>
      <c r="D462" s="106"/>
      <c r="E462" s="105"/>
      <c r="F462" s="107"/>
      <c r="G462" s="105"/>
      <c r="H462" s="108"/>
      <c r="I462" s="109"/>
      <c r="J462" s="110"/>
      <c r="K462" s="109"/>
      <c r="L462" s="109"/>
      <c r="M462" s="109"/>
    </row>
    <row r="463">
      <c r="A463" s="103"/>
      <c r="B463" s="104"/>
      <c r="C463" s="105"/>
      <c r="D463" s="106"/>
      <c r="E463" s="105"/>
      <c r="F463" s="107"/>
      <c r="G463" s="105"/>
      <c r="H463" s="108"/>
      <c r="I463" s="109"/>
      <c r="J463" s="110"/>
      <c r="K463" s="109"/>
      <c r="L463" s="109"/>
      <c r="M463" s="109"/>
    </row>
    <row r="464">
      <c r="A464" s="103"/>
      <c r="B464" s="104"/>
      <c r="C464" s="105"/>
      <c r="D464" s="106"/>
      <c r="E464" s="105"/>
      <c r="F464" s="107"/>
      <c r="G464" s="105"/>
      <c r="H464" s="108"/>
      <c r="I464" s="109"/>
      <c r="J464" s="110"/>
      <c r="K464" s="109"/>
      <c r="L464" s="109"/>
      <c r="M464" s="109"/>
    </row>
    <row r="465">
      <c r="A465" s="103"/>
      <c r="B465" s="104"/>
      <c r="C465" s="105"/>
      <c r="D465" s="106"/>
      <c r="E465" s="105"/>
      <c r="F465" s="107"/>
      <c r="G465" s="105"/>
      <c r="H465" s="108"/>
      <c r="I465" s="109"/>
      <c r="J465" s="110"/>
      <c r="K465" s="109"/>
      <c r="L465" s="109"/>
      <c r="M465" s="109"/>
    </row>
    <row r="466">
      <c r="A466" s="103"/>
      <c r="B466" s="104"/>
      <c r="C466" s="105"/>
      <c r="D466" s="106"/>
      <c r="E466" s="105"/>
      <c r="F466" s="107"/>
      <c r="G466" s="105"/>
      <c r="H466" s="108"/>
      <c r="I466" s="109"/>
      <c r="J466" s="110"/>
      <c r="K466" s="109"/>
      <c r="L466" s="109"/>
      <c r="M466" s="109"/>
    </row>
    <row r="467">
      <c r="A467" s="103"/>
      <c r="B467" s="104"/>
      <c r="C467" s="105"/>
      <c r="D467" s="106"/>
      <c r="E467" s="105"/>
      <c r="F467" s="107"/>
      <c r="G467" s="105"/>
      <c r="H467" s="108"/>
      <c r="I467" s="109"/>
      <c r="J467" s="110"/>
      <c r="K467" s="109"/>
      <c r="L467" s="109"/>
      <c r="M467" s="109"/>
    </row>
    <row r="468">
      <c r="A468" s="103"/>
      <c r="B468" s="104"/>
      <c r="C468" s="105"/>
      <c r="D468" s="106"/>
      <c r="E468" s="105"/>
      <c r="F468" s="107"/>
      <c r="G468" s="105"/>
      <c r="H468" s="108"/>
      <c r="I468" s="109"/>
      <c r="J468" s="110"/>
      <c r="K468" s="109"/>
      <c r="L468" s="109"/>
      <c r="M468" s="109"/>
    </row>
    <row r="469">
      <c r="A469" s="103"/>
      <c r="B469" s="104"/>
      <c r="C469" s="105"/>
      <c r="D469" s="106"/>
      <c r="E469" s="105"/>
      <c r="F469" s="107"/>
      <c r="G469" s="105"/>
      <c r="H469" s="108"/>
      <c r="I469" s="109"/>
      <c r="J469" s="110"/>
      <c r="K469" s="109"/>
      <c r="L469" s="109"/>
      <c r="M469" s="109"/>
    </row>
    <row r="470">
      <c r="A470" s="103"/>
      <c r="B470" s="104"/>
      <c r="C470" s="105"/>
      <c r="D470" s="106"/>
      <c r="E470" s="105"/>
      <c r="F470" s="107"/>
      <c r="G470" s="105"/>
      <c r="H470" s="108"/>
      <c r="I470" s="109"/>
      <c r="J470" s="110"/>
      <c r="K470" s="109"/>
      <c r="L470" s="109"/>
      <c r="M470" s="109"/>
    </row>
    <row r="471">
      <c r="A471" s="103"/>
      <c r="B471" s="104"/>
      <c r="C471" s="105"/>
      <c r="D471" s="106"/>
      <c r="E471" s="105"/>
      <c r="F471" s="107"/>
      <c r="G471" s="105"/>
      <c r="H471" s="108"/>
      <c r="I471" s="109"/>
      <c r="J471" s="110"/>
      <c r="K471" s="109"/>
      <c r="L471" s="109"/>
      <c r="M471" s="109"/>
    </row>
    <row r="472">
      <c r="A472" s="103"/>
      <c r="B472" s="104"/>
      <c r="C472" s="105"/>
      <c r="D472" s="106"/>
      <c r="E472" s="105"/>
      <c r="F472" s="107"/>
      <c r="G472" s="105"/>
      <c r="H472" s="108"/>
      <c r="I472" s="109"/>
      <c r="J472" s="110"/>
      <c r="K472" s="109"/>
      <c r="L472" s="109"/>
      <c r="M472" s="109"/>
    </row>
    <row r="473">
      <c r="A473" s="103"/>
      <c r="B473" s="104"/>
      <c r="C473" s="105"/>
      <c r="D473" s="106"/>
      <c r="E473" s="105"/>
      <c r="F473" s="107"/>
      <c r="G473" s="105"/>
      <c r="H473" s="108"/>
      <c r="I473" s="109"/>
      <c r="J473" s="110"/>
      <c r="K473" s="109"/>
      <c r="L473" s="109"/>
      <c r="M473" s="109"/>
    </row>
    <row r="474">
      <c r="A474" s="103"/>
      <c r="B474" s="104"/>
      <c r="C474" s="105"/>
      <c r="D474" s="106"/>
      <c r="E474" s="105"/>
      <c r="F474" s="107"/>
      <c r="G474" s="105"/>
      <c r="H474" s="108"/>
      <c r="I474" s="109"/>
      <c r="J474" s="110"/>
      <c r="K474" s="109"/>
      <c r="L474" s="109"/>
      <c r="M474" s="109"/>
    </row>
    <row r="475">
      <c r="A475" s="103"/>
      <c r="B475" s="104"/>
      <c r="C475" s="105"/>
      <c r="D475" s="106"/>
      <c r="E475" s="105"/>
      <c r="F475" s="107"/>
      <c r="G475" s="105"/>
      <c r="H475" s="108"/>
      <c r="I475" s="109"/>
      <c r="J475" s="110"/>
      <c r="K475" s="109"/>
      <c r="L475" s="109"/>
      <c r="M475" s="109"/>
    </row>
    <row r="476">
      <c r="A476" s="103"/>
      <c r="B476" s="104"/>
      <c r="C476" s="105"/>
      <c r="D476" s="106"/>
      <c r="E476" s="105"/>
      <c r="F476" s="107"/>
      <c r="G476" s="105"/>
      <c r="H476" s="108"/>
      <c r="I476" s="109"/>
      <c r="J476" s="110"/>
      <c r="K476" s="109"/>
      <c r="L476" s="109"/>
      <c r="M476" s="109"/>
    </row>
    <row r="477">
      <c r="A477" s="103"/>
      <c r="B477" s="104"/>
      <c r="C477" s="105"/>
      <c r="D477" s="106"/>
      <c r="E477" s="105"/>
      <c r="F477" s="107"/>
      <c r="G477" s="105"/>
      <c r="H477" s="108"/>
      <c r="I477" s="109"/>
      <c r="J477" s="110"/>
      <c r="K477" s="109"/>
      <c r="L477" s="109"/>
      <c r="M477" s="109"/>
    </row>
    <row r="478">
      <c r="A478" s="103"/>
      <c r="B478" s="104"/>
      <c r="C478" s="105"/>
      <c r="D478" s="106"/>
      <c r="E478" s="105"/>
      <c r="F478" s="107"/>
      <c r="G478" s="105"/>
      <c r="H478" s="108"/>
      <c r="I478" s="109"/>
      <c r="J478" s="110"/>
      <c r="K478" s="109"/>
      <c r="L478" s="109"/>
      <c r="M478" s="109"/>
    </row>
    <row r="479">
      <c r="A479" s="103"/>
      <c r="B479" s="104"/>
      <c r="C479" s="105"/>
      <c r="D479" s="106"/>
      <c r="E479" s="105"/>
      <c r="F479" s="107"/>
      <c r="G479" s="105"/>
      <c r="H479" s="108"/>
      <c r="I479" s="109"/>
      <c r="J479" s="110"/>
      <c r="K479" s="109"/>
      <c r="L479" s="109"/>
      <c r="M479" s="109"/>
    </row>
    <row r="480">
      <c r="A480" s="103"/>
      <c r="B480" s="104"/>
      <c r="C480" s="105"/>
      <c r="D480" s="106"/>
      <c r="E480" s="105"/>
      <c r="F480" s="107"/>
      <c r="G480" s="105"/>
      <c r="H480" s="108"/>
      <c r="I480" s="109"/>
      <c r="J480" s="110"/>
      <c r="K480" s="109"/>
      <c r="L480" s="109"/>
      <c r="M480" s="109"/>
    </row>
    <row r="481">
      <c r="A481" s="103"/>
      <c r="B481" s="104"/>
      <c r="C481" s="105"/>
      <c r="D481" s="106"/>
      <c r="E481" s="105"/>
      <c r="F481" s="107"/>
      <c r="G481" s="105"/>
      <c r="H481" s="108"/>
      <c r="I481" s="109"/>
      <c r="J481" s="110"/>
      <c r="K481" s="109"/>
      <c r="L481" s="109"/>
      <c r="M481" s="109"/>
    </row>
    <row r="482">
      <c r="A482" s="103"/>
      <c r="B482" s="104"/>
      <c r="C482" s="105"/>
      <c r="D482" s="106"/>
      <c r="E482" s="105"/>
      <c r="F482" s="107"/>
      <c r="G482" s="105"/>
      <c r="H482" s="108"/>
      <c r="I482" s="109"/>
      <c r="J482" s="110"/>
      <c r="K482" s="109"/>
      <c r="L482" s="109"/>
      <c r="M482" s="109"/>
    </row>
    <row r="483">
      <c r="A483" s="103"/>
      <c r="B483" s="104"/>
      <c r="C483" s="105"/>
      <c r="D483" s="106"/>
      <c r="E483" s="105"/>
      <c r="F483" s="107"/>
      <c r="G483" s="105"/>
      <c r="H483" s="108"/>
      <c r="I483" s="109"/>
      <c r="J483" s="110"/>
      <c r="K483" s="109"/>
      <c r="L483" s="109"/>
      <c r="M483" s="109"/>
    </row>
    <row r="484">
      <c r="A484" s="103"/>
      <c r="B484" s="104"/>
      <c r="C484" s="105"/>
      <c r="D484" s="106"/>
      <c r="E484" s="105"/>
      <c r="F484" s="107"/>
      <c r="G484" s="105"/>
      <c r="H484" s="108"/>
      <c r="I484" s="109"/>
      <c r="J484" s="110"/>
      <c r="K484" s="109"/>
      <c r="L484" s="109"/>
      <c r="M484" s="109"/>
    </row>
    <row r="485">
      <c r="A485" s="103"/>
      <c r="B485" s="104"/>
      <c r="C485" s="105"/>
      <c r="D485" s="106"/>
      <c r="E485" s="105"/>
      <c r="F485" s="107"/>
      <c r="G485" s="105"/>
      <c r="H485" s="108"/>
      <c r="I485" s="109"/>
      <c r="J485" s="110"/>
      <c r="K485" s="109"/>
      <c r="L485" s="109"/>
      <c r="M485" s="109"/>
    </row>
    <row r="486">
      <c r="A486" s="103"/>
      <c r="B486" s="104"/>
      <c r="C486" s="105"/>
      <c r="D486" s="106"/>
      <c r="E486" s="105"/>
      <c r="F486" s="107"/>
      <c r="G486" s="105"/>
      <c r="H486" s="108"/>
      <c r="I486" s="109"/>
      <c r="J486" s="110"/>
      <c r="K486" s="109"/>
      <c r="L486" s="109"/>
      <c r="M486" s="109"/>
    </row>
    <row r="487">
      <c r="A487" s="103"/>
      <c r="B487" s="104"/>
      <c r="C487" s="105"/>
      <c r="D487" s="106"/>
      <c r="E487" s="105"/>
      <c r="F487" s="107"/>
      <c r="G487" s="105"/>
      <c r="H487" s="108"/>
      <c r="I487" s="109"/>
      <c r="J487" s="110"/>
      <c r="K487" s="109"/>
      <c r="L487" s="109"/>
      <c r="M487" s="109"/>
    </row>
    <row r="488">
      <c r="A488" s="103"/>
      <c r="B488" s="104"/>
      <c r="C488" s="105"/>
      <c r="D488" s="106"/>
      <c r="E488" s="105"/>
      <c r="F488" s="107"/>
      <c r="G488" s="105"/>
      <c r="H488" s="108"/>
      <c r="I488" s="109"/>
      <c r="J488" s="110"/>
      <c r="K488" s="109"/>
      <c r="L488" s="109"/>
      <c r="M488" s="109"/>
    </row>
    <row r="489">
      <c r="A489" s="103"/>
      <c r="B489" s="104"/>
      <c r="C489" s="105"/>
      <c r="D489" s="106"/>
      <c r="E489" s="105"/>
      <c r="F489" s="107"/>
      <c r="G489" s="105"/>
      <c r="H489" s="108"/>
      <c r="I489" s="109"/>
      <c r="J489" s="110"/>
      <c r="K489" s="109"/>
      <c r="L489" s="109"/>
      <c r="M489" s="109"/>
    </row>
    <row r="490">
      <c r="A490" s="103"/>
      <c r="B490" s="104"/>
      <c r="C490" s="105"/>
      <c r="D490" s="106"/>
      <c r="E490" s="105"/>
      <c r="F490" s="107"/>
      <c r="G490" s="105"/>
      <c r="H490" s="108"/>
      <c r="I490" s="109"/>
      <c r="J490" s="110"/>
      <c r="K490" s="109"/>
      <c r="L490" s="109"/>
      <c r="M490" s="109"/>
    </row>
    <row r="491">
      <c r="A491" s="103"/>
      <c r="B491" s="104"/>
      <c r="C491" s="105"/>
      <c r="D491" s="106"/>
      <c r="E491" s="105"/>
      <c r="F491" s="107"/>
      <c r="G491" s="105"/>
      <c r="H491" s="108"/>
      <c r="I491" s="109"/>
      <c r="J491" s="110"/>
      <c r="K491" s="109"/>
      <c r="L491" s="109"/>
      <c r="M491" s="109"/>
    </row>
    <row r="492">
      <c r="A492" s="103"/>
      <c r="B492" s="104"/>
      <c r="C492" s="105"/>
      <c r="D492" s="106"/>
      <c r="E492" s="105"/>
      <c r="F492" s="107"/>
      <c r="G492" s="105"/>
      <c r="H492" s="108"/>
      <c r="I492" s="109"/>
      <c r="J492" s="110"/>
      <c r="K492" s="109"/>
      <c r="L492" s="109"/>
      <c r="M492" s="109"/>
    </row>
    <row r="493">
      <c r="A493" s="103"/>
      <c r="B493" s="104"/>
      <c r="C493" s="105"/>
      <c r="D493" s="106"/>
      <c r="E493" s="105"/>
      <c r="F493" s="107"/>
      <c r="G493" s="105"/>
      <c r="H493" s="108"/>
      <c r="I493" s="109"/>
      <c r="J493" s="110"/>
      <c r="K493" s="109"/>
      <c r="L493" s="109"/>
      <c r="M493" s="109"/>
    </row>
    <row r="494">
      <c r="A494" s="103"/>
      <c r="B494" s="104"/>
      <c r="C494" s="105"/>
      <c r="D494" s="106"/>
      <c r="E494" s="105"/>
      <c r="F494" s="107"/>
      <c r="G494" s="105"/>
      <c r="H494" s="108"/>
      <c r="I494" s="109"/>
      <c r="J494" s="110"/>
      <c r="K494" s="109"/>
      <c r="L494" s="109"/>
      <c r="M494" s="109"/>
    </row>
    <row r="495">
      <c r="A495" s="103"/>
      <c r="B495" s="104"/>
      <c r="C495" s="105"/>
      <c r="D495" s="106"/>
      <c r="E495" s="105"/>
      <c r="F495" s="107"/>
      <c r="G495" s="105"/>
      <c r="H495" s="108"/>
      <c r="I495" s="109"/>
      <c r="J495" s="110"/>
      <c r="K495" s="109"/>
      <c r="L495" s="109"/>
      <c r="M495" s="109"/>
    </row>
    <row r="496">
      <c r="A496" s="103"/>
      <c r="B496" s="104"/>
      <c r="C496" s="105"/>
      <c r="D496" s="106"/>
      <c r="E496" s="105"/>
      <c r="F496" s="107"/>
      <c r="G496" s="105"/>
      <c r="H496" s="108"/>
      <c r="I496" s="109"/>
      <c r="J496" s="110"/>
      <c r="K496" s="109"/>
      <c r="L496" s="109"/>
      <c r="M496" s="109"/>
    </row>
    <row r="497">
      <c r="A497" s="103"/>
      <c r="B497" s="104"/>
      <c r="C497" s="105"/>
      <c r="D497" s="106"/>
      <c r="E497" s="105"/>
      <c r="F497" s="107"/>
      <c r="G497" s="105"/>
      <c r="H497" s="108"/>
      <c r="I497" s="109"/>
      <c r="J497" s="110"/>
      <c r="K497" s="109"/>
      <c r="L497" s="109"/>
      <c r="M497" s="109"/>
    </row>
    <row r="498">
      <c r="A498" s="103"/>
      <c r="B498" s="104"/>
      <c r="C498" s="105"/>
      <c r="D498" s="106"/>
      <c r="E498" s="105"/>
      <c r="F498" s="107"/>
      <c r="G498" s="105"/>
      <c r="H498" s="108"/>
      <c r="I498" s="109"/>
      <c r="J498" s="110"/>
      <c r="K498" s="109"/>
      <c r="L498" s="109"/>
      <c r="M498" s="109"/>
    </row>
    <row r="499">
      <c r="A499" s="103"/>
      <c r="B499" s="104"/>
      <c r="C499" s="105"/>
      <c r="D499" s="106"/>
      <c r="E499" s="105"/>
      <c r="F499" s="107"/>
      <c r="G499" s="105"/>
      <c r="H499" s="108"/>
      <c r="I499" s="109"/>
      <c r="J499" s="110"/>
      <c r="K499" s="109"/>
      <c r="L499" s="109"/>
      <c r="M499" s="109"/>
    </row>
    <row r="500">
      <c r="A500" s="103"/>
      <c r="B500" s="104"/>
      <c r="C500" s="105"/>
      <c r="D500" s="106"/>
      <c r="E500" s="105"/>
      <c r="F500" s="107"/>
      <c r="G500" s="105"/>
      <c r="H500" s="108"/>
      <c r="I500" s="109"/>
      <c r="J500" s="110"/>
      <c r="K500" s="109"/>
      <c r="L500" s="109"/>
      <c r="M500" s="109"/>
    </row>
    <row r="501">
      <c r="A501" s="103"/>
      <c r="B501" s="104"/>
      <c r="C501" s="105"/>
      <c r="D501" s="106"/>
      <c r="E501" s="105"/>
      <c r="F501" s="107"/>
      <c r="G501" s="105"/>
      <c r="H501" s="108"/>
      <c r="I501" s="109"/>
      <c r="J501" s="110"/>
      <c r="K501" s="109"/>
      <c r="L501" s="109"/>
      <c r="M501" s="109"/>
    </row>
    <row r="502">
      <c r="A502" s="103"/>
      <c r="B502" s="104"/>
      <c r="C502" s="105"/>
      <c r="D502" s="106"/>
      <c r="E502" s="105"/>
      <c r="F502" s="107"/>
      <c r="G502" s="105"/>
      <c r="H502" s="108"/>
      <c r="I502" s="109"/>
      <c r="J502" s="110"/>
      <c r="K502" s="109"/>
      <c r="L502" s="109"/>
      <c r="M502" s="109"/>
    </row>
    <row r="503">
      <c r="A503" s="103"/>
      <c r="B503" s="104"/>
      <c r="C503" s="105"/>
      <c r="D503" s="106"/>
      <c r="E503" s="105"/>
      <c r="F503" s="107"/>
      <c r="G503" s="105"/>
      <c r="H503" s="108"/>
      <c r="I503" s="109"/>
      <c r="J503" s="110"/>
      <c r="K503" s="109"/>
      <c r="L503" s="109"/>
      <c r="M503" s="109"/>
    </row>
    <row r="504">
      <c r="A504" s="103"/>
      <c r="B504" s="104"/>
      <c r="C504" s="105"/>
      <c r="D504" s="106"/>
      <c r="E504" s="105"/>
      <c r="F504" s="107"/>
      <c r="G504" s="105"/>
      <c r="H504" s="108"/>
      <c r="I504" s="109"/>
      <c r="J504" s="110"/>
      <c r="K504" s="109"/>
      <c r="L504" s="109"/>
      <c r="M504" s="109"/>
    </row>
    <row r="505">
      <c r="A505" s="103"/>
      <c r="B505" s="104"/>
      <c r="C505" s="105"/>
      <c r="D505" s="106"/>
      <c r="E505" s="105"/>
      <c r="F505" s="107"/>
      <c r="G505" s="105"/>
      <c r="H505" s="108"/>
      <c r="I505" s="109"/>
      <c r="J505" s="110"/>
      <c r="K505" s="109"/>
      <c r="L505" s="109"/>
      <c r="M505" s="109"/>
    </row>
    <row r="506">
      <c r="A506" s="103"/>
      <c r="B506" s="104"/>
      <c r="C506" s="105"/>
      <c r="D506" s="106"/>
      <c r="E506" s="105"/>
      <c r="F506" s="107"/>
      <c r="G506" s="105"/>
      <c r="H506" s="108"/>
      <c r="I506" s="109"/>
      <c r="J506" s="110"/>
      <c r="K506" s="109"/>
      <c r="L506" s="109"/>
      <c r="M506" s="109"/>
    </row>
    <row r="507">
      <c r="A507" s="103"/>
      <c r="B507" s="104"/>
      <c r="C507" s="105"/>
      <c r="D507" s="106"/>
      <c r="E507" s="105"/>
      <c r="F507" s="107"/>
      <c r="G507" s="105"/>
      <c r="H507" s="108"/>
      <c r="I507" s="109"/>
      <c r="J507" s="110"/>
      <c r="K507" s="109"/>
      <c r="L507" s="109"/>
      <c r="M507" s="109"/>
    </row>
    <row r="508">
      <c r="A508" s="103"/>
      <c r="B508" s="104"/>
      <c r="C508" s="105"/>
      <c r="D508" s="106"/>
      <c r="E508" s="105"/>
      <c r="F508" s="107"/>
      <c r="G508" s="105"/>
      <c r="H508" s="108"/>
      <c r="I508" s="109"/>
      <c r="J508" s="110"/>
      <c r="K508" s="109"/>
      <c r="L508" s="109"/>
      <c r="M508" s="109"/>
    </row>
    <row r="509">
      <c r="A509" s="103"/>
      <c r="B509" s="104"/>
      <c r="C509" s="105"/>
      <c r="D509" s="106"/>
      <c r="E509" s="105"/>
      <c r="F509" s="107"/>
      <c r="G509" s="105"/>
      <c r="H509" s="108"/>
      <c r="I509" s="109"/>
      <c r="J509" s="110"/>
      <c r="K509" s="109"/>
      <c r="L509" s="109"/>
      <c r="M509" s="109"/>
    </row>
    <row r="510">
      <c r="A510" s="103"/>
      <c r="B510" s="104"/>
      <c r="C510" s="105"/>
      <c r="D510" s="106"/>
      <c r="E510" s="105"/>
      <c r="F510" s="107"/>
      <c r="G510" s="105"/>
      <c r="H510" s="108"/>
      <c r="I510" s="109"/>
      <c r="J510" s="110"/>
      <c r="K510" s="109"/>
      <c r="L510" s="109"/>
      <c r="M510" s="109"/>
    </row>
    <row r="511">
      <c r="A511" s="103"/>
      <c r="B511" s="104"/>
      <c r="C511" s="105"/>
      <c r="D511" s="106"/>
      <c r="E511" s="105"/>
      <c r="F511" s="107"/>
      <c r="G511" s="105"/>
      <c r="H511" s="108"/>
      <c r="I511" s="109"/>
      <c r="J511" s="110"/>
      <c r="K511" s="109"/>
      <c r="L511" s="109"/>
      <c r="M511" s="109"/>
    </row>
    <row r="512">
      <c r="A512" s="103"/>
      <c r="B512" s="104"/>
      <c r="C512" s="105"/>
      <c r="D512" s="106"/>
      <c r="E512" s="105"/>
      <c r="F512" s="107"/>
      <c r="G512" s="105"/>
      <c r="H512" s="108"/>
      <c r="I512" s="109"/>
      <c r="J512" s="110"/>
      <c r="K512" s="109"/>
      <c r="L512" s="109"/>
      <c r="M512" s="109"/>
    </row>
    <row r="513">
      <c r="A513" s="103"/>
      <c r="B513" s="104"/>
      <c r="C513" s="105"/>
      <c r="D513" s="106"/>
      <c r="E513" s="105"/>
      <c r="F513" s="107"/>
      <c r="G513" s="105"/>
      <c r="H513" s="108"/>
      <c r="I513" s="109"/>
      <c r="J513" s="110"/>
      <c r="K513" s="109"/>
      <c r="L513" s="109"/>
      <c r="M513" s="109"/>
    </row>
    <row r="514">
      <c r="A514" s="103"/>
      <c r="B514" s="104"/>
      <c r="C514" s="105"/>
      <c r="D514" s="106"/>
      <c r="E514" s="105"/>
      <c r="F514" s="107"/>
      <c r="G514" s="105"/>
      <c r="H514" s="108"/>
      <c r="I514" s="109"/>
      <c r="J514" s="110"/>
      <c r="K514" s="109"/>
      <c r="L514" s="109"/>
      <c r="M514" s="109"/>
    </row>
    <row r="515">
      <c r="A515" s="103"/>
      <c r="B515" s="104"/>
      <c r="C515" s="105"/>
      <c r="D515" s="106"/>
      <c r="E515" s="105"/>
      <c r="F515" s="107"/>
      <c r="G515" s="105"/>
      <c r="H515" s="108"/>
      <c r="I515" s="109"/>
      <c r="J515" s="110"/>
      <c r="K515" s="109"/>
      <c r="L515" s="109"/>
      <c r="M515" s="109"/>
    </row>
    <row r="516">
      <c r="A516" s="103"/>
      <c r="B516" s="104"/>
      <c r="C516" s="105"/>
      <c r="D516" s="106"/>
      <c r="E516" s="105"/>
      <c r="F516" s="107"/>
      <c r="G516" s="105"/>
      <c r="H516" s="108"/>
      <c r="I516" s="109"/>
      <c r="J516" s="110"/>
      <c r="K516" s="109"/>
      <c r="L516" s="109"/>
      <c r="M516" s="109"/>
    </row>
    <row r="517">
      <c r="A517" s="103"/>
      <c r="B517" s="104"/>
      <c r="C517" s="105"/>
      <c r="D517" s="106"/>
      <c r="E517" s="105"/>
      <c r="F517" s="107"/>
      <c r="G517" s="105"/>
      <c r="H517" s="108"/>
      <c r="I517" s="109"/>
      <c r="J517" s="110"/>
      <c r="K517" s="109"/>
      <c r="L517" s="109"/>
      <c r="M517" s="109"/>
    </row>
    <row r="518">
      <c r="A518" s="103"/>
      <c r="B518" s="104"/>
      <c r="C518" s="105"/>
      <c r="D518" s="106"/>
      <c r="E518" s="105"/>
      <c r="F518" s="107"/>
      <c r="G518" s="105"/>
      <c r="H518" s="108"/>
      <c r="I518" s="109"/>
      <c r="J518" s="110"/>
      <c r="K518" s="109"/>
      <c r="L518" s="109"/>
      <c r="M518" s="109"/>
    </row>
    <row r="519">
      <c r="A519" s="103"/>
      <c r="B519" s="104"/>
      <c r="C519" s="105"/>
      <c r="D519" s="106"/>
      <c r="E519" s="105"/>
      <c r="F519" s="107"/>
      <c r="G519" s="105"/>
      <c r="H519" s="108"/>
      <c r="I519" s="109"/>
      <c r="J519" s="110"/>
      <c r="K519" s="109"/>
      <c r="L519" s="109"/>
      <c r="M519" s="109"/>
    </row>
    <row r="520">
      <c r="A520" s="103"/>
      <c r="B520" s="104"/>
      <c r="C520" s="105"/>
      <c r="D520" s="106"/>
      <c r="E520" s="105"/>
      <c r="F520" s="107"/>
      <c r="G520" s="105"/>
      <c r="H520" s="108"/>
      <c r="I520" s="109"/>
      <c r="J520" s="110"/>
      <c r="K520" s="109"/>
      <c r="L520" s="109"/>
      <c r="M520" s="109"/>
    </row>
    <row r="521">
      <c r="A521" s="103"/>
      <c r="B521" s="104"/>
      <c r="C521" s="105"/>
      <c r="D521" s="106"/>
      <c r="E521" s="105"/>
      <c r="F521" s="107"/>
      <c r="G521" s="105"/>
      <c r="H521" s="108"/>
      <c r="I521" s="109"/>
      <c r="J521" s="110"/>
      <c r="K521" s="109"/>
      <c r="L521" s="109"/>
      <c r="M521" s="109"/>
    </row>
    <row r="522">
      <c r="A522" s="103"/>
      <c r="B522" s="104"/>
      <c r="C522" s="105"/>
      <c r="D522" s="106"/>
      <c r="E522" s="105"/>
      <c r="F522" s="107"/>
      <c r="G522" s="105"/>
      <c r="H522" s="108"/>
      <c r="I522" s="109"/>
      <c r="J522" s="110"/>
      <c r="K522" s="109"/>
      <c r="L522" s="109"/>
      <c r="M522" s="109"/>
    </row>
    <row r="523">
      <c r="A523" s="103"/>
      <c r="B523" s="104"/>
      <c r="C523" s="105"/>
      <c r="D523" s="106"/>
      <c r="E523" s="105"/>
      <c r="F523" s="107"/>
      <c r="G523" s="105"/>
      <c r="H523" s="108"/>
      <c r="I523" s="109"/>
      <c r="J523" s="110"/>
      <c r="K523" s="109"/>
      <c r="L523" s="109"/>
      <c r="M523" s="109"/>
    </row>
    <row r="524">
      <c r="A524" s="103"/>
      <c r="B524" s="104"/>
      <c r="C524" s="105"/>
      <c r="D524" s="106"/>
      <c r="E524" s="105"/>
      <c r="F524" s="107"/>
      <c r="G524" s="105"/>
      <c r="H524" s="108"/>
      <c r="I524" s="109"/>
      <c r="J524" s="110"/>
      <c r="K524" s="109"/>
      <c r="L524" s="109"/>
      <c r="M524" s="109"/>
    </row>
    <row r="525">
      <c r="A525" s="103"/>
      <c r="B525" s="104"/>
      <c r="C525" s="105"/>
      <c r="D525" s="106"/>
      <c r="E525" s="105"/>
      <c r="F525" s="107"/>
      <c r="G525" s="105"/>
      <c r="H525" s="108"/>
      <c r="I525" s="109"/>
      <c r="J525" s="110"/>
      <c r="K525" s="109"/>
      <c r="L525" s="109"/>
      <c r="M525" s="109"/>
    </row>
    <row r="526">
      <c r="A526" s="103"/>
      <c r="B526" s="104"/>
      <c r="C526" s="105"/>
      <c r="D526" s="106"/>
      <c r="E526" s="105"/>
      <c r="F526" s="107"/>
      <c r="G526" s="105"/>
      <c r="H526" s="108"/>
      <c r="I526" s="109"/>
      <c r="J526" s="110"/>
      <c r="K526" s="109"/>
      <c r="L526" s="109"/>
      <c r="M526" s="109"/>
    </row>
    <row r="527">
      <c r="A527" s="103"/>
      <c r="B527" s="104"/>
      <c r="C527" s="105"/>
      <c r="D527" s="106"/>
      <c r="E527" s="105"/>
      <c r="F527" s="107"/>
      <c r="G527" s="105"/>
      <c r="H527" s="108"/>
      <c r="I527" s="109"/>
      <c r="J527" s="110"/>
      <c r="K527" s="109"/>
      <c r="L527" s="109"/>
      <c r="M527" s="109"/>
    </row>
    <row r="528">
      <c r="A528" s="103"/>
      <c r="B528" s="104"/>
      <c r="C528" s="105"/>
      <c r="D528" s="106"/>
      <c r="E528" s="105"/>
      <c r="F528" s="107"/>
      <c r="G528" s="105"/>
      <c r="H528" s="108"/>
      <c r="I528" s="109"/>
      <c r="J528" s="110"/>
      <c r="K528" s="109"/>
      <c r="L528" s="109"/>
      <c r="M528" s="109"/>
    </row>
    <row r="529">
      <c r="A529" s="103"/>
      <c r="B529" s="104"/>
      <c r="C529" s="105"/>
      <c r="D529" s="106"/>
      <c r="E529" s="105"/>
      <c r="F529" s="107"/>
      <c r="G529" s="105"/>
      <c r="H529" s="108"/>
      <c r="I529" s="109"/>
      <c r="J529" s="110"/>
      <c r="K529" s="109"/>
      <c r="L529" s="109"/>
      <c r="M529" s="109"/>
    </row>
    <row r="530">
      <c r="A530" s="103"/>
      <c r="B530" s="104"/>
      <c r="C530" s="105"/>
      <c r="D530" s="106"/>
      <c r="E530" s="105"/>
      <c r="F530" s="107"/>
      <c r="G530" s="105"/>
      <c r="H530" s="108"/>
      <c r="I530" s="109"/>
      <c r="J530" s="110"/>
      <c r="K530" s="109"/>
      <c r="L530" s="109"/>
      <c r="M530" s="109"/>
    </row>
    <row r="531">
      <c r="A531" s="103"/>
      <c r="B531" s="104"/>
      <c r="C531" s="105"/>
      <c r="D531" s="106"/>
      <c r="E531" s="105"/>
      <c r="F531" s="107"/>
      <c r="G531" s="105"/>
      <c r="H531" s="108"/>
      <c r="I531" s="109"/>
      <c r="J531" s="110"/>
      <c r="K531" s="109"/>
      <c r="L531" s="109"/>
      <c r="M531" s="109"/>
    </row>
    <row r="532">
      <c r="A532" s="103"/>
      <c r="B532" s="104"/>
      <c r="C532" s="105"/>
      <c r="D532" s="106"/>
      <c r="E532" s="105"/>
      <c r="F532" s="107"/>
      <c r="G532" s="105"/>
      <c r="H532" s="108"/>
      <c r="I532" s="109"/>
      <c r="J532" s="110"/>
      <c r="K532" s="109"/>
      <c r="L532" s="109"/>
      <c r="M532" s="109"/>
    </row>
    <row r="533">
      <c r="A533" s="103"/>
      <c r="B533" s="104"/>
      <c r="C533" s="105"/>
      <c r="D533" s="106"/>
      <c r="E533" s="105"/>
      <c r="F533" s="107"/>
      <c r="G533" s="105"/>
      <c r="H533" s="108"/>
      <c r="I533" s="109"/>
      <c r="J533" s="110"/>
      <c r="K533" s="109"/>
      <c r="L533" s="109"/>
      <c r="M533" s="109"/>
    </row>
    <row r="534">
      <c r="A534" s="103"/>
      <c r="B534" s="104"/>
      <c r="C534" s="105"/>
      <c r="D534" s="106"/>
      <c r="E534" s="105"/>
      <c r="F534" s="107"/>
      <c r="G534" s="105"/>
      <c r="H534" s="108"/>
      <c r="I534" s="109"/>
      <c r="J534" s="110"/>
      <c r="K534" s="109"/>
      <c r="L534" s="109"/>
      <c r="M534" s="109"/>
    </row>
    <row r="535">
      <c r="A535" s="103"/>
      <c r="B535" s="104"/>
      <c r="C535" s="105"/>
      <c r="D535" s="106"/>
      <c r="E535" s="105"/>
      <c r="F535" s="107"/>
      <c r="G535" s="105"/>
      <c r="H535" s="108"/>
      <c r="I535" s="109"/>
      <c r="J535" s="110"/>
      <c r="K535" s="109"/>
      <c r="L535" s="109"/>
      <c r="M535" s="109"/>
    </row>
    <row r="536">
      <c r="A536" s="103"/>
      <c r="B536" s="104"/>
      <c r="C536" s="105"/>
      <c r="D536" s="106"/>
      <c r="E536" s="105"/>
      <c r="F536" s="107"/>
      <c r="G536" s="105"/>
      <c r="H536" s="108"/>
      <c r="I536" s="109"/>
      <c r="J536" s="110"/>
      <c r="K536" s="109"/>
      <c r="L536" s="109"/>
      <c r="M536" s="109"/>
    </row>
    <row r="537">
      <c r="A537" s="103"/>
      <c r="B537" s="104"/>
      <c r="C537" s="105"/>
      <c r="D537" s="106"/>
      <c r="E537" s="105"/>
      <c r="F537" s="107"/>
      <c r="G537" s="105"/>
      <c r="H537" s="108"/>
      <c r="I537" s="109"/>
      <c r="J537" s="110"/>
      <c r="K537" s="109"/>
      <c r="L537" s="109"/>
      <c r="M537" s="109"/>
    </row>
    <row r="538">
      <c r="A538" s="103"/>
      <c r="B538" s="104"/>
      <c r="C538" s="105"/>
      <c r="D538" s="106"/>
      <c r="E538" s="105"/>
      <c r="F538" s="107"/>
      <c r="G538" s="105"/>
      <c r="H538" s="108"/>
      <c r="I538" s="109"/>
      <c r="J538" s="110"/>
      <c r="K538" s="109"/>
      <c r="L538" s="109"/>
      <c r="M538" s="109"/>
    </row>
    <row r="539">
      <c r="A539" s="103"/>
      <c r="B539" s="104"/>
      <c r="C539" s="105"/>
      <c r="D539" s="106"/>
      <c r="E539" s="105"/>
      <c r="F539" s="107"/>
      <c r="G539" s="105"/>
      <c r="H539" s="108"/>
      <c r="I539" s="109"/>
      <c r="J539" s="110"/>
      <c r="K539" s="109"/>
      <c r="L539" s="109"/>
      <c r="M539" s="109"/>
    </row>
    <row r="540">
      <c r="A540" s="103"/>
      <c r="B540" s="104"/>
      <c r="C540" s="105"/>
      <c r="D540" s="106"/>
      <c r="E540" s="105"/>
      <c r="F540" s="107"/>
      <c r="G540" s="105"/>
      <c r="H540" s="108"/>
      <c r="I540" s="109"/>
      <c r="J540" s="110"/>
      <c r="K540" s="109"/>
      <c r="L540" s="109"/>
      <c r="M540" s="109"/>
    </row>
    <row r="541">
      <c r="A541" s="103"/>
      <c r="B541" s="104"/>
      <c r="C541" s="105"/>
      <c r="D541" s="106"/>
      <c r="E541" s="105"/>
      <c r="F541" s="107"/>
      <c r="G541" s="105"/>
      <c r="H541" s="108"/>
      <c r="I541" s="109"/>
      <c r="J541" s="110"/>
      <c r="K541" s="109"/>
      <c r="L541" s="109"/>
      <c r="M541" s="109"/>
    </row>
    <row r="542">
      <c r="A542" s="103"/>
      <c r="B542" s="104"/>
      <c r="C542" s="105"/>
      <c r="D542" s="106"/>
      <c r="E542" s="105"/>
      <c r="F542" s="107"/>
      <c r="G542" s="105"/>
      <c r="H542" s="108"/>
      <c r="I542" s="109"/>
      <c r="J542" s="110"/>
      <c r="K542" s="109"/>
      <c r="L542" s="109"/>
      <c r="M542" s="109"/>
    </row>
    <row r="543">
      <c r="A543" s="103"/>
      <c r="B543" s="104"/>
      <c r="C543" s="105"/>
      <c r="D543" s="106"/>
      <c r="E543" s="105"/>
      <c r="F543" s="107"/>
      <c r="G543" s="105"/>
      <c r="H543" s="108"/>
      <c r="I543" s="109"/>
      <c r="J543" s="110"/>
      <c r="K543" s="109"/>
      <c r="L543" s="109"/>
      <c r="M543" s="109"/>
    </row>
    <row r="544">
      <c r="A544" s="103"/>
      <c r="B544" s="104"/>
      <c r="C544" s="105"/>
      <c r="D544" s="106"/>
      <c r="E544" s="105"/>
      <c r="F544" s="107"/>
      <c r="G544" s="105"/>
      <c r="H544" s="108"/>
      <c r="I544" s="109"/>
      <c r="J544" s="110"/>
      <c r="K544" s="109"/>
      <c r="L544" s="109"/>
      <c r="M544" s="109"/>
    </row>
    <row r="545">
      <c r="A545" s="103"/>
      <c r="B545" s="104"/>
      <c r="C545" s="105"/>
      <c r="D545" s="106"/>
      <c r="E545" s="105"/>
      <c r="F545" s="107"/>
      <c r="G545" s="105"/>
      <c r="H545" s="108"/>
      <c r="I545" s="109"/>
      <c r="J545" s="110"/>
      <c r="K545" s="109"/>
      <c r="L545" s="109"/>
      <c r="M545" s="109"/>
    </row>
    <row r="546">
      <c r="A546" s="103"/>
      <c r="B546" s="104"/>
      <c r="C546" s="105"/>
      <c r="D546" s="106"/>
      <c r="E546" s="105"/>
      <c r="F546" s="107"/>
      <c r="G546" s="105"/>
      <c r="H546" s="108"/>
      <c r="I546" s="109"/>
      <c r="J546" s="110"/>
      <c r="K546" s="109"/>
      <c r="L546" s="109"/>
      <c r="M546" s="109"/>
    </row>
    <row r="547">
      <c r="A547" s="103"/>
      <c r="B547" s="104"/>
      <c r="C547" s="105"/>
      <c r="D547" s="106"/>
      <c r="E547" s="105"/>
      <c r="F547" s="107"/>
      <c r="G547" s="105"/>
      <c r="H547" s="108"/>
      <c r="I547" s="109"/>
      <c r="J547" s="110"/>
      <c r="K547" s="109"/>
      <c r="L547" s="109"/>
      <c r="M547" s="109"/>
    </row>
    <row r="548">
      <c r="A548" s="103"/>
      <c r="B548" s="104"/>
      <c r="C548" s="105"/>
      <c r="D548" s="106"/>
      <c r="E548" s="105"/>
      <c r="F548" s="107"/>
      <c r="G548" s="105"/>
      <c r="H548" s="108"/>
      <c r="I548" s="109"/>
      <c r="J548" s="110"/>
      <c r="K548" s="109"/>
      <c r="L548" s="109"/>
      <c r="M548" s="109"/>
    </row>
    <row r="549">
      <c r="A549" s="103"/>
      <c r="B549" s="104"/>
      <c r="C549" s="105"/>
      <c r="D549" s="106"/>
      <c r="E549" s="105"/>
      <c r="F549" s="107"/>
      <c r="G549" s="105"/>
      <c r="H549" s="108"/>
      <c r="I549" s="109"/>
      <c r="J549" s="110"/>
      <c r="K549" s="109"/>
      <c r="L549" s="109"/>
      <c r="M549" s="109"/>
    </row>
    <row r="550">
      <c r="A550" s="103"/>
      <c r="B550" s="104"/>
      <c r="C550" s="105"/>
      <c r="D550" s="106"/>
      <c r="E550" s="105"/>
      <c r="F550" s="107"/>
      <c r="G550" s="105"/>
      <c r="H550" s="108"/>
      <c r="I550" s="109"/>
      <c r="J550" s="110"/>
      <c r="K550" s="109"/>
      <c r="L550" s="109"/>
      <c r="M550" s="109"/>
    </row>
    <row r="551">
      <c r="A551" s="103"/>
      <c r="B551" s="104"/>
      <c r="C551" s="105"/>
      <c r="D551" s="106"/>
      <c r="E551" s="105"/>
      <c r="F551" s="107"/>
      <c r="G551" s="105"/>
      <c r="H551" s="108"/>
      <c r="I551" s="109"/>
      <c r="J551" s="110"/>
      <c r="K551" s="109"/>
      <c r="L551" s="109"/>
      <c r="M551" s="109"/>
    </row>
    <row r="552">
      <c r="A552" s="103"/>
      <c r="B552" s="104"/>
      <c r="C552" s="105"/>
      <c r="D552" s="106"/>
      <c r="E552" s="105"/>
      <c r="F552" s="107"/>
      <c r="G552" s="105"/>
      <c r="H552" s="108"/>
      <c r="I552" s="109"/>
      <c r="J552" s="110"/>
      <c r="K552" s="109"/>
      <c r="L552" s="109"/>
      <c r="M552" s="109"/>
    </row>
    <row r="553">
      <c r="A553" s="103"/>
      <c r="B553" s="104"/>
      <c r="C553" s="105"/>
      <c r="D553" s="106"/>
      <c r="E553" s="105"/>
      <c r="F553" s="107"/>
      <c r="G553" s="105"/>
      <c r="H553" s="108"/>
      <c r="I553" s="109"/>
      <c r="J553" s="110"/>
      <c r="K553" s="109"/>
      <c r="L553" s="109"/>
      <c r="M553" s="109"/>
    </row>
    <row r="554">
      <c r="A554" s="103"/>
      <c r="B554" s="104"/>
      <c r="C554" s="105"/>
      <c r="D554" s="106"/>
      <c r="E554" s="105"/>
      <c r="F554" s="107"/>
      <c r="G554" s="105"/>
      <c r="H554" s="108"/>
      <c r="I554" s="109"/>
      <c r="J554" s="110"/>
      <c r="K554" s="109"/>
      <c r="L554" s="109"/>
      <c r="M554" s="109"/>
    </row>
    <row r="555">
      <c r="A555" s="103"/>
      <c r="B555" s="104"/>
      <c r="C555" s="105"/>
      <c r="D555" s="106"/>
      <c r="E555" s="105"/>
      <c r="F555" s="107"/>
      <c r="G555" s="105"/>
      <c r="H555" s="108"/>
      <c r="I555" s="109"/>
      <c r="J555" s="110"/>
      <c r="K555" s="109"/>
      <c r="L555" s="109"/>
      <c r="M555" s="109"/>
    </row>
    <row r="556">
      <c r="A556" s="103"/>
      <c r="B556" s="104"/>
      <c r="C556" s="105"/>
      <c r="D556" s="106"/>
      <c r="E556" s="105"/>
      <c r="F556" s="107"/>
      <c r="G556" s="105"/>
      <c r="H556" s="108"/>
      <c r="I556" s="109"/>
      <c r="J556" s="110"/>
      <c r="K556" s="109"/>
      <c r="L556" s="109"/>
      <c r="M556" s="109"/>
    </row>
    <row r="557">
      <c r="A557" s="103"/>
      <c r="B557" s="104"/>
      <c r="C557" s="105"/>
      <c r="D557" s="106"/>
      <c r="E557" s="105"/>
      <c r="F557" s="107"/>
      <c r="G557" s="105"/>
      <c r="H557" s="108"/>
      <c r="I557" s="109"/>
      <c r="J557" s="110"/>
      <c r="K557" s="109"/>
      <c r="L557" s="109"/>
      <c r="M557" s="109"/>
    </row>
    <row r="558">
      <c r="A558" s="103"/>
      <c r="B558" s="104"/>
      <c r="C558" s="105"/>
      <c r="D558" s="106"/>
      <c r="E558" s="105"/>
      <c r="F558" s="107"/>
      <c r="G558" s="105"/>
      <c r="H558" s="108"/>
      <c r="I558" s="109"/>
      <c r="J558" s="110"/>
      <c r="K558" s="109"/>
      <c r="L558" s="109"/>
      <c r="M558" s="109"/>
    </row>
    <row r="559">
      <c r="A559" s="103"/>
      <c r="B559" s="104"/>
      <c r="C559" s="105"/>
      <c r="D559" s="106"/>
      <c r="E559" s="105"/>
      <c r="F559" s="107"/>
      <c r="G559" s="105"/>
      <c r="H559" s="108"/>
      <c r="I559" s="109"/>
      <c r="J559" s="110"/>
      <c r="K559" s="109"/>
      <c r="L559" s="109"/>
      <c r="M559" s="109"/>
    </row>
    <row r="560">
      <c r="A560" s="103"/>
      <c r="B560" s="104"/>
      <c r="C560" s="105"/>
      <c r="D560" s="106"/>
      <c r="E560" s="105"/>
      <c r="F560" s="107"/>
      <c r="G560" s="105"/>
      <c r="H560" s="108"/>
      <c r="I560" s="109"/>
      <c r="J560" s="110"/>
      <c r="K560" s="109"/>
      <c r="L560" s="109"/>
      <c r="M560" s="109"/>
    </row>
    <row r="561">
      <c r="A561" s="103"/>
      <c r="B561" s="104"/>
      <c r="C561" s="105"/>
      <c r="D561" s="106"/>
      <c r="E561" s="105"/>
      <c r="F561" s="107"/>
      <c r="G561" s="105"/>
      <c r="H561" s="108"/>
      <c r="I561" s="109"/>
      <c r="J561" s="110"/>
      <c r="K561" s="109"/>
      <c r="L561" s="109"/>
      <c r="M561" s="109"/>
    </row>
    <row r="562">
      <c r="A562" s="103"/>
      <c r="B562" s="104"/>
      <c r="C562" s="105"/>
      <c r="D562" s="106"/>
      <c r="E562" s="105"/>
      <c r="F562" s="107"/>
      <c r="G562" s="105"/>
      <c r="H562" s="108"/>
      <c r="I562" s="109"/>
      <c r="J562" s="110"/>
      <c r="K562" s="109"/>
      <c r="L562" s="109"/>
      <c r="M562" s="109"/>
    </row>
    <row r="563">
      <c r="A563" s="103"/>
      <c r="B563" s="104"/>
      <c r="C563" s="105"/>
      <c r="D563" s="106"/>
      <c r="E563" s="105"/>
      <c r="F563" s="107"/>
      <c r="G563" s="105"/>
      <c r="H563" s="108"/>
      <c r="I563" s="109"/>
      <c r="J563" s="110"/>
      <c r="K563" s="109"/>
      <c r="L563" s="109"/>
      <c r="M563" s="109"/>
    </row>
    <row r="564">
      <c r="A564" s="103"/>
      <c r="B564" s="104"/>
      <c r="C564" s="105"/>
      <c r="D564" s="106"/>
      <c r="E564" s="105"/>
      <c r="F564" s="107"/>
      <c r="G564" s="105"/>
      <c r="H564" s="108"/>
      <c r="I564" s="109"/>
      <c r="J564" s="110"/>
      <c r="K564" s="109"/>
      <c r="L564" s="109"/>
      <c r="M564" s="109"/>
    </row>
    <row r="565">
      <c r="A565" s="103"/>
      <c r="B565" s="104"/>
      <c r="C565" s="105"/>
      <c r="D565" s="106"/>
      <c r="E565" s="105"/>
      <c r="F565" s="107"/>
      <c r="G565" s="105"/>
      <c r="H565" s="108"/>
      <c r="I565" s="109"/>
      <c r="J565" s="110"/>
      <c r="K565" s="109"/>
      <c r="L565" s="109"/>
      <c r="M565" s="109"/>
    </row>
    <row r="566">
      <c r="A566" s="103"/>
      <c r="B566" s="104"/>
      <c r="C566" s="105"/>
      <c r="D566" s="106"/>
      <c r="E566" s="105"/>
      <c r="F566" s="107"/>
      <c r="G566" s="105"/>
      <c r="H566" s="108"/>
      <c r="I566" s="109"/>
      <c r="J566" s="110"/>
      <c r="K566" s="109"/>
      <c r="L566" s="109"/>
      <c r="M566" s="109"/>
    </row>
    <row r="567">
      <c r="A567" s="103"/>
      <c r="B567" s="104"/>
      <c r="C567" s="105"/>
      <c r="D567" s="106"/>
      <c r="E567" s="105"/>
      <c r="F567" s="107"/>
      <c r="G567" s="105"/>
      <c r="H567" s="108"/>
      <c r="I567" s="109"/>
      <c r="J567" s="110"/>
      <c r="K567" s="109"/>
      <c r="L567" s="109"/>
      <c r="M567" s="109"/>
    </row>
    <row r="568">
      <c r="A568" s="103"/>
      <c r="B568" s="104"/>
      <c r="C568" s="105"/>
      <c r="D568" s="106"/>
      <c r="E568" s="105"/>
      <c r="F568" s="107"/>
      <c r="G568" s="105"/>
      <c r="H568" s="108"/>
      <c r="I568" s="109"/>
      <c r="J568" s="110"/>
      <c r="K568" s="109"/>
      <c r="L568" s="109"/>
      <c r="M568" s="109"/>
    </row>
    <row r="569">
      <c r="A569" s="103"/>
      <c r="B569" s="104"/>
      <c r="C569" s="105"/>
      <c r="D569" s="106"/>
      <c r="E569" s="105"/>
      <c r="F569" s="107"/>
      <c r="G569" s="105"/>
      <c r="H569" s="108"/>
      <c r="I569" s="109"/>
      <c r="J569" s="110"/>
      <c r="K569" s="109"/>
      <c r="L569" s="109"/>
      <c r="M569" s="109"/>
    </row>
    <row r="570">
      <c r="A570" s="103"/>
      <c r="B570" s="104"/>
      <c r="C570" s="105"/>
      <c r="D570" s="106"/>
      <c r="E570" s="105"/>
      <c r="F570" s="107"/>
      <c r="G570" s="105"/>
      <c r="H570" s="108"/>
      <c r="I570" s="109"/>
      <c r="J570" s="110"/>
      <c r="K570" s="109"/>
      <c r="L570" s="109"/>
      <c r="M570" s="109"/>
    </row>
    <row r="571">
      <c r="A571" s="103"/>
      <c r="B571" s="104"/>
      <c r="C571" s="105"/>
      <c r="D571" s="106"/>
      <c r="E571" s="105"/>
      <c r="F571" s="107"/>
      <c r="G571" s="105"/>
      <c r="H571" s="108"/>
      <c r="I571" s="109"/>
      <c r="J571" s="110"/>
      <c r="K571" s="109"/>
      <c r="L571" s="109"/>
      <c r="M571" s="109"/>
    </row>
    <row r="572">
      <c r="A572" s="103"/>
      <c r="B572" s="104"/>
      <c r="C572" s="105"/>
      <c r="D572" s="106"/>
      <c r="E572" s="105"/>
      <c r="F572" s="107"/>
      <c r="G572" s="105"/>
      <c r="H572" s="108"/>
      <c r="I572" s="109"/>
      <c r="J572" s="110"/>
      <c r="K572" s="109"/>
      <c r="L572" s="109"/>
      <c r="M572" s="109"/>
    </row>
    <row r="573">
      <c r="A573" s="103"/>
      <c r="B573" s="104"/>
      <c r="C573" s="105"/>
      <c r="D573" s="106"/>
      <c r="E573" s="105"/>
      <c r="F573" s="107"/>
      <c r="G573" s="105"/>
      <c r="H573" s="108"/>
      <c r="I573" s="109"/>
      <c r="J573" s="110"/>
      <c r="K573" s="109"/>
      <c r="L573" s="109"/>
      <c r="M573" s="109"/>
    </row>
    <row r="574">
      <c r="A574" s="103"/>
      <c r="B574" s="104"/>
      <c r="C574" s="105"/>
      <c r="D574" s="106"/>
      <c r="E574" s="105"/>
      <c r="F574" s="107"/>
      <c r="G574" s="105"/>
      <c r="H574" s="108"/>
      <c r="I574" s="109"/>
      <c r="J574" s="110"/>
      <c r="K574" s="109"/>
      <c r="L574" s="109"/>
      <c r="M574" s="109"/>
    </row>
    <row r="575">
      <c r="A575" s="103"/>
      <c r="B575" s="104"/>
      <c r="C575" s="105"/>
      <c r="D575" s="106"/>
      <c r="E575" s="105"/>
      <c r="F575" s="107"/>
      <c r="G575" s="105"/>
      <c r="H575" s="108"/>
      <c r="I575" s="109"/>
      <c r="J575" s="110"/>
      <c r="K575" s="109"/>
      <c r="L575" s="109"/>
      <c r="M575" s="109"/>
    </row>
    <row r="576">
      <c r="A576" s="103"/>
      <c r="B576" s="104"/>
      <c r="C576" s="105"/>
      <c r="D576" s="106"/>
      <c r="E576" s="105"/>
      <c r="F576" s="107"/>
      <c r="G576" s="105"/>
      <c r="H576" s="108"/>
      <c r="I576" s="109"/>
      <c r="J576" s="110"/>
      <c r="K576" s="109"/>
      <c r="L576" s="109"/>
      <c r="M576" s="109"/>
    </row>
    <row r="577">
      <c r="A577" s="103"/>
      <c r="B577" s="104"/>
      <c r="C577" s="105"/>
      <c r="D577" s="106"/>
      <c r="E577" s="105"/>
      <c r="F577" s="107"/>
      <c r="G577" s="105"/>
      <c r="H577" s="108"/>
      <c r="I577" s="109"/>
      <c r="J577" s="110"/>
      <c r="K577" s="109"/>
      <c r="L577" s="109"/>
      <c r="M577" s="109"/>
    </row>
    <row r="578">
      <c r="A578" s="103"/>
      <c r="B578" s="104"/>
      <c r="C578" s="105"/>
      <c r="D578" s="106"/>
      <c r="E578" s="105"/>
      <c r="F578" s="107"/>
      <c r="G578" s="105"/>
      <c r="H578" s="108"/>
      <c r="I578" s="109"/>
      <c r="J578" s="110"/>
      <c r="K578" s="109"/>
      <c r="L578" s="109"/>
      <c r="M578" s="109"/>
    </row>
    <row r="579">
      <c r="A579" s="103"/>
      <c r="B579" s="104"/>
      <c r="C579" s="105"/>
      <c r="D579" s="106"/>
      <c r="E579" s="105"/>
      <c r="F579" s="107"/>
      <c r="G579" s="105"/>
      <c r="H579" s="108"/>
      <c r="I579" s="109"/>
      <c r="J579" s="110"/>
      <c r="K579" s="109"/>
      <c r="L579" s="109"/>
      <c r="M579" s="109"/>
    </row>
    <row r="580">
      <c r="A580" s="103"/>
      <c r="B580" s="104"/>
      <c r="C580" s="105"/>
      <c r="D580" s="106"/>
      <c r="E580" s="105"/>
      <c r="F580" s="107"/>
      <c r="G580" s="105"/>
      <c r="H580" s="108"/>
      <c r="I580" s="109"/>
      <c r="J580" s="110"/>
      <c r="K580" s="109"/>
      <c r="L580" s="109"/>
      <c r="M580" s="109"/>
    </row>
    <row r="581">
      <c r="A581" s="103"/>
      <c r="B581" s="104"/>
      <c r="C581" s="105"/>
      <c r="D581" s="106"/>
      <c r="E581" s="105"/>
      <c r="F581" s="107"/>
      <c r="G581" s="105"/>
      <c r="H581" s="108"/>
      <c r="I581" s="109"/>
      <c r="J581" s="110"/>
      <c r="K581" s="109"/>
      <c r="L581" s="109"/>
      <c r="M581" s="109"/>
    </row>
    <row r="582">
      <c r="A582" s="103"/>
      <c r="B582" s="104"/>
      <c r="C582" s="105"/>
      <c r="D582" s="106"/>
      <c r="E582" s="105"/>
      <c r="F582" s="107"/>
      <c r="G582" s="105"/>
      <c r="H582" s="108"/>
      <c r="I582" s="109"/>
      <c r="J582" s="110"/>
      <c r="K582" s="109"/>
      <c r="L582" s="109"/>
      <c r="M582" s="109"/>
    </row>
    <row r="583">
      <c r="A583" s="103"/>
      <c r="B583" s="104"/>
      <c r="C583" s="105"/>
      <c r="D583" s="106"/>
      <c r="E583" s="105"/>
      <c r="F583" s="107"/>
      <c r="G583" s="105"/>
      <c r="H583" s="108"/>
      <c r="I583" s="109"/>
      <c r="J583" s="110"/>
      <c r="K583" s="109"/>
      <c r="L583" s="109"/>
      <c r="M583" s="109"/>
    </row>
    <row r="584">
      <c r="A584" s="103"/>
      <c r="B584" s="104"/>
      <c r="C584" s="105"/>
      <c r="D584" s="106"/>
      <c r="E584" s="105"/>
      <c r="F584" s="107"/>
      <c r="G584" s="105"/>
      <c r="H584" s="108"/>
      <c r="I584" s="109"/>
      <c r="J584" s="110"/>
      <c r="K584" s="109"/>
      <c r="L584" s="109"/>
      <c r="M584" s="109"/>
    </row>
    <row r="585">
      <c r="A585" s="103"/>
      <c r="B585" s="104"/>
      <c r="C585" s="105"/>
      <c r="D585" s="106"/>
      <c r="E585" s="105"/>
      <c r="F585" s="107"/>
      <c r="G585" s="105"/>
      <c r="H585" s="108"/>
      <c r="I585" s="109"/>
      <c r="J585" s="110"/>
      <c r="K585" s="109"/>
      <c r="L585" s="109"/>
      <c r="M585" s="109"/>
    </row>
    <row r="586">
      <c r="A586" s="103"/>
      <c r="B586" s="104"/>
      <c r="C586" s="105"/>
      <c r="D586" s="106"/>
      <c r="E586" s="105"/>
      <c r="F586" s="107"/>
      <c r="G586" s="105"/>
      <c r="H586" s="108"/>
      <c r="I586" s="109"/>
      <c r="J586" s="110"/>
      <c r="K586" s="109"/>
      <c r="L586" s="109"/>
      <c r="M586" s="109"/>
    </row>
    <row r="587">
      <c r="A587" s="103"/>
      <c r="B587" s="104"/>
      <c r="C587" s="105"/>
      <c r="D587" s="106"/>
      <c r="E587" s="105"/>
      <c r="F587" s="107"/>
      <c r="G587" s="105"/>
      <c r="H587" s="108"/>
      <c r="I587" s="109"/>
      <c r="J587" s="110"/>
      <c r="K587" s="109"/>
      <c r="L587" s="109"/>
      <c r="M587" s="109"/>
    </row>
    <row r="588">
      <c r="A588" s="103"/>
      <c r="B588" s="104"/>
      <c r="C588" s="105"/>
      <c r="D588" s="106"/>
      <c r="E588" s="105"/>
      <c r="F588" s="107"/>
      <c r="G588" s="105"/>
      <c r="H588" s="108"/>
      <c r="I588" s="109"/>
      <c r="J588" s="110"/>
      <c r="K588" s="109"/>
      <c r="L588" s="109"/>
      <c r="M588" s="109"/>
    </row>
    <row r="589">
      <c r="A589" s="103"/>
      <c r="B589" s="104"/>
      <c r="C589" s="105"/>
      <c r="D589" s="106"/>
      <c r="E589" s="105"/>
      <c r="F589" s="107"/>
      <c r="G589" s="105"/>
      <c r="H589" s="108"/>
      <c r="I589" s="109"/>
      <c r="J589" s="110"/>
      <c r="K589" s="109"/>
      <c r="L589" s="109"/>
      <c r="M589" s="109"/>
    </row>
    <row r="590">
      <c r="A590" s="103"/>
      <c r="B590" s="104"/>
      <c r="C590" s="105"/>
      <c r="D590" s="106"/>
      <c r="E590" s="105"/>
      <c r="F590" s="107"/>
      <c r="G590" s="105"/>
      <c r="H590" s="108"/>
      <c r="I590" s="109"/>
      <c r="J590" s="110"/>
      <c r="K590" s="109"/>
      <c r="L590" s="109"/>
      <c r="M590" s="109"/>
    </row>
    <row r="591">
      <c r="A591" s="103"/>
      <c r="B591" s="104"/>
      <c r="C591" s="105"/>
      <c r="D591" s="106"/>
      <c r="E591" s="105"/>
      <c r="F591" s="107"/>
      <c r="G591" s="105"/>
      <c r="H591" s="108"/>
      <c r="I591" s="109"/>
      <c r="J591" s="110"/>
      <c r="K591" s="109"/>
      <c r="L591" s="109"/>
      <c r="M591" s="109"/>
    </row>
    <row r="592">
      <c r="A592" s="103"/>
      <c r="B592" s="104"/>
      <c r="C592" s="105"/>
      <c r="D592" s="106"/>
      <c r="E592" s="105"/>
      <c r="F592" s="107"/>
      <c r="G592" s="105"/>
      <c r="H592" s="108"/>
      <c r="I592" s="109"/>
      <c r="J592" s="110"/>
      <c r="K592" s="109"/>
      <c r="L592" s="109"/>
      <c r="M592" s="109"/>
    </row>
    <row r="593">
      <c r="A593" s="103"/>
      <c r="B593" s="104"/>
      <c r="C593" s="105"/>
      <c r="D593" s="106"/>
      <c r="E593" s="105"/>
      <c r="F593" s="107"/>
      <c r="G593" s="105"/>
      <c r="H593" s="108"/>
      <c r="I593" s="109"/>
      <c r="J593" s="110"/>
      <c r="K593" s="109"/>
      <c r="L593" s="109"/>
      <c r="M593" s="109"/>
    </row>
    <row r="594">
      <c r="A594" s="103"/>
      <c r="B594" s="104"/>
      <c r="C594" s="105"/>
      <c r="D594" s="106"/>
      <c r="E594" s="105"/>
      <c r="F594" s="107"/>
      <c r="G594" s="105"/>
      <c r="H594" s="108"/>
      <c r="I594" s="109"/>
      <c r="J594" s="110"/>
      <c r="K594" s="109"/>
      <c r="L594" s="109"/>
      <c r="M594" s="109"/>
    </row>
    <row r="595">
      <c r="A595" s="103"/>
      <c r="B595" s="104"/>
      <c r="C595" s="105"/>
      <c r="D595" s="106"/>
      <c r="E595" s="105"/>
      <c r="F595" s="107"/>
      <c r="G595" s="105"/>
      <c r="H595" s="108"/>
      <c r="I595" s="109"/>
      <c r="J595" s="110"/>
      <c r="K595" s="109"/>
      <c r="L595" s="109"/>
      <c r="M595" s="109"/>
    </row>
    <row r="596">
      <c r="A596" s="103"/>
      <c r="B596" s="104"/>
      <c r="C596" s="105"/>
      <c r="D596" s="106"/>
      <c r="E596" s="105"/>
      <c r="F596" s="107"/>
      <c r="G596" s="105"/>
      <c r="H596" s="108"/>
      <c r="I596" s="109"/>
      <c r="J596" s="110"/>
      <c r="K596" s="109"/>
      <c r="L596" s="109"/>
      <c r="M596" s="109"/>
    </row>
    <row r="597">
      <c r="A597" s="103"/>
      <c r="B597" s="104"/>
      <c r="C597" s="105"/>
      <c r="D597" s="106"/>
      <c r="E597" s="105"/>
      <c r="F597" s="107"/>
      <c r="G597" s="105"/>
      <c r="H597" s="108"/>
      <c r="I597" s="109"/>
      <c r="J597" s="110"/>
      <c r="K597" s="109"/>
      <c r="L597" s="109"/>
      <c r="M597" s="109"/>
    </row>
    <row r="598">
      <c r="A598" s="103"/>
      <c r="B598" s="104"/>
      <c r="C598" s="105"/>
      <c r="D598" s="106"/>
      <c r="E598" s="105"/>
      <c r="F598" s="107"/>
      <c r="G598" s="105"/>
      <c r="H598" s="108"/>
      <c r="I598" s="109"/>
      <c r="J598" s="110"/>
      <c r="K598" s="109"/>
      <c r="L598" s="109"/>
      <c r="M598" s="109"/>
    </row>
    <row r="599">
      <c r="A599" s="103"/>
      <c r="B599" s="104"/>
      <c r="C599" s="105"/>
      <c r="D599" s="106"/>
      <c r="E599" s="105"/>
      <c r="F599" s="107"/>
      <c r="G599" s="105"/>
      <c r="H599" s="108"/>
      <c r="I599" s="109"/>
      <c r="J599" s="110"/>
      <c r="K599" s="109"/>
      <c r="L599" s="109"/>
      <c r="M599" s="109"/>
    </row>
    <row r="600">
      <c r="A600" s="103"/>
      <c r="B600" s="104"/>
      <c r="C600" s="105"/>
      <c r="D600" s="106"/>
      <c r="E600" s="105"/>
      <c r="F600" s="107"/>
      <c r="G600" s="105"/>
      <c r="H600" s="108"/>
      <c r="I600" s="109"/>
      <c r="J600" s="110"/>
      <c r="K600" s="109"/>
      <c r="L600" s="109"/>
      <c r="M600" s="109"/>
    </row>
    <row r="601">
      <c r="A601" s="103"/>
      <c r="B601" s="104"/>
      <c r="C601" s="105"/>
      <c r="D601" s="106"/>
      <c r="E601" s="105"/>
      <c r="F601" s="107"/>
      <c r="G601" s="105"/>
      <c r="H601" s="108"/>
      <c r="I601" s="109"/>
      <c r="J601" s="110"/>
      <c r="K601" s="109"/>
      <c r="L601" s="109"/>
      <c r="M601" s="109"/>
    </row>
    <row r="602">
      <c r="A602" s="103"/>
      <c r="B602" s="104"/>
      <c r="C602" s="105"/>
      <c r="D602" s="106"/>
      <c r="E602" s="105"/>
      <c r="F602" s="107"/>
      <c r="G602" s="105"/>
      <c r="H602" s="108"/>
      <c r="I602" s="109"/>
      <c r="J602" s="110"/>
      <c r="K602" s="109"/>
      <c r="L602" s="109"/>
      <c r="M602" s="109"/>
    </row>
    <row r="603">
      <c r="A603" s="103"/>
      <c r="B603" s="104"/>
      <c r="C603" s="105"/>
      <c r="D603" s="106"/>
      <c r="E603" s="105"/>
      <c r="F603" s="107"/>
      <c r="G603" s="105"/>
      <c r="H603" s="108"/>
      <c r="I603" s="109"/>
      <c r="J603" s="110"/>
      <c r="K603" s="109"/>
      <c r="L603" s="109"/>
      <c r="M603" s="109"/>
    </row>
    <row r="604">
      <c r="A604" s="103"/>
      <c r="B604" s="104"/>
      <c r="C604" s="105"/>
      <c r="D604" s="106"/>
      <c r="E604" s="105"/>
      <c r="F604" s="107"/>
      <c r="G604" s="105"/>
      <c r="H604" s="108"/>
      <c r="I604" s="109"/>
      <c r="J604" s="110"/>
      <c r="K604" s="109"/>
      <c r="L604" s="109"/>
      <c r="M604" s="109"/>
    </row>
    <row r="605">
      <c r="A605" s="103"/>
      <c r="B605" s="104"/>
      <c r="C605" s="105"/>
      <c r="D605" s="106"/>
      <c r="E605" s="105"/>
      <c r="F605" s="107"/>
      <c r="G605" s="105"/>
      <c r="H605" s="108"/>
      <c r="I605" s="109"/>
      <c r="J605" s="110"/>
      <c r="K605" s="109"/>
      <c r="L605" s="109"/>
      <c r="M605" s="109"/>
    </row>
    <row r="606">
      <c r="A606" s="103"/>
      <c r="B606" s="104"/>
      <c r="C606" s="105"/>
      <c r="D606" s="106"/>
      <c r="E606" s="105"/>
      <c r="F606" s="107"/>
      <c r="G606" s="105"/>
      <c r="H606" s="108"/>
      <c r="I606" s="109"/>
      <c r="J606" s="110"/>
      <c r="K606" s="109"/>
      <c r="L606" s="109"/>
      <c r="M606" s="109"/>
    </row>
    <row r="607">
      <c r="A607" s="103"/>
      <c r="B607" s="104"/>
      <c r="C607" s="105"/>
      <c r="D607" s="106"/>
      <c r="E607" s="105"/>
      <c r="F607" s="107"/>
      <c r="G607" s="105"/>
      <c r="H607" s="108"/>
      <c r="I607" s="109"/>
      <c r="J607" s="110"/>
      <c r="K607" s="109"/>
      <c r="L607" s="109"/>
      <c r="M607" s="109"/>
    </row>
    <row r="608">
      <c r="A608" s="103"/>
      <c r="B608" s="104"/>
      <c r="C608" s="105"/>
      <c r="D608" s="106"/>
      <c r="E608" s="105"/>
      <c r="F608" s="107"/>
      <c r="G608" s="105"/>
      <c r="H608" s="108"/>
      <c r="I608" s="109"/>
      <c r="J608" s="110"/>
      <c r="K608" s="109"/>
      <c r="L608" s="109"/>
      <c r="M608" s="109"/>
    </row>
    <row r="609">
      <c r="A609" s="103"/>
      <c r="B609" s="104"/>
      <c r="C609" s="105"/>
      <c r="D609" s="106"/>
      <c r="E609" s="105"/>
      <c r="F609" s="107"/>
      <c r="G609" s="105"/>
      <c r="H609" s="108"/>
      <c r="I609" s="109"/>
      <c r="J609" s="110"/>
      <c r="K609" s="109"/>
      <c r="L609" s="109"/>
      <c r="M609" s="109"/>
    </row>
    <row r="610">
      <c r="A610" s="103"/>
      <c r="B610" s="104"/>
      <c r="C610" s="105"/>
      <c r="D610" s="106"/>
      <c r="E610" s="105"/>
      <c r="F610" s="107"/>
      <c r="G610" s="105"/>
      <c r="H610" s="108"/>
      <c r="I610" s="109"/>
      <c r="J610" s="110"/>
      <c r="K610" s="109"/>
      <c r="L610" s="109"/>
      <c r="M610" s="109"/>
    </row>
    <row r="611">
      <c r="A611" s="103"/>
      <c r="B611" s="104"/>
      <c r="C611" s="105"/>
      <c r="D611" s="106"/>
      <c r="E611" s="105"/>
      <c r="F611" s="107"/>
      <c r="G611" s="105"/>
      <c r="H611" s="108"/>
      <c r="I611" s="109"/>
      <c r="J611" s="110"/>
      <c r="K611" s="109"/>
      <c r="L611" s="109"/>
      <c r="M611" s="109"/>
    </row>
    <row r="612">
      <c r="A612" s="103"/>
      <c r="B612" s="104"/>
      <c r="C612" s="105"/>
      <c r="D612" s="106"/>
      <c r="E612" s="105"/>
      <c r="F612" s="107"/>
      <c r="G612" s="105"/>
      <c r="H612" s="108"/>
      <c r="I612" s="109"/>
      <c r="J612" s="110"/>
      <c r="K612" s="109"/>
      <c r="L612" s="109"/>
      <c r="M612" s="109"/>
    </row>
    <row r="613">
      <c r="A613" s="103"/>
      <c r="B613" s="104"/>
      <c r="C613" s="105"/>
      <c r="D613" s="106"/>
      <c r="E613" s="105"/>
      <c r="F613" s="107"/>
      <c r="G613" s="105"/>
      <c r="H613" s="108"/>
      <c r="I613" s="109"/>
      <c r="J613" s="110"/>
      <c r="K613" s="109"/>
      <c r="L613" s="109"/>
      <c r="M613" s="109"/>
    </row>
    <row r="614">
      <c r="A614" s="103"/>
      <c r="B614" s="104"/>
      <c r="C614" s="105"/>
      <c r="D614" s="106"/>
      <c r="E614" s="105"/>
      <c r="F614" s="107"/>
      <c r="G614" s="105"/>
      <c r="H614" s="108"/>
      <c r="I614" s="109"/>
      <c r="J614" s="110"/>
      <c r="K614" s="109"/>
      <c r="L614" s="109"/>
      <c r="M614" s="109"/>
    </row>
    <row r="615">
      <c r="A615" s="103"/>
      <c r="B615" s="104"/>
      <c r="C615" s="105"/>
      <c r="D615" s="106"/>
      <c r="E615" s="105"/>
      <c r="F615" s="107"/>
      <c r="G615" s="105"/>
      <c r="H615" s="108"/>
      <c r="I615" s="109"/>
      <c r="J615" s="110"/>
      <c r="K615" s="109"/>
      <c r="L615" s="109"/>
      <c r="M615" s="109"/>
    </row>
    <row r="616">
      <c r="A616" s="103"/>
      <c r="B616" s="104"/>
      <c r="C616" s="105"/>
      <c r="D616" s="106"/>
      <c r="E616" s="105"/>
      <c r="F616" s="107"/>
      <c r="G616" s="105"/>
      <c r="H616" s="108"/>
      <c r="I616" s="109"/>
      <c r="J616" s="110"/>
      <c r="K616" s="109"/>
      <c r="L616" s="109"/>
      <c r="M616" s="109"/>
    </row>
    <row r="617">
      <c r="A617" s="103"/>
      <c r="B617" s="104"/>
      <c r="C617" s="105"/>
      <c r="D617" s="106"/>
      <c r="E617" s="105"/>
      <c r="F617" s="107"/>
      <c r="G617" s="105"/>
      <c r="H617" s="108"/>
      <c r="I617" s="109"/>
      <c r="J617" s="110"/>
      <c r="K617" s="109"/>
      <c r="L617" s="109"/>
      <c r="M617" s="109"/>
    </row>
    <row r="618">
      <c r="A618" s="103"/>
      <c r="B618" s="104"/>
      <c r="C618" s="105"/>
      <c r="D618" s="106"/>
      <c r="E618" s="105"/>
      <c r="F618" s="107"/>
      <c r="G618" s="105"/>
      <c r="H618" s="108"/>
      <c r="I618" s="109"/>
      <c r="J618" s="110"/>
      <c r="K618" s="109"/>
      <c r="L618" s="109"/>
      <c r="M618" s="109"/>
    </row>
    <row r="619">
      <c r="A619" s="103"/>
      <c r="B619" s="104"/>
      <c r="C619" s="105"/>
      <c r="D619" s="106"/>
      <c r="E619" s="105"/>
      <c r="F619" s="107"/>
      <c r="G619" s="105"/>
      <c r="H619" s="108"/>
      <c r="I619" s="109"/>
      <c r="J619" s="110"/>
      <c r="K619" s="109"/>
      <c r="L619" s="109"/>
      <c r="M619" s="109"/>
    </row>
    <row r="620">
      <c r="A620" s="103"/>
      <c r="B620" s="104"/>
      <c r="C620" s="105"/>
      <c r="D620" s="106"/>
      <c r="E620" s="105"/>
      <c r="F620" s="107"/>
      <c r="G620" s="105"/>
      <c r="H620" s="108"/>
      <c r="I620" s="109"/>
      <c r="J620" s="110"/>
      <c r="K620" s="109"/>
      <c r="L620" s="109"/>
      <c r="M620" s="109"/>
    </row>
    <row r="621">
      <c r="A621" s="103"/>
      <c r="B621" s="104"/>
      <c r="C621" s="105"/>
      <c r="D621" s="106"/>
      <c r="E621" s="105"/>
      <c r="F621" s="107"/>
      <c r="G621" s="105"/>
      <c r="H621" s="108"/>
      <c r="I621" s="109"/>
      <c r="J621" s="110"/>
      <c r="K621" s="109"/>
      <c r="L621" s="109"/>
      <c r="M621" s="109"/>
    </row>
    <row r="622">
      <c r="A622" s="103"/>
      <c r="B622" s="104"/>
      <c r="C622" s="105"/>
      <c r="D622" s="106"/>
      <c r="E622" s="105"/>
      <c r="F622" s="107"/>
      <c r="G622" s="105"/>
      <c r="H622" s="108"/>
      <c r="I622" s="109"/>
      <c r="J622" s="110"/>
      <c r="K622" s="109"/>
      <c r="L622" s="109"/>
      <c r="M622" s="109"/>
    </row>
    <row r="623">
      <c r="A623" s="103"/>
      <c r="B623" s="104"/>
      <c r="C623" s="105"/>
      <c r="D623" s="106"/>
      <c r="E623" s="105"/>
      <c r="F623" s="107"/>
      <c r="G623" s="105"/>
      <c r="H623" s="108"/>
      <c r="I623" s="109"/>
      <c r="J623" s="110"/>
      <c r="K623" s="109"/>
      <c r="L623" s="109"/>
      <c r="M623" s="109"/>
    </row>
    <row r="624">
      <c r="A624" s="103"/>
      <c r="B624" s="104"/>
      <c r="C624" s="105"/>
      <c r="D624" s="106"/>
      <c r="E624" s="105"/>
      <c r="F624" s="107"/>
      <c r="G624" s="105"/>
      <c r="H624" s="108"/>
      <c r="I624" s="109"/>
      <c r="J624" s="110"/>
      <c r="K624" s="109"/>
      <c r="L624" s="109"/>
      <c r="M624" s="109"/>
    </row>
    <row r="625">
      <c r="A625" s="103"/>
      <c r="B625" s="104"/>
      <c r="C625" s="105"/>
      <c r="D625" s="106"/>
      <c r="E625" s="105"/>
      <c r="F625" s="107"/>
      <c r="G625" s="105"/>
      <c r="H625" s="108"/>
      <c r="I625" s="109"/>
      <c r="J625" s="110"/>
      <c r="K625" s="109"/>
      <c r="L625" s="109"/>
      <c r="M625" s="109"/>
    </row>
    <row r="626">
      <c r="A626" s="103"/>
      <c r="B626" s="104"/>
      <c r="C626" s="105"/>
      <c r="D626" s="106"/>
      <c r="E626" s="105"/>
      <c r="F626" s="107"/>
      <c r="G626" s="105"/>
      <c r="H626" s="108"/>
      <c r="I626" s="109"/>
      <c r="J626" s="110"/>
      <c r="K626" s="109"/>
      <c r="L626" s="109"/>
      <c r="M626" s="109"/>
    </row>
    <row r="627">
      <c r="A627" s="103"/>
      <c r="B627" s="104"/>
      <c r="C627" s="105"/>
      <c r="D627" s="106"/>
      <c r="E627" s="105"/>
      <c r="F627" s="107"/>
      <c r="G627" s="105"/>
      <c r="H627" s="108"/>
      <c r="I627" s="109"/>
      <c r="J627" s="110"/>
      <c r="K627" s="109"/>
      <c r="L627" s="109"/>
      <c r="M627" s="109"/>
    </row>
    <row r="628">
      <c r="A628" s="103"/>
      <c r="B628" s="104"/>
      <c r="C628" s="105"/>
      <c r="D628" s="106"/>
      <c r="E628" s="105"/>
      <c r="F628" s="107"/>
      <c r="G628" s="105"/>
      <c r="H628" s="108"/>
      <c r="I628" s="109"/>
      <c r="J628" s="110"/>
      <c r="K628" s="109"/>
      <c r="L628" s="109"/>
      <c r="M628" s="109"/>
    </row>
    <row r="629">
      <c r="A629" s="103"/>
      <c r="B629" s="104"/>
      <c r="C629" s="105"/>
      <c r="D629" s="106"/>
      <c r="E629" s="105"/>
      <c r="F629" s="107"/>
      <c r="G629" s="105"/>
      <c r="H629" s="108"/>
      <c r="I629" s="109"/>
      <c r="J629" s="110"/>
      <c r="K629" s="109"/>
      <c r="L629" s="109"/>
      <c r="M629" s="109"/>
    </row>
    <row r="630">
      <c r="A630" s="103"/>
      <c r="B630" s="104"/>
      <c r="C630" s="105"/>
      <c r="D630" s="106"/>
      <c r="E630" s="105"/>
      <c r="F630" s="107"/>
      <c r="G630" s="105"/>
      <c r="H630" s="108"/>
      <c r="I630" s="109"/>
      <c r="J630" s="110"/>
      <c r="K630" s="109"/>
      <c r="L630" s="109"/>
      <c r="M630" s="109"/>
    </row>
    <row r="631">
      <c r="A631" s="103"/>
      <c r="B631" s="104"/>
      <c r="C631" s="105"/>
      <c r="D631" s="106"/>
      <c r="E631" s="105"/>
      <c r="F631" s="107"/>
      <c r="G631" s="105"/>
      <c r="H631" s="108"/>
      <c r="I631" s="109"/>
      <c r="J631" s="110"/>
      <c r="K631" s="109"/>
      <c r="L631" s="109"/>
      <c r="M631" s="109"/>
    </row>
    <row r="632">
      <c r="A632" s="103"/>
      <c r="B632" s="104"/>
      <c r="C632" s="105"/>
      <c r="D632" s="106"/>
      <c r="E632" s="105"/>
      <c r="F632" s="107"/>
      <c r="G632" s="105"/>
      <c r="H632" s="108"/>
      <c r="I632" s="109"/>
      <c r="J632" s="110"/>
      <c r="K632" s="109"/>
      <c r="L632" s="109"/>
      <c r="M632" s="109"/>
    </row>
    <row r="633">
      <c r="A633" s="103"/>
      <c r="B633" s="104"/>
      <c r="C633" s="105"/>
      <c r="D633" s="106"/>
      <c r="E633" s="105"/>
      <c r="F633" s="107"/>
      <c r="G633" s="105"/>
      <c r="H633" s="108"/>
      <c r="I633" s="109"/>
      <c r="J633" s="110"/>
      <c r="K633" s="109"/>
      <c r="L633" s="109"/>
      <c r="M633" s="109"/>
    </row>
    <row r="634">
      <c r="A634" s="103"/>
      <c r="B634" s="104"/>
      <c r="C634" s="105"/>
      <c r="D634" s="106"/>
      <c r="E634" s="105"/>
      <c r="F634" s="107"/>
      <c r="G634" s="105"/>
      <c r="H634" s="108"/>
      <c r="I634" s="109"/>
      <c r="J634" s="110"/>
      <c r="K634" s="109"/>
      <c r="L634" s="109"/>
      <c r="M634" s="109"/>
    </row>
    <row r="635">
      <c r="A635" s="103"/>
      <c r="B635" s="104"/>
      <c r="C635" s="105"/>
      <c r="D635" s="106"/>
      <c r="E635" s="105"/>
      <c r="F635" s="107"/>
      <c r="G635" s="105"/>
      <c r="H635" s="108"/>
      <c r="I635" s="109"/>
      <c r="J635" s="110"/>
      <c r="K635" s="109"/>
      <c r="L635" s="109"/>
      <c r="M635" s="109"/>
    </row>
    <row r="636">
      <c r="A636" s="103"/>
      <c r="B636" s="104"/>
      <c r="C636" s="105"/>
      <c r="D636" s="106"/>
      <c r="E636" s="105"/>
      <c r="F636" s="107"/>
      <c r="G636" s="105"/>
      <c r="H636" s="108"/>
      <c r="I636" s="109"/>
      <c r="J636" s="110"/>
      <c r="K636" s="109"/>
      <c r="L636" s="109"/>
      <c r="M636" s="109"/>
    </row>
    <row r="637">
      <c r="A637" s="103"/>
      <c r="B637" s="104"/>
      <c r="C637" s="105"/>
      <c r="D637" s="106"/>
      <c r="E637" s="105"/>
      <c r="F637" s="107"/>
      <c r="G637" s="105"/>
      <c r="H637" s="108"/>
      <c r="I637" s="109"/>
      <c r="J637" s="110"/>
      <c r="K637" s="109"/>
      <c r="L637" s="109"/>
      <c r="M637" s="109"/>
    </row>
    <row r="638">
      <c r="A638" s="103"/>
      <c r="B638" s="104"/>
      <c r="C638" s="105"/>
      <c r="D638" s="106"/>
      <c r="E638" s="105"/>
      <c r="F638" s="107"/>
      <c r="G638" s="105"/>
      <c r="H638" s="108"/>
      <c r="I638" s="109"/>
      <c r="J638" s="110"/>
      <c r="K638" s="109"/>
      <c r="L638" s="109"/>
      <c r="M638" s="109"/>
    </row>
    <row r="639">
      <c r="A639" s="103"/>
      <c r="B639" s="104"/>
      <c r="C639" s="105"/>
      <c r="D639" s="106"/>
      <c r="E639" s="105"/>
      <c r="F639" s="107"/>
      <c r="G639" s="105"/>
      <c r="H639" s="108"/>
      <c r="I639" s="109"/>
      <c r="J639" s="110"/>
      <c r="K639" s="109"/>
      <c r="L639" s="109"/>
      <c r="M639" s="109"/>
    </row>
    <row r="640">
      <c r="A640" s="103"/>
      <c r="B640" s="104"/>
      <c r="C640" s="105"/>
      <c r="D640" s="106"/>
      <c r="E640" s="105"/>
      <c r="F640" s="107"/>
      <c r="G640" s="105"/>
      <c r="H640" s="108"/>
      <c r="I640" s="109"/>
      <c r="J640" s="110"/>
      <c r="K640" s="109"/>
      <c r="L640" s="109"/>
      <c r="M640" s="109"/>
    </row>
    <row r="641">
      <c r="A641" s="103"/>
      <c r="B641" s="104"/>
      <c r="C641" s="105"/>
      <c r="D641" s="106"/>
      <c r="E641" s="105"/>
      <c r="F641" s="107"/>
      <c r="G641" s="105"/>
      <c r="H641" s="108"/>
      <c r="I641" s="109"/>
      <c r="J641" s="110"/>
      <c r="K641" s="109"/>
      <c r="L641" s="109"/>
      <c r="M641" s="109"/>
    </row>
    <row r="642">
      <c r="A642" s="103"/>
      <c r="B642" s="104"/>
      <c r="C642" s="105"/>
      <c r="D642" s="106"/>
      <c r="E642" s="105"/>
      <c r="F642" s="107"/>
      <c r="G642" s="105"/>
      <c r="H642" s="108"/>
      <c r="I642" s="109"/>
      <c r="J642" s="110"/>
      <c r="K642" s="109"/>
      <c r="L642" s="109"/>
      <c r="M642" s="109"/>
    </row>
    <row r="643">
      <c r="A643" s="103"/>
      <c r="B643" s="104"/>
      <c r="C643" s="105"/>
      <c r="D643" s="106"/>
      <c r="E643" s="105"/>
      <c r="F643" s="107"/>
      <c r="G643" s="105"/>
      <c r="H643" s="108"/>
      <c r="I643" s="109"/>
      <c r="J643" s="110"/>
      <c r="K643" s="109"/>
      <c r="L643" s="109"/>
      <c r="M643" s="109"/>
    </row>
    <row r="644">
      <c r="A644" s="103"/>
      <c r="B644" s="104"/>
      <c r="C644" s="105"/>
      <c r="D644" s="106"/>
      <c r="E644" s="105"/>
      <c r="F644" s="107"/>
      <c r="G644" s="105"/>
      <c r="H644" s="108"/>
      <c r="I644" s="109"/>
      <c r="J644" s="110"/>
      <c r="K644" s="109"/>
      <c r="L644" s="109"/>
      <c r="M644" s="109"/>
    </row>
    <row r="645">
      <c r="A645" s="103"/>
      <c r="B645" s="104"/>
      <c r="C645" s="105"/>
      <c r="D645" s="106"/>
      <c r="E645" s="105"/>
      <c r="F645" s="107"/>
      <c r="G645" s="105"/>
      <c r="H645" s="108"/>
      <c r="I645" s="109"/>
      <c r="J645" s="110"/>
      <c r="K645" s="109"/>
      <c r="L645" s="109"/>
      <c r="M645" s="109"/>
    </row>
    <row r="646">
      <c r="A646" s="103"/>
      <c r="B646" s="104"/>
      <c r="C646" s="105"/>
      <c r="D646" s="106"/>
      <c r="E646" s="105"/>
      <c r="F646" s="107"/>
      <c r="G646" s="105"/>
      <c r="H646" s="108"/>
      <c r="I646" s="109"/>
      <c r="J646" s="110"/>
      <c r="K646" s="109"/>
      <c r="L646" s="109"/>
      <c r="M646" s="109"/>
    </row>
    <row r="647">
      <c r="A647" s="103"/>
      <c r="B647" s="104"/>
      <c r="C647" s="105"/>
      <c r="D647" s="106"/>
      <c r="E647" s="105"/>
      <c r="F647" s="107"/>
      <c r="G647" s="105"/>
      <c r="H647" s="108"/>
      <c r="I647" s="109"/>
      <c r="J647" s="110"/>
      <c r="K647" s="109"/>
      <c r="L647" s="109"/>
      <c r="M647" s="109"/>
    </row>
    <row r="648">
      <c r="A648" s="103"/>
      <c r="B648" s="104"/>
      <c r="C648" s="105"/>
      <c r="D648" s="106"/>
      <c r="E648" s="105"/>
      <c r="F648" s="107"/>
      <c r="G648" s="105"/>
      <c r="H648" s="108"/>
      <c r="I648" s="109"/>
      <c r="J648" s="110"/>
      <c r="K648" s="109"/>
      <c r="L648" s="109"/>
      <c r="M648" s="109"/>
    </row>
    <row r="649">
      <c r="A649" s="103"/>
      <c r="B649" s="104"/>
      <c r="C649" s="105"/>
      <c r="D649" s="106"/>
      <c r="E649" s="105"/>
      <c r="F649" s="107"/>
      <c r="G649" s="105"/>
      <c r="H649" s="108"/>
      <c r="I649" s="109"/>
      <c r="J649" s="110"/>
      <c r="K649" s="109"/>
      <c r="L649" s="109"/>
      <c r="M649" s="109"/>
    </row>
    <row r="650">
      <c r="A650" s="103"/>
      <c r="B650" s="104"/>
      <c r="C650" s="105"/>
      <c r="D650" s="106"/>
      <c r="E650" s="105"/>
      <c r="F650" s="107"/>
      <c r="G650" s="105"/>
      <c r="H650" s="108"/>
      <c r="I650" s="109"/>
      <c r="J650" s="110"/>
      <c r="K650" s="109"/>
      <c r="L650" s="109"/>
      <c r="M650" s="109"/>
    </row>
    <row r="651">
      <c r="A651" s="103"/>
      <c r="B651" s="104"/>
      <c r="C651" s="105"/>
      <c r="D651" s="106"/>
      <c r="E651" s="105"/>
      <c r="F651" s="107"/>
      <c r="G651" s="105"/>
      <c r="H651" s="108"/>
      <c r="I651" s="109"/>
      <c r="J651" s="110"/>
      <c r="K651" s="109"/>
      <c r="L651" s="109"/>
      <c r="M651" s="109"/>
    </row>
    <row r="652">
      <c r="A652" s="103"/>
      <c r="B652" s="104"/>
      <c r="C652" s="105"/>
      <c r="D652" s="106"/>
      <c r="E652" s="105"/>
      <c r="F652" s="107"/>
      <c r="G652" s="105"/>
      <c r="H652" s="108"/>
      <c r="I652" s="109"/>
      <c r="J652" s="110"/>
      <c r="K652" s="109"/>
      <c r="L652" s="109"/>
      <c r="M652" s="109"/>
    </row>
    <row r="653">
      <c r="A653" s="103"/>
      <c r="B653" s="104"/>
      <c r="C653" s="105"/>
      <c r="D653" s="106"/>
      <c r="E653" s="105"/>
      <c r="F653" s="107"/>
      <c r="G653" s="105"/>
      <c r="H653" s="108"/>
      <c r="I653" s="109"/>
      <c r="J653" s="110"/>
      <c r="K653" s="109"/>
      <c r="L653" s="109"/>
      <c r="M653" s="109"/>
    </row>
    <row r="654">
      <c r="A654" s="103"/>
      <c r="B654" s="104"/>
      <c r="C654" s="105"/>
      <c r="D654" s="106"/>
      <c r="E654" s="105"/>
      <c r="F654" s="107"/>
      <c r="G654" s="105"/>
      <c r="H654" s="108"/>
      <c r="I654" s="109"/>
      <c r="J654" s="110"/>
      <c r="K654" s="109"/>
      <c r="L654" s="109"/>
      <c r="M654" s="109"/>
    </row>
    <row r="655">
      <c r="A655" s="103"/>
      <c r="B655" s="104"/>
      <c r="C655" s="105"/>
      <c r="D655" s="106"/>
      <c r="E655" s="105"/>
      <c r="F655" s="107"/>
      <c r="G655" s="105"/>
      <c r="H655" s="108"/>
      <c r="I655" s="109"/>
      <c r="J655" s="110"/>
      <c r="K655" s="109"/>
      <c r="L655" s="109"/>
      <c r="M655" s="109"/>
    </row>
    <row r="656">
      <c r="A656" s="103"/>
      <c r="B656" s="104"/>
      <c r="C656" s="105"/>
      <c r="D656" s="106"/>
      <c r="E656" s="105"/>
      <c r="F656" s="107"/>
      <c r="G656" s="105"/>
      <c r="H656" s="108"/>
      <c r="I656" s="109"/>
      <c r="J656" s="110"/>
      <c r="K656" s="109"/>
      <c r="L656" s="109"/>
      <c r="M656" s="109"/>
    </row>
    <row r="657">
      <c r="A657" s="103"/>
      <c r="B657" s="104"/>
      <c r="C657" s="105"/>
      <c r="D657" s="106"/>
      <c r="E657" s="105"/>
      <c r="F657" s="107"/>
      <c r="G657" s="105"/>
      <c r="H657" s="108"/>
      <c r="I657" s="109"/>
      <c r="J657" s="110"/>
      <c r="K657" s="109"/>
      <c r="L657" s="109"/>
      <c r="M657" s="109"/>
    </row>
    <row r="658">
      <c r="A658" s="103"/>
      <c r="B658" s="104"/>
      <c r="C658" s="105"/>
      <c r="D658" s="106"/>
      <c r="E658" s="105"/>
      <c r="F658" s="107"/>
      <c r="G658" s="105"/>
      <c r="H658" s="108"/>
      <c r="I658" s="109"/>
      <c r="J658" s="110"/>
      <c r="K658" s="109"/>
      <c r="L658" s="109"/>
      <c r="M658" s="109"/>
    </row>
    <row r="659">
      <c r="A659" s="103"/>
      <c r="B659" s="104"/>
      <c r="C659" s="105"/>
      <c r="D659" s="106"/>
      <c r="E659" s="105"/>
      <c r="F659" s="107"/>
      <c r="G659" s="105"/>
      <c r="H659" s="108"/>
      <c r="I659" s="109"/>
      <c r="J659" s="110"/>
      <c r="K659" s="109"/>
      <c r="L659" s="109"/>
      <c r="M659" s="109"/>
    </row>
    <row r="660">
      <c r="A660" s="103"/>
      <c r="B660" s="104"/>
      <c r="C660" s="105"/>
      <c r="D660" s="106"/>
      <c r="E660" s="105"/>
      <c r="F660" s="107"/>
      <c r="G660" s="105"/>
      <c r="H660" s="108"/>
      <c r="I660" s="109"/>
      <c r="J660" s="110"/>
      <c r="K660" s="109"/>
      <c r="L660" s="109"/>
      <c r="M660" s="109"/>
    </row>
    <row r="661">
      <c r="A661" s="103"/>
      <c r="B661" s="104"/>
      <c r="C661" s="105"/>
      <c r="D661" s="106"/>
      <c r="E661" s="105"/>
      <c r="F661" s="107"/>
      <c r="G661" s="105"/>
      <c r="H661" s="108"/>
      <c r="I661" s="109"/>
      <c r="J661" s="110"/>
      <c r="K661" s="109"/>
      <c r="L661" s="109"/>
      <c r="M661" s="109"/>
    </row>
    <row r="662">
      <c r="A662" s="103"/>
      <c r="B662" s="104"/>
      <c r="C662" s="105"/>
      <c r="D662" s="106"/>
      <c r="E662" s="105"/>
      <c r="F662" s="107"/>
      <c r="G662" s="105"/>
      <c r="H662" s="108"/>
      <c r="I662" s="109"/>
      <c r="J662" s="110"/>
      <c r="K662" s="109"/>
      <c r="L662" s="109"/>
      <c r="M662" s="109"/>
    </row>
    <row r="663">
      <c r="A663" s="103"/>
      <c r="B663" s="104"/>
      <c r="C663" s="105"/>
      <c r="D663" s="106"/>
      <c r="E663" s="105"/>
      <c r="F663" s="107"/>
      <c r="G663" s="105"/>
      <c r="H663" s="108"/>
      <c r="I663" s="109"/>
      <c r="J663" s="110"/>
      <c r="K663" s="109"/>
      <c r="L663" s="109"/>
      <c r="M663" s="109"/>
    </row>
    <row r="664">
      <c r="A664" s="103"/>
      <c r="B664" s="104"/>
      <c r="C664" s="105"/>
      <c r="D664" s="106"/>
      <c r="E664" s="105"/>
      <c r="F664" s="107"/>
      <c r="G664" s="105"/>
      <c r="H664" s="108"/>
      <c r="I664" s="109"/>
      <c r="J664" s="110"/>
      <c r="K664" s="109"/>
      <c r="L664" s="109"/>
      <c r="M664" s="109"/>
    </row>
    <row r="665">
      <c r="A665" s="103"/>
      <c r="B665" s="104"/>
      <c r="C665" s="105"/>
      <c r="D665" s="106"/>
      <c r="E665" s="105"/>
      <c r="F665" s="107"/>
      <c r="G665" s="105"/>
      <c r="H665" s="108"/>
      <c r="I665" s="109"/>
      <c r="J665" s="110"/>
      <c r="K665" s="109"/>
      <c r="L665" s="109"/>
      <c r="M665" s="109"/>
    </row>
    <row r="666">
      <c r="A666" s="103"/>
      <c r="B666" s="104"/>
      <c r="C666" s="105"/>
      <c r="D666" s="106"/>
      <c r="E666" s="105"/>
      <c r="F666" s="107"/>
      <c r="G666" s="105"/>
      <c r="H666" s="108"/>
      <c r="I666" s="109"/>
      <c r="J666" s="110"/>
      <c r="K666" s="109"/>
      <c r="L666" s="109"/>
      <c r="M666" s="109"/>
    </row>
    <row r="667">
      <c r="A667" s="103"/>
      <c r="B667" s="104"/>
      <c r="C667" s="105"/>
      <c r="D667" s="106"/>
      <c r="E667" s="105"/>
      <c r="F667" s="107"/>
      <c r="G667" s="105"/>
      <c r="H667" s="108"/>
      <c r="I667" s="109"/>
      <c r="J667" s="110"/>
      <c r="K667" s="109"/>
      <c r="L667" s="109"/>
      <c r="M667" s="109"/>
    </row>
    <row r="668">
      <c r="A668" s="103"/>
      <c r="B668" s="104"/>
      <c r="C668" s="105"/>
      <c r="D668" s="106"/>
      <c r="E668" s="105"/>
      <c r="F668" s="107"/>
      <c r="G668" s="105"/>
      <c r="H668" s="108"/>
      <c r="I668" s="109"/>
      <c r="J668" s="110"/>
      <c r="K668" s="109"/>
      <c r="L668" s="109"/>
      <c r="M668" s="109"/>
    </row>
    <row r="669">
      <c r="A669" s="103"/>
      <c r="B669" s="104"/>
      <c r="C669" s="105"/>
      <c r="D669" s="106"/>
      <c r="E669" s="105"/>
      <c r="F669" s="107"/>
      <c r="G669" s="105"/>
      <c r="H669" s="108"/>
      <c r="I669" s="109"/>
      <c r="J669" s="110"/>
      <c r="K669" s="109"/>
      <c r="L669" s="109"/>
      <c r="M669" s="109"/>
    </row>
    <row r="670">
      <c r="A670" s="103"/>
      <c r="B670" s="104"/>
      <c r="C670" s="105"/>
      <c r="D670" s="106"/>
      <c r="E670" s="105"/>
      <c r="F670" s="107"/>
      <c r="G670" s="105"/>
      <c r="H670" s="108"/>
      <c r="I670" s="109"/>
      <c r="J670" s="110"/>
      <c r="K670" s="109"/>
      <c r="L670" s="109"/>
      <c r="M670" s="109"/>
    </row>
    <row r="671">
      <c r="A671" s="103"/>
      <c r="B671" s="104"/>
      <c r="C671" s="105"/>
      <c r="D671" s="106"/>
      <c r="E671" s="105"/>
      <c r="F671" s="107"/>
      <c r="G671" s="105"/>
      <c r="H671" s="108"/>
      <c r="I671" s="109"/>
      <c r="J671" s="110"/>
      <c r="K671" s="109"/>
      <c r="L671" s="109"/>
      <c r="M671" s="109"/>
    </row>
    <row r="672">
      <c r="A672" s="103"/>
      <c r="B672" s="104"/>
      <c r="C672" s="105"/>
      <c r="D672" s="106"/>
      <c r="E672" s="105"/>
      <c r="F672" s="107"/>
      <c r="G672" s="105"/>
      <c r="H672" s="108"/>
      <c r="I672" s="109"/>
      <c r="J672" s="110"/>
      <c r="K672" s="109"/>
      <c r="L672" s="109"/>
      <c r="M672" s="109"/>
    </row>
    <row r="673">
      <c r="A673" s="103"/>
      <c r="B673" s="104"/>
      <c r="C673" s="105"/>
      <c r="D673" s="106"/>
      <c r="E673" s="105"/>
      <c r="F673" s="107"/>
      <c r="G673" s="105"/>
      <c r="H673" s="108"/>
      <c r="I673" s="109"/>
      <c r="J673" s="110"/>
      <c r="K673" s="109"/>
      <c r="L673" s="109"/>
      <c r="M673" s="109"/>
    </row>
    <row r="674">
      <c r="A674" s="103"/>
      <c r="B674" s="104"/>
      <c r="C674" s="105"/>
      <c r="D674" s="106"/>
      <c r="E674" s="105"/>
      <c r="F674" s="107"/>
      <c r="G674" s="105"/>
      <c r="H674" s="108"/>
      <c r="I674" s="109"/>
      <c r="J674" s="110"/>
      <c r="K674" s="109"/>
      <c r="L674" s="109"/>
      <c r="M674" s="109"/>
    </row>
    <row r="675">
      <c r="A675" s="103"/>
      <c r="B675" s="104"/>
      <c r="C675" s="105"/>
      <c r="D675" s="106"/>
      <c r="E675" s="105"/>
      <c r="F675" s="107"/>
      <c r="G675" s="105"/>
      <c r="H675" s="108"/>
      <c r="I675" s="109"/>
      <c r="J675" s="110"/>
      <c r="K675" s="109"/>
      <c r="L675" s="109"/>
      <c r="M675" s="109"/>
    </row>
    <row r="676">
      <c r="A676" s="103"/>
      <c r="B676" s="104"/>
      <c r="C676" s="105"/>
      <c r="D676" s="106"/>
      <c r="E676" s="105"/>
      <c r="F676" s="107"/>
      <c r="G676" s="105"/>
      <c r="H676" s="108"/>
      <c r="I676" s="109"/>
      <c r="J676" s="110"/>
      <c r="K676" s="109"/>
      <c r="L676" s="109"/>
      <c r="M676" s="109"/>
    </row>
    <row r="677">
      <c r="A677" s="103"/>
      <c r="B677" s="104"/>
      <c r="C677" s="105"/>
      <c r="D677" s="106"/>
      <c r="E677" s="105"/>
      <c r="F677" s="107"/>
      <c r="G677" s="105"/>
      <c r="H677" s="108"/>
      <c r="I677" s="109"/>
      <c r="J677" s="110"/>
      <c r="K677" s="109"/>
      <c r="L677" s="109"/>
      <c r="M677" s="109"/>
    </row>
    <row r="678">
      <c r="A678" s="103"/>
      <c r="B678" s="104"/>
      <c r="C678" s="105"/>
      <c r="D678" s="106"/>
      <c r="E678" s="105"/>
      <c r="F678" s="107"/>
      <c r="G678" s="105"/>
      <c r="H678" s="108"/>
      <c r="I678" s="109"/>
      <c r="J678" s="110"/>
      <c r="K678" s="109"/>
      <c r="L678" s="109"/>
      <c r="M678" s="109"/>
    </row>
    <row r="679">
      <c r="A679" s="103"/>
      <c r="B679" s="104"/>
      <c r="C679" s="105"/>
      <c r="D679" s="106"/>
      <c r="E679" s="105"/>
      <c r="F679" s="107"/>
      <c r="G679" s="105"/>
      <c r="H679" s="108"/>
      <c r="I679" s="109"/>
      <c r="J679" s="110"/>
      <c r="K679" s="109"/>
      <c r="L679" s="109"/>
      <c r="M679" s="109"/>
    </row>
    <row r="680">
      <c r="A680" s="103"/>
      <c r="B680" s="104"/>
      <c r="C680" s="105"/>
      <c r="D680" s="106"/>
      <c r="E680" s="105"/>
      <c r="F680" s="107"/>
      <c r="G680" s="105"/>
      <c r="H680" s="108"/>
      <c r="I680" s="109"/>
      <c r="J680" s="110"/>
      <c r="K680" s="109"/>
      <c r="L680" s="109"/>
      <c r="M680" s="109"/>
    </row>
    <row r="681">
      <c r="A681" s="103"/>
      <c r="B681" s="104"/>
      <c r="C681" s="105"/>
      <c r="D681" s="106"/>
      <c r="E681" s="105"/>
      <c r="F681" s="107"/>
      <c r="G681" s="105"/>
      <c r="H681" s="108"/>
      <c r="I681" s="109"/>
      <c r="J681" s="110"/>
      <c r="K681" s="109"/>
      <c r="L681" s="109"/>
      <c r="M681" s="109"/>
    </row>
    <row r="682">
      <c r="A682" s="103"/>
      <c r="B682" s="104"/>
      <c r="C682" s="105"/>
      <c r="D682" s="106"/>
      <c r="E682" s="105"/>
      <c r="F682" s="107"/>
      <c r="G682" s="105"/>
      <c r="H682" s="108"/>
      <c r="I682" s="109"/>
      <c r="J682" s="110"/>
      <c r="K682" s="109"/>
      <c r="L682" s="109"/>
      <c r="M682" s="109"/>
    </row>
    <row r="683">
      <c r="A683" s="103"/>
      <c r="B683" s="104"/>
      <c r="C683" s="105"/>
      <c r="D683" s="106"/>
      <c r="E683" s="105"/>
      <c r="F683" s="107"/>
      <c r="G683" s="105"/>
      <c r="H683" s="108"/>
      <c r="I683" s="109"/>
      <c r="J683" s="110"/>
      <c r="K683" s="109"/>
      <c r="L683" s="109"/>
      <c r="M683" s="109"/>
    </row>
    <row r="684">
      <c r="A684" s="103"/>
      <c r="B684" s="104"/>
      <c r="C684" s="105"/>
      <c r="D684" s="106"/>
      <c r="E684" s="105"/>
      <c r="F684" s="107"/>
      <c r="G684" s="105"/>
      <c r="H684" s="108"/>
      <c r="I684" s="109"/>
      <c r="J684" s="110"/>
      <c r="K684" s="109"/>
      <c r="L684" s="109"/>
      <c r="M684" s="109"/>
    </row>
    <row r="685">
      <c r="A685" s="103"/>
      <c r="B685" s="104"/>
      <c r="C685" s="105"/>
      <c r="D685" s="106"/>
      <c r="E685" s="105"/>
      <c r="F685" s="107"/>
      <c r="G685" s="105"/>
      <c r="H685" s="108"/>
      <c r="I685" s="109"/>
      <c r="J685" s="110"/>
      <c r="K685" s="109"/>
      <c r="L685" s="109"/>
      <c r="M685" s="109"/>
    </row>
    <row r="686">
      <c r="A686" s="103"/>
      <c r="B686" s="104"/>
      <c r="C686" s="105"/>
      <c r="D686" s="106"/>
      <c r="E686" s="105"/>
      <c r="F686" s="107"/>
      <c r="G686" s="105"/>
      <c r="H686" s="108"/>
      <c r="I686" s="109"/>
      <c r="J686" s="110"/>
      <c r="K686" s="109"/>
      <c r="L686" s="109"/>
      <c r="M686" s="109"/>
    </row>
    <row r="687">
      <c r="A687" s="103"/>
      <c r="B687" s="104"/>
      <c r="C687" s="105"/>
      <c r="D687" s="106"/>
      <c r="E687" s="105"/>
      <c r="F687" s="107"/>
      <c r="G687" s="105"/>
      <c r="H687" s="108"/>
      <c r="I687" s="109"/>
      <c r="J687" s="110"/>
      <c r="K687" s="109"/>
      <c r="L687" s="109"/>
      <c r="M687" s="109"/>
    </row>
    <row r="688">
      <c r="A688" s="103"/>
      <c r="B688" s="104"/>
      <c r="C688" s="105"/>
      <c r="D688" s="106"/>
      <c r="E688" s="105"/>
      <c r="F688" s="107"/>
      <c r="G688" s="105"/>
      <c r="H688" s="108"/>
      <c r="I688" s="109"/>
      <c r="J688" s="110"/>
      <c r="K688" s="109"/>
      <c r="L688" s="109"/>
      <c r="M688" s="109"/>
    </row>
    <row r="689">
      <c r="A689" s="103"/>
      <c r="B689" s="104"/>
      <c r="C689" s="105"/>
      <c r="D689" s="106"/>
      <c r="E689" s="105"/>
      <c r="F689" s="107"/>
      <c r="G689" s="105"/>
      <c r="H689" s="108"/>
      <c r="I689" s="109"/>
      <c r="J689" s="110"/>
      <c r="K689" s="109"/>
      <c r="L689" s="109"/>
      <c r="M689" s="109"/>
    </row>
    <row r="690">
      <c r="A690" s="103"/>
      <c r="B690" s="104"/>
      <c r="C690" s="105"/>
      <c r="D690" s="106"/>
      <c r="E690" s="105"/>
      <c r="F690" s="107"/>
      <c r="G690" s="105"/>
      <c r="H690" s="108"/>
      <c r="I690" s="109"/>
      <c r="J690" s="110"/>
      <c r="K690" s="109"/>
      <c r="L690" s="109"/>
      <c r="M690" s="109"/>
    </row>
    <row r="691">
      <c r="A691" s="103"/>
      <c r="B691" s="104"/>
      <c r="C691" s="105"/>
      <c r="D691" s="106"/>
      <c r="E691" s="105"/>
      <c r="F691" s="107"/>
      <c r="G691" s="105"/>
      <c r="H691" s="108"/>
      <c r="I691" s="109"/>
      <c r="J691" s="110"/>
      <c r="K691" s="109"/>
      <c r="L691" s="109"/>
      <c r="M691" s="109"/>
    </row>
    <row r="692">
      <c r="A692" s="103"/>
      <c r="B692" s="104"/>
      <c r="C692" s="105"/>
      <c r="D692" s="106"/>
      <c r="E692" s="105"/>
      <c r="F692" s="107"/>
      <c r="G692" s="105"/>
      <c r="H692" s="108"/>
      <c r="I692" s="109"/>
      <c r="J692" s="110"/>
      <c r="K692" s="109"/>
      <c r="L692" s="109"/>
      <c r="M692" s="109"/>
    </row>
    <row r="693">
      <c r="A693" s="103"/>
      <c r="B693" s="104"/>
      <c r="C693" s="105"/>
      <c r="D693" s="106"/>
      <c r="E693" s="105"/>
      <c r="F693" s="107"/>
      <c r="G693" s="105"/>
      <c r="H693" s="108"/>
      <c r="I693" s="109"/>
      <c r="J693" s="110"/>
      <c r="K693" s="109"/>
      <c r="L693" s="109"/>
      <c r="M693" s="109"/>
    </row>
    <row r="694">
      <c r="A694" s="103"/>
      <c r="B694" s="104"/>
      <c r="C694" s="105"/>
      <c r="D694" s="106"/>
      <c r="E694" s="105"/>
      <c r="F694" s="107"/>
      <c r="G694" s="105"/>
      <c r="H694" s="108"/>
      <c r="I694" s="109"/>
      <c r="J694" s="110"/>
      <c r="K694" s="109"/>
      <c r="L694" s="109"/>
      <c r="M694" s="109"/>
    </row>
    <row r="695">
      <c r="A695" s="103"/>
      <c r="B695" s="104"/>
      <c r="C695" s="105"/>
      <c r="D695" s="106"/>
      <c r="E695" s="105"/>
      <c r="F695" s="107"/>
      <c r="G695" s="105"/>
      <c r="H695" s="108"/>
      <c r="I695" s="109"/>
      <c r="J695" s="110"/>
      <c r="K695" s="109"/>
      <c r="L695" s="109"/>
      <c r="M695" s="109"/>
    </row>
    <row r="696">
      <c r="A696" s="103"/>
      <c r="B696" s="104"/>
      <c r="C696" s="105"/>
      <c r="D696" s="106"/>
      <c r="E696" s="105"/>
      <c r="F696" s="107"/>
      <c r="G696" s="105"/>
      <c r="H696" s="108"/>
      <c r="I696" s="109"/>
      <c r="J696" s="110"/>
      <c r="K696" s="109"/>
      <c r="L696" s="109"/>
      <c r="M696" s="109"/>
    </row>
    <row r="697">
      <c r="A697" s="103"/>
      <c r="B697" s="104"/>
      <c r="C697" s="105"/>
      <c r="D697" s="106"/>
      <c r="E697" s="105"/>
      <c r="F697" s="107"/>
      <c r="G697" s="105"/>
      <c r="H697" s="108"/>
      <c r="I697" s="109"/>
      <c r="J697" s="110"/>
      <c r="K697" s="109"/>
      <c r="L697" s="109"/>
      <c r="M697" s="109"/>
    </row>
    <row r="698">
      <c r="A698" s="103"/>
      <c r="B698" s="104"/>
      <c r="C698" s="105"/>
      <c r="D698" s="106"/>
      <c r="E698" s="105"/>
      <c r="F698" s="107"/>
      <c r="G698" s="105"/>
      <c r="H698" s="108"/>
      <c r="I698" s="109"/>
      <c r="J698" s="110"/>
      <c r="K698" s="109"/>
      <c r="L698" s="109"/>
      <c r="M698" s="109"/>
    </row>
    <row r="699">
      <c r="A699" s="103"/>
      <c r="B699" s="104"/>
      <c r="C699" s="105"/>
      <c r="D699" s="106"/>
      <c r="E699" s="105"/>
      <c r="F699" s="107"/>
      <c r="G699" s="105"/>
      <c r="H699" s="108"/>
      <c r="I699" s="109"/>
      <c r="J699" s="110"/>
      <c r="K699" s="109"/>
      <c r="L699" s="109"/>
      <c r="M699" s="109"/>
    </row>
    <row r="700">
      <c r="A700" s="103"/>
      <c r="B700" s="104"/>
      <c r="C700" s="105"/>
      <c r="D700" s="106"/>
      <c r="E700" s="105"/>
      <c r="F700" s="107"/>
      <c r="G700" s="105"/>
      <c r="H700" s="108"/>
      <c r="I700" s="109"/>
      <c r="J700" s="110"/>
      <c r="K700" s="109"/>
      <c r="L700" s="109"/>
      <c r="M700" s="109"/>
    </row>
    <row r="701">
      <c r="A701" s="103"/>
      <c r="B701" s="104"/>
      <c r="C701" s="105"/>
      <c r="D701" s="106"/>
      <c r="E701" s="105"/>
      <c r="F701" s="107"/>
      <c r="G701" s="105"/>
      <c r="H701" s="108"/>
      <c r="I701" s="109"/>
      <c r="J701" s="110"/>
      <c r="K701" s="109"/>
      <c r="L701" s="109"/>
      <c r="M701" s="109"/>
    </row>
    <row r="702">
      <c r="A702" s="103"/>
      <c r="B702" s="104"/>
      <c r="C702" s="105"/>
      <c r="D702" s="106"/>
      <c r="E702" s="105"/>
      <c r="F702" s="107"/>
      <c r="G702" s="105"/>
      <c r="H702" s="108"/>
      <c r="I702" s="109"/>
      <c r="J702" s="110"/>
      <c r="K702" s="109"/>
      <c r="L702" s="109"/>
      <c r="M702" s="109"/>
    </row>
    <row r="703">
      <c r="A703" s="103"/>
      <c r="B703" s="104"/>
      <c r="C703" s="105"/>
      <c r="D703" s="106"/>
      <c r="E703" s="105"/>
      <c r="F703" s="107"/>
      <c r="G703" s="105"/>
      <c r="H703" s="108"/>
      <c r="I703" s="109"/>
      <c r="J703" s="110"/>
      <c r="K703" s="109"/>
      <c r="L703" s="109"/>
      <c r="M703" s="109"/>
    </row>
    <row r="704">
      <c r="A704" s="103"/>
      <c r="B704" s="104"/>
      <c r="C704" s="105"/>
      <c r="D704" s="106"/>
      <c r="E704" s="105"/>
      <c r="F704" s="107"/>
      <c r="G704" s="105"/>
      <c r="H704" s="108"/>
      <c r="I704" s="109"/>
      <c r="J704" s="110"/>
      <c r="K704" s="109"/>
      <c r="L704" s="109"/>
      <c r="M704" s="109"/>
    </row>
    <row r="705">
      <c r="A705" s="103"/>
      <c r="B705" s="104"/>
      <c r="C705" s="105"/>
      <c r="D705" s="106"/>
      <c r="E705" s="105"/>
      <c r="F705" s="107"/>
      <c r="G705" s="105"/>
      <c r="H705" s="108"/>
      <c r="I705" s="109"/>
      <c r="J705" s="110"/>
      <c r="K705" s="109"/>
      <c r="L705" s="109"/>
      <c r="M705" s="109"/>
    </row>
    <row r="706">
      <c r="A706" s="103"/>
      <c r="B706" s="104"/>
      <c r="C706" s="105"/>
      <c r="D706" s="106"/>
      <c r="E706" s="105"/>
      <c r="F706" s="107"/>
      <c r="G706" s="105"/>
      <c r="H706" s="108"/>
      <c r="I706" s="109"/>
      <c r="J706" s="110"/>
      <c r="K706" s="109"/>
      <c r="L706" s="109"/>
      <c r="M706" s="109"/>
    </row>
    <row r="707">
      <c r="A707" s="103"/>
      <c r="B707" s="104"/>
      <c r="C707" s="105"/>
      <c r="D707" s="106"/>
      <c r="E707" s="105"/>
      <c r="F707" s="107"/>
      <c r="G707" s="105"/>
      <c r="H707" s="108"/>
      <c r="I707" s="109"/>
      <c r="J707" s="110"/>
      <c r="K707" s="109"/>
      <c r="L707" s="109"/>
      <c r="M707" s="109"/>
    </row>
    <row r="708">
      <c r="A708" s="103"/>
      <c r="B708" s="104"/>
      <c r="C708" s="105"/>
      <c r="D708" s="106"/>
      <c r="E708" s="105"/>
      <c r="F708" s="107"/>
      <c r="G708" s="105"/>
      <c r="H708" s="108"/>
      <c r="I708" s="109"/>
      <c r="J708" s="110"/>
      <c r="K708" s="109"/>
      <c r="L708" s="109"/>
      <c r="M708" s="109"/>
    </row>
    <row r="709">
      <c r="A709" s="103"/>
      <c r="B709" s="104"/>
      <c r="C709" s="105"/>
      <c r="D709" s="106"/>
      <c r="E709" s="105"/>
      <c r="F709" s="107"/>
      <c r="G709" s="105"/>
      <c r="H709" s="108"/>
      <c r="I709" s="109"/>
      <c r="J709" s="110"/>
      <c r="K709" s="109"/>
      <c r="L709" s="109"/>
      <c r="M709" s="109"/>
    </row>
    <row r="710">
      <c r="A710" s="103"/>
      <c r="B710" s="104"/>
      <c r="C710" s="105"/>
      <c r="D710" s="106"/>
      <c r="E710" s="105"/>
      <c r="F710" s="107"/>
      <c r="G710" s="105"/>
      <c r="H710" s="108"/>
      <c r="I710" s="109"/>
      <c r="J710" s="110"/>
      <c r="K710" s="109"/>
      <c r="L710" s="109"/>
      <c r="M710" s="109"/>
    </row>
    <row r="711">
      <c r="A711" s="103"/>
      <c r="B711" s="104"/>
      <c r="C711" s="105"/>
      <c r="D711" s="106"/>
      <c r="E711" s="105"/>
      <c r="F711" s="107"/>
      <c r="G711" s="105"/>
      <c r="H711" s="108"/>
      <c r="I711" s="109"/>
      <c r="J711" s="110"/>
      <c r="K711" s="109"/>
      <c r="L711" s="109"/>
      <c r="M711" s="109"/>
    </row>
    <row r="712">
      <c r="A712" s="103"/>
      <c r="B712" s="104"/>
      <c r="C712" s="105"/>
      <c r="D712" s="106"/>
      <c r="E712" s="105"/>
      <c r="F712" s="107"/>
      <c r="G712" s="105"/>
      <c r="H712" s="108"/>
      <c r="I712" s="109"/>
      <c r="J712" s="110"/>
      <c r="K712" s="109"/>
      <c r="L712" s="109"/>
      <c r="M712" s="109"/>
    </row>
    <row r="713">
      <c r="A713" s="103"/>
      <c r="B713" s="104"/>
      <c r="C713" s="105"/>
      <c r="D713" s="106"/>
      <c r="E713" s="105"/>
      <c r="F713" s="107"/>
      <c r="G713" s="105"/>
      <c r="H713" s="108"/>
      <c r="I713" s="109"/>
      <c r="J713" s="110"/>
      <c r="K713" s="109"/>
      <c r="L713" s="109"/>
      <c r="M713" s="109"/>
    </row>
    <row r="714">
      <c r="A714" s="103"/>
      <c r="B714" s="104"/>
      <c r="C714" s="105"/>
      <c r="D714" s="106"/>
      <c r="E714" s="105"/>
      <c r="F714" s="107"/>
      <c r="G714" s="105"/>
      <c r="H714" s="108"/>
      <c r="I714" s="109"/>
      <c r="J714" s="110"/>
      <c r="K714" s="109"/>
      <c r="L714" s="109"/>
      <c r="M714" s="109"/>
    </row>
    <row r="715">
      <c r="A715" s="103"/>
      <c r="B715" s="104"/>
      <c r="C715" s="105"/>
      <c r="D715" s="106"/>
      <c r="E715" s="105"/>
      <c r="F715" s="107"/>
      <c r="G715" s="105"/>
      <c r="H715" s="108"/>
      <c r="I715" s="109"/>
      <c r="J715" s="110"/>
      <c r="K715" s="109"/>
      <c r="L715" s="109"/>
      <c r="M715" s="109"/>
    </row>
    <row r="716">
      <c r="A716" s="103"/>
      <c r="B716" s="104"/>
      <c r="C716" s="105"/>
      <c r="D716" s="106"/>
      <c r="E716" s="105"/>
      <c r="F716" s="107"/>
      <c r="G716" s="105"/>
      <c r="H716" s="108"/>
      <c r="I716" s="109"/>
      <c r="J716" s="110"/>
      <c r="K716" s="109"/>
      <c r="L716" s="109"/>
      <c r="M716" s="109"/>
    </row>
    <row r="717">
      <c r="A717" s="103"/>
      <c r="B717" s="104"/>
      <c r="C717" s="105"/>
      <c r="D717" s="106"/>
      <c r="E717" s="105"/>
      <c r="F717" s="107"/>
      <c r="G717" s="105"/>
      <c r="H717" s="108"/>
      <c r="I717" s="109"/>
      <c r="J717" s="110"/>
      <c r="K717" s="109"/>
      <c r="L717" s="109"/>
      <c r="M717" s="109"/>
    </row>
    <row r="718">
      <c r="A718" s="103"/>
      <c r="B718" s="104"/>
      <c r="C718" s="105"/>
      <c r="D718" s="106"/>
      <c r="E718" s="105"/>
      <c r="F718" s="107"/>
      <c r="G718" s="105"/>
      <c r="H718" s="108"/>
      <c r="I718" s="109"/>
      <c r="J718" s="110"/>
      <c r="K718" s="109"/>
      <c r="L718" s="109"/>
      <c r="M718" s="109"/>
    </row>
    <row r="719">
      <c r="A719" s="103"/>
      <c r="B719" s="104"/>
      <c r="C719" s="105"/>
      <c r="D719" s="106"/>
      <c r="E719" s="105"/>
      <c r="F719" s="107"/>
      <c r="G719" s="105"/>
      <c r="H719" s="108"/>
      <c r="I719" s="109"/>
      <c r="J719" s="110"/>
      <c r="K719" s="109"/>
      <c r="L719" s="109"/>
      <c r="M719" s="109"/>
    </row>
    <row r="720">
      <c r="A720" s="103"/>
      <c r="B720" s="104"/>
      <c r="C720" s="105"/>
      <c r="D720" s="106"/>
      <c r="E720" s="105"/>
      <c r="F720" s="107"/>
      <c r="G720" s="105"/>
      <c r="H720" s="108"/>
      <c r="I720" s="109"/>
      <c r="J720" s="110"/>
      <c r="K720" s="109"/>
      <c r="L720" s="109"/>
      <c r="M720" s="109"/>
    </row>
    <row r="721">
      <c r="A721" s="103"/>
      <c r="B721" s="104"/>
      <c r="C721" s="105"/>
      <c r="D721" s="106"/>
      <c r="E721" s="105"/>
      <c r="F721" s="107"/>
      <c r="G721" s="105"/>
      <c r="H721" s="108"/>
      <c r="I721" s="109"/>
      <c r="J721" s="110"/>
      <c r="K721" s="109"/>
      <c r="L721" s="109"/>
      <c r="M721" s="109"/>
    </row>
    <row r="722">
      <c r="A722" s="103"/>
      <c r="B722" s="104"/>
      <c r="C722" s="105"/>
      <c r="D722" s="106"/>
      <c r="E722" s="105"/>
      <c r="F722" s="107"/>
      <c r="G722" s="105"/>
      <c r="H722" s="108"/>
      <c r="I722" s="109"/>
      <c r="J722" s="110"/>
      <c r="K722" s="109"/>
      <c r="L722" s="109"/>
      <c r="M722" s="109"/>
    </row>
    <row r="723">
      <c r="A723" s="103"/>
      <c r="B723" s="104"/>
      <c r="C723" s="105"/>
      <c r="D723" s="106"/>
      <c r="E723" s="105"/>
      <c r="F723" s="107"/>
      <c r="G723" s="105"/>
      <c r="H723" s="108"/>
      <c r="I723" s="109"/>
      <c r="J723" s="110"/>
      <c r="K723" s="109"/>
      <c r="L723" s="109"/>
      <c r="M723" s="109"/>
    </row>
    <row r="724">
      <c r="A724" s="103"/>
      <c r="B724" s="104"/>
      <c r="C724" s="105"/>
      <c r="D724" s="106"/>
      <c r="E724" s="105"/>
      <c r="F724" s="107"/>
      <c r="G724" s="105"/>
      <c r="H724" s="108"/>
      <c r="I724" s="109"/>
      <c r="J724" s="110"/>
      <c r="K724" s="109"/>
      <c r="L724" s="109"/>
      <c r="M724" s="109"/>
    </row>
    <row r="725">
      <c r="A725" s="103"/>
      <c r="B725" s="104"/>
      <c r="C725" s="105"/>
      <c r="D725" s="106"/>
      <c r="E725" s="105"/>
      <c r="F725" s="107"/>
      <c r="G725" s="105"/>
      <c r="H725" s="108"/>
      <c r="I725" s="109"/>
      <c r="J725" s="110"/>
      <c r="K725" s="109"/>
      <c r="L725" s="109"/>
      <c r="M725" s="109"/>
    </row>
    <row r="726">
      <c r="A726" s="103"/>
      <c r="B726" s="104"/>
      <c r="C726" s="105"/>
      <c r="D726" s="106"/>
      <c r="E726" s="105"/>
      <c r="F726" s="107"/>
      <c r="G726" s="105"/>
      <c r="H726" s="108"/>
      <c r="I726" s="109"/>
      <c r="J726" s="110"/>
      <c r="K726" s="109"/>
      <c r="L726" s="109"/>
      <c r="M726" s="109"/>
    </row>
    <row r="727">
      <c r="A727" s="103"/>
      <c r="B727" s="104"/>
      <c r="C727" s="105"/>
      <c r="D727" s="106"/>
      <c r="E727" s="105"/>
      <c r="F727" s="107"/>
      <c r="G727" s="105"/>
      <c r="H727" s="108"/>
      <c r="I727" s="109"/>
      <c r="J727" s="110"/>
      <c r="K727" s="109"/>
      <c r="L727" s="109"/>
      <c r="M727" s="109"/>
    </row>
    <row r="728">
      <c r="A728" s="103"/>
      <c r="B728" s="104"/>
      <c r="C728" s="105"/>
      <c r="D728" s="106"/>
      <c r="E728" s="105"/>
      <c r="F728" s="107"/>
      <c r="G728" s="105"/>
      <c r="H728" s="108"/>
      <c r="I728" s="109"/>
      <c r="J728" s="110"/>
      <c r="K728" s="109"/>
      <c r="L728" s="109"/>
      <c r="M728" s="109"/>
    </row>
    <row r="729">
      <c r="A729" s="103"/>
      <c r="B729" s="104"/>
      <c r="C729" s="105"/>
      <c r="D729" s="106"/>
      <c r="E729" s="105"/>
      <c r="F729" s="107"/>
      <c r="G729" s="105"/>
      <c r="H729" s="108"/>
      <c r="I729" s="109"/>
      <c r="J729" s="110"/>
      <c r="K729" s="109"/>
      <c r="L729" s="109"/>
      <c r="M729" s="109"/>
    </row>
    <row r="730">
      <c r="A730" s="103"/>
      <c r="B730" s="104"/>
      <c r="C730" s="105"/>
      <c r="D730" s="106"/>
      <c r="E730" s="105"/>
      <c r="F730" s="107"/>
      <c r="G730" s="105"/>
      <c r="H730" s="108"/>
      <c r="I730" s="109"/>
      <c r="J730" s="110"/>
      <c r="K730" s="109"/>
      <c r="L730" s="109"/>
      <c r="M730" s="109"/>
    </row>
    <row r="731">
      <c r="A731" s="103"/>
      <c r="B731" s="104"/>
      <c r="C731" s="105"/>
      <c r="D731" s="106"/>
      <c r="E731" s="105"/>
      <c r="F731" s="107"/>
      <c r="G731" s="105"/>
      <c r="H731" s="108"/>
      <c r="I731" s="109"/>
      <c r="J731" s="110"/>
      <c r="K731" s="109"/>
      <c r="L731" s="109"/>
      <c r="M731" s="109"/>
    </row>
    <row r="732">
      <c r="A732" s="103"/>
      <c r="B732" s="104"/>
      <c r="C732" s="105"/>
      <c r="D732" s="106"/>
      <c r="E732" s="105"/>
      <c r="F732" s="107"/>
      <c r="G732" s="105"/>
      <c r="H732" s="108"/>
      <c r="I732" s="109"/>
      <c r="J732" s="110"/>
      <c r="K732" s="109"/>
      <c r="L732" s="109"/>
      <c r="M732" s="109"/>
    </row>
    <row r="733">
      <c r="A733" s="103"/>
      <c r="B733" s="104"/>
      <c r="C733" s="105"/>
      <c r="D733" s="106"/>
      <c r="E733" s="105"/>
      <c r="F733" s="107"/>
      <c r="G733" s="105"/>
      <c r="H733" s="108"/>
      <c r="I733" s="109"/>
      <c r="J733" s="110"/>
      <c r="K733" s="109"/>
      <c r="L733" s="109"/>
      <c r="M733" s="109"/>
    </row>
    <row r="734">
      <c r="A734" s="103"/>
      <c r="B734" s="104"/>
      <c r="C734" s="105"/>
      <c r="D734" s="106"/>
      <c r="E734" s="105"/>
      <c r="F734" s="107"/>
      <c r="G734" s="105"/>
      <c r="H734" s="108"/>
      <c r="I734" s="109"/>
      <c r="J734" s="110"/>
      <c r="K734" s="109"/>
      <c r="L734" s="109"/>
      <c r="M734" s="109"/>
    </row>
    <row r="735">
      <c r="A735" s="103"/>
      <c r="B735" s="104"/>
      <c r="C735" s="105"/>
      <c r="D735" s="106"/>
      <c r="E735" s="105"/>
      <c r="F735" s="107"/>
      <c r="G735" s="105"/>
      <c r="H735" s="108"/>
      <c r="I735" s="109"/>
      <c r="J735" s="110"/>
      <c r="K735" s="109"/>
      <c r="L735" s="109"/>
      <c r="M735" s="109"/>
    </row>
    <row r="736">
      <c r="A736" s="103"/>
      <c r="B736" s="104"/>
      <c r="C736" s="105"/>
      <c r="D736" s="106"/>
      <c r="E736" s="105"/>
      <c r="F736" s="107"/>
      <c r="G736" s="105"/>
      <c r="H736" s="108"/>
      <c r="I736" s="109"/>
      <c r="J736" s="110"/>
      <c r="K736" s="109"/>
      <c r="L736" s="109"/>
      <c r="M736" s="109"/>
    </row>
    <row r="737">
      <c r="A737" s="103"/>
      <c r="B737" s="104"/>
      <c r="C737" s="105"/>
      <c r="D737" s="106"/>
      <c r="E737" s="105"/>
      <c r="F737" s="107"/>
      <c r="G737" s="105"/>
      <c r="H737" s="108"/>
      <c r="I737" s="109"/>
      <c r="J737" s="110"/>
      <c r="K737" s="109"/>
      <c r="L737" s="109"/>
      <c r="M737" s="109"/>
    </row>
    <row r="738">
      <c r="A738" s="103"/>
      <c r="B738" s="104"/>
      <c r="C738" s="105"/>
      <c r="D738" s="106"/>
      <c r="E738" s="105"/>
      <c r="F738" s="107"/>
      <c r="G738" s="105"/>
      <c r="H738" s="108"/>
      <c r="I738" s="109"/>
      <c r="J738" s="110"/>
      <c r="K738" s="109"/>
      <c r="L738" s="109"/>
      <c r="M738" s="109"/>
    </row>
    <row r="739">
      <c r="A739" s="103"/>
      <c r="B739" s="104"/>
      <c r="C739" s="105"/>
      <c r="D739" s="106"/>
      <c r="E739" s="105"/>
      <c r="F739" s="107"/>
      <c r="G739" s="105"/>
      <c r="H739" s="108"/>
      <c r="I739" s="109"/>
      <c r="J739" s="110"/>
      <c r="K739" s="109"/>
      <c r="L739" s="109"/>
      <c r="M739" s="109"/>
    </row>
    <row r="740">
      <c r="A740" s="103"/>
      <c r="B740" s="104"/>
      <c r="C740" s="105"/>
      <c r="D740" s="106"/>
      <c r="E740" s="105"/>
      <c r="F740" s="107"/>
      <c r="G740" s="105"/>
      <c r="H740" s="108"/>
      <c r="I740" s="109"/>
      <c r="J740" s="110"/>
      <c r="K740" s="109"/>
      <c r="L740" s="109"/>
      <c r="M740" s="109"/>
    </row>
    <row r="741">
      <c r="A741" s="103"/>
      <c r="B741" s="104"/>
      <c r="C741" s="105"/>
      <c r="D741" s="106"/>
      <c r="E741" s="105"/>
      <c r="F741" s="107"/>
      <c r="G741" s="105"/>
      <c r="H741" s="108"/>
      <c r="I741" s="109"/>
      <c r="J741" s="110"/>
      <c r="K741" s="109"/>
      <c r="L741" s="109"/>
      <c r="M741" s="109"/>
    </row>
    <row r="742">
      <c r="A742" s="103"/>
      <c r="B742" s="104"/>
      <c r="C742" s="105"/>
      <c r="D742" s="106"/>
      <c r="E742" s="105"/>
      <c r="F742" s="107"/>
      <c r="G742" s="105"/>
      <c r="H742" s="108"/>
      <c r="I742" s="109"/>
      <c r="J742" s="110"/>
      <c r="K742" s="109"/>
      <c r="L742" s="109"/>
      <c r="M742" s="109"/>
    </row>
    <row r="743">
      <c r="A743" s="103"/>
      <c r="B743" s="104"/>
      <c r="C743" s="105"/>
      <c r="D743" s="106"/>
      <c r="E743" s="105"/>
      <c r="F743" s="107"/>
      <c r="G743" s="105"/>
      <c r="H743" s="108"/>
      <c r="I743" s="109"/>
      <c r="J743" s="110"/>
      <c r="K743" s="109"/>
      <c r="L743" s="109"/>
      <c r="M743" s="109"/>
    </row>
    <row r="744">
      <c r="A744" s="103"/>
      <c r="B744" s="104"/>
      <c r="C744" s="105"/>
      <c r="D744" s="106"/>
      <c r="E744" s="105"/>
      <c r="F744" s="107"/>
      <c r="G744" s="105"/>
      <c r="H744" s="108"/>
      <c r="I744" s="109"/>
      <c r="J744" s="110"/>
      <c r="K744" s="109"/>
      <c r="L744" s="109"/>
      <c r="M744" s="109"/>
    </row>
    <row r="745">
      <c r="A745" s="103"/>
      <c r="B745" s="104"/>
      <c r="C745" s="105"/>
      <c r="D745" s="106"/>
      <c r="E745" s="105"/>
      <c r="F745" s="107"/>
      <c r="G745" s="105"/>
      <c r="H745" s="108"/>
      <c r="I745" s="109"/>
      <c r="J745" s="110"/>
      <c r="K745" s="109"/>
      <c r="L745" s="109"/>
      <c r="M745" s="109"/>
    </row>
    <row r="746">
      <c r="A746" s="103"/>
      <c r="B746" s="104"/>
      <c r="C746" s="105"/>
      <c r="D746" s="106"/>
      <c r="E746" s="105"/>
      <c r="F746" s="107"/>
      <c r="G746" s="105"/>
      <c r="H746" s="108"/>
      <c r="I746" s="109"/>
      <c r="J746" s="110"/>
      <c r="K746" s="109"/>
      <c r="L746" s="109"/>
      <c r="M746" s="109"/>
    </row>
    <row r="747">
      <c r="A747" s="103"/>
      <c r="B747" s="104"/>
      <c r="C747" s="105"/>
      <c r="D747" s="106"/>
      <c r="E747" s="105"/>
      <c r="F747" s="107"/>
      <c r="G747" s="105"/>
      <c r="H747" s="108"/>
      <c r="I747" s="109"/>
      <c r="J747" s="110"/>
      <c r="K747" s="109"/>
      <c r="L747" s="109"/>
      <c r="M747" s="109"/>
    </row>
    <row r="748">
      <c r="A748" s="103"/>
      <c r="B748" s="104"/>
      <c r="C748" s="105"/>
      <c r="D748" s="106"/>
      <c r="E748" s="105"/>
      <c r="F748" s="107"/>
      <c r="G748" s="105"/>
      <c r="H748" s="108"/>
      <c r="I748" s="109"/>
      <c r="J748" s="110"/>
      <c r="K748" s="109"/>
      <c r="L748" s="109"/>
      <c r="M748" s="109"/>
    </row>
    <row r="749">
      <c r="A749" s="103"/>
      <c r="B749" s="104"/>
      <c r="C749" s="105"/>
      <c r="D749" s="106"/>
      <c r="E749" s="105"/>
      <c r="F749" s="107"/>
      <c r="G749" s="105"/>
      <c r="H749" s="108"/>
      <c r="I749" s="109"/>
      <c r="J749" s="110"/>
      <c r="K749" s="109"/>
      <c r="L749" s="109"/>
      <c r="M749" s="109"/>
    </row>
    <row r="750">
      <c r="A750" s="103"/>
      <c r="B750" s="104"/>
      <c r="C750" s="105"/>
      <c r="D750" s="106"/>
      <c r="E750" s="105"/>
      <c r="F750" s="107"/>
      <c r="G750" s="105"/>
      <c r="H750" s="108"/>
      <c r="I750" s="109"/>
      <c r="J750" s="110"/>
      <c r="K750" s="109"/>
      <c r="L750" s="109"/>
      <c r="M750" s="109"/>
    </row>
    <row r="751">
      <c r="A751" s="103"/>
      <c r="B751" s="104"/>
      <c r="C751" s="105"/>
      <c r="D751" s="106"/>
      <c r="E751" s="105"/>
      <c r="F751" s="107"/>
      <c r="G751" s="105"/>
      <c r="H751" s="108"/>
      <c r="I751" s="109"/>
      <c r="J751" s="110"/>
      <c r="K751" s="109"/>
      <c r="L751" s="109"/>
      <c r="M751" s="109"/>
    </row>
    <row r="752">
      <c r="A752" s="103"/>
      <c r="B752" s="104"/>
      <c r="C752" s="105"/>
      <c r="D752" s="106"/>
      <c r="E752" s="105"/>
      <c r="F752" s="107"/>
      <c r="G752" s="105"/>
      <c r="H752" s="108"/>
      <c r="I752" s="109"/>
      <c r="J752" s="110"/>
      <c r="K752" s="109"/>
      <c r="L752" s="109"/>
      <c r="M752" s="109"/>
    </row>
    <row r="753">
      <c r="A753" s="103"/>
      <c r="B753" s="104"/>
      <c r="C753" s="105"/>
      <c r="D753" s="106"/>
      <c r="E753" s="105"/>
      <c r="F753" s="107"/>
      <c r="G753" s="105"/>
      <c r="H753" s="108"/>
      <c r="I753" s="109"/>
      <c r="J753" s="110"/>
      <c r="K753" s="109"/>
      <c r="L753" s="109"/>
      <c r="M753" s="109"/>
    </row>
    <row r="754">
      <c r="A754" s="103"/>
      <c r="B754" s="104"/>
      <c r="C754" s="105"/>
      <c r="D754" s="106"/>
      <c r="E754" s="105"/>
      <c r="F754" s="107"/>
      <c r="G754" s="105"/>
      <c r="H754" s="108"/>
      <c r="I754" s="109"/>
      <c r="J754" s="110"/>
      <c r="K754" s="109"/>
      <c r="L754" s="109"/>
      <c r="M754" s="109"/>
    </row>
    <row r="755">
      <c r="A755" s="103"/>
      <c r="B755" s="104"/>
      <c r="C755" s="105"/>
      <c r="D755" s="106"/>
      <c r="E755" s="105"/>
      <c r="F755" s="107"/>
      <c r="G755" s="105"/>
      <c r="H755" s="108"/>
      <c r="I755" s="109"/>
      <c r="J755" s="110"/>
      <c r="K755" s="109"/>
      <c r="L755" s="109"/>
      <c r="M755" s="109"/>
    </row>
    <row r="756">
      <c r="A756" s="103"/>
      <c r="B756" s="104"/>
      <c r="C756" s="105"/>
      <c r="D756" s="106"/>
      <c r="E756" s="105"/>
      <c r="F756" s="107"/>
      <c r="G756" s="105"/>
      <c r="H756" s="108"/>
      <c r="I756" s="109"/>
      <c r="J756" s="110"/>
      <c r="K756" s="109"/>
      <c r="L756" s="109"/>
      <c r="M756" s="109"/>
    </row>
    <row r="757">
      <c r="A757" s="103"/>
      <c r="B757" s="104"/>
      <c r="C757" s="105"/>
      <c r="D757" s="106"/>
      <c r="E757" s="105"/>
      <c r="F757" s="107"/>
      <c r="G757" s="105"/>
      <c r="H757" s="108"/>
      <c r="I757" s="109"/>
      <c r="J757" s="110"/>
      <c r="K757" s="109"/>
      <c r="L757" s="109"/>
      <c r="M757" s="109"/>
    </row>
    <row r="758">
      <c r="A758" s="103"/>
      <c r="B758" s="104"/>
      <c r="C758" s="105"/>
      <c r="D758" s="106"/>
      <c r="E758" s="105"/>
      <c r="F758" s="107"/>
      <c r="G758" s="105"/>
      <c r="H758" s="108"/>
      <c r="I758" s="109"/>
      <c r="J758" s="110"/>
      <c r="K758" s="109"/>
      <c r="L758" s="109"/>
      <c r="M758" s="109"/>
    </row>
    <row r="759">
      <c r="A759" s="103"/>
      <c r="B759" s="104"/>
      <c r="C759" s="105"/>
      <c r="D759" s="106"/>
      <c r="E759" s="105"/>
      <c r="F759" s="107"/>
      <c r="G759" s="105"/>
      <c r="H759" s="108"/>
      <c r="I759" s="109"/>
      <c r="J759" s="110"/>
      <c r="K759" s="109"/>
      <c r="L759" s="109"/>
      <c r="M759" s="109"/>
    </row>
    <row r="760">
      <c r="A760" s="103"/>
      <c r="B760" s="104"/>
      <c r="C760" s="105"/>
      <c r="D760" s="106"/>
      <c r="E760" s="105"/>
      <c r="F760" s="107"/>
      <c r="G760" s="105"/>
      <c r="H760" s="108"/>
      <c r="I760" s="109"/>
      <c r="J760" s="110"/>
      <c r="K760" s="109"/>
      <c r="L760" s="109"/>
      <c r="M760" s="109"/>
    </row>
    <row r="761">
      <c r="A761" s="103"/>
      <c r="B761" s="104"/>
      <c r="C761" s="105"/>
      <c r="D761" s="106"/>
      <c r="E761" s="105"/>
      <c r="F761" s="107"/>
      <c r="G761" s="105"/>
      <c r="H761" s="108"/>
      <c r="I761" s="109"/>
      <c r="J761" s="110"/>
      <c r="K761" s="109"/>
      <c r="L761" s="109"/>
      <c r="M761" s="109"/>
    </row>
    <row r="762">
      <c r="A762" s="103"/>
      <c r="B762" s="104"/>
      <c r="C762" s="105"/>
      <c r="D762" s="106"/>
      <c r="E762" s="105"/>
      <c r="F762" s="107"/>
      <c r="G762" s="105"/>
      <c r="H762" s="108"/>
      <c r="I762" s="109"/>
      <c r="J762" s="110"/>
      <c r="K762" s="109"/>
      <c r="L762" s="109"/>
      <c r="M762" s="109"/>
    </row>
    <row r="763">
      <c r="A763" s="103"/>
      <c r="B763" s="104"/>
      <c r="C763" s="105"/>
      <c r="D763" s="106"/>
      <c r="E763" s="105"/>
      <c r="F763" s="107"/>
      <c r="G763" s="105"/>
      <c r="H763" s="108"/>
      <c r="I763" s="109"/>
      <c r="J763" s="110"/>
      <c r="K763" s="109"/>
      <c r="L763" s="109"/>
      <c r="M763" s="109"/>
    </row>
    <row r="764">
      <c r="A764" s="103"/>
      <c r="B764" s="104"/>
      <c r="C764" s="105"/>
      <c r="D764" s="106"/>
      <c r="E764" s="105"/>
      <c r="F764" s="107"/>
      <c r="G764" s="105"/>
      <c r="H764" s="108"/>
      <c r="I764" s="109"/>
      <c r="J764" s="110"/>
      <c r="K764" s="109"/>
      <c r="L764" s="109"/>
      <c r="M764" s="109"/>
    </row>
    <row r="765">
      <c r="A765" s="103"/>
      <c r="B765" s="104"/>
      <c r="C765" s="105"/>
      <c r="D765" s="106"/>
      <c r="E765" s="105"/>
      <c r="F765" s="107"/>
      <c r="G765" s="105"/>
      <c r="H765" s="108"/>
      <c r="I765" s="109"/>
      <c r="J765" s="110"/>
      <c r="K765" s="109"/>
      <c r="L765" s="109"/>
      <c r="M765" s="109"/>
    </row>
    <row r="766">
      <c r="A766" s="103"/>
      <c r="B766" s="104"/>
      <c r="C766" s="105"/>
      <c r="D766" s="106"/>
      <c r="E766" s="105"/>
      <c r="F766" s="107"/>
      <c r="G766" s="105"/>
      <c r="H766" s="108"/>
      <c r="I766" s="109"/>
      <c r="J766" s="110"/>
      <c r="K766" s="109"/>
      <c r="L766" s="109"/>
      <c r="M766" s="109"/>
    </row>
    <row r="767">
      <c r="A767" s="103"/>
      <c r="B767" s="104"/>
      <c r="C767" s="105"/>
      <c r="D767" s="106"/>
      <c r="E767" s="105"/>
      <c r="F767" s="107"/>
      <c r="G767" s="105"/>
      <c r="H767" s="108"/>
      <c r="I767" s="109"/>
      <c r="J767" s="110"/>
      <c r="K767" s="109"/>
      <c r="L767" s="109"/>
      <c r="M767" s="109"/>
    </row>
    <row r="768">
      <c r="A768" s="103"/>
      <c r="B768" s="104"/>
      <c r="C768" s="105"/>
      <c r="D768" s="106"/>
      <c r="E768" s="105"/>
      <c r="F768" s="107"/>
      <c r="G768" s="105"/>
      <c r="H768" s="108"/>
      <c r="I768" s="109"/>
      <c r="J768" s="110"/>
      <c r="K768" s="109"/>
      <c r="L768" s="109"/>
      <c r="M768" s="109"/>
    </row>
    <row r="769">
      <c r="A769" s="103"/>
      <c r="B769" s="104"/>
      <c r="C769" s="105"/>
      <c r="D769" s="106"/>
      <c r="E769" s="105"/>
      <c r="F769" s="107"/>
      <c r="G769" s="105"/>
      <c r="H769" s="108"/>
      <c r="I769" s="109"/>
      <c r="J769" s="110"/>
      <c r="K769" s="109"/>
      <c r="L769" s="109"/>
      <c r="M769" s="109"/>
    </row>
    <row r="770">
      <c r="A770" s="103"/>
      <c r="B770" s="104"/>
      <c r="C770" s="105"/>
      <c r="D770" s="106"/>
      <c r="E770" s="105"/>
      <c r="F770" s="107"/>
      <c r="G770" s="105"/>
      <c r="H770" s="108"/>
      <c r="I770" s="109"/>
      <c r="J770" s="110"/>
      <c r="K770" s="109"/>
      <c r="L770" s="109"/>
      <c r="M770" s="109"/>
    </row>
    <row r="771">
      <c r="A771" s="103"/>
      <c r="B771" s="104"/>
      <c r="C771" s="105"/>
      <c r="D771" s="106"/>
      <c r="E771" s="105"/>
      <c r="F771" s="107"/>
      <c r="G771" s="105"/>
      <c r="H771" s="108"/>
      <c r="I771" s="109"/>
      <c r="J771" s="110"/>
      <c r="K771" s="109"/>
      <c r="L771" s="109"/>
      <c r="M771" s="109"/>
    </row>
    <row r="772">
      <c r="A772" s="103"/>
      <c r="B772" s="104"/>
      <c r="C772" s="105"/>
      <c r="D772" s="106"/>
      <c r="E772" s="105"/>
      <c r="F772" s="107"/>
      <c r="G772" s="105"/>
      <c r="H772" s="108"/>
      <c r="I772" s="109"/>
      <c r="J772" s="110"/>
      <c r="K772" s="109"/>
      <c r="L772" s="109"/>
      <c r="M772" s="109"/>
    </row>
    <row r="773">
      <c r="A773" s="103"/>
      <c r="B773" s="104"/>
      <c r="C773" s="105"/>
      <c r="D773" s="106"/>
      <c r="E773" s="105"/>
      <c r="F773" s="107"/>
      <c r="G773" s="105"/>
      <c r="H773" s="108"/>
      <c r="I773" s="109"/>
      <c r="J773" s="110"/>
      <c r="K773" s="109"/>
      <c r="L773" s="109"/>
      <c r="M773" s="109"/>
    </row>
    <row r="774">
      <c r="A774" s="103"/>
      <c r="B774" s="104"/>
      <c r="C774" s="105"/>
      <c r="D774" s="106"/>
      <c r="E774" s="105"/>
      <c r="F774" s="107"/>
      <c r="G774" s="105"/>
      <c r="H774" s="108"/>
      <c r="I774" s="109"/>
      <c r="J774" s="110"/>
      <c r="K774" s="109"/>
      <c r="L774" s="109"/>
      <c r="M774" s="109"/>
    </row>
    <row r="775">
      <c r="A775" s="103"/>
      <c r="B775" s="104"/>
      <c r="C775" s="105"/>
      <c r="D775" s="106"/>
      <c r="E775" s="105"/>
      <c r="F775" s="107"/>
      <c r="G775" s="105"/>
      <c r="H775" s="108"/>
      <c r="I775" s="109"/>
      <c r="J775" s="110"/>
      <c r="K775" s="109"/>
      <c r="L775" s="109"/>
      <c r="M775" s="109"/>
    </row>
    <row r="776">
      <c r="A776" s="103"/>
      <c r="B776" s="104"/>
      <c r="C776" s="105"/>
      <c r="D776" s="106"/>
      <c r="E776" s="105"/>
      <c r="F776" s="107"/>
      <c r="G776" s="105"/>
      <c r="H776" s="108"/>
      <c r="I776" s="109"/>
      <c r="J776" s="110"/>
      <c r="K776" s="109"/>
      <c r="L776" s="109"/>
      <c r="M776" s="109"/>
    </row>
    <row r="777">
      <c r="A777" s="103"/>
      <c r="B777" s="104"/>
      <c r="C777" s="105"/>
      <c r="D777" s="106"/>
      <c r="E777" s="105"/>
      <c r="F777" s="107"/>
      <c r="G777" s="105"/>
      <c r="H777" s="108"/>
      <c r="I777" s="109"/>
      <c r="J777" s="110"/>
      <c r="K777" s="109"/>
      <c r="L777" s="109"/>
      <c r="M777" s="109"/>
    </row>
    <row r="778">
      <c r="A778" s="103"/>
      <c r="B778" s="104"/>
      <c r="C778" s="105"/>
      <c r="D778" s="106"/>
      <c r="E778" s="105"/>
      <c r="F778" s="107"/>
      <c r="G778" s="105"/>
      <c r="H778" s="108"/>
      <c r="I778" s="109"/>
      <c r="J778" s="110"/>
      <c r="K778" s="109"/>
      <c r="L778" s="109"/>
      <c r="M778" s="109"/>
    </row>
    <row r="779">
      <c r="A779" s="103"/>
      <c r="B779" s="104"/>
      <c r="C779" s="105"/>
      <c r="D779" s="106"/>
      <c r="E779" s="105"/>
      <c r="F779" s="107"/>
      <c r="G779" s="105"/>
      <c r="H779" s="108"/>
      <c r="I779" s="109"/>
      <c r="J779" s="110"/>
      <c r="K779" s="109"/>
      <c r="L779" s="109"/>
      <c r="M779" s="109"/>
    </row>
    <row r="780">
      <c r="A780" s="103"/>
      <c r="B780" s="104"/>
      <c r="C780" s="105"/>
      <c r="D780" s="106"/>
      <c r="E780" s="105"/>
      <c r="F780" s="107"/>
      <c r="G780" s="105"/>
      <c r="H780" s="108"/>
      <c r="I780" s="109"/>
      <c r="J780" s="110"/>
      <c r="K780" s="109"/>
      <c r="L780" s="109"/>
      <c r="M780" s="109"/>
    </row>
    <row r="781">
      <c r="A781" s="103"/>
      <c r="B781" s="104"/>
      <c r="C781" s="105"/>
      <c r="D781" s="106"/>
      <c r="E781" s="105"/>
      <c r="F781" s="107"/>
      <c r="G781" s="105"/>
      <c r="H781" s="108"/>
      <c r="I781" s="109"/>
      <c r="J781" s="110"/>
      <c r="K781" s="109"/>
      <c r="L781" s="109"/>
      <c r="M781" s="109"/>
    </row>
    <row r="782">
      <c r="A782" s="103"/>
      <c r="B782" s="104"/>
      <c r="C782" s="105"/>
      <c r="D782" s="106"/>
      <c r="E782" s="105"/>
      <c r="F782" s="107"/>
      <c r="G782" s="105"/>
      <c r="H782" s="108"/>
      <c r="I782" s="109"/>
      <c r="J782" s="110"/>
      <c r="K782" s="109"/>
      <c r="L782" s="109"/>
      <c r="M782" s="109"/>
    </row>
    <row r="783">
      <c r="A783" s="103"/>
      <c r="B783" s="104"/>
      <c r="C783" s="105"/>
      <c r="D783" s="106"/>
      <c r="E783" s="105"/>
      <c r="F783" s="107"/>
      <c r="G783" s="105"/>
      <c r="H783" s="108"/>
      <c r="I783" s="109"/>
      <c r="J783" s="110"/>
      <c r="K783" s="109"/>
      <c r="L783" s="109"/>
      <c r="M783" s="109"/>
    </row>
    <row r="784">
      <c r="A784" s="103"/>
      <c r="B784" s="104"/>
      <c r="C784" s="105"/>
      <c r="D784" s="106"/>
      <c r="E784" s="105"/>
      <c r="F784" s="107"/>
      <c r="G784" s="105"/>
      <c r="H784" s="108"/>
      <c r="I784" s="109"/>
      <c r="J784" s="110"/>
      <c r="K784" s="109"/>
      <c r="L784" s="109"/>
      <c r="M784" s="109"/>
    </row>
    <row r="785">
      <c r="A785" s="103"/>
      <c r="B785" s="104"/>
      <c r="C785" s="105"/>
      <c r="D785" s="106"/>
      <c r="E785" s="105"/>
      <c r="F785" s="107"/>
      <c r="G785" s="105"/>
      <c r="H785" s="108"/>
      <c r="I785" s="109"/>
      <c r="J785" s="110"/>
      <c r="K785" s="109"/>
      <c r="L785" s="109"/>
      <c r="M785" s="109"/>
    </row>
    <row r="786">
      <c r="A786" s="103"/>
      <c r="B786" s="104"/>
      <c r="C786" s="105"/>
      <c r="D786" s="106"/>
      <c r="E786" s="105"/>
      <c r="F786" s="107"/>
      <c r="G786" s="105"/>
      <c r="H786" s="108"/>
      <c r="I786" s="109"/>
      <c r="J786" s="110"/>
      <c r="K786" s="109"/>
      <c r="L786" s="109"/>
      <c r="M786" s="109"/>
    </row>
    <row r="787">
      <c r="A787" s="103"/>
      <c r="B787" s="104"/>
      <c r="C787" s="105"/>
      <c r="D787" s="106"/>
      <c r="E787" s="105"/>
      <c r="F787" s="107"/>
      <c r="G787" s="105"/>
      <c r="H787" s="108"/>
      <c r="I787" s="109"/>
      <c r="J787" s="110"/>
      <c r="K787" s="109"/>
      <c r="L787" s="109"/>
      <c r="M787" s="109"/>
    </row>
    <row r="788">
      <c r="A788" s="103"/>
      <c r="B788" s="104"/>
      <c r="C788" s="105"/>
      <c r="D788" s="106"/>
      <c r="E788" s="105"/>
      <c r="F788" s="107"/>
      <c r="G788" s="105"/>
      <c r="H788" s="108"/>
      <c r="I788" s="109"/>
      <c r="J788" s="110"/>
      <c r="K788" s="109"/>
      <c r="L788" s="109"/>
      <c r="M788" s="109"/>
    </row>
    <row r="789">
      <c r="A789" s="103"/>
      <c r="B789" s="104"/>
      <c r="C789" s="105"/>
      <c r="D789" s="106"/>
      <c r="E789" s="105"/>
      <c r="F789" s="107"/>
      <c r="G789" s="105"/>
      <c r="H789" s="108"/>
      <c r="I789" s="109"/>
      <c r="J789" s="110"/>
      <c r="K789" s="109"/>
      <c r="L789" s="109"/>
      <c r="M789" s="109"/>
    </row>
    <row r="790">
      <c r="A790" s="103"/>
      <c r="B790" s="104"/>
      <c r="C790" s="105"/>
      <c r="D790" s="106"/>
      <c r="E790" s="105"/>
      <c r="F790" s="107"/>
      <c r="G790" s="105"/>
      <c r="H790" s="108"/>
      <c r="I790" s="109"/>
      <c r="J790" s="110"/>
      <c r="K790" s="109"/>
      <c r="L790" s="109"/>
      <c r="M790" s="109"/>
    </row>
    <row r="791">
      <c r="A791" s="103"/>
      <c r="B791" s="104"/>
      <c r="C791" s="105"/>
      <c r="D791" s="106"/>
      <c r="E791" s="105"/>
      <c r="F791" s="107"/>
      <c r="G791" s="105"/>
      <c r="H791" s="108"/>
      <c r="I791" s="109"/>
      <c r="J791" s="110"/>
      <c r="K791" s="109"/>
      <c r="L791" s="109"/>
      <c r="M791" s="109"/>
    </row>
    <row r="792">
      <c r="A792" s="103"/>
      <c r="B792" s="104"/>
      <c r="C792" s="105"/>
      <c r="D792" s="106"/>
      <c r="E792" s="105"/>
      <c r="F792" s="107"/>
      <c r="G792" s="105"/>
      <c r="H792" s="108"/>
      <c r="I792" s="109"/>
      <c r="J792" s="110"/>
      <c r="K792" s="109"/>
      <c r="L792" s="109"/>
      <c r="M792" s="109"/>
    </row>
    <row r="793">
      <c r="A793" s="103"/>
      <c r="B793" s="104"/>
      <c r="C793" s="105"/>
      <c r="D793" s="106"/>
      <c r="E793" s="105"/>
      <c r="F793" s="107"/>
      <c r="G793" s="105"/>
      <c r="H793" s="108"/>
      <c r="I793" s="109"/>
      <c r="J793" s="110"/>
      <c r="K793" s="109"/>
      <c r="L793" s="109"/>
      <c r="M793" s="109"/>
    </row>
    <row r="794">
      <c r="A794" s="103"/>
      <c r="B794" s="104"/>
      <c r="C794" s="105"/>
      <c r="D794" s="106"/>
      <c r="E794" s="105"/>
      <c r="F794" s="107"/>
      <c r="G794" s="105"/>
      <c r="H794" s="108"/>
      <c r="I794" s="109"/>
      <c r="J794" s="110"/>
      <c r="K794" s="109"/>
      <c r="L794" s="109"/>
      <c r="M794" s="109"/>
    </row>
    <row r="795">
      <c r="A795" s="103"/>
      <c r="B795" s="104"/>
      <c r="C795" s="105"/>
      <c r="D795" s="106"/>
      <c r="E795" s="105"/>
      <c r="F795" s="107"/>
      <c r="G795" s="105"/>
      <c r="H795" s="108"/>
      <c r="I795" s="109"/>
      <c r="J795" s="110"/>
      <c r="K795" s="109"/>
      <c r="L795" s="109"/>
      <c r="M795" s="109"/>
    </row>
    <row r="796">
      <c r="A796" s="103"/>
      <c r="B796" s="104"/>
      <c r="C796" s="105"/>
      <c r="D796" s="106"/>
      <c r="E796" s="105"/>
      <c r="F796" s="107"/>
      <c r="G796" s="105"/>
      <c r="H796" s="108"/>
      <c r="I796" s="109"/>
      <c r="J796" s="110"/>
      <c r="K796" s="109"/>
      <c r="L796" s="109"/>
      <c r="M796" s="109"/>
    </row>
    <row r="797">
      <c r="A797" s="103"/>
      <c r="B797" s="104"/>
      <c r="C797" s="105"/>
      <c r="D797" s="106"/>
      <c r="E797" s="105"/>
      <c r="F797" s="107"/>
      <c r="G797" s="105"/>
      <c r="H797" s="108"/>
      <c r="I797" s="109"/>
      <c r="J797" s="110"/>
      <c r="K797" s="109"/>
      <c r="L797" s="109"/>
      <c r="M797" s="109"/>
    </row>
    <row r="798">
      <c r="A798" s="103"/>
      <c r="B798" s="104"/>
      <c r="C798" s="105"/>
      <c r="D798" s="106"/>
      <c r="E798" s="105"/>
      <c r="F798" s="107"/>
      <c r="G798" s="105"/>
      <c r="H798" s="108"/>
      <c r="I798" s="109"/>
      <c r="J798" s="110"/>
      <c r="K798" s="109"/>
      <c r="L798" s="109"/>
      <c r="M798" s="109"/>
    </row>
    <row r="799">
      <c r="A799" s="103"/>
      <c r="B799" s="104"/>
      <c r="C799" s="105"/>
      <c r="D799" s="106"/>
      <c r="E799" s="105"/>
      <c r="F799" s="107"/>
      <c r="G799" s="105"/>
      <c r="H799" s="108"/>
      <c r="I799" s="109"/>
      <c r="J799" s="110"/>
      <c r="K799" s="109"/>
      <c r="L799" s="109"/>
      <c r="M799" s="109"/>
    </row>
    <row r="800">
      <c r="A800" s="103"/>
      <c r="B800" s="104"/>
      <c r="C800" s="105"/>
      <c r="D800" s="106"/>
      <c r="E800" s="105"/>
      <c r="F800" s="107"/>
      <c r="G800" s="105"/>
      <c r="H800" s="108"/>
      <c r="I800" s="109"/>
      <c r="J800" s="110"/>
      <c r="K800" s="109"/>
      <c r="L800" s="109"/>
      <c r="M800" s="109"/>
    </row>
    <row r="801">
      <c r="A801" s="103"/>
      <c r="B801" s="104"/>
      <c r="C801" s="105"/>
      <c r="D801" s="106"/>
      <c r="E801" s="105"/>
      <c r="F801" s="107"/>
      <c r="G801" s="105"/>
      <c r="H801" s="108"/>
      <c r="I801" s="109"/>
      <c r="J801" s="110"/>
      <c r="K801" s="109"/>
      <c r="L801" s="109"/>
      <c r="M801" s="109"/>
    </row>
    <row r="802">
      <c r="A802" s="103"/>
      <c r="B802" s="104"/>
      <c r="C802" s="105"/>
      <c r="D802" s="106"/>
      <c r="E802" s="105"/>
      <c r="F802" s="107"/>
      <c r="G802" s="105"/>
      <c r="H802" s="108"/>
      <c r="I802" s="109"/>
      <c r="J802" s="110"/>
      <c r="K802" s="109"/>
      <c r="L802" s="109"/>
      <c r="M802" s="109"/>
    </row>
    <row r="803">
      <c r="A803" s="103"/>
      <c r="B803" s="104"/>
      <c r="C803" s="105"/>
      <c r="D803" s="106"/>
      <c r="E803" s="105"/>
      <c r="F803" s="107"/>
      <c r="G803" s="105"/>
      <c r="H803" s="108"/>
      <c r="I803" s="109"/>
      <c r="J803" s="110"/>
      <c r="K803" s="109"/>
      <c r="L803" s="109"/>
      <c r="M803" s="109"/>
    </row>
    <row r="804">
      <c r="A804" s="103"/>
      <c r="B804" s="104"/>
      <c r="C804" s="105"/>
      <c r="D804" s="106"/>
      <c r="E804" s="105"/>
      <c r="F804" s="107"/>
      <c r="G804" s="105"/>
      <c r="H804" s="108"/>
      <c r="I804" s="109"/>
      <c r="J804" s="110"/>
      <c r="K804" s="109"/>
      <c r="L804" s="109"/>
      <c r="M804" s="109"/>
    </row>
    <row r="805">
      <c r="A805" s="103"/>
      <c r="B805" s="104"/>
      <c r="C805" s="105"/>
      <c r="D805" s="106"/>
      <c r="E805" s="105"/>
      <c r="F805" s="107"/>
      <c r="G805" s="105"/>
      <c r="H805" s="108"/>
      <c r="I805" s="109"/>
      <c r="J805" s="110"/>
      <c r="K805" s="109"/>
      <c r="L805" s="109"/>
      <c r="M805" s="109"/>
    </row>
    <row r="806">
      <c r="A806" s="103"/>
      <c r="B806" s="104"/>
      <c r="C806" s="105"/>
      <c r="D806" s="106"/>
      <c r="E806" s="105"/>
      <c r="F806" s="107"/>
      <c r="G806" s="105"/>
      <c r="H806" s="108"/>
      <c r="I806" s="109"/>
      <c r="J806" s="110"/>
      <c r="K806" s="109"/>
      <c r="L806" s="109"/>
      <c r="M806" s="109"/>
    </row>
    <row r="807">
      <c r="A807" s="103"/>
      <c r="B807" s="104"/>
      <c r="C807" s="105"/>
      <c r="D807" s="106"/>
      <c r="E807" s="105"/>
      <c r="F807" s="107"/>
      <c r="G807" s="105"/>
      <c r="H807" s="108"/>
      <c r="I807" s="109"/>
      <c r="J807" s="110"/>
      <c r="K807" s="109"/>
      <c r="L807" s="109"/>
      <c r="M807" s="109"/>
    </row>
    <row r="808">
      <c r="A808" s="103"/>
      <c r="B808" s="104"/>
      <c r="C808" s="105"/>
      <c r="D808" s="106"/>
      <c r="E808" s="105"/>
      <c r="F808" s="107"/>
      <c r="G808" s="105"/>
      <c r="H808" s="108"/>
      <c r="I808" s="109"/>
      <c r="J808" s="110"/>
      <c r="K808" s="109"/>
      <c r="L808" s="109"/>
      <c r="M808" s="109"/>
    </row>
    <row r="809">
      <c r="A809" s="103"/>
      <c r="B809" s="104"/>
      <c r="C809" s="105"/>
      <c r="D809" s="106"/>
      <c r="E809" s="105"/>
      <c r="F809" s="107"/>
      <c r="G809" s="105"/>
      <c r="H809" s="108"/>
      <c r="I809" s="109"/>
      <c r="J809" s="110"/>
      <c r="K809" s="109"/>
      <c r="L809" s="109"/>
      <c r="M809" s="109"/>
    </row>
    <row r="810">
      <c r="A810" s="103"/>
      <c r="B810" s="104"/>
      <c r="C810" s="105"/>
      <c r="D810" s="106"/>
      <c r="E810" s="105"/>
      <c r="F810" s="107"/>
      <c r="G810" s="105"/>
      <c r="H810" s="108"/>
      <c r="I810" s="109"/>
      <c r="J810" s="110"/>
      <c r="K810" s="109"/>
      <c r="L810" s="109"/>
      <c r="M810" s="109"/>
    </row>
    <row r="811">
      <c r="A811" s="103"/>
      <c r="B811" s="104"/>
      <c r="C811" s="105"/>
      <c r="D811" s="106"/>
      <c r="E811" s="105"/>
      <c r="F811" s="107"/>
      <c r="G811" s="105"/>
      <c r="H811" s="108"/>
      <c r="I811" s="109"/>
      <c r="J811" s="110"/>
      <c r="K811" s="109"/>
      <c r="L811" s="109"/>
      <c r="M811" s="109"/>
    </row>
    <row r="812">
      <c r="A812" s="103"/>
      <c r="B812" s="104"/>
      <c r="C812" s="105"/>
      <c r="D812" s="106"/>
      <c r="E812" s="105"/>
      <c r="F812" s="107"/>
      <c r="G812" s="105"/>
      <c r="H812" s="108"/>
      <c r="I812" s="109"/>
      <c r="J812" s="110"/>
      <c r="K812" s="109"/>
      <c r="L812" s="109"/>
      <c r="M812" s="109"/>
    </row>
    <row r="813">
      <c r="A813" s="103"/>
      <c r="B813" s="104"/>
      <c r="C813" s="105"/>
      <c r="D813" s="106"/>
      <c r="E813" s="105"/>
      <c r="F813" s="107"/>
      <c r="G813" s="105"/>
      <c r="H813" s="108"/>
      <c r="I813" s="109"/>
      <c r="J813" s="110"/>
      <c r="K813" s="109"/>
      <c r="L813" s="109"/>
      <c r="M813" s="109"/>
    </row>
    <row r="814">
      <c r="A814" s="103"/>
      <c r="B814" s="104"/>
      <c r="C814" s="105"/>
      <c r="D814" s="106"/>
      <c r="E814" s="105"/>
      <c r="F814" s="107"/>
      <c r="G814" s="105"/>
      <c r="H814" s="108"/>
      <c r="I814" s="109"/>
      <c r="J814" s="110"/>
      <c r="K814" s="109"/>
      <c r="L814" s="109"/>
      <c r="M814" s="109"/>
    </row>
    <row r="815">
      <c r="A815" s="103"/>
      <c r="B815" s="104"/>
      <c r="C815" s="105"/>
      <c r="D815" s="106"/>
      <c r="E815" s="105"/>
      <c r="F815" s="107"/>
      <c r="G815" s="105"/>
      <c r="H815" s="108"/>
      <c r="I815" s="109"/>
      <c r="J815" s="110"/>
      <c r="K815" s="109"/>
      <c r="L815" s="109"/>
      <c r="M815" s="109"/>
    </row>
    <row r="816">
      <c r="A816" s="103"/>
      <c r="B816" s="104"/>
      <c r="C816" s="105"/>
      <c r="D816" s="106"/>
      <c r="E816" s="105"/>
      <c r="F816" s="107"/>
      <c r="G816" s="105"/>
      <c r="H816" s="108"/>
      <c r="I816" s="109"/>
      <c r="J816" s="110"/>
      <c r="K816" s="109"/>
      <c r="L816" s="109"/>
      <c r="M816" s="109"/>
    </row>
    <row r="817">
      <c r="A817" s="103"/>
      <c r="B817" s="104"/>
      <c r="C817" s="105"/>
      <c r="D817" s="106"/>
      <c r="E817" s="105"/>
      <c r="F817" s="107"/>
      <c r="G817" s="105"/>
      <c r="H817" s="108"/>
      <c r="I817" s="109"/>
      <c r="J817" s="110"/>
      <c r="K817" s="109"/>
      <c r="L817" s="109"/>
      <c r="M817" s="109"/>
    </row>
    <row r="818">
      <c r="A818" s="103"/>
      <c r="B818" s="104"/>
      <c r="C818" s="105"/>
      <c r="D818" s="106"/>
      <c r="E818" s="105"/>
      <c r="F818" s="107"/>
      <c r="G818" s="105"/>
      <c r="H818" s="108"/>
      <c r="I818" s="109"/>
      <c r="J818" s="110"/>
      <c r="K818" s="109"/>
      <c r="L818" s="109"/>
      <c r="M818" s="109"/>
    </row>
    <row r="819">
      <c r="A819" s="103"/>
      <c r="B819" s="104"/>
      <c r="C819" s="105"/>
      <c r="D819" s="106"/>
      <c r="E819" s="105"/>
      <c r="F819" s="107"/>
      <c r="G819" s="105"/>
      <c r="H819" s="108"/>
      <c r="I819" s="109"/>
      <c r="J819" s="110"/>
      <c r="K819" s="109"/>
      <c r="L819" s="109"/>
      <c r="M819" s="109"/>
    </row>
    <row r="820">
      <c r="A820" s="103"/>
      <c r="B820" s="104"/>
      <c r="C820" s="105"/>
      <c r="D820" s="106"/>
      <c r="E820" s="105"/>
      <c r="F820" s="107"/>
      <c r="G820" s="105"/>
      <c r="H820" s="108"/>
      <c r="I820" s="109"/>
      <c r="J820" s="110"/>
      <c r="K820" s="109"/>
      <c r="L820" s="109"/>
      <c r="M820" s="109"/>
    </row>
    <row r="821">
      <c r="A821" s="103"/>
      <c r="B821" s="104"/>
      <c r="C821" s="105"/>
      <c r="D821" s="106"/>
      <c r="E821" s="105"/>
      <c r="F821" s="107"/>
      <c r="G821" s="105"/>
      <c r="H821" s="108"/>
      <c r="I821" s="109"/>
      <c r="J821" s="110"/>
      <c r="K821" s="109"/>
      <c r="L821" s="109"/>
      <c r="M821" s="109"/>
    </row>
    <row r="822">
      <c r="A822" s="103"/>
      <c r="B822" s="104"/>
      <c r="C822" s="105"/>
      <c r="D822" s="106"/>
      <c r="E822" s="105"/>
      <c r="F822" s="107"/>
      <c r="G822" s="105"/>
      <c r="H822" s="108"/>
      <c r="I822" s="109"/>
      <c r="J822" s="110"/>
      <c r="K822" s="109"/>
      <c r="L822" s="109"/>
      <c r="M822" s="109"/>
    </row>
    <row r="823">
      <c r="A823" s="103"/>
      <c r="B823" s="104"/>
      <c r="C823" s="105"/>
      <c r="D823" s="106"/>
      <c r="E823" s="105"/>
      <c r="F823" s="107"/>
      <c r="G823" s="105"/>
      <c r="H823" s="108"/>
      <c r="I823" s="109"/>
      <c r="J823" s="110"/>
      <c r="K823" s="109"/>
      <c r="L823" s="109"/>
      <c r="M823" s="109"/>
    </row>
    <row r="824">
      <c r="A824" s="103"/>
      <c r="B824" s="104"/>
      <c r="C824" s="105"/>
      <c r="D824" s="106"/>
      <c r="E824" s="105"/>
      <c r="F824" s="107"/>
      <c r="G824" s="105"/>
      <c r="H824" s="108"/>
      <c r="I824" s="109"/>
      <c r="J824" s="110"/>
      <c r="K824" s="109"/>
      <c r="L824" s="109"/>
      <c r="M824" s="109"/>
    </row>
    <row r="825">
      <c r="A825" s="103"/>
      <c r="B825" s="104"/>
      <c r="C825" s="105"/>
      <c r="D825" s="106"/>
      <c r="E825" s="105"/>
      <c r="F825" s="107"/>
      <c r="G825" s="105"/>
      <c r="H825" s="108"/>
      <c r="I825" s="109"/>
      <c r="J825" s="110"/>
      <c r="K825" s="109"/>
      <c r="L825" s="109"/>
      <c r="M825" s="109"/>
    </row>
    <row r="826">
      <c r="A826" s="103"/>
      <c r="B826" s="104"/>
      <c r="C826" s="105"/>
      <c r="D826" s="106"/>
      <c r="E826" s="105"/>
      <c r="F826" s="107"/>
      <c r="G826" s="105"/>
      <c r="H826" s="108"/>
      <c r="I826" s="109"/>
      <c r="J826" s="110"/>
      <c r="K826" s="109"/>
      <c r="L826" s="109"/>
      <c r="M826" s="109"/>
    </row>
    <row r="827">
      <c r="A827" s="103"/>
      <c r="B827" s="104"/>
      <c r="C827" s="105"/>
      <c r="D827" s="106"/>
      <c r="E827" s="105"/>
      <c r="F827" s="107"/>
      <c r="G827" s="105"/>
      <c r="H827" s="108"/>
      <c r="I827" s="109"/>
      <c r="J827" s="110"/>
      <c r="K827" s="109"/>
      <c r="L827" s="109"/>
      <c r="M827" s="109"/>
    </row>
    <row r="828">
      <c r="A828" s="103"/>
      <c r="B828" s="104"/>
      <c r="C828" s="105"/>
      <c r="D828" s="106"/>
      <c r="E828" s="105"/>
      <c r="F828" s="107"/>
      <c r="G828" s="105"/>
      <c r="H828" s="108"/>
      <c r="I828" s="109"/>
      <c r="J828" s="110"/>
      <c r="K828" s="109"/>
      <c r="L828" s="109"/>
      <c r="M828" s="109"/>
    </row>
    <row r="829">
      <c r="A829" s="103"/>
      <c r="B829" s="104"/>
      <c r="C829" s="105"/>
      <c r="D829" s="106"/>
      <c r="E829" s="105"/>
      <c r="F829" s="107"/>
      <c r="G829" s="105"/>
      <c r="H829" s="108"/>
      <c r="I829" s="109"/>
      <c r="J829" s="110"/>
      <c r="K829" s="109"/>
      <c r="L829" s="109"/>
      <c r="M829" s="109"/>
    </row>
    <row r="830">
      <c r="A830" s="103"/>
      <c r="B830" s="104"/>
      <c r="C830" s="105"/>
      <c r="D830" s="106"/>
      <c r="E830" s="105"/>
      <c r="F830" s="107"/>
      <c r="G830" s="105"/>
      <c r="H830" s="108"/>
      <c r="I830" s="109"/>
      <c r="J830" s="110"/>
      <c r="K830" s="109"/>
      <c r="L830" s="109"/>
      <c r="M830" s="109"/>
    </row>
    <row r="831">
      <c r="A831" s="103"/>
      <c r="B831" s="104"/>
      <c r="C831" s="105"/>
      <c r="D831" s="106"/>
      <c r="E831" s="105"/>
      <c r="F831" s="107"/>
      <c r="G831" s="105"/>
      <c r="H831" s="108"/>
      <c r="I831" s="109"/>
      <c r="J831" s="110"/>
      <c r="K831" s="109"/>
      <c r="L831" s="109"/>
      <c r="M831" s="109"/>
    </row>
    <row r="832">
      <c r="A832" s="103"/>
      <c r="B832" s="104"/>
      <c r="C832" s="105"/>
      <c r="D832" s="106"/>
      <c r="E832" s="105"/>
      <c r="F832" s="107"/>
      <c r="G832" s="105"/>
      <c r="H832" s="108"/>
      <c r="I832" s="109"/>
      <c r="J832" s="110"/>
      <c r="K832" s="109"/>
      <c r="L832" s="109"/>
      <c r="M832" s="109"/>
    </row>
    <row r="833">
      <c r="A833" s="103"/>
      <c r="B833" s="104"/>
      <c r="C833" s="105"/>
      <c r="D833" s="106"/>
      <c r="E833" s="105"/>
      <c r="F833" s="107"/>
      <c r="G833" s="105"/>
      <c r="H833" s="108"/>
      <c r="I833" s="109"/>
      <c r="J833" s="110"/>
      <c r="K833" s="109"/>
      <c r="L833" s="109"/>
      <c r="M833" s="109"/>
    </row>
    <row r="834">
      <c r="A834" s="103"/>
      <c r="B834" s="104"/>
      <c r="C834" s="105"/>
      <c r="D834" s="106"/>
      <c r="E834" s="105"/>
      <c r="F834" s="107"/>
      <c r="G834" s="105"/>
      <c r="H834" s="108"/>
      <c r="I834" s="109"/>
      <c r="J834" s="110"/>
      <c r="K834" s="109"/>
      <c r="L834" s="109"/>
      <c r="M834" s="109"/>
    </row>
    <row r="835">
      <c r="A835" s="103"/>
      <c r="B835" s="104"/>
      <c r="C835" s="105"/>
      <c r="D835" s="106"/>
      <c r="E835" s="105"/>
      <c r="F835" s="107"/>
      <c r="G835" s="105"/>
      <c r="H835" s="108"/>
      <c r="I835" s="109"/>
      <c r="J835" s="110"/>
      <c r="K835" s="109"/>
      <c r="L835" s="109"/>
      <c r="M835" s="109"/>
    </row>
    <row r="836">
      <c r="A836" s="103"/>
      <c r="B836" s="104"/>
      <c r="C836" s="105"/>
      <c r="D836" s="106"/>
      <c r="E836" s="105"/>
      <c r="F836" s="107"/>
      <c r="G836" s="105"/>
      <c r="H836" s="108"/>
      <c r="I836" s="109"/>
      <c r="J836" s="110"/>
      <c r="K836" s="109"/>
      <c r="L836" s="109"/>
      <c r="M836" s="109"/>
    </row>
    <row r="837">
      <c r="A837" s="103"/>
      <c r="B837" s="104"/>
      <c r="C837" s="105"/>
      <c r="D837" s="106"/>
      <c r="E837" s="105"/>
      <c r="F837" s="107"/>
      <c r="G837" s="105"/>
      <c r="H837" s="108"/>
      <c r="I837" s="109"/>
      <c r="J837" s="110"/>
      <c r="K837" s="109"/>
      <c r="L837" s="109"/>
      <c r="M837" s="109"/>
    </row>
    <row r="838">
      <c r="A838" s="103"/>
      <c r="B838" s="104"/>
      <c r="C838" s="105"/>
      <c r="D838" s="106"/>
      <c r="E838" s="105"/>
      <c r="F838" s="107"/>
      <c r="G838" s="105"/>
      <c r="H838" s="108"/>
      <c r="I838" s="109"/>
      <c r="J838" s="110"/>
      <c r="K838" s="109"/>
      <c r="L838" s="109"/>
      <c r="M838" s="109"/>
    </row>
    <row r="839">
      <c r="A839" s="103"/>
      <c r="B839" s="104"/>
      <c r="C839" s="105"/>
      <c r="D839" s="106"/>
      <c r="E839" s="105"/>
      <c r="F839" s="107"/>
      <c r="G839" s="105"/>
      <c r="H839" s="108"/>
      <c r="I839" s="109"/>
      <c r="J839" s="110"/>
      <c r="K839" s="109"/>
      <c r="L839" s="109"/>
      <c r="M839" s="109"/>
    </row>
    <row r="840">
      <c r="A840" s="103"/>
      <c r="B840" s="104"/>
      <c r="C840" s="105"/>
      <c r="D840" s="106"/>
      <c r="E840" s="105"/>
      <c r="F840" s="107"/>
      <c r="G840" s="105"/>
      <c r="H840" s="108"/>
      <c r="I840" s="109"/>
      <c r="J840" s="110"/>
      <c r="K840" s="109"/>
      <c r="L840" s="109"/>
      <c r="M840" s="109"/>
    </row>
    <row r="841">
      <c r="A841" s="103"/>
      <c r="B841" s="104"/>
      <c r="C841" s="105"/>
      <c r="D841" s="106"/>
      <c r="E841" s="105"/>
      <c r="F841" s="107"/>
      <c r="G841" s="105"/>
      <c r="H841" s="108"/>
      <c r="I841" s="109"/>
      <c r="J841" s="110"/>
      <c r="K841" s="109"/>
      <c r="L841" s="109"/>
      <c r="M841" s="109"/>
    </row>
    <row r="842">
      <c r="A842" s="103"/>
      <c r="B842" s="104"/>
      <c r="C842" s="105"/>
      <c r="D842" s="106"/>
      <c r="E842" s="105"/>
      <c r="F842" s="107"/>
      <c r="G842" s="105"/>
      <c r="H842" s="108"/>
      <c r="I842" s="109"/>
      <c r="J842" s="110"/>
      <c r="K842" s="109"/>
      <c r="L842" s="109"/>
      <c r="M842" s="109"/>
    </row>
    <row r="843">
      <c r="A843" s="103"/>
      <c r="B843" s="104"/>
      <c r="C843" s="105"/>
      <c r="D843" s="106"/>
      <c r="E843" s="105"/>
      <c r="F843" s="107"/>
      <c r="G843" s="105"/>
      <c r="H843" s="108"/>
      <c r="I843" s="109"/>
      <c r="J843" s="110"/>
      <c r="K843" s="109"/>
      <c r="L843" s="109"/>
      <c r="M843" s="109"/>
    </row>
    <row r="844">
      <c r="A844" s="103"/>
      <c r="B844" s="104"/>
      <c r="C844" s="105"/>
      <c r="D844" s="106"/>
      <c r="E844" s="105"/>
      <c r="F844" s="107"/>
      <c r="G844" s="105"/>
      <c r="H844" s="108"/>
      <c r="I844" s="109"/>
      <c r="J844" s="110"/>
      <c r="K844" s="109"/>
      <c r="L844" s="109"/>
      <c r="M844" s="109"/>
    </row>
    <row r="845">
      <c r="A845" s="103"/>
      <c r="B845" s="104"/>
      <c r="C845" s="105"/>
      <c r="D845" s="106"/>
      <c r="E845" s="105"/>
      <c r="F845" s="107"/>
      <c r="G845" s="105"/>
      <c r="H845" s="108"/>
      <c r="I845" s="109"/>
      <c r="J845" s="110"/>
      <c r="K845" s="109"/>
      <c r="L845" s="109"/>
      <c r="M845" s="109"/>
    </row>
    <row r="846">
      <c r="A846" s="103"/>
      <c r="B846" s="104"/>
      <c r="C846" s="105"/>
      <c r="D846" s="106"/>
      <c r="E846" s="105"/>
      <c r="F846" s="107"/>
      <c r="G846" s="105"/>
      <c r="H846" s="108"/>
      <c r="I846" s="109"/>
      <c r="J846" s="110"/>
      <c r="K846" s="109"/>
      <c r="L846" s="109"/>
      <c r="M846" s="109"/>
    </row>
    <row r="847">
      <c r="A847" s="103"/>
      <c r="B847" s="104"/>
      <c r="C847" s="105"/>
      <c r="D847" s="106"/>
      <c r="E847" s="105"/>
      <c r="F847" s="107"/>
      <c r="G847" s="105"/>
      <c r="H847" s="108"/>
      <c r="I847" s="109"/>
      <c r="J847" s="110"/>
      <c r="K847" s="109"/>
      <c r="L847" s="109"/>
      <c r="M847" s="109"/>
    </row>
    <row r="848">
      <c r="A848" s="103"/>
      <c r="B848" s="104"/>
      <c r="C848" s="105"/>
      <c r="D848" s="106"/>
      <c r="E848" s="105"/>
      <c r="F848" s="107"/>
      <c r="G848" s="105"/>
      <c r="H848" s="108"/>
      <c r="I848" s="109"/>
      <c r="J848" s="110"/>
      <c r="K848" s="109"/>
      <c r="L848" s="109"/>
      <c r="M848" s="109"/>
    </row>
    <row r="849">
      <c r="A849" s="103"/>
      <c r="B849" s="104"/>
      <c r="C849" s="105"/>
      <c r="D849" s="106"/>
      <c r="E849" s="105"/>
      <c r="F849" s="107"/>
      <c r="G849" s="105"/>
      <c r="H849" s="108"/>
      <c r="I849" s="109"/>
      <c r="J849" s="110"/>
      <c r="K849" s="109"/>
      <c r="L849" s="109"/>
      <c r="M849" s="109"/>
    </row>
    <row r="850">
      <c r="A850" s="103"/>
      <c r="B850" s="104"/>
      <c r="C850" s="105"/>
      <c r="D850" s="106"/>
      <c r="E850" s="105"/>
      <c r="F850" s="107"/>
      <c r="G850" s="105"/>
      <c r="H850" s="108"/>
      <c r="I850" s="109"/>
      <c r="J850" s="110"/>
      <c r="K850" s="109"/>
      <c r="L850" s="109"/>
      <c r="M850" s="109"/>
    </row>
    <row r="851">
      <c r="A851" s="103"/>
      <c r="B851" s="104"/>
      <c r="C851" s="105"/>
      <c r="D851" s="106"/>
      <c r="E851" s="105"/>
      <c r="F851" s="107"/>
      <c r="G851" s="105"/>
      <c r="H851" s="108"/>
      <c r="I851" s="109"/>
      <c r="J851" s="110"/>
      <c r="K851" s="109"/>
      <c r="L851" s="109"/>
      <c r="M851" s="109"/>
    </row>
    <row r="852">
      <c r="A852" s="103"/>
      <c r="B852" s="104"/>
      <c r="C852" s="105"/>
      <c r="D852" s="106"/>
      <c r="E852" s="105"/>
      <c r="F852" s="107"/>
      <c r="G852" s="105"/>
      <c r="H852" s="108"/>
      <c r="I852" s="109"/>
      <c r="J852" s="110"/>
      <c r="K852" s="109"/>
      <c r="L852" s="109"/>
      <c r="M852" s="109"/>
    </row>
    <row r="853">
      <c r="A853" s="103"/>
      <c r="B853" s="104"/>
      <c r="C853" s="105"/>
      <c r="D853" s="106"/>
      <c r="E853" s="105"/>
      <c r="F853" s="107"/>
      <c r="G853" s="105"/>
      <c r="H853" s="108"/>
      <c r="I853" s="109"/>
      <c r="J853" s="110"/>
      <c r="K853" s="109"/>
      <c r="L853" s="109"/>
      <c r="M853" s="109"/>
    </row>
    <row r="854">
      <c r="A854" s="103"/>
      <c r="B854" s="104"/>
      <c r="C854" s="105"/>
      <c r="D854" s="106"/>
      <c r="E854" s="105"/>
      <c r="F854" s="107"/>
      <c r="G854" s="105"/>
      <c r="H854" s="108"/>
      <c r="I854" s="109"/>
      <c r="J854" s="110"/>
      <c r="K854" s="109"/>
      <c r="L854" s="109"/>
      <c r="M854" s="109"/>
    </row>
    <row r="855">
      <c r="A855" s="103"/>
      <c r="B855" s="104"/>
      <c r="C855" s="105"/>
      <c r="D855" s="106"/>
      <c r="E855" s="105"/>
      <c r="F855" s="107"/>
      <c r="G855" s="105"/>
      <c r="H855" s="108"/>
      <c r="I855" s="109"/>
      <c r="J855" s="110"/>
      <c r="K855" s="109"/>
      <c r="L855" s="109"/>
      <c r="M855" s="109"/>
    </row>
    <row r="856">
      <c r="A856" s="103"/>
      <c r="B856" s="104"/>
      <c r="C856" s="105"/>
      <c r="D856" s="106"/>
      <c r="E856" s="105"/>
      <c r="F856" s="107"/>
      <c r="G856" s="105"/>
      <c r="H856" s="108"/>
      <c r="I856" s="109"/>
      <c r="J856" s="110"/>
      <c r="K856" s="109"/>
      <c r="L856" s="109"/>
      <c r="M856" s="109"/>
    </row>
    <row r="857">
      <c r="A857" s="103"/>
      <c r="B857" s="104"/>
      <c r="C857" s="105"/>
      <c r="D857" s="106"/>
      <c r="E857" s="105"/>
      <c r="F857" s="107"/>
      <c r="G857" s="105"/>
      <c r="H857" s="108"/>
      <c r="I857" s="109"/>
      <c r="J857" s="110"/>
      <c r="K857" s="109"/>
      <c r="L857" s="109"/>
      <c r="M857" s="109"/>
    </row>
    <row r="858">
      <c r="A858" s="103"/>
      <c r="B858" s="104"/>
      <c r="C858" s="105"/>
      <c r="D858" s="106"/>
      <c r="E858" s="105"/>
      <c r="F858" s="107"/>
      <c r="G858" s="105"/>
      <c r="H858" s="108"/>
      <c r="I858" s="109"/>
      <c r="J858" s="110"/>
      <c r="K858" s="109"/>
      <c r="L858" s="109"/>
      <c r="M858" s="109"/>
    </row>
    <row r="859">
      <c r="A859" s="103"/>
      <c r="B859" s="104"/>
      <c r="C859" s="105"/>
      <c r="D859" s="106"/>
      <c r="E859" s="105"/>
      <c r="F859" s="107"/>
      <c r="G859" s="105"/>
      <c r="H859" s="108"/>
      <c r="I859" s="109"/>
      <c r="J859" s="110"/>
      <c r="K859" s="109"/>
      <c r="L859" s="109"/>
      <c r="M859" s="109"/>
    </row>
    <row r="860">
      <c r="A860" s="103"/>
      <c r="B860" s="104"/>
      <c r="C860" s="105"/>
      <c r="D860" s="106"/>
      <c r="E860" s="105"/>
      <c r="F860" s="107"/>
      <c r="G860" s="105"/>
      <c r="H860" s="108"/>
      <c r="I860" s="109"/>
      <c r="J860" s="110"/>
      <c r="K860" s="109"/>
      <c r="L860" s="109"/>
      <c r="M860" s="109"/>
    </row>
    <row r="861">
      <c r="A861" s="103"/>
      <c r="B861" s="104"/>
      <c r="C861" s="105"/>
      <c r="D861" s="106"/>
      <c r="E861" s="105"/>
      <c r="F861" s="107"/>
      <c r="G861" s="105"/>
      <c r="H861" s="108"/>
      <c r="I861" s="109"/>
      <c r="J861" s="110"/>
      <c r="K861" s="109"/>
      <c r="L861" s="109"/>
      <c r="M861" s="109"/>
    </row>
    <row r="862">
      <c r="A862" s="103"/>
      <c r="B862" s="104"/>
      <c r="C862" s="105"/>
      <c r="D862" s="106"/>
      <c r="E862" s="105"/>
      <c r="F862" s="107"/>
      <c r="G862" s="105"/>
      <c r="H862" s="108"/>
      <c r="I862" s="109"/>
      <c r="J862" s="110"/>
      <c r="K862" s="109"/>
      <c r="L862" s="109"/>
      <c r="M862" s="109"/>
    </row>
    <row r="863">
      <c r="A863" s="103"/>
      <c r="B863" s="104"/>
      <c r="C863" s="105"/>
      <c r="D863" s="106"/>
      <c r="E863" s="105"/>
      <c r="F863" s="107"/>
      <c r="G863" s="105"/>
      <c r="H863" s="108"/>
      <c r="I863" s="109"/>
      <c r="J863" s="110"/>
      <c r="K863" s="109"/>
      <c r="L863" s="109"/>
      <c r="M863" s="109"/>
    </row>
    <row r="864">
      <c r="A864" s="103"/>
      <c r="B864" s="104"/>
      <c r="C864" s="105"/>
      <c r="D864" s="106"/>
      <c r="E864" s="105"/>
      <c r="F864" s="107"/>
      <c r="G864" s="105"/>
      <c r="H864" s="108"/>
      <c r="I864" s="109"/>
      <c r="J864" s="110"/>
      <c r="K864" s="109"/>
      <c r="L864" s="109"/>
      <c r="M864" s="109"/>
    </row>
    <row r="865">
      <c r="A865" s="103"/>
      <c r="B865" s="104"/>
      <c r="C865" s="105"/>
      <c r="D865" s="106"/>
      <c r="E865" s="105"/>
      <c r="F865" s="107"/>
      <c r="G865" s="105"/>
      <c r="H865" s="108"/>
      <c r="I865" s="109"/>
      <c r="J865" s="110"/>
      <c r="K865" s="109"/>
      <c r="L865" s="109"/>
      <c r="M865" s="109"/>
    </row>
    <row r="866">
      <c r="A866" s="103"/>
      <c r="B866" s="104"/>
      <c r="C866" s="105"/>
      <c r="D866" s="106"/>
      <c r="E866" s="105"/>
      <c r="F866" s="107"/>
      <c r="G866" s="105"/>
      <c r="H866" s="108"/>
      <c r="I866" s="109"/>
      <c r="J866" s="110"/>
      <c r="K866" s="109"/>
      <c r="L866" s="109"/>
      <c r="M866" s="109"/>
    </row>
    <row r="867">
      <c r="A867" s="103"/>
      <c r="B867" s="104"/>
      <c r="C867" s="105"/>
      <c r="D867" s="106"/>
      <c r="E867" s="105"/>
      <c r="F867" s="107"/>
      <c r="G867" s="105"/>
      <c r="H867" s="108"/>
      <c r="I867" s="109"/>
      <c r="J867" s="110"/>
      <c r="K867" s="109"/>
      <c r="L867" s="109"/>
      <c r="M867" s="109"/>
    </row>
    <row r="868">
      <c r="A868" s="103"/>
      <c r="B868" s="104"/>
      <c r="C868" s="105"/>
      <c r="D868" s="106"/>
      <c r="E868" s="105"/>
      <c r="F868" s="107"/>
      <c r="G868" s="105"/>
      <c r="H868" s="108"/>
      <c r="I868" s="109"/>
      <c r="J868" s="110"/>
      <c r="K868" s="109"/>
      <c r="L868" s="109"/>
      <c r="M868" s="109"/>
    </row>
    <row r="869">
      <c r="A869" s="103"/>
      <c r="B869" s="104"/>
      <c r="C869" s="105"/>
      <c r="D869" s="106"/>
      <c r="E869" s="105"/>
      <c r="F869" s="107"/>
      <c r="G869" s="105"/>
      <c r="H869" s="108"/>
      <c r="I869" s="109"/>
      <c r="J869" s="110"/>
      <c r="K869" s="109"/>
      <c r="L869" s="109"/>
      <c r="M869" s="109"/>
    </row>
    <row r="870">
      <c r="A870" s="103"/>
      <c r="B870" s="104"/>
      <c r="C870" s="105"/>
      <c r="D870" s="106"/>
      <c r="E870" s="105"/>
      <c r="F870" s="107"/>
      <c r="G870" s="105"/>
      <c r="H870" s="108"/>
      <c r="I870" s="109"/>
      <c r="J870" s="110"/>
      <c r="K870" s="109"/>
      <c r="L870" s="109"/>
      <c r="M870" s="109"/>
    </row>
    <row r="871">
      <c r="A871" s="103"/>
      <c r="B871" s="104"/>
      <c r="C871" s="105"/>
      <c r="D871" s="106"/>
      <c r="E871" s="105"/>
      <c r="F871" s="107"/>
      <c r="G871" s="105"/>
      <c r="H871" s="108"/>
      <c r="I871" s="109"/>
      <c r="J871" s="110"/>
      <c r="K871" s="109"/>
      <c r="L871" s="109"/>
      <c r="M871" s="109"/>
    </row>
    <row r="872">
      <c r="A872" s="103"/>
      <c r="B872" s="104"/>
      <c r="C872" s="105"/>
      <c r="D872" s="106"/>
      <c r="E872" s="105"/>
      <c r="F872" s="107"/>
      <c r="G872" s="105"/>
      <c r="H872" s="108"/>
      <c r="I872" s="109"/>
      <c r="J872" s="110"/>
      <c r="K872" s="109"/>
      <c r="L872" s="109"/>
      <c r="M872" s="109"/>
    </row>
    <row r="873">
      <c r="A873" s="103"/>
      <c r="B873" s="104"/>
      <c r="C873" s="105"/>
      <c r="D873" s="106"/>
      <c r="E873" s="105"/>
      <c r="F873" s="107"/>
      <c r="G873" s="105"/>
      <c r="H873" s="108"/>
      <c r="I873" s="109"/>
      <c r="J873" s="110"/>
      <c r="K873" s="109"/>
      <c r="L873" s="109"/>
      <c r="M873" s="109"/>
    </row>
    <row r="874">
      <c r="A874" s="103"/>
      <c r="B874" s="104"/>
      <c r="C874" s="105"/>
      <c r="D874" s="106"/>
      <c r="E874" s="105"/>
      <c r="F874" s="107"/>
      <c r="G874" s="105"/>
      <c r="H874" s="108"/>
      <c r="I874" s="109"/>
      <c r="J874" s="110"/>
      <c r="K874" s="109"/>
      <c r="L874" s="109"/>
      <c r="M874" s="109"/>
    </row>
    <row r="875">
      <c r="A875" s="103"/>
      <c r="B875" s="104"/>
      <c r="C875" s="105"/>
      <c r="D875" s="106"/>
      <c r="E875" s="105"/>
      <c r="F875" s="107"/>
      <c r="G875" s="105"/>
      <c r="H875" s="108"/>
      <c r="I875" s="109"/>
      <c r="J875" s="110"/>
      <c r="K875" s="109"/>
      <c r="L875" s="109"/>
      <c r="M875" s="109"/>
    </row>
    <row r="876">
      <c r="A876" s="103"/>
      <c r="B876" s="104"/>
      <c r="C876" s="105"/>
      <c r="D876" s="106"/>
      <c r="E876" s="105"/>
      <c r="F876" s="107"/>
      <c r="G876" s="105"/>
      <c r="H876" s="108"/>
      <c r="I876" s="109"/>
      <c r="J876" s="110"/>
      <c r="K876" s="109"/>
      <c r="L876" s="109"/>
      <c r="M876" s="109"/>
    </row>
    <row r="877">
      <c r="A877" s="103"/>
      <c r="B877" s="104"/>
      <c r="C877" s="105"/>
      <c r="D877" s="106"/>
      <c r="E877" s="105"/>
      <c r="F877" s="107"/>
      <c r="G877" s="105"/>
      <c r="H877" s="108"/>
      <c r="I877" s="109"/>
      <c r="J877" s="110"/>
      <c r="K877" s="109"/>
      <c r="L877" s="109"/>
      <c r="M877" s="109"/>
    </row>
    <row r="878">
      <c r="A878" s="103"/>
      <c r="B878" s="104"/>
      <c r="C878" s="105"/>
      <c r="D878" s="106"/>
      <c r="E878" s="105"/>
      <c r="F878" s="107"/>
      <c r="G878" s="105"/>
      <c r="H878" s="108"/>
      <c r="I878" s="109"/>
      <c r="J878" s="110"/>
      <c r="K878" s="109"/>
      <c r="L878" s="109"/>
      <c r="M878" s="109"/>
    </row>
    <row r="879">
      <c r="A879" s="103"/>
      <c r="B879" s="104"/>
      <c r="C879" s="105"/>
      <c r="D879" s="106"/>
      <c r="E879" s="105"/>
      <c r="F879" s="107"/>
      <c r="G879" s="105"/>
      <c r="H879" s="108"/>
      <c r="I879" s="109"/>
      <c r="J879" s="110"/>
      <c r="K879" s="109"/>
      <c r="L879" s="109"/>
      <c r="M879" s="109"/>
    </row>
    <row r="880">
      <c r="A880" s="103"/>
      <c r="B880" s="104"/>
      <c r="C880" s="105"/>
      <c r="D880" s="106"/>
      <c r="E880" s="105"/>
      <c r="F880" s="107"/>
      <c r="G880" s="105"/>
      <c r="H880" s="108"/>
      <c r="I880" s="109"/>
      <c r="J880" s="110"/>
      <c r="K880" s="109"/>
      <c r="L880" s="109"/>
      <c r="M880" s="109"/>
    </row>
    <row r="881">
      <c r="A881" s="103"/>
      <c r="B881" s="104"/>
      <c r="C881" s="105"/>
      <c r="D881" s="106"/>
      <c r="E881" s="105"/>
      <c r="F881" s="107"/>
      <c r="G881" s="105"/>
      <c r="H881" s="108"/>
      <c r="I881" s="109"/>
      <c r="J881" s="110"/>
      <c r="K881" s="109"/>
      <c r="L881" s="109"/>
      <c r="M881" s="109"/>
    </row>
    <row r="882">
      <c r="A882" s="103"/>
      <c r="B882" s="104"/>
      <c r="C882" s="105"/>
      <c r="D882" s="106"/>
      <c r="E882" s="105"/>
      <c r="F882" s="107"/>
      <c r="G882" s="105"/>
      <c r="H882" s="108"/>
      <c r="I882" s="109"/>
      <c r="J882" s="110"/>
      <c r="K882" s="109"/>
      <c r="L882" s="109"/>
      <c r="M882" s="109"/>
    </row>
    <row r="883">
      <c r="A883" s="103"/>
      <c r="B883" s="104"/>
      <c r="C883" s="105"/>
      <c r="D883" s="106"/>
      <c r="E883" s="105"/>
      <c r="F883" s="107"/>
      <c r="G883" s="105"/>
      <c r="H883" s="108"/>
      <c r="I883" s="109"/>
      <c r="J883" s="110"/>
      <c r="K883" s="109"/>
      <c r="L883" s="109"/>
      <c r="M883" s="109"/>
    </row>
    <row r="884">
      <c r="A884" s="103"/>
      <c r="B884" s="104"/>
      <c r="C884" s="105"/>
      <c r="D884" s="106"/>
      <c r="E884" s="105"/>
      <c r="F884" s="107"/>
      <c r="G884" s="105"/>
      <c r="H884" s="108"/>
      <c r="I884" s="109"/>
      <c r="J884" s="110"/>
      <c r="K884" s="109"/>
      <c r="L884" s="109"/>
      <c r="M884" s="109"/>
    </row>
    <row r="885">
      <c r="A885" s="103"/>
      <c r="B885" s="104"/>
      <c r="C885" s="105"/>
      <c r="D885" s="106"/>
      <c r="E885" s="105"/>
      <c r="F885" s="107"/>
      <c r="G885" s="105"/>
      <c r="H885" s="108"/>
      <c r="I885" s="109"/>
      <c r="J885" s="110"/>
      <c r="K885" s="109"/>
      <c r="L885" s="109"/>
      <c r="M885" s="109"/>
    </row>
    <row r="886">
      <c r="A886" s="103"/>
      <c r="B886" s="104"/>
      <c r="C886" s="105"/>
      <c r="D886" s="106"/>
      <c r="E886" s="105"/>
      <c r="F886" s="107"/>
      <c r="G886" s="105"/>
      <c r="H886" s="108"/>
      <c r="I886" s="109"/>
      <c r="J886" s="110"/>
      <c r="K886" s="109"/>
      <c r="L886" s="109"/>
      <c r="M886" s="109"/>
    </row>
    <row r="887">
      <c r="A887" s="103"/>
      <c r="B887" s="104"/>
      <c r="C887" s="105"/>
      <c r="D887" s="106"/>
      <c r="E887" s="105"/>
      <c r="F887" s="107"/>
      <c r="G887" s="105"/>
      <c r="H887" s="108"/>
      <c r="I887" s="109"/>
      <c r="J887" s="110"/>
      <c r="K887" s="109"/>
      <c r="L887" s="109"/>
      <c r="M887" s="109"/>
    </row>
    <row r="888">
      <c r="A888" s="103"/>
      <c r="B888" s="104"/>
      <c r="C888" s="105"/>
      <c r="D888" s="106"/>
      <c r="E888" s="105"/>
      <c r="F888" s="107"/>
      <c r="G888" s="105"/>
      <c r="H888" s="108"/>
      <c r="I888" s="109"/>
      <c r="J888" s="110"/>
      <c r="K888" s="109"/>
      <c r="L888" s="109"/>
      <c r="M888" s="109"/>
    </row>
    <row r="889">
      <c r="A889" s="103"/>
      <c r="B889" s="104"/>
      <c r="C889" s="105"/>
      <c r="D889" s="106"/>
      <c r="E889" s="105"/>
      <c r="F889" s="107"/>
      <c r="G889" s="105"/>
      <c r="H889" s="108"/>
      <c r="I889" s="109"/>
      <c r="J889" s="110"/>
      <c r="K889" s="109"/>
      <c r="L889" s="109"/>
      <c r="M889" s="109"/>
    </row>
    <row r="890">
      <c r="A890" s="103"/>
      <c r="B890" s="104"/>
      <c r="C890" s="105"/>
      <c r="D890" s="106"/>
      <c r="E890" s="105"/>
      <c r="F890" s="107"/>
      <c r="G890" s="105"/>
      <c r="H890" s="108"/>
      <c r="I890" s="109"/>
      <c r="J890" s="110"/>
      <c r="K890" s="109"/>
      <c r="L890" s="109"/>
      <c r="M890" s="109"/>
    </row>
    <row r="891">
      <c r="A891" s="103"/>
      <c r="B891" s="104"/>
      <c r="C891" s="105"/>
      <c r="D891" s="106"/>
      <c r="E891" s="105"/>
      <c r="F891" s="107"/>
      <c r="G891" s="105"/>
      <c r="H891" s="108"/>
      <c r="I891" s="109"/>
      <c r="J891" s="110"/>
      <c r="K891" s="109"/>
      <c r="L891" s="109"/>
      <c r="M891" s="109"/>
    </row>
    <row r="892">
      <c r="A892" s="103"/>
      <c r="B892" s="104"/>
      <c r="C892" s="105"/>
      <c r="D892" s="106"/>
      <c r="E892" s="105"/>
      <c r="F892" s="107"/>
      <c r="G892" s="105"/>
      <c r="H892" s="108"/>
      <c r="I892" s="109"/>
      <c r="J892" s="110"/>
      <c r="K892" s="109"/>
      <c r="L892" s="109"/>
      <c r="M892" s="109"/>
    </row>
    <row r="893">
      <c r="A893" s="103"/>
      <c r="B893" s="104"/>
      <c r="C893" s="105"/>
      <c r="D893" s="106"/>
      <c r="E893" s="105"/>
      <c r="F893" s="107"/>
      <c r="G893" s="105"/>
      <c r="H893" s="108"/>
      <c r="I893" s="109"/>
      <c r="J893" s="110"/>
      <c r="K893" s="109"/>
      <c r="L893" s="109"/>
      <c r="M893" s="109"/>
    </row>
    <row r="894">
      <c r="A894" s="103"/>
      <c r="B894" s="104"/>
      <c r="C894" s="105"/>
      <c r="D894" s="106"/>
      <c r="E894" s="105"/>
      <c r="F894" s="107"/>
      <c r="G894" s="105"/>
      <c r="H894" s="108"/>
      <c r="I894" s="109"/>
      <c r="J894" s="110"/>
      <c r="K894" s="109"/>
      <c r="L894" s="109"/>
      <c r="M894" s="109"/>
    </row>
    <row r="895">
      <c r="A895" s="103"/>
      <c r="B895" s="104"/>
      <c r="C895" s="105"/>
      <c r="D895" s="106"/>
      <c r="E895" s="105"/>
      <c r="F895" s="107"/>
      <c r="G895" s="105"/>
      <c r="H895" s="108"/>
      <c r="I895" s="109"/>
      <c r="J895" s="110"/>
      <c r="K895" s="109"/>
      <c r="L895" s="109"/>
      <c r="M895" s="109"/>
    </row>
    <row r="896">
      <c r="A896" s="103"/>
      <c r="B896" s="104"/>
      <c r="C896" s="105"/>
      <c r="D896" s="106"/>
      <c r="E896" s="105"/>
      <c r="F896" s="107"/>
      <c r="G896" s="105"/>
      <c r="H896" s="108"/>
      <c r="I896" s="109"/>
      <c r="J896" s="110"/>
      <c r="K896" s="109"/>
      <c r="L896" s="109"/>
      <c r="M896" s="109"/>
    </row>
    <row r="897">
      <c r="A897" s="103"/>
      <c r="B897" s="104"/>
      <c r="C897" s="105"/>
      <c r="D897" s="106"/>
      <c r="E897" s="105"/>
      <c r="F897" s="107"/>
      <c r="G897" s="105"/>
      <c r="H897" s="108"/>
      <c r="I897" s="109"/>
      <c r="J897" s="110"/>
      <c r="K897" s="109"/>
      <c r="L897" s="109"/>
      <c r="M897" s="109"/>
    </row>
    <row r="898">
      <c r="A898" s="103"/>
      <c r="B898" s="104"/>
      <c r="C898" s="105"/>
      <c r="D898" s="106"/>
      <c r="E898" s="105"/>
      <c r="F898" s="107"/>
      <c r="G898" s="105"/>
      <c r="H898" s="108"/>
      <c r="I898" s="109"/>
      <c r="J898" s="110"/>
      <c r="K898" s="109"/>
      <c r="L898" s="109"/>
      <c r="M898" s="109"/>
    </row>
    <row r="899">
      <c r="A899" s="103"/>
      <c r="B899" s="104"/>
      <c r="C899" s="105"/>
      <c r="D899" s="106"/>
      <c r="E899" s="105"/>
      <c r="F899" s="107"/>
      <c r="G899" s="105"/>
      <c r="H899" s="108"/>
      <c r="I899" s="109"/>
      <c r="J899" s="110"/>
      <c r="K899" s="109"/>
      <c r="L899" s="109"/>
      <c r="M899" s="109"/>
    </row>
    <row r="900">
      <c r="A900" s="103"/>
      <c r="B900" s="104"/>
      <c r="C900" s="105"/>
      <c r="D900" s="106"/>
      <c r="E900" s="105"/>
      <c r="F900" s="107"/>
      <c r="G900" s="105"/>
      <c r="H900" s="108"/>
      <c r="I900" s="109"/>
      <c r="J900" s="110"/>
      <c r="K900" s="109"/>
      <c r="L900" s="109"/>
      <c r="M900" s="109"/>
    </row>
    <row r="901">
      <c r="A901" s="103"/>
      <c r="B901" s="104"/>
      <c r="C901" s="105"/>
      <c r="D901" s="106"/>
      <c r="E901" s="105"/>
      <c r="F901" s="107"/>
      <c r="G901" s="105"/>
      <c r="H901" s="108"/>
      <c r="I901" s="109"/>
      <c r="J901" s="110"/>
      <c r="K901" s="109"/>
      <c r="L901" s="109"/>
      <c r="M901" s="109"/>
    </row>
    <row r="902">
      <c r="A902" s="103"/>
      <c r="B902" s="104"/>
      <c r="C902" s="105"/>
      <c r="D902" s="106"/>
      <c r="E902" s="105"/>
      <c r="F902" s="107"/>
      <c r="G902" s="105"/>
      <c r="H902" s="108"/>
      <c r="I902" s="109"/>
      <c r="J902" s="110"/>
      <c r="K902" s="109"/>
      <c r="L902" s="109"/>
      <c r="M902" s="109"/>
    </row>
    <row r="903">
      <c r="A903" s="103"/>
      <c r="B903" s="104"/>
      <c r="C903" s="105"/>
      <c r="D903" s="106"/>
      <c r="E903" s="105"/>
      <c r="F903" s="107"/>
      <c r="G903" s="105"/>
      <c r="H903" s="108"/>
      <c r="I903" s="109"/>
      <c r="J903" s="110"/>
      <c r="K903" s="109"/>
      <c r="L903" s="109"/>
      <c r="M903" s="109"/>
    </row>
    <row r="904">
      <c r="A904" s="103"/>
      <c r="B904" s="104"/>
      <c r="C904" s="105"/>
      <c r="D904" s="106"/>
      <c r="E904" s="105"/>
      <c r="F904" s="107"/>
      <c r="G904" s="105"/>
      <c r="H904" s="108"/>
      <c r="I904" s="109"/>
      <c r="J904" s="110"/>
      <c r="K904" s="109"/>
      <c r="L904" s="109"/>
      <c r="M904" s="109"/>
    </row>
    <row r="905">
      <c r="A905" s="103"/>
      <c r="B905" s="104"/>
      <c r="C905" s="105"/>
      <c r="D905" s="106"/>
      <c r="E905" s="105"/>
      <c r="F905" s="107"/>
      <c r="G905" s="105"/>
      <c r="H905" s="108"/>
      <c r="I905" s="109"/>
      <c r="J905" s="110"/>
      <c r="K905" s="109"/>
      <c r="L905" s="109"/>
      <c r="M905" s="109"/>
    </row>
    <row r="906">
      <c r="A906" s="103"/>
      <c r="B906" s="104"/>
      <c r="C906" s="105"/>
      <c r="D906" s="106"/>
      <c r="E906" s="105"/>
      <c r="F906" s="107"/>
      <c r="G906" s="105"/>
      <c r="H906" s="108"/>
      <c r="I906" s="109"/>
      <c r="J906" s="110"/>
      <c r="K906" s="109"/>
      <c r="L906" s="109"/>
      <c r="M906" s="109"/>
    </row>
    <row r="907">
      <c r="A907" s="103"/>
      <c r="B907" s="104"/>
      <c r="C907" s="105"/>
      <c r="D907" s="106"/>
      <c r="E907" s="105"/>
      <c r="F907" s="107"/>
      <c r="G907" s="105"/>
      <c r="H907" s="108"/>
      <c r="I907" s="109"/>
      <c r="J907" s="110"/>
      <c r="K907" s="109"/>
      <c r="L907" s="109"/>
      <c r="M907" s="109"/>
    </row>
    <row r="908">
      <c r="A908" s="103"/>
      <c r="B908" s="104"/>
      <c r="C908" s="105"/>
      <c r="D908" s="106"/>
      <c r="E908" s="105"/>
      <c r="F908" s="107"/>
      <c r="G908" s="105"/>
      <c r="H908" s="108"/>
      <c r="I908" s="109"/>
      <c r="J908" s="110"/>
      <c r="K908" s="109"/>
      <c r="L908" s="109"/>
      <c r="M908" s="109"/>
    </row>
    <row r="909">
      <c r="A909" s="103"/>
      <c r="B909" s="104"/>
      <c r="C909" s="105"/>
      <c r="D909" s="106"/>
      <c r="E909" s="105"/>
      <c r="F909" s="107"/>
      <c r="G909" s="105"/>
      <c r="H909" s="108"/>
      <c r="I909" s="109"/>
      <c r="J909" s="110"/>
      <c r="K909" s="109"/>
      <c r="L909" s="109"/>
      <c r="M909" s="109"/>
    </row>
    <row r="910">
      <c r="A910" s="103"/>
      <c r="B910" s="104"/>
      <c r="C910" s="105"/>
      <c r="D910" s="106"/>
      <c r="E910" s="105"/>
      <c r="F910" s="107"/>
      <c r="G910" s="105"/>
      <c r="H910" s="108"/>
      <c r="I910" s="109"/>
      <c r="J910" s="110"/>
      <c r="K910" s="109"/>
      <c r="L910" s="109"/>
      <c r="M910" s="109"/>
    </row>
    <row r="911">
      <c r="A911" s="103"/>
      <c r="B911" s="104"/>
      <c r="C911" s="105"/>
      <c r="D911" s="106"/>
      <c r="E911" s="105"/>
      <c r="F911" s="107"/>
      <c r="G911" s="105"/>
      <c r="H911" s="108"/>
      <c r="I911" s="109"/>
      <c r="J911" s="110"/>
      <c r="K911" s="109"/>
      <c r="L911" s="109"/>
      <c r="M911" s="109"/>
    </row>
    <row r="912">
      <c r="A912" s="103"/>
      <c r="B912" s="104"/>
      <c r="C912" s="105"/>
      <c r="D912" s="106"/>
      <c r="E912" s="105"/>
      <c r="F912" s="107"/>
      <c r="G912" s="105"/>
      <c r="H912" s="108"/>
      <c r="I912" s="109"/>
      <c r="J912" s="110"/>
      <c r="K912" s="109"/>
      <c r="L912" s="109"/>
      <c r="M912" s="109"/>
    </row>
    <row r="913">
      <c r="A913" s="103"/>
      <c r="B913" s="104"/>
      <c r="C913" s="105"/>
      <c r="D913" s="106"/>
      <c r="E913" s="105"/>
      <c r="F913" s="107"/>
      <c r="G913" s="105"/>
      <c r="H913" s="108"/>
      <c r="I913" s="109"/>
      <c r="J913" s="110"/>
      <c r="K913" s="109"/>
      <c r="L913" s="109"/>
      <c r="M913" s="109"/>
    </row>
    <row r="914">
      <c r="A914" s="103"/>
      <c r="B914" s="104"/>
      <c r="C914" s="105"/>
      <c r="D914" s="106"/>
      <c r="E914" s="105"/>
      <c r="F914" s="107"/>
      <c r="G914" s="105"/>
      <c r="H914" s="108"/>
      <c r="I914" s="109"/>
      <c r="J914" s="110"/>
      <c r="K914" s="109"/>
      <c r="L914" s="109"/>
      <c r="M914" s="109"/>
    </row>
    <row r="915">
      <c r="A915" s="103"/>
      <c r="B915" s="104"/>
      <c r="C915" s="105"/>
      <c r="D915" s="106"/>
      <c r="E915" s="105"/>
      <c r="F915" s="107"/>
      <c r="G915" s="105"/>
      <c r="H915" s="108"/>
      <c r="I915" s="109"/>
      <c r="J915" s="110"/>
      <c r="K915" s="109"/>
      <c r="L915" s="109"/>
      <c r="M915" s="109"/>
    </row>
    <row r="916">
      <c r="A916" s="103"/>
      <c r="B916" s="104"/>
      <c r="C916" s="105"/>
      <c r="D916" s="106"/>
      <c r="E916" s="105"/>
      <c r="F916" s="107"/>
      <c r="G916" s="105"/>
      <c r="H916" s="108"/>
      <c r="I916" s="109"/>
      <c r="J916" s="110"/>
      <c r="K916" s="109"/>
      <c r="L916" s="109"/>
      <c r="M916" s="109"/>
    </row>
    <row r="917">
      <c r="A917" s="103"/>
      <c r="B917" s="104"/>
      <c r="C917" s="105"/>
      <c r="D917" s="106"/>
      <c r="E917" s="105"/>
      <c r="F917" s="107"/>
      <c r="G917" s="105"/>
      <c r="H917" s="108"/>
      <c r="I917" s="109"/>
      <c r="J917" s="110"/>
      <c r="K917" s="109"/>
      <c r="L917" s="109"/>
      <c r="M917" s="109"/>
    </row>
    <row r="918">
      <c r="A918" s="103"/>
      <c r="B918" s="104"/>
      <c r="C918" s="105"/>
      <c r="D918" s="106"/>
      <c r="E918" s="105"/>
      <c r="F918" s="107"/>
      <c r="G918" s="105"/>
      <c r="H918" s="108"/>
      <c r="I918" s="109"/>
      <c r="J918" s="110"/>
      <c r="K918" s="109"/>
      <c r="L918" s="109"/>
      <c r="M918" s="109"/>
    </row>
    <row r="919">
      <c r="A919" s="103"/>
      <c r="B919" s="104"/>
      <c r="C919" s="105"/>
      <c r="D919" s="106"/>
      <c r="E919" s="105"/>
      <c r="F919" s="107"/>
      <c r="G919" s="105"/>
      <c r="H919" s="108"/>
      <c r="I919" s="109"/>
      <c r="J919" s="110"/>
      <c r="K919" s="109"/>
      <c r="L919" s="109"/>
      <c r="M919" s="109"/>
    </row>
    <row r="920">
      <c r="A920" s="103"/>
      <c r="B920" s="104"/>
      <c r="C920" s="105"/>
      <c r="D920" s="106"/>
      <c r="E920" s="105"/>
      <c r="F920" s="107"/>
      <c r="G920" s="105"/>
      <c r="H920" s="108"/>
      <c r="I920" s="109"/>
      <c r="J920" s="110"/>
      <c r="K920" s="109"/>
      <c r="L920" s="109"/>
      <c r="M920" s="109"/>
    </row>
    <row r="921">
      <c r="A921" s="103"/>
      <c r="B921" s="104"/>
      <c r="C921" s="105"/>
      <c r="D921" s="106"/>
      <c r="E921" s="105"/>
      <c r="F921" s="107"/>
      <c r="G921" s="105"/>
      <c r="H921" s="108"/>
      <c r="I921" s="109"/>
      <c r="J921" s="110"/>
      <c r="K921" s="109"/>
      <c r="L921" s="109"/>
      <c r="M921" s="109"/>
    </row>
    <row r="922">
      <c r="A922" s="103"/>
      <c r="B922" s="104"/>
      <c r="C922" s="105"/>
      <c r="D922" s="106"/>
      <c r="E922" s="105"/>
      <c r="F922" s="107"/>
      <c r="G922" s="105"/>
      <c r="H922" s="108"/>
      <c r="I922" s="109"/>
      <c r="J922" s="110"/>
      <c r="K922" s="109"/>
      <c r="L922" s="109"/>
      <c r="M922" s="109"/>
    </row>
    <row r="923">
      <c r="A923" s="103"/>
      <c r="B923" s="104"/>
      <c r="C923" s="105"/>
      <c r="D923" s="106"/>
      <c r="E923" s="105"/>
      <c r="F923" s="107"/>
      <c r="G923" s="105"/>
      <c r="H923" s="108"/>
      <c r="I923" s="109"/>
      <c r="J923" s="110"/>
      <c r="K923" s="109"/>
      <c r="L923" s="109"/>
      <c r="M923" s="109"/>
    </row>
    <row r="924">
      <c r="A924" s="103"/>
      <c r="B924" s="104"/>
      <c r="C924" s="105"/>
      <c r="D924" s="106"/>
      <c r="E924" s="105"/>
      <c r="F924" s="107"/>
      <c r="G924" s="105"/>
      <c r="H924" s="108"/>
      <c r="I924" s="109"/>
      <c r="J924" s="110"/>
      <c r="K924" s="109"/>
      <c r="L924" s="109"/>
      <c r="M924" s="109"/>
    </row>
    <row r="925">
      <c r="A925" s="103"/>
      <c r="B925" s="104"/>
      <c r="C925" s="105"/>
      <c r="D925" s="106"/>
      <c r="E925" s="105"/>
      <c r="F925" s="107"/>
      <c r="G925" s="105"/>
      <c r="H925" s="108"/>
      <c r="I925" s="109"/>
      <c r="J925" s="110"/>
      <c r="K925" s="109"/>
      <c r="L925" s="109"/>
      <c r="M925" s="109"/>
    </row>
    <row r="926">
      <c r="A926" s="103"/>
      <c r="B926" s="104"/>
      <c r="C926" s="105"/>
      <c r="D926" s="106"/>
      <c r="E926" s="105"/>
      <c r="F926" s="107"/>
      <c r="G926" s="105"/>
      <c r="H926" s="108"/>
      <c r="I926" s="109"/>
      <c r="J926" s="110"/>
      <c r="K926" s="109"/>
      <c r="L926" s="109"/>
      <c r="M926" s="109"/>
    </row>
    <row r="927">
      <c r="A927" s="103"/>
      <c r="B927" s="104"/>
      <c r="C927" s="105"/>
      <c r="D927" s="106"/>
      <c r="E927" s="105"/>
      <c r="F927" s="107"/>
      <c r="G927" s="105"/>
      <c r="H927" s="108"/>
      <c r="I927" s="109"/>
      <c r="J927" s="110"/>
      <c r="K927" s="109"/>
      <c r="L927" s="109"/>
      <c r="M927" s="109"/>
    </row>
    <row r="928">
      <c r="A928" s="103"/>
      <c r="B928" s="104"/>
      <c r="C928" s="105"/>
      <c r="D928" s="106"/>
      <c r="E928" s="105"/>
      <c r="F928" s="107"/>
      <c r="G928" s="105"/>
      <c r="H928" s="108"/>
      <c r="I928" s="109"/>
      <c r="J928" s="110"/>
      <c r="K928" s="109"/>
      <c r="L928" s="109"/>
      <c r="M928" s="109"/>
    </row>
    <row r="929">
      <c r="A929" s="103"/>
      <c r="B929" s="104"/>
      <c r="C929" s="105"/>
      <c r="D929" s="106"/>
      <c r="E929" s="105"/>
      <c r="F929" s="107"/>
      <c r="G929" s="105"/>
      <c r="H929" s="108"/>
      <c r="I929" s="109"/>
      <c r="J929" s="110"/>
      <c r="K929" s="109"/>
      <c r="L929" s="109"/>
      <c r="M929" s="109"/>
    </row>
    <row r="930">
      <c r="A930" s="103"/>
      <c r="B930" s="104"/>
      <c r="C930" s="105"/>
      <c r="D930" s="106"/>
      <c r="E930" s="105"/>
      <c r="F930" s="107"/>
      <c r="G930" s="105"/>
      <c r="H930" s="108"/>
      <c r="I930" s="109"/>
      <c r="J930" s="110"/>
      <c r="K930" s="109"/>
      <c r="L930" s="109"/>
      <c r="M930" s="109"/>
    </row>
    <row r="931">
      <c r="A931" s="103"/>
      <c r="B931" s="104"/>
      <c r="C931" s="105"/>
      <c r="D931" s="106"/>
      <c r="E931" s="105"/>
      <c r="F931" s="107"/>
      <c r="G931" s="105"/>
      <c r="H931" s="108"/>
      <c r="I931" s="109"/>
      <c r="J931" s="110"/>
      <c r="K931" s="109"/>
      <c r="L931" s="109"/>
      <c r="M931" s="109"/>
    </row>
    <row r="932">
      <c r="A932" s="103"/>
      <c r="B932" s="104"/>
      <c r="C932" s="105"/>
      <c r="D932" s="106"/>
      <c r="E932" s="105"/>
      <c r="F932" s="107"/>
      <c r="G932" s="105"/>
      <c r="H932" s="108"/>
      <c r="I932" s="109"/>
      <c r="J932" s="110"/>
      <c r="K932" s="109"/>
      <c r="L932" s="109"/>
      <c r="M932" s="109"/>
    </row>
    <row r="933">
      <c r="A933" s="103"/>
      <c r="B933" s="104"/>
      <c r="C933" s="105"/>
      <c r="D933" s="106"/>
      <c r="E933" s="105"/>
      <c r="F933" s="107"/>
      <c r="G933" s="105"/>
      <c r="H933" s="108"/>
      <c r="I933" s="109"/>
      <c r="J933" s="110"/>
      <c r="K933" s="109"/>
      <c r="L933" s="109"/>
      <c r="M933" s="109"/>
    </row>
    <row r="934">
      <c r="A934" s="103"/>
      <c r="B934" s="104"/>
      <c r="C934" s="105"/>
      <c r="D934" s="106"/>
      <c r="E934" s="105"/>
      <c r="F934" s="107"/>
      <c r="G934" s="105"/>
      <c r="H934" s="108"/>
      <c r="I934" s="109"/>
      <c r="J934" s="110"/>
      <c r="K934" s="109"/>
      <c r="L934" s="109"/>
      <c r="M934" s="109"/>
    </row>
    <row r="935">
      <c r="A935" s="103"/>
      <c r="B935" s="104"/>
      <c r="C935" s="105"/>
      <c r="D935" s="106"/>
      <c r="E935" s="105"/>
      <c r="F935" s="107"/>
      <c r="G935" s="105"/>
      <c r="H935" s="108"/>
      <c r="I935" s="109"/>
      <c r="J935" s="110"/>
      <c r="K935" s="109"/>
      <c r="L935" s="109"/>
      <c r="M935" s="109"/>
    </row>
    <row r="936">
      <c r="A936" s="103"/>
      <c r="B936" s="104"/>
      <c r="C936" s="105"/>
      <c r="D936" s="106"/>
      <c r="E936" s="105"/>
      <c r="F936" s="107"/>
      <c r="G936" s="105"/>
      <c r="H936" s="108"/>
      <c r="I936" s="109"/>
      <c r="J936" s="110"/>
      <c r="K936" s="109"/>
      <c r="L936" s="109"/>
      <c r="M936" s="109"/>
    </row>
    <row r="937">
      <c r="A937" s="103"/>
      <c r="B937" s="104"/>
      <c r="C937" s="105"/>
      <c r="D937" s="106"/>
      <c r="E937" s="105"/>
      <c r="F937" s="107"/>
      <c r="G937" s="105"/>
      <c r="H937" s="108"/>
      <c r="I937" s="109"/>
      <c r="J937" s="110"/>
      <c r="K937" s="109"/>
      <c r="L937" s="109"/>
      <c r="M937" s="109"/>
    </row>
    <row r="938">
      <c r="A938" s="103"/>
      <c r="B938" s="104"/>
      <c r="C938" s="105"/>
      <c r="D938" s="106"/>
      <c r="E938" s="105"/>
      <c r="F938" s="107"/>
      <c r="G938" s="105"/>
      <c r="H938" s="108"/>
      <c r="I938" s="109"/>
      <c r="J938" s="110"/>
      <c r="K938" s="109"/>
      <c r="L938" s="109"/>
      <c r="M938" s="109"/>
    </row>
    <row r="939">
      <c r="A939" s="103"/>
      <c r="B939" s="104"/>
      <c r="C939" s="105"/>
      <c r="D939" s="106"/>
      <c r="E939" s="105"/>
      <c r="F939" s="107"/>
      <c r="G939" s="105"/>
      <c r="H939" s="108"/>
      <c r="I939" s="109"/>
      <c r="J939" s="110"/>
      <c r="K939" s="109"/>
      <c r="L939" s="109"/>
      <c r="M939" s="109"/>
    </row>
    <row r="940">
      <c r="A940" s="103"/>
      <c r="B940" s="104"/>
      <c r="C940" s="105"/>
      <c r="D940" s="106"/>
      <c r="E940" s="105"/>
      <c r="F940" s="107"/>
      <c r="G940" s="105"/>
      <c r="H940" s="108"/>
      <c r="I940" s="109"/>
      <c r="J940" s="110"/>
      <c r="K940" s="109"/>
      <c r="L940" s="109"/>
      <c r="M940" s="109"/>
    </row>
    <row r="941">
      <c r="A941" s="103"/>
      <c r="B941" s="104"/>
      <c r="C941" s="105"/>
      <c r="D941" s="106"/>
      <c r="E941" s="105"/>
      <c r="F941" s="107"/>
      <c r="G941" s="105"/>
      <c r="H941" s="108"/>
      <c r="I941" s="109"/>
      <c r="J941" s="110"/>
      <c r="K941" s="109"/>
      <c r="L941" s="109"/>
      <c r="M941" s="109"/>
    </row>
    <row r="942">
      <c r="A942" s="103"/>
      <c r="B942" s="104"/>
      <c r="C942" s="105"/>
      <c r="D942" s="106"/>
      <c r="E942" s="105"/>
      <c r="F942" s="107"/>
      <c r="G942" s="105"/>
      <c r="H942" s="108"/>
      <c r="I942" s="109"/>
      <c r="J942" s="110"/>
      <c r="K942" s="109"/>
      <c r="L942" s="109"/>
      <c r="M942" s="109"/>
    </row>
    <row r="943">
      <c r="A943" s="103"/>
      <c r="B943" s="104"/>
      <c r="C943" s="105"/>
      <c r="D943" s="106"/>
      <c r="E943" s="105"/>
      <c r="F943" s="107"/>
      <c r="G943" s="105"/>
      <c r="H943" s="108"/>
      <c r="I943" s="109"/>
      <c r="J943" s="110"/>
      <c r="K943" s="109"/>
      <c r="L943" s="109"/>
      <c r="M943" s="109"/>
    </row>
    <row r="944">
      <c r="A944" s="103"/>
      <c r="B944" s="104"/>
      <c r="C944" s="105"/>
      <c r="D944" s="106"/>
      <c r="E944" s="105"/>
      <c r="F944" s="107"/>
      <c r="G944" s="105"/>
      <c r="H944" s="108"/>
      <c r="I944" s="109"/>
      <c r="J944" s="110"/>
      <c r="K944" s="109"/>
      <c r="L944" s="109"/>
      <c r="M944" s="109"/>
    </row>
    <row r="945">
      <c r="A945" s="103"/>
      <c r="B945" s="104"/>
      <c r="C945" s="105"/>
      <c r="D945" s="106"/>
      <c r="E945" s="105"/>
      <c r="F945" s="107"/>
      <c r="G945" s="105"/>
      <c r="H945" s="108"/>
      <c r="I945" s="109"/>
      <c r="J945" s="110"/>
      <c r="K945" s="109"/>
      <c r="L945" s="109"/>
      <c r="M945" s="109"/>
    </row>
    <row r="946">
      <c r="A946" s="103"/>
      <c r="B946" s="104"/>
      <c r="C946" s="105"/>
      <c r="D946" s="106"/>
      <c r="E946" s="105"/>
      <c r="F946" s="107"/>
      <c r="G946" s="105"/>
      <c r="H946" s="108"/>
      <c r="I946" s="109"/>
      <c r="J946" s="110"/>
      <c r="K946" s="109"/>
      <c r="L946" s="109"/>
      <c r="M946" s="109"/>
    </row>
    <row r="947">
      <c r="A947" s="103"/>
      <c r="B947" s="104"/>
      <c r="C947" s="105"/>
      <c r="D947" s="106"/>
      <c r="E947" s="105"/>
      <c r="F947" s="107"/>
      <c r="G947" s="105"/>
      <c r="H947" s="108"/>
      <c r="I947" s="109"/>
      <c r="J947" s="110"/>
      <c r="K947" s="109"/>
      <c r="L947" s="109"/>
      <c r="M947" s="109"/>
    </row>
    <row r="948">
      <c r="A948" s="103"/>
      <c r="B948" s="104"/>
      <c r="C948" s="105"/>
      <c r="D948" s="106"/>
      <c r="E948" s="105"/>
      <c r="F948" s="107"/>
      <c r="G948" s="105"/>
      <c r="H948" s="108"/>
      <c r="I948" s="109"/>
      <c r="J948" s="110"/>
      <c r="K948" s="109"/>
      <c r="L948" s="109"/>
      <c r="M948" s="109"/>
    </row>
    <row r="949">
      <c r="A949" s="103"/>
      <c r="B949" s="104"/>
      <c r="C949" s="105"/>
      <c r="D949" s="106"/>
      <c r="E949" s="105"/>
      <c r="F949" s="107"/>
      <c r="G949" s="105"/>
      <c r="H949" s="108"/>
      <c r="I949" s="109"/>
      <c r="J949" s="110"/>
      <c r="K949" s="109"/>
      <c r="L949" s="109"/>
      <c r="M949" s="109"/>
    </row>
    <row r="950">
      <c r="A950" s="103"/>
      <c r="B950" s="104"/>
      <c r="C950" s="105"/>
      <c r="D950" s="106"/>
      <c r="E950" s="105"/>
      <c r="F950" s="107"/>
      <c r="G950" s="105"/>
      <c r="H950" s="108"/>
      <c r="I950" s="109"/>
      <c r="J950" s="110"/>
      <c r="K950" s="109"/>
      <c r="L950" s="109"/>
      <c r="M950" s="109"/>
    </row>
    <row r="951">
      <c r="A951" s="103"/>
      <c r="B951" s="104"/>
      <c r="C951" s="105"/>
      <c r="D951" s="106"/>
      <c r="E951" s="105"/>
      <c r="F951" s="107"/>
      <c r="G951" s="105"/>
      <c r="H951" s="108"/>
      <c r="I951" s="109"/>
      <c r="J951" s="110"/>
      <c r="K951" s="109"/>
      <c r="L951" s="109"/>
      <c r="M951" s="109"/>
    </row>
    <row r="952">
      <c r="A952" s="103"/>
      <c r="B952" s="104"/>
      <c r="C952" s="105"/>
      <c r="D952" s="106"/>
      <c r="E952" s="105"/>
      <c r="F952" s="107"/>
      <c r="G952" s="105"/>
      <c r="H952" s="108"/>
      <c r="I952" s="109"/>
      <c r="J952" s="110"/>
      <c r="K952" s="109"/>
      <c r="L952" s="109"/>
      <c r="M952" s="109"/>
    </row>
    <row r="953">
      <c r="A953" s="103"/>
      <c r="B953" s="104"/>
      <c r="C953" s="105"/>
      <c r="D953" s="106"/>
      <c r="E953" s="105"/>
      <c r="F953" s="107"/>
      <c r="G953" s="105"/>
      <c r="H953" s="108"/>
      <c r="I953" s="109"/>
      <c r="J953" s="110"/>
      <c r="K953" s="109"/>
      <c r="L953" s="109"/>
      <c r="M953" s="109"/>
    </row>
    <row r="954">
      <c r="A954" s="103"/>
      <c r="B954" s="104"/>
      <c r="C954" s="105"/>
      <c r="D954" s="106"/>
      <c r="E954" s="105"/>
      <c r="F954" s="107"/>
      <c r="G954" s="105"/>
      <c r="H954" s="108"/>
      <c r="I954" s="109"/>
      <c r="J954" s="110"/>
      <c r="K954" s="109"/>
      <c r="L954" s="109"/>
      <c r="M954" s="109"/>
    </row>
    <row r="955">
      <c r="A955" s="103"/>
      <c r="B955" s="104"/>
      <c r="C955" s="105"/>
      <c r="D955" s="106"/>
      <c r="E955" s="105"/>
      <c r="F955" s="107"/>
      <c r="G955" s="105"/>
      <c r="H955" s="108"/>
      <c r="I955" s="109"/>
      <c r="J955" s="110"/>
      <c r="K955" s="109"/>
      <c r="L955" s="109"/>
      <c r="M955" s="109"/>
    </row>
    <row r="956">
      <c r="A956" s="103"/>
      <c r="B956" s="104"/>
      <c r="C956" s="105"/>
      <c r="D956" s="106"/>
      <c r="E956" s="105"/>
      <c r="F956" s="107"/>
      <c r="G956" s="105"/>
      <c r="H956" s="108"/>
      <c r="I956" s="109"/>
      <c r="J956" s="110"/>
      <c r="K956" s="109"/>
      <c r="L956" s="109"/>
      <c r="M956" s="109"/>
    </row>
    <row r="957">
      <c r="A957" s="103"/>
      <c r="B957" s="104"/>
      <c r="C957" s="105"/>
      <c r="D957" s="106"/>
      <c r="E957" s="105"/>
      <c r="F957" s="107"/>
      <c r="G957" s="105"/>
      <c r="H957" s="108"/>
      <c r="I957" s="109"/>
      <c r="J957" s="110"/>
      <c r="K957" s="109"/>
      <c r="L957" s="109"/>
      <c r="M957" s="109"/>
    </row>
    <row r="958">
      <c r="A958" s="103"/>
      <c r="B958" s="104"/>
      <c r="C958" s="105"/>
      <c r="D958" s="106"/>
      <c r="E958" s="105"/>
      <c r="F958" s="107"/>
      <c r="G958" s="105"/>
      <c r="H958" s="108"/>
      <c r="I958" s="109"/>
      <c r="J958" s="110"/>
      <c r="K958" s="109"/>
      <c r="L958" s="109"/>
      <c r="M958" s="109"/>
    </row>
    <row r="959">
      <c r="A959" s="103"/>
      <c r="B959" s="104"/>
      <c r="C959" s="105"/>
      <c r="D959" s="106"/>
      <c r="E959" s="105"/>
      <c r="F959" s="107"/>
      <c r="G959" s="105"/>
      <c r="H959" s="108"/>
      <c r="I959" s="109"/>
      <c r="J959" s="110"/>
      <c r="K959" s="109"/>
      <c r="L959" s="109"/>
      <c r="M959" s="109"/>
    </row>
    <row r="960">
      <c r="A960" s="103"/>
      <c r="B960" s="104"/>
      <c r="C960" s="105"/>
      <c r="D960" s="106"/>
      <c r="E960" s="105"/>
      <c r="F960" s="107"/>
      <c r="G960" s="105"/>
      <c r="H960" s="108"/>
      <c r="I960" s="109"/>
      <c r="J960" s="110"/>
      <c r="K960" s="109"/>
      <c r="L960" s="109"/>
      <c r="M960" s="109"/>
    </row>
    <row r="961">
      <c r="A961" s="103"/>
      <c r="B961" s="104"/>
      <c r="C961" s="105"/>
      <c r="D961" s="106"/>
      <c r="E961" s="105"/>
      <c r="F961" s="107"/>
      <c r="G961" s="105"/>
      <c r="H961" s="108"/>
      <c r="I961" s="109"/>
      <c r="J961" s="110"/>
      <c r="K961" s="109"/>
      <c r="L961" s="109"/>
      <c r="M961" s="109"/>
    </row>
    <row r="962">
      <c r="A962" s="103"/>
      <c r="B962" s="104"/>
      <c r="C962" s="105"/>
      <c r="D962" s="106"/>
      <c r="E962" s="105"/>
      <c r="F962" s="107"/>
      <c r="G962" s="105"/>
      <c r="H962" s="108"/>
      <c r="I962" s="109"/>
      <c r="J962" s="110"/>
      <c r="K962" s="109"/>
      <c r="L962" s="109"/>
      <c r="M962" s="109"/>
    </row>
    <row r="963">
      <c r="A963" s="103"/>
      <c r="B963" s="104"/>
      <c r="C963" s="105"/>
      <c r="D963" s="106"/>
      <c r="E963" s="105"/>
      <c r="F963" s="107"/>
      <c r="G963" s="105"/>
      <c r="H963" s="108"/>
      <c r="I963" s="109"/>
      <c r="J963" s="110"/>
      <c r="K963" s="109"/>
      <c r="L963" s="109"/>
      <c r="M963" s="109"/>
    </row>
    <row r="964">
      <c r="A964" s="103"/>
      <c r="B964" s="104"/>
      <c r="C964" s="105"/>
      <c r="D964" s="106"/>
      <c r="E964" s="105"/>
      <c r="F964" s="107"/>
      <c r="G964" s="105"/>
      <c r="H964" s="108"/>
      <c r="I964" s="109"/>
      <c r="J964" s="110"/>
      <c r="K964" s="109"/>
      <c r="L964" s="109"/>
      <c r="M964" s="109"/>
    </row>
    <row r="965">
      <c r="A965" s="103"/>
      <c r="B965" s="104"/>
      <c r="C965" s="105"/>
      <c r="D965" s="106"/>
      <c r="E965" s="105"/>
      <c r="F965" s="107"/>
      <c r="G965" s="105"/>
      <c r="H965" s="108"/>
      <c r="I965" s="109"/>
      <c r="J965" s="110"/>
      <c r="K965" s="109"/>
      <c r="L965" s="109"/>
      <c r="M965" s="109"/>
    </row>
    <row r="966">
      <c r="A966" s="103"/>
      <c r="B966" s="104"/>
      <c r="C966" s="105"/>
      <c r="D966" s="106"/>
      <c r="E966" s="105"/>
      <c r="F966" s="107"/>
      <c r="G966" s="105"/>
      <c r="H966" s="108"/>
      <c r="I966" s="109"/>
      <c r="J966" s="110"/>
      <c r="K966" s="109"/>
      <c r="L966" s="109"/>
      <c r="M966" s="109"/>
    </row>
    <row r="967">
      <c r="A967" s="103"/>
      <c r="B967" s="104"/>
      <c r="C967" s="105"/>
      <c r="D967" s="106"/>
      <c r="E967" s="105"/>
      <c r="F967" s="107"/>
      <c r="G967" s="105"/>
      <c r="H967" s="108"/>
      <c r="I967" s="109"/>
      <c r="J967" s="110"/>
      <c r="K967" s="109"/>
      <c r="L967" s="109"/>
      <c r="M967" s="109"/>
    </row>
    <row r="968">
      <c r="A968" s="103"/>
      <c r="B968" s="104"/>
      <c r="C968" s="105"/>
      <c r="D968" s="106"/>
      <c r="E968" s="105"/>
      <c r="F968" s="107"/>
      <c r="G968" s="105"/>
      <c r="H968" s="108"/>
      <c r="I968" s="109"/>
      <c r="J968" s="110"/>
      <c r="K968" s="109"/>
      <c r="L968" s="109"/>
      <c r="M968" s="109"/>
    </row>
    <row r="969">
      <c r="A969" s="103"/>
      <c r="B969" s="104"/>
      <c r="C969" s="105"/>
      <c r="D969" s="106"/>
      <c r="E969" s="105"/>
      <c r="F969" s="107"/>
      <c r="G969" s="105"/>
      <c r="H969" s="108"/>
      <c r="I969" s="109"/>
      <c r="J969" s="110"/>
      <c r="K969" s="109"/>
      <c r="L969" s="109"/>
      <c r="M969" s="109"/>
    </row>
    <row r="970">
      <c r="A970" s="103"/>
      <c r="B970" s="104"/>
      <c r="C970" s="105"/>
      <c r="D970" s="106"/>
      <c r="E970" s="105"/>
      <c r="F970" s="107"/>
      <c r="G970" s="105"/>
      <c r="H970" s="108"/>
      <c r="I970" s="109"/>
      <c r="J970" s="110"/>
      <c r="K970" s="109"/>
      <c r="L970" s="109"/>
      <c r="M970" s="109"/>
    </row>
    <row r="971">
      <c r="A971" s="103"/>
      <c r="B971" s="104"/>
      <c r="C971" s="105"/>
      <c r="D971" s="106"/>
      <c r="E971" s="105"/>
      <c r="F971" s="107"/>
      <c r="G971" s="105"/>
      <c r="H971" s="108"/>
      <c r="I971" s="109"/>
      <c r="J971" s="110"/>
      <c r="K971" s="109"/>
      <c r="L971" s="109"/>
      <c r="M971" s="109"/>
    </row>
    <row r="972">
      <c r="A972" s="103"/>
      <c r="B972" s="104"/>
      <c r="C972" s="105"/>
      <c r="D972" s="106"/>
      <c r="E972" s="105"/>
      <c r="F972" s="107"/>
      <c r="G972" s="105"/>
      <c r="H972" s="108"/>
      <c r="I972" s="109"/>
      <c r="J972" s="110"/>
      <c r="K972" s="109"/>
      <c r="L972" s="109"/>
      <c r="M972" s="109"/>
    </row>
    <row r="973">
      <c r="A973" s="103"/>
      <c r="B973" s="104"/>
      <c r="C973" s="105"/>
      <c r="D973" s="106"/>
      <c r="E973" s="105"/>
      <c r="F973" s="107"/>
      <c r="G973" s="105"/>
      <c r="H973" s="108"/>
      <c r="I973" s="109"/>
      <c r="J973" s="110"/>
      <c r="K973" s="109"/>
      <c r="L973" s="109"/>
      <c r="M973" s="109"/>
    </row>
    <row r="974">
      <c r="A974" s="103"/>
      <c r="B974" s="104"/>
      <c r="C974" s="105"/>
      <c r="D974" s="106"/>
      <c r="E974" s="105"/>
      <c r="F974" s="107"/>
      <c r="G974" s="105"/>
      <c r="H974" s="108"/>
      <c r="I974" s="109"/>
      <c r="J974" s="110"/>
      <c r="K974" s="109"/>
      <c r="L974" s="109"/>
      <c r="M974" s="109"/>
    </row>
    <row r="975">
      <c r="A975" s="103"/>
      <c r="B975" s="104"/>
      <c r="C975" s="105"/>
      <c r="D975" s="106"/>
      <c r="E975" s="105"/>
      <c r="F975" s="107"/>
      <c r="G975" s="105"/>
      <c r="H975" s="108"/>
      <c r="I975" s="109"/>
      <c r="J975" s="110"/>
      <c r="K975" s="109"/>
      <c r="L975" s="109"/>
      <c r="M975" s="109"/>
    </row>
    <row r="976">
      <c r="A976" s="103"/>
      <c r="B976" s="104"/>
      <c r="C976" s="105"/>
      <c r="D976" s="106"/>
      <c r="E976" s="105"/>
      <c r="F976" s="107"/>
      <c r="G976" s="105"/>
      <c r="H976" s="108"/>
      <c r="I976" s="109"/>
      <c r="J976" s="110"/>
      <c r="K976" s="109"/>
      <c r="L976" s="109"/>
      <c r="M976" s="109"/>
    </row>
    <row r="977">
      <c r="A977" s="103"/>
      <c r="B977" s="104"/>
      <c r="C977" s="105"/>
      <c r="D977" s="106"/>
      <c r="E977" s="105"/>
      <c r="F977" s="107"/>
      <c r="G977" s="105"/>
      <c r="H977" s="108"/>
      <c r="I977" s="109"/>
      <c r="J977" s="110"/>
      <c r="K977" s="109"/>
      <c r="L977" s="109"/>
      <c r="M977" s="109"/>
    </row>
    <row r="978">
      <c r="A978" s="103"/>
      <c r="B978" s="104"/>
      <c r="C978" s="105"/>
      <c r="D978" s="106"/>
      <c r="E978" s="105"/>
      <c r="F978" s="107"/>
      <c r="G978" s="105"/>
      <c r="H978" s="108"/>
      <c r="I978" s="109"/>
      <c r="J978" s="110"/>
      <c r="K978" s="109"/>
      <c r="L978" s="109"/>
      <c r="M978" s="109"/>
    </row>
    <row r="979">
      <c r="A979" s="103"/>
      <c r="B979" s="104"/>
      <c r="C979" s="105"/>
      <c r="D979" s="106"/>
      <c r="E979" s="105"/>
      <c r="F979" s="107"/>
      <c r="G979" s="105"/>
      <c r="H979" s="108"/>
      <c r="I979" s="109"/>
      <c r="J979" s="110"/>
      <c r="K979" s="109"/>
      <c r="L979" s="109"/>
      <c r="M979" s="109"/>
    </row>
    <row r="980">
      <c r="A980" s="103"/>
      <c r="B980" s="104"/>
      <c r="C980" s="105"/>
      <c r="D980" s="106"/>
      <c r="E980" s="105"/>
      <c r="F980" s="107"/>
      <c r="G980" s="105"/>
      <c r="H980" s="108"/>
      <c r="I980" s="109"/>
      <c r="J980" s="110"/>
      <c r="K980" s="109"/>
      <c r="L980" s="109"/>
      <c r="M980" s="109"/>
    </row>
    <row r="981">
      <c r="A981" s="103"/>
      <c r="B981" s="104"/>
      <c r="C981" s="105"/>
      <c r="D981" s="106"/>
      <c r="E981" s="105"/>
      <c r="F981" s="107"/>
      <c r="G981" s="105"/>
      <c r="H981" s="108"/>
      <c r="I981" s="109"/>
      <c r="J981" s="110"/>
      <c r="K981" s="109"/>
      <c r="L981" s="109"/>
      <c r="M981" s="109"/>
    </row>
    <row r="982">
      <c r="A982" s="103"/>
      <c r="B982" s="104"/>
      <c r="C982" s="105"/>
      <c r="D982" s="106"/>
      <c r="E982" s="105"/>
      <c r="F982" s="107"/>
      <c r="G982" s="105"/>
      <c r="H982" s="108"/>
      <c r="I982" s="109"/>
      <c r="J982" s="110"/>
      <c r="K982" s="109"/>
      <c r="L982" s="109"/>
      <c r="M982" s="109"/>
    </row>
    <row r="983">
      <c r="A983" s="103"/>
      <c r="B983" s="104"/>
      <c r="C983" s="105"/>
      <c r="D983" s="106"/>
      <c r="E983" s="105"/>
      <c r="F983" s="107"/>
      <c r="G983" s="105"/>
      <c r="H983" s="108"/>
      <c r="I983" s="109"/>
      <c r="J983" s="110"/>
      <c r="K983" s="109"/>
      <c r="L983" s="109"/>
      <c r="M983" s="109"/>
    </row>
    <row r="984">
      <c r="A984" s="103"/>
      <c r="B984" s="104"/>
      <c r="C984" s="105"/>
      <c r="D984" s="106"/>
      <c r="E984" s="105"/>
      <c r="F984" s="107"/>
      <c r="G984" s="105"/>
      <c r="H984" s="108"/>
      <c r="I984" s="109"/>
      <c r="J984" s="110"/>
      <c r="K984" s="109"/>
      <c r="L984" s="109"/>
      <c r="M984" s="109"/>
    </row>
    <row r="985">
      <c r="A985" s="103"/>
      <c r="B985" s="104"/>
      <c r="C985" s="105"/>
      <c r="D985" s="106"/>
      <c r="E985" s="105"/>
      <c r="F985" s="107"/>
      <c r="G985" s="105"/>
      <c r="H985" s="108"/>
      <c r="I985" s="109"/>
      <c r="J985" s="110"/>
      <c r="K985" s="109"/>
      <c r="L985" s="109"/>
      <c r="M985" s="109"/>
    </row>
    <row r="986">
      <c r="A986" s="103"/>
      <c r="B986" s="104"/>
      <c r="C986" s="105"/>
      <c r="D986" s="106"/>
      <c r="E986" s="105"/>
      <c r="F986" s="107"/>
      <c r="G986" s="105"/>
      <c r="H986" s="108"/>
      <c r="I986" s="109"/>
      <c r="J986" s="110"/>
      <c r="K986" s="109"/>
      <c r="L986" s="109"/>
      <c r="M986" s="109"/>
    </row>
    <row r="987">
      <c r="A987" s="103"/>
      <c r="B987" s="104"/>
      <c r="C987" s="105"/>
      <c r="D987" s="106"/>
      <c r="E987" s="105"/>
      <c r="F987" s="107"/>
      <c r="G987" s="105"/>
      <c r="H987" s="108"/>
      <c r="I987" s="109"/>
      <c r="J987" s="110"/>
      <c r="K987" s="109"/>
      <c r="L987" s="109"/>
      <c r="M987" s="109"/>
    </row>
    <row r="988">
      <c r="A988" s="103"/>
      <c r="B988" s="104"/>
      <c r="C988" s="105"/>
      <c r="D988" s="106"/>
      <c r="E988" s="105"/>
      <c r="F988" s="107"/>
      <c r="G988" s="105"/>
      <c r="H988" s="108"/>
      <c r="I988" s="109"/>
      <c r="J988" s="110"/>
      <c r="K988" s="109"/>
      <c r="L988" s="109"/>
      <c r="M988" s="109"/>
    </row>
    <row r="989">
      <c r="A989" s="103"/>
      <c r="B989" s="104"/>
      <c r="C989" s="105"/>
      <c r="D989" s="106"/>
      <c r="E989" s="105"/>
      <c r="F989" s="107"/>
      <c r="G989" s="105"/>
      <c r="H989" s="108"/>
      <c r="I989" s="109"/>
      <c r="J989" s="110"/>
      <c r="K989" s="109"/>
      <c r="L989" s="109"/>
      <c r="M989" s="109"/>
    </row>
    <row r="990">
      <c r="A990" s="103"/>
      <c r="B990" s="104"/>
      <c r="C990" s="105"/>
      <c r="D990" s="106"/>
      <c r="E990" s="105"/>
      <c r="F990" s="107"/>
      <c r="G990" s="105"/>
      <c r="H990" s="108"/>
      <c r="I990" s="109"/>
      <c r="J990" s="110"/>
      <c r="K990" s="109"/>
      <c r="L990" s="109"/>
      <c r="M990" s="109"/>
    </row>
    <row r="991">
      <c r="A991" s="103"/>
      <c r="B991" s="104"/>
      <c r="C991" s="105"/>
      <c r="D991" s="106"/>
      <c r="E991" s="105"/>
      <c r="F991" s="107"/>
      <c r="G991" s="105"/>
      <c r="H991" s="108"/>
      <c r="I991" s="109"/>
      <c r="J991" s="110"/>
      <c r="K991" s="109"/>
      <c r="L991" s="109"/>
      <c r="M991" s="109"/>
    </row>
    <row r="992">
      <c r="A992" s="103"/>
      <c r="B992" s="104"/>
      <c r="C992" s="105"/>
      <c r="D992" s="106"/>
      <c r="E992" s="105"/>
      <c r="F992" s="107"/>
      <c r="G992" s="105"/>
      <c r="H992" s="108"/>
      <c r="I992" s="109"/>
      <c r="J992" s="110"/>
      <c r="K992" s="109"/>
      <c r="L992" s="109"/>
      <c r="M992" s="109"/>
    </row>
    <row r="993">
      <c r="A993" s="103"/>
      <c r="B993" s="104"/>
      <c r="C993" s="105"/>
      <c r="D993" s="106"/>
      <c r="E993" s="105"/>
      <c r="F993" s="107"/>
      <c r="G993" s="105"/>
      <c r="H993" s="108"/>
      <c r="I993" s="109"/>
      <c r="J993" s="110"/>
      <c r="K993" s="109"/>
      <c r="L993" s="109"/>
      <c r="M993" s="109"/>
    </row>
    <row r="994">
      <c r="A994" s="103"/>
      <c r="B994" s="104"/>
      <c r="C994" s="105"/>
      <c r="D994" s="106"/>
      <c r="E994" s="105"/>
      <c r="F994" s="107"/>
      <c r="G994" s="105"/>
      <c r="H994" s="108"/>
      <c r="I994" s="109"/>
      <c r="J994" s="110"/>
      <c r="K994" s="109"/>
      <c r="L994" s="109"/>
      <c r="M994" s="109"/>
    </row>
    <row r="995">
      <c r="A995" s="103"/>
      <c r="B995" s="104"/>
      <c r="C995" s="105"/>
      <c r="D995" s="106"/>
      <c r="E995" s="105"/>
      <c r="F995" s="107"/>
      <c r="G995" s="105"/>
      <c r="H995" s="108"/>
      <c r="I995" s="109"/>
      <c r="J995" s="110"/>
      <c r="K995" s="109"/>
      <c r="L995" s="109"/>
      <c r="M995" s="109"/>
    </row>
    <row r="996">
      <c r="A996" s="103"/>
      <c r="B996" s="104"/>
      <c r="C996" s="105"/>
      <c r="D996" s="106"/>
      <c r="E996" s="105"/>
      <c r="F996" s="107"/>
      <c r="G996" s="105"/>
      <c r="H996" s="108"/>
      <c r="I996" s="109"/>
      <c r="J996" s="110"/>
      <c r="K996" s="109"/>
      <c r="L996" s="109"/>
      <c r="M996" s="109"/>
    </row>
    <row r="997">
      <c r="A997" s="103"/>
      <c r="B997" s="104"/>
      <c r="C997" s="105"/>
      <c r="D997" s="106"/>
      <c r="E997" s="105"/>
      <c r="F997" s="107"/>
      <c r="G997" s="105"/>
      <c r="H997" s="108"/>
      <c r="I997" s="109"/>
      <c r="J997" s="110"/>
      <c r="K997" s="109"/>
      <c r="L997" s="109"/>
      <c r="M997" s="109"/>
    </row>
    <row r="998">
      <c r="A998" s="103"/>
      <c r="B998" s="104"/>
      <c r="C998" s="105"/>
      <c r="D998" s="106"/>
      <c r="E998" s="105"/>
      <c r="F998" s="107"/>
      <c r="G998" s="105"/>
      <c r="H998" s="108"/>
      <c r="I998" s="109"/>
      <c r="J998" s="110"/>
      <c r="K998" s="109"/>
      <c r="L998" s="109"/>
      <c r="M998" s="109"/>
    </row>
    <row r="999">
      <c r="A999" s="103"/>
      <c r="B999" s="104"/>
      <c r="C999" s="105"/>
      <c r="D999" s="106"/>
      <c r="E999" s="105"/>
      <c r="F999" s="107"/>
      <c r="G999" s="105"/>
      <c r="H999" s="108"/>
      <c r="I999" s="109"/>
      <c r="J999" s="110"/>
      <c r="K999" s="109"/>
      <c r="L999" s="109"/>
      <c r="M999" s="109"/>
    </row>
    <row r="1000">
      <c r="A1000" s="103"/>
      <c r="B1000" s="104"/>
      <c r="C1000" s="105"/>
      <c r="D1000" s="106"/>
      <c r="E1000" s="105"/>
      <c r="F1000" s="107"/>
      <c r="G1000" s="105"/>
      <c r="H1000" s="108"/>
      <c r="I1000" s="109"/>
      <c r="J1000" s="110"/>
      <c r="K1000" s="109"/>
      <c r="L1000" s="109"/>
      <c r="M1000" s="109"/>
    </row>
    <row r="1001">
      <c r="A1001" s="103"/>
      <c r="B1001" s="104"/>
      <c r="C1001" s="105"/>
      <c r="D1001" s="106"/>
      <c r="E1001" s="105"/>
      <c r="F1001" s="107"/>
      <c r="G1001" s="105"/>
      <c r="H1001" s="108"/>
      <c r="I1001" s="109"/>
      <c r="J1001" s="110"/>
      <c r="K1001" s="109"/>
      <c r="L1001" s="109"/>
      <c r="M1001" s="109"/>
    </row>
    <row r="1002">
      <c r="A1002" s="103"/>
      <c r="B1002" s="104"/>
      <c r="C1002" s="105"/>
      <c r="D1002" s="106"/>
      <c r="E1002" s="105"/>
      <c r="F1002" s="107"/>
      <c r="G1002" s="105"/>
      <c r="H1002" s="108"/>
      <c r="I1002" s="109"/>
      <c r="J1002" s="110"/>
      <c r="K1002" s="109"/>
      <c r="L1002" s="109"/>
      <c r="M1002" s="109"/>
    </row>
    <row r="1003">
      <c r="A1003" s="103"/>
      <c r="B1003" s="104"/>
      <c r="C1003" s="105"/>
      <c r="D1003" s="106"/>
      <c r="E1003" s="105"/>
      <c r="F1003" s="107"/>
      <c r="G1003" s="105"/>
      <c r="H1003" s="108"/>
      <c r="I1003" s="109"/>
      <c r="J1003" s="110"/>
      <c r="K1003" s="109"/>
      <c r="L1003" s="109"/>
      <c r="M1003" s="109"/>
    </row>
    <row r="1004">
      <c r="A1004" s="103"/>
      <c r="B1004" s="104"/>
      <c r="C1004" s="105"/>
      <c r="D1004" s="106"/>
      <c r="E1004" s="105"/>
      <c r="F1004" s="107"/>
      <c r="G1004" s="105"/>
      <c r="H1004" s="108"/>
      <c r="I1004" s="109"/>
      <c r="J1004" s="110"/>
      <c r="K1004" s="109"/>
      <c r="L1004" s="109"/>
      <c r="M1004" s="109"/>
    </row>
    <row r="1005">
      <c r="A1005" s="103"/>
      <c r="B1005" s="104"/>
      <c r="C1005" s="105"/>
      <c r="D1005" s="106"/>
      <c r="E1005" s="105"/>
      <c r="F1005" s="107"/>
      <c r="G1005" s="105"/>
      <c r="H1005" s="108"/>
      <c r="I1005" s="109"/>
      <c r="J1005" s="110"/>
      <c r="K1005" s="109"/>
      <c r="L1005" s="109"/>
      <c r="M1005" s="109"/>
    </row>
    <row r="1006">
      <c r="A1006" s="103"/>
      <c r="B1006" s="104"/>
      <c r="C1006" s="105"/>
      <c r="D1006" s="106"/>
      <c r="E1006" s="105"/>
      <c r="F1006" s="107"/>
      <c r="G1006" s="105"/>
      <c r="H1006" s="108"/>
      <c r="I1006" s="109"/>
      <c r="J1006" s="110"/>
      <c r="K1006" s="109"/>
      <c r="L1006" s="109"/>
      <c r="M1006" s="109"/>
    </row>
    <row r="1007">
      <c r="A1007" s="103"/>
      <c r="B1007" s="104"/>
      <c r="C1007" s="105"/>
      <c r="D1007" s="106"/>
      <c r="E1007" s="105"/>
      <c r="F1007" s="107"/>
      <c r="G1007" s="105"/>
      <c r="H1007" s="108"/>
      <c r="I1007" s="109"/>
      <c r="J1007" s="110"/>
      <c r="K1007" s="109"/>
      <c r="L1007" s="109"/>
      <c r="M1007" s="109"/>
    </row>
    <row r="1008">
      <c r="A1008" s="103"/>
      <c r="B1008" s="104"/>
      <c r="C1008" s="105"/>
      <c r="D1008" s="106"/>
      <c r="E1008" s="105"/>
      <c r="F1008" s="107"/>
      <c r="G1008" s="105"/>
      <c r="H1008" s="108"/>
      <c r="I1008" s="109"/>
      <c r="J1008" s="110"/>
      <c r="K1008" s="109"/>
      <c r="L1008" s="109"/>
      <c r="M1008" s="109"/>
    </row>
    <row r="1009">
      <c r="A1009" s="103"/>
      <c r="B1009" s="104"/>
      <c r="C1009" s="105"/>
      <c r="D1009" s="106"/>
      <c r="E1009" s="105"/>
      <c r="F1009" s="107"/>
      <c r="G1009" s="105"/>
      <c r="H1009" s="108"/>
      <c r="I1009" s="109"/>
      <c r="J1009" s="110"/>
      <c r="K1009" s="109"/>
      <c r="L1009" s="109"/>
      <c r="M1009" s="109"/>
    </row>
    <row r="1010">
      <c r="A1010" s="103"/>
      <c r="B1010" s="104"/>
      <c r="C1010" s="105"/>
      <c r="D1010" s="106"/>
      <c r="E1010" s="105"/>
      <c r="F1010" s="107"/>
      <c r="G1010" s="105"/>
      <c r="H1010" s="108"/>
      <c r="I1010" s="109"/>
      <c r="J1010" s="110"/>
      <c r="K1010" s="109"/>
      <c r="L1010" s="109"/>
      <c r="M1010" s="109"/>
    </row>
    <row r="1011">
      <c r="A1011" s="103"/>
      <c r="B1011" s="104"/>
      <c r="C1011" s="105"/>
      <c r="D1011" s="106"/>
      <c r="E1011" s="105"/>
      <c r="F1011" s="107"/>
      <c r="G1011" s="105"/>
      <c r="H1011" s="108"/>
      <c r="I1011" s="109"/>
      <c r="J1011" s="110"/>
      <c r="K1011" s="109"/>
      <c r="L1011" s="109"/>
      <c r="M1011" s="109"/>
    </row>
    <row r="1012">
      <c r="A1012" s="103"/>
      <c r="B1012" s="104"/>
      <c r="C1012" s="105"/>
      <c r="D1012" s="106"/>
      <c r="E1012" s="105"/>
      <c r="F1012" s="107"/>
      <c r="G1012" s="105"/>
      <c r="H1012" s="108"/>
      <c r="I1012" s="109"/>
      <c r="J1012" s="110"/>
      <c r="K1012" s="109"/>
      <c r="L1012" s="109"/>
      <c r="M1012" s="109"/>
    </row>
    <row r="1013">
      <c r="A1013" s="103"/>
      <c r="B1013" s="104"/>
      <c r="C1013" s="105"/>
      <c r="D1013" s="106"/>
      <c r="E1013" s="105"/>
      <c r="F1013" s="107"/>
      <c r="G1013" s="105"/>
      <c r="H1013" s="108"/>
      <c r="I1013" s="109"/>
      <c r="J1013" s="110"/>
      <c r="K1013" s="109"/>
      <c r="L1013" s="109"/>
      <c r="M1013" s="109"/>
    </row>
    <row r="1014">
      <c r="A1014" s="103"/>
      <c r="B1014" s="104"/>
      <c r="C1014" s="105"/>
      <c r="D1014" s="106"/>
      <c r="E1014" s="105"/>
      <c r="F1014" s="107"/>
      <c r="G1014" s="105"/>
      <c r="H1014" s="108"/>
      <c r="I1014" s="109"/>
      <c r="J1014" s="110"/>
      <c r="K1014" s="109"/>
      <c r="L1014" s="109"/>
      <c r="M1014" s="109"/>
    </row>
    <row r="1015">
      <c r="A1015" s="103"/>
      <c r="B1015" s="104"/>
      <c r="C1015" s="105"/>
      <c r="D1015" s="106"/>
      <c r="E1015" s="105"/>
      <c r="F1015" s="107"/>
      <c r="G1015" s="105"/>
      <c r="H1015" s="108"/>
      <c r="I1015" s="109"/>
      <c r="J1015" s="110"/>
      <c r="K1015" s="109"/>
      <c r="L1015" s="109"/>
      <c r="M1015" s="109"/>
    </row>
    <row r="1016">
      <c r="A1016" s="103"/>
      <c r="B1016" s="104"/>
      <c r="C1016" s="105"/>
      <c r="D1016" s="106"/>
      <c r="E1016" s="105"/>
      <c r="F1016" s="107"/>
      <c r="G1016" s="105"/>
      <c r="H1016" s="108"/>
      <c r="I1016" s="109"/>
      <c r="J1016" s="110"/>
      <c r="K1016" s="109"/>
      <c r="L1016" s="109"/>
      <c r="M1016" s="109"/>
    </row>
    <row r="1017">
      <c r="A1017" s="103"/>
      <c r="B1017" s="104"/>
      <c r="C1017" s="105"/>
      <c r="D1017" s="106"/>
      <c r="E1017" s="105"/>
      <c r="F1017" s="107"/>
      <c r="G1017" s="105"/>
      <c r="H1017" s="108"/>
      <c r="I1017" s="109"/>
      <c r="J1017" s="110"/>
      <c r="K1017" s="109"/>
      <c r="L1017" s="109"/>
      <c r="M1017" s="109"/>
    </row>
    <row r="1018">
      <c r="A1018" s="103"/>
      <c r="B1018" s="104"/>
      <c r="C1018" s="105"/>
      <c r="D1018" s="106"/>
      <c r="E1018" s="105"/>
      <c r="F1018" s="107"/>
      <c r="G1018" s="105"/>
      <c r="H1018" s="108"/>
      <c r="I1018" s="109"/>
      <c r="J1018" s="110"/>
      <c r="K1018" s="109"/>
      <c r="L1018" s="109"/>
      <c r="M1018" s="109"/>
    </row>
    <row r="1019">
      <c r="A1019" s="103"/>
      <c r="B1019" s="104"/>
      <c r="C1019" s="105"/>
      <c r="D1019" s="106"/>
      <c r="E1019" s="105"/>
      <c r="F1019" s="107"/>
      <c r="G1019" s="105"/>
      <c r="H1019" s="108"/>
      <c r="I1019" s="109"/>
      <c r="J1019" s="110"/>
      <c r="K1019" s="109"/>
      <c r="L1019" s="109"/>
      <c r="M1019" s="109"/>
    </row>
    <row r="1020">
      <c r="A1020" s="103"/>
      <c r="B1020" s="104"/>
      <c r="C1020" s="105"/>
      <c r="D1020" s="106"/>
      <c r="E1020" s="105"/>
      <c r="F1020" s="107"/>
      <c r="G1020" s="105"/>
      <c r="H1020" s="108"/>
      <c r="I1020" s="109"/>
      <c r="J1020" s="110"/>
      <c r="K1020" s="109"/>
      <c r="L1020" s="109"/>
      <c r="M1020" s="109"/>
    </row>
    <row r="1021">
      <c r="A1021" s="103"/>
      <c r="B1021" s="104"/>
      <c r="C1021" s="105"/>
      <c r="D1021" s="106"/>
      <c r="E1021" s="105"/>
      <c r="F1021" s="107"/>
      <c r="G1021" s="105"/>
      <c r="H1021" s="108"/>
      <c r="I1021" s="109"/>
      <c r="J1021" s="110"/>
      <c r="K1021" s="109"/>
      <c r="L1021" s="109"/>
      <c r="M1021" s="109"/>
    </row>
    <row r="1022">
      <c r="A1022" s="103"/>
      <c r="B1022" s="104"/>
      <c r="C1022" s="105"/>
      <c r="D1022" s="106"/>
      <c r="E1022" s="105"/>
      <c r="F1022" s="107"/>
      <c r="G1022" s="105"/>
      <c r="H1022" s="108"/>
      <c r="I1022" s="109"/>
      <c r="J1022" s="110"/>
      <c r="K1022" s="109"/>
      <c r="L1022" s="109"/>
      <c r="M1022" s="109"/>
    </row>
    <row r="1023">
      <c r="A1023" s="103"/>
      <c r="B1023" s="104"/>
      <c r="C1023" s="105"/>
      <c r="D1023" s="106"/>
      <c r="E1023" s="105"/>
      <c r="F1023" s="107"/>
      <c r="G1023" s="105"/>
      <c r="H1023" s="108"/>
      <c r="I1023" s="109"/>
      <c r="J1023" s="110"/>
      <c r="K1023" s="109"/>
      <c r="L1023" s="109"/>
      <c r="M1023" s="109"/>
    </row>
    <row r="1024">
      <c r="A1024" s="103"/>
      <c r="B1024" s="104"/>
      <c r="C1024" s="105"/>
      <c r="D1024" s="106"/>
      <c r="E1024" s="105"/>
      <c r="F1024" s="107"/>
      <c r="G1024" s="105"/>
      <c r="H1024" s="108"/>
      <c r="I1024" s="109"/>
      <c r="J1024" s="110"/>
      <c r="K1024" s="109"/>
      <c r="L1024" s="109"/>
      <c r="M1024" s="109"/>
    </row>
    <row r="1025">
      <c r="A1025" s="103"/>
      <c r="B1025" s="104"/>
      <c r="C1025" s="105"/>
      <c r="D1025" s="106"/>
      <c r="E1025" s="105"/>
      <c r="F1025" s="107"/>
      <c r="G1025" s="105"/>
      <c r="H1025" s="108"/>
      <c r="I1025" s="109"/>
      <c r="J1025" s="110"/>
      <c r="K1025" s="109"/>
      <c r="L1025" s="109"/>
      <c r="M1025" s="109"/>
    </row>
    <row r="1026">
      <c r="A1026" s="103"/>
      <c r="B1026" s="104"/>
      <c r="C1026" s="105"/>
      <c r="D1026" s="106"/>
      <c r="E1026" s="105"/>
      <c r="F1026" s="107"/>
      <c r="G1026" s="105"/>
      <c r="H1026" s="108"/>
      <c r="I1026" s="109"/>
      <c r="J1026" s="110"/>
      <c r="K1026" s="109"/>
      <c r="L1026" s="109"/>
      <c r="M1026" s="109"/>
    </row>
    <row r="1027">
      <c r="A1027" s="103"/>
      <c r="B1027" s="104"/>
      <c r="C1027" s="105"/>
      <c r="D1027" s="106"/>
      <c r="E1027" s="105"/>
      <c r="F1027" s="107"/>
      <c r="G1027" s="105"/>
      <c r="H1027" s="108"/>
      <c r="I1027" s="109"/>
      <c r="J1027" s="110"/>
      <c r="K1027" s="109"/>
      <c r="L1027" s="109"/>
      <c r="M1027" s="109"/>
    </row>
    <row r="1028">
      <c r="A1028" s="103"/>
      <c r="B1028" s="104"/>
      <c r="C1028" s="105"/>
      <c r="D1028" s="106"/>
      <c r="E1028" s="105"/>
      <c r="F1028" s="107"/>
      <c r="G1028" s="105"/>
      <c r="H1028" s="108"/>
      <c r="I1028" s="109"/>
      <c r="J1028" s="110"/>
      <c r="K1028" s="109"/>
      <c r="L1028" s="109"/>
      <c r="M1028" s="109"/>
    </row>
    <row r="1029">
      <c r="A1029" s="103"/>
      <c r="B1029" s="104"/>
      <c r="C1029" s="105"/>
      <c r="D1029" s="106"/>
      <c r="E1029" s="105"/>
      <c r="F1029" s="107"/>
      <c r="G1029" s="105"/>
      <c r="H1029" s="108"/>
      <c r="I1029" s="109"/>
      <c r="J1029" s="110"/>
      <c r="K1029" s="109"/>
      <c r="L1029" s="109"/>
      <c r="M1029" s="109"/>
    </row>
    <row r="1030">
      <c r="A1030" s="103"/>
      <c r="B1030" s="104"/>
      <c r="C1030" s="105"/>
      <c r="D1030" s="106"/>
      <c r="E1030" s="105"/>
      <c r="F1030" s="107"/>
      <c r="G1030" s="105"/>
      <c r="H1030" s="108"/>
      <c r="I1030" s="109"/>
      <c r="J1030" s="110"/>
      <c r="K1030" s="109"/>
      <c r="L1030" s="109"/>
      <c r="M1030" s="109"/>
    </row>
    <row r="1031">
      <c r="A1031" s="103"/>
      <c r="B1031" s="104"/>
      <c r="C1031" s="105"/>
      <c r="D1031" s="106"/>
      <c r="E1031" s="105"/>
      <c r="F1031" s="107"/>
      <c r="G1031" s="105"/>
      <c r="H1031" s="108"/>
      <c r="I1031" s="109"/>
      <c r="J1031" s="110"/>
      <c r="K1031" s="109"/>
      <c r="L1031" s="109"/>
      <c r="M1031" s="109"/>
    </row>
    <row r="1032">
      <c r="A1032" s="103"/>
      <c r="B1032" s="104"/>
      <c r="C1032" s="105"/>
      <c r="D1032" s="106"/>
      <c r="E1032" s="105"/>
      <c r="F1032" s="107"/>
      <c r="G1032" s="105"/>
      <c r="H1032" s="108"/>
      <c r="I1032" s="109"/>
      <c r="J1032" s="110"/>
      <c r="K1032" s="109"/>
      <c r="L1032" s="109"/>
      <c r="M1032" s="109"/>
    </row>
    <row r="1033">
      <c r="A1033" s="103"/>
      <c r="B1033" s="104"/>
      <c r="C1033" s="105"/>
      <c r="D1033" s="106"/>
      <c r="E1033" s="105"/>
      <c r="F1033" s="107"/>
      <c r="G1033" s="105"/>
      <c r="H1033" s="108"/>
      <c r="I1033" s="109"/>
      <c r="J1033" s="110"/>
      <c r="K1033" s="109"/>
      <c r="L1033" s="109"/>
      <c r="M1033" s="109"/>
    </row>
    <row r="1034">
      <c r="A1034" s="103"/>
      <c r="B1034" s="104"/>
      <c r="C1034" s="105"/>
      <c r="D1034" s="106"/>
      <c r="E1034" s="105"/>
      <c r="F1034" s="107"/>
      <c r="G1034" s="105"/>
      <c r="H1034" s="108"/>
      <c r="I1034" s="109"/>
      <c r="J1034" s="110"/>
      <c r="K1034" s="109"/>
      <c r="L1034" s="109"/>
      <c r="M1034" s="109"/>
    </row>
    <row r="1035">
      <c r="A1035" s="103"/>
      <c r="B1035" s="104"/>
      <c r="C1035" s="105"/>
      <c r="D1035" s="106"/>
      <c r="E1035" s="105"/>
      <c r="F1035" s="107"/>
      <c r="G1035" s="105"/>
      <c r="H1035" s="108"/>
      <c r="I1035" s="109"/>
      <c r="J1035" s="110"/>
      <c r="K1035" s="109"/>
      <c r="L1035" s="109"/>
      <c r="M1035" s="109"/>
    </row>
    <row r="1036">
      <c r="A1036" s="103"/>
      <c r="B1036" s="104"/>
      <c r="C1036" s="105"/>
      <c r="D1036" s="106"/>
      <c r="E1036" s="105"/>
      <c r="F1036" s="107"/>
      <c r="G1036" s="105"/>
      <c r="H1036" s="108"/>
      <c r="I1036" s="109"/>
      <c r="J1036" s="110"/>
      <c r="K1036" s="109"/>
      <c r="L1036" s="109"/>
      <c r="M1036" s="109"/>
    </row>
    <row r="1037">
      <c r="A1037" s="103"/>
      <c r="B1037" s="104"/>
      <c r="C1037" s="105"/>
      <c r="D1037" s="106"/>
      <c r="E1037" s="105"/>
      <c r="F1037" s="107"/>
      <c r="G1037" s="105"/>
      <c r="H1037" s="108"/>
      <c r="I1037" s="109"/>
      <c r="J1037" s="110"/>
      <c r="K1037" s="109"/>
      <c r="L1037" s="109"/>
      <c r="M1037" s="109"/>
    </row>
    <row r="1038">
      <c r="A1038" s="103"/>
      <c r="B1038" s="104"/>
      <c r="C1038" s="105"/>
      <c r="D1038" s="106"/>
      <c r="E1038" s="105"/>
      <c r="F1038" s="107"/>
      <c r="G1038" s="105"/>
      <c r="H1038" s="108"/>
      <c r="I1038" s="109"/>
      <c r="J1038" s="110"/>
      <c r="K1038" s="109"/>
      <c r="L1038" s="109"/>
      <c r="M1038" s="109"/>
    </row>
    <row r="1039">
      <c r="A1039" s="103"/>
      <c r="B1039" s="104"/>
      <c r="C1039" s="105"/>
      <c r="D1039" s="106"/>
      <c r="E1039" s="105"/>
      <c r="F1039" s="107"/>
      <c r="G1039" s="105"/>
      <c r="H1039" s="108"/>
      <c r="I1039" s="109"/>
      <c r="J1039" s="110"/>
      <c r="K1039" s="109"/>
      <c r="L1039" s="109"/>
      <c r="M1039" s="109"/>
    </row>
    <row r="1040">
      <c r="A1040" s="103"/>
      <c r="B1040" s="104"/>
      <c r="C1040" s="105"/>
      <c r="D1040" s="106"/>
      <c r="E1040" s="105"/>
      <c r="F1040" s="107"/>
      <c r="G1040" s="105"/>
      <c r="H1040" s="108"/>
      <c r="I1040" s="109"/>
      <c r="J1040" s="110"/>
      <c r="K1040" s="109"/>
      <c r="L1040" s="109"/>
      <c r="M1040" s="109"/>
    </row>
    <row r="1041">
      <c r="A1041" s="103"/>
      <c r="B1041" s="104"/>
      <c r="C1041" s="105"/>
      <c r="D1041" s="106"/>
      <c r="E1041" s="105"/>
      <c r="F1041" s="107"/>
      <c r="G1041" s="105"/>
      <c r="H1041" s="108"/>
      <c r="I1041" s="109"/>
      <c r="J1041" s="110"/>
      <c r="K1041" s="109"/>
      <c r="L1041" s="109"/>
      <c r="M1041" s="109"/>
    </row>
    <row r="1042">
      <c r="A1042" s="103"/>
      <c r="B1042" s="104"/>
      <c r="C1042" s="105"/>
      <c r="D1042" s="106"/>
      <c r="E1042" s="105"/>
      <c r="F1042" s="107"/>
      <c r="G1042" s="105"/>
      <c r="H1042" s="108"/>
      <c r="I1042" s="109"/>
      <c r="J1042" s="110"/>
      <c r="K1042" s="109"/>
      <c r="L1042" s="109"/>
      <c r="M1042" s="109"/>
    </row>
    <row r="1043">
      <c r="A1043" s="103"/>
      <c r="B1043" s="104"/>
      <c r="C1043" s="105"/>
      <c r="D1043" s="106"/>
      <c r="E1043" s="105"/>
      <c r="F1043" s="107"/>
      <c r="G1043" s="105"/>
      <c r="H1043" s="108"/>
      <c r="I1043" s="109"/>
      <c r="J1043" s="110"/>
      <c r="K1043" s="109"/>
      <c r="L1043" s="109"/>
      <c r="M1043" s="109"/>
    </row>
    <row r="1044">
      <c r="A1044" s="103"/>
      <c r="B1044" s="104"/>
      <c r="C1044" s="105"/>
      <c r="D1044" s="106"/>
      <c r="E1044" s="105"/>
      <c r="F1044" s="107"/>
      <c r="G1044" s="105"/>
      <c r="H1044" s="108"/>
      <c r="I1044" s="109"/>
      <c r="J1044" s="110"/>
      <c r="K1044" s="109"/>
      <c r="L1044" s="109"/>
      <c r="M1044" s="109"/>
    </row>
    <row r="1045">
      <c r="A1045" s="103"/>
      <c r="B1045" s="104"/>
      <c r="C1045" s="105"/>
      <c r="D1045" s="106"/>
      <c r="E1045" s="105"/>
      <c r="F1045" s="107"/>
      <c r="G1045" s="105"/>
      <c r="H1045" s="108"/>
      <c r="I1045" s="109"/>
      <c r="J1045" s="110"/>
      <c r="K1045" s="109"/>
      <c r="L1045" s="109"/>
      <c r="M1045" s="109"/>
    </row>
    <row r="1046">
      <c r="A1046" s="103"/>
      <c r="B1046" s="104"/>
      <c r="C1046" s="105"/>
      <c r="D1046" s="106"/>
      <c r="E1046" s="105"/>
      <c r="F1046" s="107"/>
      <c r="G1046" s="105"/>
      <c r="H1046" s="108"/>
      <c r="I1046" s="109"/>
      <c r="J1046" s="110"/>
      <c r="K1046" s="109"/>
      <c r="L1046" s="109"/>
      <c r="M1046" s="109"/>
    </row>
    <row r="1047">
      <c r="A1047" s="103"/>
      <c r="B1047" s="104"/>
      <c r="C1047" s="105"/>
      <c r="D1047" s="106"/>
      <c r="E1047" s="105"/>
      <c r="F1047" s="107"/>
      <c r="G1047" s="105"/>
      <c r="H1047" s="108"/>
      <c r="I1047" s="109"/>
      <c r="J1047" s="110"/>
      <c r="K1047" s="109"/>
      <c r="L1047" s="109"/>
      <c r="M1047" s="109"/>
    </row>
    <row r="1048">
      <c r="A1048" s="103"/>
      <c r="B1048" s="104"/>
      <c r="C1048" s="105"/>
      <c r="D1048" s="106"/>
      <c r="E1048" s="105"/>
      <c r="F1048" s="107"/>
      <c r="G1048" s="105"/>
      <c r="H1048" s="108"/>
      <c r="I1048" s="109"/>
      <c r="J1048" s="110"/>
      <c r="K1048" s="109"/>
      <c r="L1048" s="109"/>
      <c r="M1048" s="109"/>
    </row>
    <row r="1049">
      <c r="A1049" s="103"/>
      <c r="B1049" s="104"/>
      <c r="C1049" s="105"/>
      <c r="D1049" s="106"/>
      <c r="E1049" s="105"/>
      <c r="F1049" s="107"/>
      <c r="G1049" s="105"/>
      <c r="H1049" s="108"/>
      <c r="I1049" s="109"/>
      <c r="J1049" s="110"/>
      <c r="K1049" s="109"/>
      <c r="L1049" s="109"/>
      <c r="M1049" s="109"/>
    </row>
    <row r="1050">
      <c r="A1050" s="103"/>
      <c r="B1050" s="104"/>
      <c r="C1050" s="105"/>
      <c r="D1050" s="106"/>
      <c r="E1050" s="105"/>
      <c r="F1050" s="107"/>
      <c r="G1050" s="105"/>
      <c r="H1050" s="108"/>
      <c r="I1050" s="109"/>
      <c r="J1050" s="110"/>
      <c r="K1050" s="109"/>
      <c r="L1050" s="109"/>
      <c r="M1050" s="109"/>
    </row>
    <row r="1051">
      <c r="A1051" s="103"/>
      <c r="B1051" s="104"/>
      <c r="C1051" s="105"/>
      <c r="D1051" s="106"/>
      <c r="E1051" s="105"/>
      <c r="F1051" s="107"/>
      <c r="G1051" s="105"/>
      <c r="H1051" s="108"/>
      <c r="I1051" s="109"/>
      <c r="J1051" s="110"/>
      <c r="K1051" s="109"/>
      <c r="L1051" s="109"/>
      <c r="M1051" s="109"/>
    </row>
    <row r="1052">
      <c r="A1052" s="103"/>
      <c r="B1052" s="104"/>
      <c r="C1052" s="105"/>
      <c r="D1052" s="106"/>
      <c r="E1052" s="105"/>
      <c r="F1052" s="107"/>
      <c r="G1052" s="105"/>
      <c r="H1052" s="108"/>
      <c r="I1052" s="109"/>
      <c r="J1052" s="110"/>
      <c r="K1052" s="109"/>
      <c r="L1052" s="109"/>
      <c r="M1052" s="109"/>
    </row>
    <row r="1053">
      <c r="A1053" s="103"/>
      <c r="B1053" s="104"/>
      <c r="C1053" s="105"/>
      <c r="D1053" s="106"/>
      <c r="E1053" s="105"/>
      <c r="F1053" s="107"/>
      <c r="G1053" s="105"/>
      <c r="H1053" s="108"/>
      <c r="I1053" s="109"/>
      <c r="J1053" s="110"/>
      <c r="K1053" s="109"/>
      <c r="L1053" s="109"/>
      <c r="M1053" s="109"/>
    </row>
    <row r="1054">
      <c r="A1054" s="103"/>
      <c r="B1054" s="104"/>
      <c r="C1054" s="105"/>
      <c r="D1054" s="106"/>
      <c r="E1054" s="105"/>
      <c r="F1054" s="107"/>
      <c r="G1054" s="105"/>
      <c r="H1054" s="108"/>
      <c r="I1054" s="109"/>
      <c r="J1054" s="110"/>
      <c r="K1054" s="109"/>
      <c r="L1054" s="109"/>
      <c r="M1054" s="109"/>
    </row>
  </sheetData>
  <autoFilter ref="$A$1:$R$1054"/>
  <conditionalFormatting sqref="D232:D233">
    <cfRule type="expression" dxfId="0" priority="1">
      <formula>countif(D:D,D:D)&gt;1</formula>
    </cfRule>
  </conditionalFormatting>
  <hyperlinks>
    <hyperlink r:id="rId2" ref="D216"/>
    <hyperlink r:id="rId3" ref="D219"/>
    <hyperlink r:id="rId4" ref="D220"/>
  </hyperlinks>
  <drawing r:id="rId5"/>
  <legacy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.63"/>
    <col customWidth="1" min="2" max="2" width="11.88"/>
    <col customWidth="1" min="3" max="3" width="29.75"/>
    <col customWidth="1" min="4" max="5" width="3.88"/>
    <col customWidth="1" min="6" max="6" width="9.75"/>
    <col customWidth="1" min="7" max="7" width="17.63"/>
    <col customWidth="1" min="8" max="8" width="11.5"/>
    <col customWidth="1" min="9" max="9" width="12.25"/>
    <col customWidth="1" min="10" max="11" width="3.88"/>
    <col customWidth="1" min="13" max="13" width="15.38"/>
    <col customWidth="1" min="15" max="15" width="14.5"/>
    <col customWidth="1" min="16" max="17" width="3.88"/>
    <col customWidth="1" min="19" max="19" width="14.38"/>
  </cols>
  <sheetData>
    <row r="1">
      <c r="A1" s="111"/>
      <c r="B1" s="112" t="s">
        <v>876</v>
      </c>
    </row>
    <row r="2">
      <c r="A2" s="113"/>
      <c r="B2" s="17" t="s">
        <v>27</v>
      </c>
      <c r="C2" s="114" t="s">
        <v>877</v>
      </c>
      <c r="F2" s="114" t="s">
        <v>878</v>
      </c>
      <c r="G2" s="114" t="s">
        <v>879</v>
      </c>
      <c r="L2" s="17" t="s">
        <v>41</v>
      </c>
      <c r="M2" s="114" t="s">
        <v>880</v>
      </c>
      <c r="R2" s="17" t="s">
        <v>142</v>
      </c>
      <c r="S2" s="114" t="s">
        <v>881</v>
      </c>
    </row>
    <row r="3">
      <c r="C3" s="115" t="s">
        <v>27</v>
      </c>
      <c r="G3" s="116" t="s">
        <v>257</v>
      </c>
      <c r="H3" s="115" t="s">
        <v>882</v>
      </c>
      <c r="I3" s="115" t="s">
        <v>35</v>
      </c>
      <c r="M3" s="117" t="s">
        <v>41</v>
      </c>
      <c r="N3" s="115" t="s">
        <v>47</v>
      </c>
      <c r="O3" s="115" t="s">
        <v>883</v>
      </c>
      <c r="S3" s="117" t="s">
        <v>142</v>
      </c>
    </row>
    <row r="4">
      <c r="C4" s="18" t="s">
        <v>884</v>
      </c>
      <c r="G4" s="18" t="s">
        <v>329</v>
      </c>
      <c r="H4" s="30" t="s">
        <v>436</v>
      </c>
      <c r="I4" s="18" t="s">
        <v>885</v>
      </c>
      <c r="M4" s="114" t="s">
        <v>692</v>
      </c>
      <c r="N4" s="114" t="s">
        <v>886</v>
      </c>
      <c r="O4" s="114" t="s">
        <v>247</v>
      </c>
      <c r="S4" s="114" t="s">
        <v>150</v>
      </c>
    </row>
    <row r="5">
      <c r="C5" s="114" t="s">
        <v>28</v>
      </c>
      <c r="H5" s="15" t="s">
        <v>82</v>
      </c>
      <c r="I5" s="18" t="s">
        <v>493</v>
      </c>
      <c r="M5" s="118"/>
      <c r="N5" s="114" t="s">
        <v>887</v>
      </c>
      <c r="O5" s="15" t="s">
        <v>42</v>
      </c>
      <c r="S5" s="114" t="s">
        <v>53</v>
      </c>
    </row>
    <row r="6">
      <c r="C6" s="114" t="s">
        <v>137</v>
      </c>
      <c r="H6" s="18" t="s">
        <v>888</v>
      </c>
      <c r="I6" s="18" t="s">
        <v>94</v>
      </c>
      <c r="S6" s="114" t="s">
        <v>137</v>
      </c>
    </row>
    <row r="7">
      <c r="C7" s="114" t="s">
        <v>53</v>
      </c>
      <c r="S7" s="114" t="s">
        <v>436</v>
      </c>
    </row>
    <row r="8">
      <c r="C8" s="114" t="s">
        <v>82</v>
      </c>
      <c r="S8" s="114" t="s">
        <v>82</v>
      </c>
    </row>
    <row r="10">
      <c r="A10" s="113"/>
      <c r="B10" s="17" t="s">
        <v>104</v>
      </c>
      <c r="C10" s="114" t="s">
        <v>889</v>
      </c>
      <c r="F10" s="17" t="s">
        <v>52</v>
      </c>
      <c r="G10" s="114" t="s">
        <v>890</v>
      </c>
      <c r="L10" s="27" t="s">
        <v>77</v>
      </c>
      <c r="M10" s="114" t="s">
        <v>891</v>
      </c>
      <c r="R10" s="17" t="s">
        <v>20</v>
      </c>
      <c r="S10" s="114" t="s">
        <v>892</v>
      </c>
    </row>
    <row r="11">
      <c r="C11" s="117" t="s">
        <v>104</v>
      </c>
      <c r="G11" s="117" t="s">
        <v>52</v>
      </c>
      <c r="M11" s="119" t="s">
        <v>77</v>
      </c>
      <c r="S11" s="117" t="s">
        <v>20</v>
      </c>
    </row>
    <row r="12">
      <c r="C12" s="18" t="s">
        <v>174</v>
      </c>
      <c r="G12" s="114" t="s">
        <v>150</v>
      </c>
      <c r="M12" s="114" t="s">
        <v>150</v>
      </c>
      <c r="S12" s="114" t="s">
        <v>150</v>
      </c>
    </row>
    <row r="13">
      <c r="C13" s="15" t="s">
        <v>354</v>
      </c>
      <c r="G13" s="114" t="s">
        <v>53</v>
      </c>
      <c r="M13" s="114" t="s">
        <v>53</v>
      </c>
      <c r="S13" s="114" t="s">
        <v>53</v>
      </c>
    </row>
    <row r="14">
      <c r="C14" s="18" t="s">
        <v>252</v>
      </c>
      <c r="G14" s="114" t="s">
        <v>137</v>
      </c>
      <c r="M14" s="114" t="s">
        <v>137</v>
      </c>
      <c r="S14" s="114" t="s">
        <v>137</v>
      </c>
    </row>
    <row r="15">
      <c r="C15" s="15" t="s">
        <v>452</v>
      </c>
      <c r="G15" s="114" t="s">
        <v>436</v>
      </c>
      <c r="M15" s="114" t="s">
        <v>436</v>
      </c>
      <c r="S15" s="114" t="s">
        <v>82</v>
      </c>
    </row>
    <row r="16">
      <c r="C16" s="114" t="s">
        <v>893</v>
      </c>
      <c r="G16" s="114" t="s">
        <v>82</v>
      </c>
      <c r="M16" s="114" t="s">
        <v>82</v>
      </c>
    </row>
    <row r="18">
      <c r="A18" s="120"/>
      <c r="B18" s="33" t="s">
        <v>295</v>
      </c>
      <c r="C18" s="114" t="s">
        <v>894</v>
      </c>
      <c r="F18" s="17" t="s">
        <v>67</v>
      </c>
      <c r="G18" s="114" t="s">
        <v>895</v>
      </c>
      <c r="L18" s="17" t="s">
        <v>62</v>
      </c>
      <c r="M18" s="114" t="s">
        <v>896</v>
      </c>
      <c r="R18" s="17" t="s">
        <v>378</v>
      </c>
      <c r="S18" s="114" t="s">
        <v>897</v>
      </c>
    </row>
    <row r="19">
      <c r="C19" s="116" t="s">
        <v>295</v>
      </c>
      <c r="G19" s="117" t="s">
        <v>67</v>
      </c>
      <c r="H19" s="115" t="s">
        <v>68</v>
      </c>
      <c r="I19" s="115" t="s">
        <v>180</v>
      </c>
      <c r="M19" s="117" t="s">
        <v>62</v>
      </c>
      <c r="S19" s="117" t="s">
        <v>378</v>
      </c>
    </row>
    <row r="20">
      <c r="C20" s="114" t="s">
        <v>898</v>
      </c>
      <c r="G20" s="17" t="s">
        <v>899</v>
      </c>
      <c r="H20" s="114" t="s">
        <v>900</v>
      </c>
      <c r="I20" s="114" t="s">
        <v>179</v>
      </c>
      <c r="M20" s="114" t="s">
        <v>901</v>
      </c>
      <c r="S20" s="29" t="s">
        <v>628</v>
      </c>
    </row>
    <row r="21">
      <c r="C21" s="114" t="s">
        <v>514</v>
      </c>
      <c r="H21" s="114" t="s">
        <v>146</v>
      </c>
      <c r="I21" s="114" t="s">
        <v>902</v>
      </c>
      <c r="M21" s="114" t="s">
        <v>174</v>
      </c>
      <c r="S21" s="15" t="s">
        <v>414</v>
      </c>
    </row>
    <row r="22">
      <c r="C22" s="114" t="s">
        <v>296</v>
      </c>
      <c r="M22" s="114" t="s">
        <v>485</v>
      </c>
    </row>
    <row r="23">
      <c r="C23" s="114" t="s">
        <v>707</v>
      </c>
    </row>
    <row r="25">
      <c r="A25" s="46"/>
      <c r="B25" s="114" t="s">
        <v>671</v>
      </c>
      <c r="C25" s="114" t="s">
        <v>903</v>
      </c>
      <c r="F25" s="114" t="s">
        <v>202</v>
      </c>
      <c r="G25" s="118"/>
      <c r="L25" s="27" t="s">
        <v>904</v>
      </c>
      <c r="M25" s="118"/>
    </row>
    <row r="26">
      <c r="C26" s="115" t="s">
        <v>671</v>
      </c>
      <c r="G26" s="115" t="s">
        <v>202</v>
      </c>
      <c r="M26" s="119" t="s">
        <v>904</v>
      </c>
    </row>
    <row r="27">
      <c r="C27" s="15" t="s">
        <v>745</v>
      </c>
      <c r="G27" s="114" t="s">
        <v>825</v>
      </c>
      <c r="M27" s="15" t="s">
        <v>192</v>
      </c>
    </row>
    <row r="28">
      <c r="G28" s="114" t="s">
        <v>203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7" max="7" width="21.0"/>
    <col customWidth="1" min="8" max="8" width="28.75"/>
    <col customWidth="1" min="9" max="9" width="43.38"/>
    <col customWidth="1" min="10" max="58" width="38.25"/>
  </cols>
  <sheetData>
    <row r="1">
      <c r="A1" s="121" t="s">
        <v>905</v>
      </c>
      <c r="B1" s="121" t="s">
        <v>906</v>
      </c>
      <c r="C1" s="122" t="s">
        <v>907</v>
      </c>
      <c r="D1" s="121" t="s">
        <v>908</v>
      </c>
      <c r="E1" s="121" t="s">
        <v>909</v>
      </c>
      <c r="F1" s="121" t="s">
        <v>5</v>
      </c>
      <c r="G1" s="123" t="s">
        <v>910</v>
      </c>
      <c r="H1" s="124" t="s">
        <v>3</v>
      </c>
      <c r="I1" s="121" t="s">
        <v>911</v>
      </c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  <c r="AG1" s="125"/>
      <c r="AH1" s="125"/>
      <c r="AI1" s="125"/>
      <c r="AJ1" s="125"/>
      <c r="AK1" s="125"/>
      <c r="AL1" s="125"/>
      <c r="AM1" s="125"/>
      <c r="AN1" s="125"/>
      <c r="AO1" s="125"/>
      <c r="AP1" s="125"/>
      <c r="AQ1" s="125"/>
      <c r="AR1" s="125"/>
      <c r="AS1" s="125"/>
      <c r="AT1" s="125"/>
      <c r="AU1" s="125"/>
      <c r="AV1" s="125"/>
      <c r="AW1" s="125"/>
      <c r="AX1" s="125"/>
      <c r="AY1" s="125"/>
      <c r="AZ1" s="125"/>
      <c r="BA1" s="125"/>
      <c r="BB1" s="125"/>
      <c r="BC1" s="125"/>
      <c r="BD1" s="125"/>
      <c r="BE1" s="125"/>
      <c r="BF1" s="125"/>
    </row>
    <row r="2">
      <c r="A2" s="126" t="s">
        <v>912</v>
      </c>
      <c r="B2" s="126" t="s">
        <v>913</v>
      </c>
      <c r="C2" s="127" t="s">
        <v>914</v>
      </c>
      <c r="D2" s="126" t="s">
        <v>915</v>
      </c>
      <c r="E2" s="128">
        <v>40931.0</v>
      </c>
      <c r="F2" s="126" t="s">
        <v>671</v>
      </c>
      <c r="G2" s="129" t="s">
        <v>916</v>
      </c>
      <c r="H2" s="129"/>
      <c r="I2" s="130" t="s">
        <v>917</v>
      </c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  <c r="AD2" s="125"/>
      <c r="AE2" s="125"/>
      <c r="AF2" s="125"/>
      <c r="AG2" s="125"/>
      <c r="AH2" s="125"/>
      <c r="AI2" s="125"/>
      <c r="AJ2" s="125"/>
      <c r="AK2" s="125"/>
      <c r="AL2" s="125"/>
      <c r="AM2" s="125"/>
      <c r="AN2" s="125"/>
      <c r="AO2" s="125"/>
      <c r="AP2" s="125"/>
      <c r="AQ2" s="125"/>
      <c r="AR2" s="125"/>
      <c r="AS2" s="125"/>
      <c r="AT2" s="125"/>
      <c r="AU2" s="125"/>
      <c r="AV2" s="125"/>
      <c r="AW2" s="125"/>
      <c r="AX2" s="125"/>
      <c r="AY2" s="125"/>
      <c r="AZ2" s="125"/>
      <c r="BA2" s="125"/>
      <c r="BB2" s="125"/>
      <c r="BC2" s="125"/>
      <c r="BD2" s="125"/>
      <c r="BE2" s="125"/>
      <c r="BF2" s="125"/>
    </row>
    <row r="3">
      <c r="A3" s="126" t="s">
        <v>912</v>
      </c>
      <c r="B3" s="126" t="s">
        <v>913</v>
      </c>
      <c r="C3" s="127" t="s">
        <v>918</v>
      </c>
      <c r="D3" s="126" t="s">
        <v>919</v>
      </c>
      <c r="E3" s="128">
        <v>40931.0</v>
      </c>
      <c r="F3" s="126" t="s">
        <v>841</v>
      </c>
      <c r="G3" s="129" t="s">
        <v>842</v>
      </c>
      <c r="H3" s="131" t="s">
        <v>843</v>
      </c>
      <c r="I3" s="132"/>
      <c r="J3" s="125" t="str">
        <f t="array" ref="J3">IFERROR(INDEX(All_User_backup!D:D,MATCH(D3,All_User_backup!H:H,0)),"없음")</f>
        <v>jpcustoms.skl@stryker.com</v>
      </c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  <c r="AD3" s="125"/>
      <c r="AE3" s="125"/>
      <c r="AF3" s="125"/>
      <c r="AG3" s="125"/>
      <c r="AH3" s="125"/>
      <c r="AI3" s="125"/>
      <c r="AJ3" s="125"/>
      <c r="AK3" s="125"/>
      <c r="AL3" s="125"/>
      <c r="AM3" s="125"/>
      <c r="AN3" s="125"/>
      <c r="AO3" s="125"/>
      <c r="AP3" s="125"/>
      <c r="AQ3" s="125"/>
      <c r="AR3" s="125"/>
      <c r="AS3" s="125"/>
      <c r="AT3" s="125"/>
      <c r="AU3" s="125"/>
      <c r="AV3" s="125"/>
      <c r="AW3" s="125"/>
      <c r="AX3" s="125"/>
      <c r="AY3" s="125"/>
      <c r="AZ3" s="125"/>
      <c r="BA3" s="125"/>
      <c r="BB3" s="125"/>
      <c r="BC3" s="125"/>
      <c r="BD3" s="125"/>
      <c r="BE3" s="125"/>
      <c r="BF3" s="125"/>
    </row>
    <row r="4">
      <c r="A4" s="126" t="s">
        <v>912</v>
      </c>
      <c r="B4" s="126" t="s">
        <v>913</v>
      </c>
      <c r="C4" s="127" t="s">
        <v>920</v>
      </c>
      <c r="D4" s="126" t="s">
        <v>921</v>
      </c>
      <c r="E4" s="128">
        <v>40931.0</v>
      </c>
      <c r="F4" s="126" t="s">
        <v>52</v>
      </c>
      <c r="G4" s="131" t="s">
        <v>213</v>
      </c>
      <c r="H4" s="131" t="s">
        <v>215</v>
      </c>
      <c r="I4" s="133"/>
      <c r="J4" s="125" t="str">
        <f t="array" ref="J4">IFERROR(INDEX(All_User_backup!D:D,MATCH(D4,All_User_backup!H:H,0)),"없음")</f>
        <v>theo.hwang@stryker.com</v>
      </c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  <c r="AD4" s="125"/>
      <c r="AE4" s="125"/>
      <c r="AF4" s="125"/>
      <c r="AG4" s="125"/>
      <c r="AH4" s="125"/>
      <c r="AI4" s="125"/>
      <c r="AJ4" s="125"/>
      <c r="AK4" s="125"/>
      <c r="AL4" s="125"/>
      <c r="AM4" s="125"/>
      <c r="AN4" s="125"/>
      <c r="AO4" s="125"/>
      <c r="AP4" s="125"/>
      <c r="AQ4" s="125"/>
      <c r="AR4" s="125"/>
      <c r="AS4" s="125"/>
      <c r="AT4" s="125"/>
      <c r="AU4" s="125"/>
      <c r="AV4" s="125"/>
      <c r="AW4" s="125"/>
      <c r="AX4" s="125"/>
      <c r="AY4" s="125"/>
      <c r="AZ4" s="125"/>
      <c r="BA4" s="125"/>
      <c r="BB4" s="125"/>
      <c r="BC4" s="125"/>
      <c r="BD4" s="125"/>
      <c r="BE4" s="125"/>
      <c r="BF4" s="125"/>
    </row>
    <row r="5">
      <c r="A5" s="126" t="s">
        <v>912</v>
      </c>
      <c r="B5" s="126" t="s">
        <v>913</v>
      </c>
      <c r="C5" s="127" t="s">
        <v>922</v>
      </c>
      <c r="D5" s="126" t="s">
        <v>923</v>
      </c>
      <c r="E5" s="128">
        <v>40931.0</v>
      </c>
      <c r="F5" s="126" t="s">
        <v>671</v>
      </c>
      <c r="G5" s="131" t="s">
        <v>743</v>
      </c>
      <c r="H5" s="131" t="s">
        <v>744</v>
      </c>
      <c r="I5" s="134"/>
      <c r="J5" s="125" t="str">
        <f t="array" ref="J5">IFERROR(INDEX(All_User_backup!D:D,MATCH(D5,All_User_backup!H:H,0)),"없음")</f>
        <v>kale.lee@stryker.com</v>
      </c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  <c r="AD5" s="125"/>
      <c r="AE5" s="125"/>
      <c r="AF5" s="125"/>
      <c r="AG5" s="125"/>
      <c r="AH5" s="125"/>
      <c r="AI5" s="125"/>
      <c r="AJ5" s="125"/>
      <c r="AK5" s="125"/>
      <c r="AL5" s="125"/>
      <c r="AM5" s="125"/>
      <c r="AN5" s="125"/>
      <c r="AO5" s="125"/>
      <c r="AP5" s="125"/>
      <c r="AQ5" s="125"/>
      <c r="AR5" s="125"/>
      <c r="AS5" s="125"/>
      <c r="AT5" s="125"/>
      <c r="AU5" s="125"/>
      <c r="AV5" s="125"/>
      <c r="AW5" s="125"/>
      <c r="AX5" s="125"/>
      <c r="AY5" s="125"/>
      <c r="AZ5" s="125"/>
      <c r="BA5" s="125"/>
      <c r="BB5" s="125"/>
      <c r="BC5" s="125"/>
      <c r="BD5" s="125"/>
      <c r="BE5" s="125"/>
      <c r="BF5" s="125"/>
    </row>
    <row r="6">
      <c r="A6" s="126" t="s">
        <v>912</v>
      </c>
      <c r="B6" s="126" t="s">
        <v>913</v>
      </c>
      <c r="C6" s="127" t="s">
        <v>924</v>
      </c>
      <c r="D6" s="126" t="s">
        <v>925</v>
      </c>
      <c r="E6" s="128">
        <v>40931.0</v>
      </c>
      <c r="F6" s="126" t="s">
        <v>20</v>
      </c>
      <c r="G6" s="131" t="s">
        <v>48</v>
      </c>
      <c r="H6" s="131" t="s">
        <v>50</v>
      </c>
      <c r="I6" s="134"/>
      <c r="J6" s="125" t="str">
        <f t="array" ref="J6">IFERROR(INDEX(All_User_backup!D:D,MATCH(D6,All_User_backup!H:H,0)),"없음")</f>
        <v>sophie.bae@stryker.com</v>
      </c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  <c r="AD6" s="125"/>
      <c r="AE6" s="125"/>
      <c r="AF6" s="125"/>
      <c r="AG6" s="125"/>
      <c r="AH6" s="125"/>
      <c r="AI6" s="125"/>
      <c r="AJ6" s="125"/>
      <c r="AK6" s="125"/>
      <c r="AL6" s="125"/>
      <c r="AM6" s="125"/>
      <c r="AN6" s="125"/>
      <c r="AO6" s="125"/>
      <c r="AP6" s="125"/>
      <c r="AQ6" s="125"/>
      <c r="AR6" s="125"/>
      <c r="AS6" s="125"/>
      <c r="AT6" s="125"/>
      <c r="AU6" s="125"/>
      <c r="AV6" s="125"/>
      <c r="AW6" s="125"/>
      <c r="AX6" s="125"/>
      <c r="AY6" s="125"/>
      <c r="AZ6" s="125"/>
      <c r="BA6" s="125"/>
      <c r="BB6" s="125"/>
      <c r="BC6" s="125"/>
      <c r="BD6" s="125"/>
      <c r="BE6" s="125"/>
      <c r="BF6" s="125"/>
    </row>
    <row r="7">
      <c r="A7" s="126" t="s">
        <v>912</v>
      </c>
      <c r="B7" s="126" t="s">
        <v>913</v>
      </c>
      <c r="C7" s="127" t="s">
        <v>926</v>
      </c>
      <c r="D7" s="126" t="s">
        <v>927</v>
      </c>
      <c r="E7" s="128">
        <v>40931.0</v>
      </c>
      <c r="F7" s="126" t="s">
        <v>27</v>
      </c>
      <c r="G7" s="131" t="s">
        <v>461</v>
      </c>
      <c r="H7" s="131" t="s">
        <v>463</v>
      </c>
      <c r="I7" s="134"/>
      <c r="J7" s="125" t="str">
        <f t="array" ref="J7">IFERROR(INDEX(All_User_backup!D:D,MATCH(D7,All_User_backup!H:H,0)),"없음")</f>
        <v>nathan.lee@stryker.com</v>
      </c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  <c r="AD7" s="125"/>
      <c r="AE7" s="125"/>
      <c r="AF7" s="125"/>
      <c r="AG7" s="125"/>
      <c r="AH7" s="125"/>
      <c r="AI7" s="125"/>
      <c r="AJ7" s="125"/>
      <c r="AK7" s="125"/>
      <c r="AL7" s="125"/>
      <c r="AM7" s="125"/>
      <c r="AN7" s="125"/>
      <c r="AO7" s="125"/>
      <c r="AP7" s="125"/>
      <c r="AQ7" s="125"/>
      <c r="AR7" s="125"/>
      <c r="AS7" s="125"/>
      <c r="AT7" s="125"/>
      <c r="AU7" s="125"/>
      <c r="AV7" s="125"/>
      <c r="AW7" s="125"/>
      <c r="AX7" s="125"/>
      <c r="AY7" s="125"/>
      <c r="AZ7" s="125"/>
      <c r="BA7" s="125"/>
      <c r="BB7" s="125"/>
      <c r="BC7" s="125"/>
      <c r="BD7" s="125"/>
      <c r="BE7" s="125"/>
      <c r="BF7" s="125"/>
    </row>
    <row r="8">
      <c r="A8" s="126" t="s">
        <v>912</v>
      </c>
      <c r="B8" s="126" t="s">
        <v>913</v>
      </c>
      <c r="C8" s="127" t="s">
        <v>928</v>
      </c>
      <c r="D8" s="126" t="s">
        <v>929</v>
      </c>
      <c r="E8" s="128">
        <v>40931.0</v>
      </c>
      <c r="F8" s="126" t="s">
        <v>671</v>
      </c>
      <c r="G8" s="129" t="s">
        <v>916</v>
      </c>
      <c r="H8" s="131"/>
      <c r="I8" s="131" t="s">
        <v>930</v>
      </c>
      <c r="J8" s="125" t="str">
        <f t="array" ref="J8">IFERROR(INDEX(All_User_backup!D:D,MATCH(D8,All_User_backup!H:H,0)),"없음")</f>
        <v>없음</v>
      </c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  <c r="AD8" s="125"/>
      <c r="AE8" s="125"/>
      <c r="AF8" s="125"/>
      <c r="AG8" s="125"/>
      <c r="AH8" s="125"/>
      <c r="AI8" s="125"/>
      <c r="AJ8" s="125"/>
      <c r="AK8" s="125"/>
      <c r="AL8" s="125"/>
      <c r="AM8" s="125"/>
      <c r="AN8" s="125"/>
      <c r="AO8" s="125"/>
      <c r="AP8" s="125"/>
      <c r="AQ8" s="125"/>
      <c r="AR8" s="125"/>
      <c r="AS8" s="125"/>
      <c r="AT8" s="125"/>
      <c r="AU8" s="125"/>
      <c r="AV8" s="125"/>
      <c r="AW8" s="125"/>
      <c r="AX8" s="125"/>
      <c r="AY8" s="125"/>
      <c r="AZ8" s="125"/>
      <c r="BA8" s="125"/>
      <c r="BB8" s="125"/>
      <c r="BC8" s="125"/>
      <c r="BD8" s="125"/>
      <c r="BE8" s="125"/>
      <c r="BF8" s="125"/>
    </row>
    <row r="9">
      <c r="A9" s="126" t="s">
        <v>912</v>
      </c>
      <c r="B9" s="126" t="s">
        <v>913</v>
      </c>
      <c r="C9" s="135" t="s">
        <v>931</v>
      </c>
      <c r="D9" s="126" t="s">
        <v>932</v>
      </c>
      <c r="E9" s="128">
        <v>40931.0</v>
      </c>
      <c r="F9" s="126" t="s">
        <v>104</v>
      </c>
      <c r="G9" s="131" t="s">
        <v>572</v>
      </c>
      <c r="H9" s="131" t="s">
        <v>574</v>
      </c>
      <c r="I9" s="134"/>
      <c r="J9" s="125" t="str">
        <f t="array" ref="J9">IFERROR(INDEX(All_User_backup!D:D,MATCH(D9,All_User_backup!H:H,0)),"없음")</f>
        <v>freddy.park@stryker.com</v>
      </c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  <c r="AD9" s="125"/>
      <c r="AE9" s="125"/>
      <c r="AF9" s="125"/>
      <c r="AG9" s="125"/>
      <c r="AH9" s="125"/>
      <c r="AI9" s="125"/>
      <c r="AJ9" s="125"/>
      <c r="AK9" s="125"/>
      <c r="AL9" s="125"/>
      <c r="AM9" s="125"/>
      <c r="AN9" s="125"/>
      <c r="AO9" s="125"/>
      <c r="AP9" s="125"/>
      <c r="AQ9" s="125"/>
      <c r="AR9" s="125"/>
      <c r="AS9" s="125"/>
      <c r="AT9" s="125"/>
      <c r="AU9" s="125"/>
      <c r="AV9" s="125"/>
      <c r="AW9" s="125"/>
      <c r="AX9" s="125"/>
      <c r="AY9" s="125"/>
      <c r="AZ9" s="125"/>
      <c r="BA9" s="125"/>
      <c r="BB9" s="125"/>
      <c r="BC9" s="125"/>
      <c r="BD9" s="125"/>
      <c r="BE9" s="125"/>
      <c r="BF9" s="125"/>
    </row>
    <row r="10">
      <c r="A10" s="126" t="s">
        <v>912</v>
      </c>
      <c r="B10" s="126" t="s">
        <v>913</v>
      </c>
      <c r="C10" s="127" t="s">
        <v>933</v>
      </c>
      <c r="D10" s="126" t="s">
        <v>934</v>
      </c>
      <c r="E10" s="128">
        <v>40931.0</v>
      </c>
      <c r="F10" s="126" t="s">
        <v>27</v>
      </c>
      <c r="G10" s="131" t="s">
        <v>935</v>
      </c>
      <c r="H10" s="131" t="s">
        <v>568</v>
      </c>
      <c r="I10" s="134"/>
      <c r="J10" s="125" t="str">
        <f t="array" ref="J10">IFERROR(INDEX(All_User_backup!D:D,MATCH(D10,All_User_backup!H:H,0)),"없음")</f>
        <v>jackson.park@stryker.com</v>
      </c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  <c r="AD10" s="125"/>
      <c r="AE10" s="125"/>
      <c r="AF10" s="125"/>
      <c r="AG10" s="125"/>
      <c r="AH10" s="125"/>
      <c r="AI10" s="125"/>
      <c r="AJ10" s="125"/>
      <c r="AK10" s="125"/>
      <c r="AL10" s="125"/>
      <c r="AM10" s="125"/>
      <c r="AN10" s="125"/>
      <c r="AO10" s="125"/>
      <c r="AP10" s="125"/>
      <c r="AQ10" s="125"/>
      <c r="AR10" s="125"/>
      <c r="AS10" s="125"/>
      <c r="AT10" s="125"/>
      <c r="AU10" s="125"/>
      <c r="AV10" s="125"/>
      <c r="AW10" s="125"/>
      <c r="AX10" s="125"/>
      <c r="AY10" s="125"/>
      <c r="AZ10" s="125"/>
      <c r="BA10" s="125"/>
      <c r="BB10" s="125"/>
      <c r="BC10" s="125"/>
      <c r="BD10" s="125"/>
      <c r="BE10" s="125"/>
      <c r="BF10" s="125"/>
    </row>
    <row r="11">
      <c r="A11" s="126" t="s">
        <v>912</v>
      </c>
      <c r="B11" s="126" t="s">
        <v>913</v>
      </c>
      <c r="C11" s="127" t="s">
        <v>936</v>
      </c>
      <c r="D11" s="126" t="s">
        <v>937</v>
      </c>
      <c r="E11" s="128">
        <v>40931.0</v>
      </c>
      <c r="F11" s="131" t="s">
        <v>27</v>
      </c>
      <c r="G11" s="129" t="s">
        <v>86</v>
      </c>
      <c r="H11" s="129" t="s">
        <v>88</v>
      </c>
      <c r="I11" s="134"/>
      <c r="J11" s="125" t="str">
        <f t="array" ref="J11">IFERROR(INDEX(All_User_backup!D:D,MATCH(D11,All_User_backup!H:H,0)),"없음")</f>
        <v>Bruce.Cha@stryker.com</v>
      </c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  <c r="AD11" s="125"/>
      <c r="AE11" s="125"/>
      <c r="AF11" s="125"/>
      <c r="AG11" s="125"/>
      <c r="AH11" s="125"/>
      <c r="AI11" s="125"/>
      <c r="AJ11" s="125"/>
      <c r="AK11" s="125"/>
      <c r="AL11" s="125"/>
      <c r="AM11" s="125"/>
      <c r="AN11" s="125"/>
      <c r="AO11" s="125"/>
      <c r="AP11" s="125"/>
      <c r="AQ11" s="125"/>
      <c r="AR11" s="125"/>
      <c r="AS11" s="125"/>
      <c r="AT11" s="125"/>
      <c r="AU11" s="125"/>
      <c r="AV11" s="125"/>
      <c r="AW11" s="125"/>
      <c r="AX11" s="125"/>
      <c r="AY11" s="125"/>
      <c r="AZ11" s="125"/>
      <c r="BA11" s="125"/>
      <c r="BB11" s="125"/>
      <c r="BC11" s="125"/>
      <c r="BD11" s="125"/>
      <c r="BE11" s="125"/>
      <c r="BF11" s="125"/>
    </row>
    <row r="12">
      <c r="A12" s="126" t="s">
        <v>912</v>
      </c>
      <c r="B12" s="126" t="s">
        <v>913</v>
      </c>
      <c r="C12" s="127" t="s">
        <v>938</v>
      </c>
      <c r="D12" s="126" t="s">
        <v>939</v>
      </c>
      <c r="E12" s="128">
        <v>40931.0</v>
      </c>
      <c r="F12" s="126" t="s">
        <v>940</v>
      </c>
      <c r="G12" s="131" t="s">
        <v>453</v>
      </c>
      <c r="H12" s="131" t="s">
        <v>455</v>
      </c>
      <c r="I12" s="134"/>
      <c r="J12" s="125" t="str">
        <f t="array" ref="J12">IFERROR(INDEX(All_User_backup!D:D,MATCH(D12,All_User_backup!H:H,0)),"없음")</f>
        <v>chloe.lee@stryker.com</v>
      </c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  <c r="AD12" s="125"/>
      <c r="AE12" s="125"/>
      <c r="AF12" s="125"/>
      <c r="AG12" s="125"/>
      <c r="AH12" s="125"/>
      <c r="AI12" s="125"/>
      <c r="AJ12" s="125"/>
      <c r="AK12" s="125"/>
      <c r="AL12" s="125"/>
      <c r="AM12" s="125"/>
      <c r="AN12" s="125"/>
      <c r="AO12" s="125"/>
      <c r="AP12" s="125"/>
      <c r="AQ12" s="125"/>
      <c r="AR12" s="125"/>
      <c r="AS12" s="125"/>
      <c r="AT12" s="125"/>
      <c r="AU12" s="125"/>
      <c r="AV12" s="125"/>
      <c r="AW12" s="125"/>
      <c r="AX12" s="125"/>
      <c r="AY12" s="125"/>
      <c r="AZ12" s="125"/>
      <c r="BA12" s="125"/>
      <c r="BB12" s="125"/>
      <c r="BC12" s="125"/>
      <c r="BD12" s="125"/>
      <c r="BE12" s="125"/>
      <c r="BF12" s="125"/>
    </row>
    <row r="13">
      <c r="A13" s="126" t="s">
        <v>912</v>
      </c>
      <c r="B13" s="126" t="s">
        <v>913</v>
      </c>
      <c r="C13" s="127" t="s">
        <v>941</v>
      </c>
      <c r="D13" s="126" t="s">
        <v>942</v>
      </c>
      <c r="E13" s="128">
        <v>40931.0</v>
      </c>
      <c r="F13" s="126" t="s">
        <v>104</v>
      </c>
      <c r="G13" s="131" t="s">
        <v>943</v>
      </c>
      <c r="H13" s="131" t="s">
        <v>722</v>
      </c>
      <c r="I13" s="134"/>
      <c r="J13" s="125" t="str">
        <f t="array" ref="J13">IFERROR(INDEX(All_User_backup!D:D,MATCH(D13,All_User_backup!H:H,0)),"없음")</f>
        <v>jenna.yoo@stryker.com</v>
      </c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  <c r="AD13" s="125"/>
      <c r="AE13" s="125"/>
      <c r="AF13" s="125"/>
      <c r="AG13" s="125"/>
      <c r="AH13" s="125"/>
      <c r="AI13" s="125"/>
      <c r="AJ13" s="125"/>
      <c r="AK13" s="125"/>
      <c r="AL13" s="125"/>
      <c r="AM13" s="125"/>
      <c r="AN13" s="125"/>
      <c r="AO13" s="125"/>
      <c r="AP13" s="125"/>
      <c r="AQ13" s="125"/>
      <c r="AR13" s="125"/>
      <c r="AS13" s="125"/>
      <c r="AT13" s="125"/>
      <c r="AU13" s="125"/>
      <c r="AV13" s="125"/>
      <c r="AW13" s="125"/>
      <c r="AX13" s="125"/>
      <c r="AY13" s="125"/>
      <c r="AZ13" s="125"/>
      <c r="BA13" s="125"/>
      <c r="BB13" s="125"/>
      <c r="BC13" s="125"/>
      <c r="BD13" s="125"/>
      <c r="BE13" s="125"/>
      <c r="BF13" s="125"/>
    </row>
    <row r="14">
      <c r="A14" s="126" t="s">
        <v>912</v>
      </c>
      <c r="B14" s="136" t="s">
        <v>913</v>
      </c>
      <c r="C14" s="137" t="s">
        <v>944</v>
      </c>
      <c r="D14" s="126" t="s">
        <v>945</v>
      </c>
      <c r="E14" s="138">
        <v>40931.0</v>
      </c>
      <c r="F14" s="129" t="s">
        <v>27</v>
      </c>
      <c r="G14" s="129" t="s">
        <v>946</v>
      </c>
      <c r="H14" s="139" t="s">
        <v>947</v>
      </c>
      <c r="I14" s="140"/>
      <c r="J14" s="125" t="str">
        <f t="array" ref="J14">IFERROR(INDEX(All_User_backup!D:D,MATCH(D14,All_User_backup!H:H,0)),"없음")</f>
        <v>david.oh@stryker.com</v>
      </c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  <c r="AD14" s="125"/>
      <c r="AE14" s="125"/>
      <c r="AF14" s="125"/>
      <c r="AG14" s="125"/>
      <c r="AH14" s="125"/>
      <c r="AI14" s="125"/>
      <c r="AJ14" s="125"/>
      <c r="AK14" s="125"/>
      <c r="AL14" s="125"/>
      <c r="AM14" s="125"/>
      <c r="AN14" s="125"/>
      <c r="AO14" s="125"/>
      <c r="AP14" s="125"/>
      <c r="AQ14" s="125"/>
      <c r="AR14" s="125"/>
      <c r="AS14" s="125"/>
      <c r="AT14" s="125"/>
      <c r="AU14" s="125"/>
      <c r="AV14" s="125"/>
      <c r="AW14" s="125"/>
      <c r="AX14" s="125"/>
      <c r="AY14" s="125"/>
      <c r="AZ14" s="125"/>
      <c r="BA14" s="125"/>
      <c r="BB14" s="125"/>
      <c r="BC14" s="125"/>
      <c r="BD14" s="125"/>
      <c r="BE14" s="125"/>
      <c r="BF14" s="125"/>
    </row>
    <row r="15">
      <c r="A15" s="126" t="s">
        <v>912</v>
      </c>
      <c r="B15" s="126" t="s">
        <v>913</v>
      </c>
      <c r="C15" s="127" t="s">
        <v>948</v>
      </c>
      <c r="D15" s="126" t="s">
        <v>949</v>
      </c>
      <c r="E15" s="128">
        <v>40931.0</v>
      </c>
      <c r="F15" s="126" t="s">
        <v>104</v>
      </c>
      <c r="G15" s="131" t="s">
        <v>950</v>
      </c>
      <c r="H15" s="139" t="s">
        <v>951</v>
      </c>
      <c r="I15" s="141"/>
      <c r="J15" s="125" t="str">
        <f t="array" ref="J15">IFERROR(INDEX(All_User_backup!D:D,MATCH(D15,All_User_backup!H:H,0)),"없음")</f>
        <v>mihee.han@stryker.com</v>
      </c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  <c r="AD15" s="125"/>
      <c r="AE15" s="125"/>
      <c r="AF15" s="125"/>
      <c r="AG15" s="125"/>
      <c r="AH15" s="125"/>
      <c r="AI15" s="125"/>
      <c r="AJ15" s="125"/>
      <c r="AK15" s="125"/>
      <c r="AL15" s="125"/>
      <c r="AM15" s="125"/>
      <c r="AN15" s="125"/>
      <c r="AO15" s="125"/>
      <c r="AP15" s="125"/>
      <c r="AQ15" s="125"/>
      <c r="AR15" s="125"/>
      <c r="AS15" s="125"/>
      <c r="AT15" s="125"/>
      <c r="AU15" s="125"/>
      <c r="AV15" s="125"/>
      <c r="AW15" s="125"/>
      <c r="AX15" s="125"/>
      <c r="AY15" s="125"/>
      <c r="AZ15" s="125"/>
      <c r="BA15" s="125"/>
      <c r="BB15" s="125"/>
      <c r="BC15" s="125"/>
      <c r="BD15" s="125"/>
      <c r="BE15" s="125"/>
      <c r="BF15" s="125"/>
    </row>
    <row r="16">
      <c r="A16" s="126" t="s">
        <v>912</v>
      </c>
      <c r="B16" s="126" t="s">
        <v>913</v>
      </c>
      <c r="C16" s="127" t="s">
        <v>952</v>
      </c>
      <c r="D16" s="126" t="s">
        <v>953</v>
      </c>
      <c r="E16" s="128">
        <v>40931.0</v>
      </c>
      <c r="F16" s="126" t="s">
        <v>35</v>
      </c>
      <c r="G16" s="131" t="s">
        <v>569</v>
      </c>
      <c r="H16" s="131" t="s">
        <v>571</v>
      </c>
      <c r="I16" s="134"/>
      <c r="J16" s="125" t="str">
        <f t="array" ref="J16">IFERROR(INDEX(All_User_backup!D:D,MATCH(D16,All_User_backup!H:H,0)),"없음")</f>
        <v>owen.park@stryker.com</v>
      </c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  <c r="AD16" s="125"/>
      <c r="AE16" s="125"/>
      <c r="AF16" s="125"/>
      <c r="AG16" s="125"/>
      <c r="AH16" s="125"/>
      <c r="AI16" s="125"/>
      <c r="AJ16" s="125"/>
      <c r="AK16" s="125"/>
      <c r="AL16" s="125"/>
      <c r="AM16" s="125"/>
      <c r="AN16" s="125"/>
      <c r="AO16" s="125"/>
      <c r="AP16" s="125"/>
      <c r="AQ16" s="125"/>
      <c r="AR16" s="125"/>
      <c r="AS16" s="125"/>
      <c r="AT16" s="125"/>
      <c r="AU16" s="125"/>
      <c r="AV16" s="125"/>
      <c r="AW16" s="125"/>
      <c r="AX16" s="125"/>
      <c r="AY16" s="125"/>
      <c r="AZ16" s="125"/>
      <c r="BA16" s="125"/>
      <c r="BB16" s="125"/>
      <c r="BC16" s="125"/>
      <c r="BD16" s="125"/>
      <c r="BE16" s="125"/>
      <c r="BF16" s="125"/>
    </row>
    <row r="17">
      <c r="A17" s="126" t="s">
        <v>912</v>
      </c>
      <c r="B17" s="126" t="s">
        <v>913</v>
      </c>
      <c r="C17" s="127" t="s">
        <v>954</v>
      </c>
      <c r="D17" s="126" t="s">
        <v>955</v>
      </c>
      <c r="E17" s="128">
        <v>40931.0</v>
      </c>
      <c r="F17" s="126" t="s">
        <v>956</v>
      </c>
      <c r="G17" s="131" t="s">
        <v>415</v>
      </c>
      <c r="H17" s="131" t="s">
        <v>417</v>
      </c>
      <c r="I17" s="131"/>
      <c r="J17" s="125" t="str">
        <f t="array" ref="J17">IFERROR(INDEX(All_User_backup!D:D,MATCH(D17,All_User_backup!H:H,0)),"없음")</f>
        <v>theo.kim@stryker.com</v>
      </c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  <c r="AD17" s="125"/>
      <c r="AE17" s="125"/>
      <c r="AF17" s="125"/>
      <c r="AG17" s="125"/>
      <c r="AH17" s="125"/>
      <c r="AI17" s="125"/>
      <c r="AJ17" s="125"/>
      <c r="AK17" s="125"/>
      <c r="AL17" s="125"/>
      <c r="AM17" s="125"/>
      <c r="AN17" s="125"/>
      <c r="AO17" s="125"/>
      <c r="AP17" s="125"/>
      <c r="AQ17" s="125"/>
      <c r="AR17" s="125"/>
      <c r="AS17" s="125"/>
      <c r="AT17" s="125"/>
      <c r="AU17" s="125"/>
      <c r="AV17" s="125"/>
      <c r="AW17" s="125"/>
      <c r="AX17" s="125"/>
      <c r="AY17" s="125"/>
      <c r="AZ17" s="125"/>
      <c r="BA17" s="125"/>
      <c r="BB17" s="125"/>
      <c r="BC17" s="125"/>
      <c r="BD17" s="125"/>
      <c r="BE17" s="125"/>
      <c r="BF17" s="125"/>
    </row>
    <row r="18">
      <c r="A18" s="126" t="s">
        <v>912</v>
      </c>
      <c r="B18" s="126" t="s">
        <v>913</v>
      </c>
      <c r="C18" s="127" t="s">
        <v>957</v>
      </c>
      <c r="D18" s="126" t="s">
        <v>958</v>
      </c>
      <c r="E18" s="128">
        <v>40931.0</v>
      </c>
      <c r="F18" s="126" t="s">
        <v>104</v>
      </c>
      <c r="G18" s="131" t="s">
        <v>959</v>
      </c>
      <c r="H18" s="131" t="s">
        <v>489</v>
      </c>
      <c r="I18" s="133"/>
      <c r="J18" s="125" t="str">
        <f t="array" ref="J18">IFERROR(INDEX(All_User_backup!D:D,MATCH(D18,All_User_backup!H:H,0)),"없음")</f>
        <v>annie.lee@stryker.com</v>
      </c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  <c r="AD18" s="125"/>
      <c r="AE18" s="125"/>
      <c r="AF18" s="125"/>
      <c r="AG18" s="125"/>
      <c r="AH18" s="125"/>
      <c r="AI18" s="125"/>
      <c r="AJ18" s="125"/>
      <c r="AK18" s="125"/>
      <c r="AL18" s="125"/>
      <c r="AM18" s="125"/>
      <c r="AN18" s="125"/>
      <c r="AO18" s="125"/>
      <c r="AP18" s="125"/>
      <c r="AQ18" s="125"/>
      <c r="AR18" s="125"/>
      <c r="AS18" s="125"/>
      <c r="AT18" s="125"/>
      <c r="AU18" s="125"/>
      <c r="AV18" s="125"/>
      <c r="AW18" s="125"/>
      <c r="AX18" s="125"/>
      <c r="AY18" s="125"/>
      <c r="AZ18" s="125"/>
      <c r="BA18" s="125"/>
      <c r="BB18" s="125"/>
      <c r="BC18" s="125"/>
      <c r="BD18" s="125"/>
      <c r="BE18" s="125"/>
      <c r="BF18" s="125"/>
    </row>
    <row r="19">
      <c r="A19" s="126" t="s">
        <v>912</v>
      </c>
      <c r="B19" s="126" t="s">
        <v>913</v>
      </c>
      <c r="C19" s="127" t="s">
        <v>960</v>
      </c>
      <c r="D19" s="126" t="s">
        <v>961</v>
      </c>
      <c r="E19" s="128">
        <v>40931.0</v>
      </c>
      <c r="F19" s="126" t="s">
        <v>27</v>
      </c>
      <c r="G19" s="131" t="s">
        <v>464</v>
      </c>
      <c r="H19" s="131" t="s">
        <v>466</v>
      </c>
      <c r="I19" s="134"/>
      <c r="J19" s="125" t="str">
        <f t="array" ref="J19">IFERROR(INDEX(All_User_backup!D:D,MATCH(D19,All_User_backup!H:H,0)),"없음")</f>
        <v>rosie.lee@stryker.com</v>
      </c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  <c r="AD19" s="125"/>
      <c r="AE19" s="125"/>
      <c r="AF19" s="125"/>
      <c r="AG19" s="125"/>
      <c r="AH19" s="125"/>
      <c r="AI19" s="125"/>
      <c r="AJ19" s="125"/>
      <c r="AK19" s="125"/>
      <c r="AL19" s="125"/>
      <c r="AM19" s="125"/>
      <c r="AN19" s="125"/>
      <c r="AO19" s="125"/>
      <c r="AP19" s="125"/>
      <c r="AQ19" s="125"/>
      <c r="AR19" s="125"/>
      <c r="AS19" s="125"/>
      <c r="AT19" s="125"/>
      <c r="AU19" s="125"/>
      <c r="AV19" s="125"/>
      <c r="AW19" s="125"/>
      <c r="AX19" s="125"/>
      <c r="AY19" s="125"/>
      <c r="AZ19" s="125"/>
      <c r="BA19" s="125"/>
      <c r="BB19" s="125"/>
      <c r="BC19" s="125"/>
      <c r="BD19" s="125"/>
      <c r="BE19" s="125"/>
      <c r="BF19" s="125"/>
    </row>
    <row r="20">
      <c r="A20" s="126" t="s">
        <v>912</v>
      </c>
      <c r="B20" s="126" t="s">
        <v>913</v>
      </c>
      <c r="C20" s="127" t="s">
        <v>962</v>
      </c>
      <c r="D20" s="126" t="s">
        <v>963</v>
      </c>
      <c r="E20" s="128">
        <v>40931.0</v>
      </c>
      <c r="F20" s="126" t="s">
        <v>956</v>
      </c>
      <c r="G20" s="131" t="s">
        <v>325</v>
      </c>
      <c r="H20" s="131" t="s">
        <v>327</v>
      </c>
      <c r="I20" s="134"/>
      <c r="J20" s="125" t="str">
        <f t="array" ref="J20">IFERROR(INDEX(All_User_backup!D:D,MATCH(D20,All_User_backup!H:H,0)),"없음")</f>
        <v>songmin.kim@stryker.com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  <c r="AD20" s="125"/>
      <c r="AE20" s="125"/>
      <c r="AF20" s="125"/>
      <c r="AG20" s="125"/>
      <c r="AH20" s="125"/>
      <c r="AI20" s="125"/>
      <c r="AJ20" s="125"/>
      <c r="AK20" s="125"/>
      <c r="AL20" s="125"/>
      <c r="AM20" s="125"/>
      <c r="AN20" s="125"/>
      <c r="AO20" s="125"/>
      <c r="AP20" s="125"/>
      <c r="AQ20" s="125"/>
      <c r="AR20" s="125"/>
      <c r="AS20" s="125"/>
      <c r="AT20" s="125"/>
      <c r="AU20" s="125"/>
      <c r="AV20" s="125"/>
      <c r="AW20" s="125"/>
      <c r="AX20" s="125"/>
      <c r="AY20" s="125"/>
      <c r="AZ20" s="125"/>
      <c r="BA20" s="125"/>
      <c r="BB20" s="125"/>
      <c r="BC20" s="125"/>
      <c r="BD20" s="125"/>
      <c r="BE20" s="125"/>
      <c r="BF20" s="125"/>
    </row>
    <row r="21">
      <c r="A21" s="126" t="s">
        <v>912</v>
      </c>
      <c r="B21" s="126" t="s">
        <v>913</v>
      </c>
      <c r="C21" s="127" t="s">
        <v>964</v>
      </c>
      <c r="D21" s="126" t="s">
        <v>965</v>
      </c>
      <c r="E21" s="128">
        <v>40931.0</v>
      </c>
      <c r="F21" s="126" t="s">
        <v>750</v>
      </c>
      <c r="G21" s="131" t="s">
        <v>751</v>
      </c>
      <c r="H21" s="129" t="s">
        <v>752</v>
      </c>
      <c r="I21" s="134"/>
      <c r="J21" s="125" t="str">
        <f t="array" ref="J21">IFERROR(INDEX(All_User_backup!D:D,MATCH(D21,All_User_backup!H:H,0)),"없음")</f>
        <v>yongma01(깡통)</v>
      </c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  <c r="AD21" s="125"/>
      <c r="AE21" s="125"/>
      <c r="AF21" s="125"/>
      <c r="AG21" s="125"/>
      <c r="AH21" s="125"/>
      <c r="AI21" s="125"/>
      <c r="AJ21" s="125"/>
      <c r="AK21" s="125"/>
      <c r="AL21" s="125"/>
      <c r="AM21" s="125"/>
      <c r="AN21" s="125"/>
      <c r="AO21" s="125"/>
      <c r="AP21" s="125"/>
      <c r="AQ21" s="125"/>
      <c r="AR21" s="125"/>
      <c r="AS21" s="125"/>
      <c r="AT21" s="125"/>
      <c r="AU21" s="125"/>
      <c r="AV21" s="125"/>
      <c r="AW21" s="125"/>
      <c r="AX21" s="125"/>
      <c r="AY21" s="125"/>
      <c r="AZ21" s="125"/>
      <c r="BA21" s="125"/>
      <c r="BB21" s="125"/>
      <c r="BC21" s="125"/>
      <c r="BD21" s="125"/>
      <c r="BE21" s="125"/>
      <c r="BF21" s="125"/>
    </row>
    <row r="22">
      <c r="A22" s="126" t="s">
        <v>912</v>
      </c>
      <c r="B22" s="126" t="s">
        <v>913</v>
      </c>
      <c r="C22" s="127" t="s">
        <v>966</v>
      </c>
      <c r="D22" s="126" t="s">
        <v>967</v>
      </c>
      <c r="E22" s="128">
        <v>40931.0</v>
      </c>
      <c r="F22" s="126" t="s">
        <v>671</v>
      </c>
      <c r="G22" s="129" t="s">
        <v>916</v>
      </c>
      <c r="H22" s="129"/>
      <c r="I22" s="131" t="s">
        <v>968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  <c r="AD22" s="125"/>
      <c r="AE22" s="125"/>
      <c r="AF22" s="125"/>
      <c r="AG22" s="125"/>
      <c r="AH22" s="125"/>
      <c r="AI22" s="125"/>
      <c r="AJ22" s="125"/>
      <c r="AK22" s="125"/>
      <c r="AL22" s="125"/>
      <c r="AM22" s="125"/>
      <c r="AN22" s="125"/>
      <c r="AO22" s="125"/>
      <c r="AP22" s="125"/>
      <c r="AQ22" s="125"/>
      <c r="AR22" s="125"/>
      <c r="AS22" s="125"/>
      <c r="AT22" s="125"/>
      <c r="AU22" s="125"/>
      <c r="AV22" s="125"/>
      <c r="AW22" s="125"/>
      <c r="AX22" s="125"/>
      <c r="AY22" s="125"/>
      <c r="AZ22" s="125"/>
      <c r="BA22" s="125"/>
      <c r="BB22" s="125"/>
      <c r="BC22" s="125"/>
      <c r="BD22" s="125"/>
      <c r="BE22" s="125"/>
      <c r="BF22" s="125"/>
    </row>
    <row r="23">
      <c r="A23" s="126" t="s">
        <v>912</v>
      </c>
      <c r="B23" s="126" t="s">
        <v>913</v>
      </c>
      <c r="C23" s="127" t="s">
        <v>969</v>
      </c>
      <c r="D23" s="126" t="s">
        <v>970</v>
      </c>
      <c r="E23" s="128">
        <v>40931.0</v>
      </c>
      <c r="F23" s="126" t="s">
        <v>295</v>
      </c>
      <c r="G23" s="131" t="s">
        <v>640</v>
      </c>
      <c r="H23" s="131" t="s">
        <v>642</v>
      </c>
      <c r="I23" s="134"/>
      <c r="J23" s="125" t="str">
        <f t="array" ref="J23">IFERROR(INDEX(All_User_backup!D:D,MATCH(D23,All_User_backup!H:H,0)),"없음")</f>
        <v>hansol.shin@stryker.com</v>
      </c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  <c r="AD23" s="125"/>
      <c r="AE23" s="125"/>
      <c r="AF23" s="125"/>
      <c r="AG23" s="125"/>
      <c r="AH23" s="125"/>
      <c r="AI23" s="125"/>
      <c r="AJ23" s="125"/>
      <c r="AK23" s="125"/>
      <c r="AL23" s="125"/>
      <c r="AM23" s="125"/>
      <c r="AN23" s="125"/>
      <c r="AO23" s="125"/>
      <c r="AP23" s="125"/>
      <c r="AQ23" s="125"/>
      <c r="AR23" s="125"/>
      <c r="AS23" s="125"/>
      <c r="AT23" s="125"/>
      <c r="AU23" s="125"/>
      <c r="AV23" s="125"/>
      <c r="AW23" s="125"/>
      <c r="AX23" s="125"/>
      <c r="AY23" s="125"/>
      <c r="AZ23" s="125"/>
      <c r="BA23" s="125"/>
      <c r="BB23" s="125"/>
      <c r="BC23" s="125"/>
      <c r="BD23" s="125"/>
      <c r="BE23" s="125"/>
      <c r="BF23" s="125"/>
    </row>
    <row r="24">
      <c r="A24" s="126" t="s">
        <v>912</v>
      </c>
      <c r="B24" s="126" t="s">
        <v>913</v>
      </c>
      <c r="C24" s="127" t="s">
        <v>971</v>
      </c>
      <c r="D24" s="126" t="s">
        <v>972</v>
      </c>
      <c r="E24" s="128">
        <v>40931.0</v>
      </c>
      <c r="F24" s="126" t="s">
        <v>62</v>
      </c>
      <c r="G24" s="131" t="s">
        <v>58</v>
      </c>
      <c r="H24" s="131" t="s">
        <v>60</v>
      </c>
      <c r="I24" s="134"/>
      <c r="J24" s="125" t="str">
        <f t="array" ref="J24">IFERROR(INDEX(All_User_backup!D:D,MATCH(D24,All_User_backup!H:H,0)),"없음")</f>
        <v>chloe.baek@stryker.com</v>
      </c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  <c r="AD24" s="125"/>
      <c r="AE24" s="125"/>
      <c r="AF24" s="125"/>
      <c r="AG24" s="125"/>
      <c r="AH24" s="125"/>
      <c r="AI24" s="125"/>
      <c r="AJ24" s="125"/>
      <c r="AK24" s="125"/>
      <c r="AL24" s="125"/>
      <c r="AM24" s="125"/>
      <c r="AN24" s="125"/>
      <c r="AO24" s="125"/>
      <c r="AP24" s="125"/>
      <c r="AQ24" s="125"/>
      <c r="AR24" s="125"/>
      <c r="AS24" s="125"/>
      <c r="AT24" s="125"/>
      <c r="AU24" s="125"/>
      <c r="AV24" s="125"/>
      <c r="AW24" s="125"/>
      <c r="AX24" s="125"/>
      <c r="AY24" s="125"/>
      <c r="AZ24" s="125"/>
      <c r="BA24" s="125"/>
      <c r="BB24" s="125"/>
      <c r="BC24" s="125"/>
      <c r="BD24" s="125"/>
      <c r="BE24" s="125"/>
      <c r="BF24" s="125"/>
    </row>
    <row r="25">
      <c r="A25" s="126" t="s">
        <v>912</v>
      </c>
      <c r="B25" s="126" t="s">
        <v>913</v>
      </c>
      <c r="C25" s="127" t="s">
        <v>973</v>
      </c>
      <c r="D25" s="126" t="s">
        <v>974</v>
      </c>
      <c r="E25" s="128">
        <v>40931.0</v>
      </c>
      <c r="F25" s="126" t="s">
        <v>975</v>
      </c>
      <c r="G25" s="131" t="s">
        <v>833</v>
      </c>
      <c r="H25" s="131" t="s">
        <v>976</v>
      </c>
      <c r="I25" s="134"/>
      <c r="J25" s="125" t="str">
        <f t="array" ref="J25">IFERROR(INDEX(All_User_backup!D:D,MATCH(D25,All_User_backup!H:H,0)),"없음")</f>
        <v>financeadmin4.skl@stryker.com</v>
      </c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  <c r="AD25" s="125"/>
      <c r="AE25" s="125"/>
      <c r="AF25" s="125"/>
      <c r="AG25" s="125"/>
      <c r="AH25" s="125"/>
      <c r="AI25" s="125"/>
      <c r="AJ25" s="125"/>
      <c r="AK25" s="125"/>
      <c r="AL25" s="125"/>
      <c r="AM25" s="125"/>
      <c r="AN25" s="125"/>
      <c r="AO25" s="125"/>
      <c r="AP25" s="125"/>
      <c r="AQ25" s="125"/>
      <c r="AR25" s="125"/>
      <c r="AS25" s="125"/>
      <c r="AT25" s="125"/>
      <c r="AU25" s="125"/>
      <c r="AV25" s="125"/>
      <c r="AW25" s="125"/>
      <c r="AX25" s="125"/>
      <c r="AY25" s="125"/>
      <c r="AZ25" s="125"/>
      <c r="BA25" s="125"/>
      <c r="BB25" s="125"/>
      <c r="BC25" s="125"/>
      <c r="BD25" s="125"/>
      <c r="BE25" s="125"/>
      <c r="BF25" s="125"/>
    </row>
    <row r="26">
      <c r="A26" s="126" t="s">
        <v>912</v>
      </c>
      <c r="B26" s="126" t="s">
        <v>913</v>
      </c>
      <c r="C26" s="127" t="s">
        <v>977</v>
      </c>
      <c r="D26" s="126" t="s">
        <v>978</v>
      </c>
      <c r="E26" s="128">
        <v>40931.0</v>
      </c>
      <c r="F26" s="126" t="s">
        <v>27</v>
      </c>
      <c r="G26" s="129" t="s">
        <v>979</v>
      </c>
      <c r="H26" s="131" t="s">
        <v>872</v>
      </c>
      <c r="I26" s="131"/>
      <c r="J26" s="125" t="str">
        <f t="array" ref="J26">IFERROR(INDEX(All_User_backup!D:D,MATCH(D26,All_User_backup!H:H,0)),"없음")</f>
        <v>없음</v>
      </c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  <c r="AD26" s="125"/>
      <c r="AE26" s="125"/>
      <c r="AF26" s="125"/>
      <c r="AG26" s="125"/>
      <c r="AH26" s="125"/>
      <c r="AI26" s="125"/>
      <c r="AJ26" s="125"/>
      <c r="AK26" s="125"/>
      <c r="AL26" s="125"/>
      <c r="AM26" s="125"/>
      <c r="AN26" s="125"/>
      <c r="AO26" s="125"/>
      <c r="AP26" s="125"/>
      <c r="AQ26" s="125"/>
      <c r="AR26" s="125"/>
      <c r="AS26" s="125"/>
      <c r="AT26" s="125"/>
      <c r="AU26" s="125"/>
      <c r="AV26" s="125"/>
      <c r="AW26" s="125"/>
      <c r="AX26" s="125"/>
      <c r="AY26" s="125"/>
      <c r="AZ26" s="125"/>
      <c r="BA26" s="125"/>
      <c r="BB26" s="125"/>
      <c r="BC26" s="125"/>
      <c r="BD26" s="125"/>
      <c r="BE26" s="125"/>
      <c r="BF26" s="125"/>
    </row>
    <row r="27">
      <c r="A27" s="126" t="s">
        <v>912</v>
      </c>
      <c r="B27" s="126" t="s">
        <v>913</v>
      </c>
      <c r="C27" s="142"/>
      <c r="D27" s="126" t="s">
        <v>980</v>
      </c>
      <c r="E27" s="128">
        <v>40931.0</v>
      </c>
      <c r="F27" s="126" t="s">
        <v>940</v>
      </c>
      <c r="G27" s="131" t="s">
        <v>265</v>
      </c>
      <c r="H27" s="131" t="s">
        <v>267</v>
      </c>
      <c r="I27" s="134"/>
      <c r="J27" s="125" t="str">
        <f t="array" ref="J27">IFERROR(INDEX(All_User_backup!D:D,MATCH(D27,All_User_backup!H:H,0)),"없음")</f>
        <v>irene.jun@stryker.com</v>
      </c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  <c r="AD27" s="125"/>
      <c r="AE27" s="125"/>
      <c r="AF27" s="125"/>
      <c r="AG27" s="125"/>
      <c r="AH27" s="125"/>
      <c r="AI27" s="125"/>
      <c r="AJ27" s="125"/>
      <c r="AK27" s="125"/>
      <c r="AL27" s="125"/>
      <c r="AM27" s="125"/>
      <c r="AN27" s="125"/>
      <c r="AO27" s="125"/>
      <c r="AP27" s="125"/>
      <c r="AQ27" s="125"/>
      <c r="AR27" s="125"/>
      <c r="AS27" s="125"/>
      <c r="AT27" s="125"/>
      <c r="AU27" s="125"/>
      <c r="AV27" s="125"/>
      <c r="AW27" s="125"/>
      <c r="AX27" s="125"/>
      <c r="AY27" s="125"/>
      <c r="AZ27" s="125"/>
      <c r="BA27" s="125"/>
      <c r="BB27" s="125"/>
      <c r="BC27" s="125"/>
      <c r="BD27" s="125"/>
      <c r="BE27" s="125"/>
      <c r="BF27" s="125"/>
    </row>
    <row r="28">
      <c r="A28" s="126" t="s">
        <v>912</v>
      </c>
      <c r="B28" s="126" t="s">
        <v>913</v>
      </c>
      <c r="C28" s="142"/>
      <c r="D28" s="126" t="s">
        <v>981</v>
      </c>
      <c r="E28" s="128">
        <v>40931.0</v>
      </c>
      <c r="F28" s="131" t="s">
        <v>982</v>
      </c>
      <c r="G28" s="131" t="s">
        <v>983</v>
      </c>
      <c r="H28" s="131" t="s">
        <v>430</v>
      </c>
      <c r="I28" s="46" t="s">
        <v>984</v>
      </c>
      <c r="J28" s="125" t="str">
        <f t="array" ref="J28">IFERROR(INDEX(All_User_backup!D:D,MATCH(D28,All_User_backup!H:H,0)),"없음")</f>
        <v>wondae.ko@stryker.com</v>
      </c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  <c r="AD28" s="125"/>
      <c r="AE28" s="125"/>
      <c r="AF28" s="125"/>
      <c r="AG28" s="125"/>
      <c r="AH28" s="125"/>
      <c r="AI28" s="125"/>
      <c r="AJ28" s="125"/>
      <c r="AK28" s="125"/>
      <c r="AL28" s="125"/>
      <c r="AM28" s="125"/>
      <c r="AN28" s="125"/>
      <c r="AO28" s="125"/>
      <c r="AP28" s="125"/>
      <c r="AQ28" s="125"/>
      <c r="AR28" s="125"/>
      <c r="AS28" s="125"/>
      <c r="AT28" s="125"/>
      <c r="AU28" s="125"/>
      <c r="AV28" s="125"/>
      <c r="AW28" s="125"/>
      <c r="AX28" s="125"/>
      <c r="AY28" s="125"/>
      <c r="AZ28" s="125"/>
      <c r="BA28" s="125"/>
      <c r="BB28" s="125"/>
      <c r="BC28" s="125"/>
      <c r="BD28" s="125"/>
      <c r="BE28" s="125"/>
      <c r="BF28" s="125"/>
    </row>
    <row r="29">
      <c r="A29" s="126" t="s">
        <v>912</v>
      </c>
      <c r="B29" s="126" t="s">
        <v>913</v>
      </c>
      <c r="C29" s="142"/>
      <c r="D29" s="126" t="s">
        <v>985</v>
      </c>
      <c r="E29" s="128">
        <v>40931.0</v>
      </c>
      <c r="F29" s="126" t="s">
        <v>142</v>
      </c>
      <c r="G29" s="131" t="s">
        <v>272</v>
      </c>
      <c r="H29" s="131" t="s">
        <v>274</v>
      </c>
      <c r="I29" s="134"/>
      <c r="J29" s="125" t="str">
        <f t="array" ref="J29">IFERROR(INDEX(All_User_backup!D:D,MATCH(D29,All_User_backup!H:H,0)),"없음")</f>
        <v>jenny.jung@stryker.com</v>
      </c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  <c r="AD29" s="125"/>
      <c r="AE29" s="125"/>
      <c r="AF29" s="125"/>
      <c r="AG29" s="125"/>
      <c r="AH29" s="125"/>
      <c r="AI29" s="125"/>
      <c r="AJ29" s="125"/>
      <c r="AK29" s="125"/>
      <c r="AL29" s="125"/>
      <c r="AM29" s="125"/>
      <c r="AN29" s="125"/>
      <c r="AO29" s="125"/>
      <c r="AP29" s="125"/>
      <c r="AQ29" s="125"/>
      <c r="AR29" s="125"/>
      <c r="AS29" s="125"/>
      <c r="AT29" s="125"/>
      <c r="AU29" s="125"/>
      <c r="AV29" s="125"/>
      <c r="AW29" s="125"/>
      <c r="AX29" s="125"/>
      <c r="AY29" s="125"/>
      <c r="AZ29" s="125"/>
      <c r="BA29" s="125"/>
      <c r="BB29" s="125"/>
      <c r="BC29" s="125"/>
      <c r="BD29" s="125"/>
      <c r="BE29" s="125"/>
      <c r="BF29" s="125"/>
    </row>
    <row r="30">
      <c r="A30" s="126" t="s">
        <v>912</v>
      </c>
      <c r="B30" s="126" t="s">
        <v>913</v>
      </c>
      <c r="C30" s="142"/>
      <c r="D30" s="126" t="s">
        <v>986</v>
      </c>
      <c r="E30" s="128">
        <v>40931.0</v>
      </c>
      <c r="F30" s="126" t="s">
        <v>67</v>
      </c>
      <c r="G30" s="131" t="s">
        <v>359</v>
      </c>
      <c r="H30" s="131" t="s">
        <v>361</v>
      </c>
      <c r="I30" s="134"/>
      <c r="J30" s="125" t="str">
        <f t="array" ref="J30">IFERROR(INDEX(All_User_backup!D:D,MATCH(D30,All_User_backup!H:H,0)),"없음")</f>
        <v>ahyoung.kim@stryker.com</v>
      </c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  <c r="AD30" s="125"/>
      <c r="AE30" s="125"/>
      <c r="AF30" s="125"/>
      <c r="AG30" s="125"/>
      <c r="AH30" s="125"/>
      <c r="AI30" s="125"/>
      <c r="AJ30" s="125"/>
      <c r="AK30" s="125"/>
      <c r="AL30" s="125"/>
      <c r="AM30" s="125"/>
      <c r="AN30" s="125"/>
      <c r="AO30" s="125"/>
      <c r="AP30" s="125"/>
      <c r="AQ30" s="125"/>
      <c r="AR30" s="125"/>
      <c r="AS30" s="125"/>
      <c r="AT30" s="125"/>
      <c r="AU30" s="125"/>
      <c r="AV30" s="125"/>
      <c r="AW30" s="125"/>
      <c r="AX30" s="125"/>
      <c r="AY30" s="125"/>
      <c r="AZ30" s="125"/>
      <c r="BA30" s="125"/>
      <c r="BB30" s="125"/>
      <c r="BC30" s="125"/>
      <c r="BD30" s="125"/>
      <c r="BE30" s="125"/>
      <c r="BF30" s="125"/>
    </row>
    <row r="31">
      <c r="A31" s="126" t="s">
        <v>912</v>
      </c>
      <c r="B31" s="126" t="s">
        <v>913</v>
      </c>
      <c r="C31" s="142"/>
      <c r="D31" s="126" t="s">
        <v>987</v>
      </c>
      <c r="E31" s="128">
        <v>40931.0</v>
      </c>
      <c r="F31" s="126" t="s">
        <v>750</v>
      </c>
      <c r="G31" s="131" t="s">
        <v>748</v>
      </c>
      <c r="H31" s="131" t="s">
        <v>749</v>
      </c>
      <c r="I31" s="134"/>
      <c r="J31" s="125" t="str">
        <f t="array" ref="J31">IFERROR(INDEX(All_User_backup!D:D,MATCH(D31,All_User_backup!H:H,0)),"없음")</f>
        <v>yongma05(깡통)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  <c r="AD31" s="125"/>
      <c r="AE31" s="125"/>
      <c r="AF31" s="125"/>
      <c r="AG31" s="125"/>
      <c r="AH31" s="125"/>
      <c r="AI31" s="125"/>
      <c r="AJ31" s="125"/>
      <c r="AK31" s="125"/>
      <c r="AL31" s="125"/>
      <c r="AM31" s="125"/>
      <c r="AN31" s="125"/>
      <c r="AO31" s="125"/>
      <c r="AP31" s="125"/>
      <c r="AQ31" s="125"/>
      <c r="AR31" s="125"/>
      <c r="AS31" s="125"/>
      <c r="AT31" s="125"/>
      <c r="AU31" s="125"/>
      <c r="AV31" s="125"/>
      <c r="AW31" s="125"/>
      <c r="AX31" s="125"/>
      <c r="AY31" s="125"/>
      <c r="AZ31" s="125"/>
      <c r="BA31" s="125"/>
      <c r="BB31" s="125"/>
      <c r="BC31" s="125"/>
      <c r="BD31" s="125"/>
      <c r="BE31" s="125"/>
      <c r="BF31" s="125"/>
    </row>
    <row r="32">
      <c r="A32" s="143" t="s">
        <v>912</v>
      </c>
      <c r="B32" s="143" t="s">
        <v>913</v>
      </c>
      <c r="C32" s="144"/>
      <c r="D32" s="143" t="s">
        <v>988</v>
      </c>
      <c r="E32" s="145" t="s">
        <v>989</v>
      </c>
      <c r="F32" s="146" t="s">
        <v>671</v>
      </c>
      <c r="G32" s="146" t="s">
        <v>990</v>
      </c>
      <c r="H32" s="146"/>
      <c r="I32" s="147" t="s">
        <v>29</v>
      </c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  <c r="AD32" s="125"/>
      <c r="AE32" s="125"/>
      <c r="AF32" s="125"/>
      <c r="AG32" s="125"/>
      <c r="AH32" s="125"/>
      <c r="AI32" s="125"/>
      <c r="AJ32" s="125"/>
      <c r="AK32" s="125"/>
      <c r="AL32" s="125"/>
      <c r="AM32" s="125"/>
      <c r="AN32" s="125"/>
      <c r="AO32" s="125"/>
      <c r="AP32" s="125"/>
      <c r="AQ32" s="125"/>
      <c r="AR32" s="125"/>
      <c r="AS32" s="125"/>
      <c r="AT32" s="125"/>
      <c r="AU32" s="125"/>
      <c r="AV32" s="125"/>
      <c r="AW32" s="125"/>
      <c r="AX32" s="125"/>
      <c r="AY32" s="125"/>
      <c r="AZ32" s="125"/>
      <c r="BA32" s="125"/>
      <c r="BB32" s="125"/>
      <c r="BC32" s="125"/>
      <c r="BD32" s="125"/>
      <c r="BE32" s="125"/>
      <c r="BF32" s="125"/>
    </row>
    <row r="33">
      <c r="A33" s="126" t="s">
        <v>912</v>
      </c>
      <c r="B33" s="126" t="s">
        <v>913</v>
      </c>
      <c r="C33" s="142"/>
      <c r="D33" s="126" t="s">
        <v>991</v>
      </c>
      <c r="E33" s="148" t="s">
        <v>989</v>
      </c>
      <c r="F33" s="126" t="s">
        <v>295</v>
      </c>
      <c r="G33" s="131" t="s">
        <v>321</v>
      </c>
      <c r="H33" s="131" t="s">
        <v>323</v>
      </c>
      <c r="I33" s="134"/>
      <c r="J33" s="125" t="str">
        <f t="array" ref="J33">IFERROR(INDEX(All_User_backup!D:D,MATCH(D33,All_User_backup!H:H,0)),"없음")</f>
        <v>yoori.kim@stryker.com</v>
      </c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  <c r="AD33" s="125"/>
      <c r="AE33" s="125"/>
      <c r="AF33" s="125"/>
      <c r="AG33" s="125"/>
      <c r="AH33" s="125"/>
      <c r="AI33" s="125"/>
      <c r="AJ33" s="125"/>
      <c r="AK33" s="125"/>
      <c r="AL33" s="125"/>
      <c r="AM33" s="125"/>
      <c r="AN33" s="125"/>
      <c r="AO33" s="125"/>
      <c r="AP33" s="125"/>
      <c r="AQ33" s="125"/>
      <c r="AR33" s="125"/>
      <c r="AS33" s="125"/>
      <c r="AT33" s="125"/>
      <c r="AU33" s="125"/>
      <c r="AV33" s="125"/>
      <c r="AW33" s="125"/>
      <c r="AX33" s="125"/>
      <c r="AY33" s="125"/>
      <c r="AZ33" s="125"/>
      <c r="BA33" s="125"/>
      <c r="BB33" s="125"/>
      <c r="BC33" s="125"/>
      <c r="BD33" s="125"/>
      <c r="BE33" s="125"/>
      <c r="BF33" s="125"/>
    </row>
    <row r="34">
      <c r="A34" s="126" t="s">
        <v>912</v>
      </c>
      <c r="B34" s="126" t="s">
        <v>913</v>
      </c>
      <c r="C34" s="142"/>
      <c r="D34" s="126" t="s">
        <v>992</v>
      </c>
      <c r="E34" s="148" t="s">
        <v>989</v>
      </c>
      <c r="F34" s="126" t="s">
        <v>20</v>
      </c>
      <c r="G34" s="131" t="s">
        <v>305</v>
      </c>
      <c r="H34" s="131" t="s">
        <v>307</v>
      </c>
      <c r="I34" s="134"/>
      <c r="J34" s="125" t="str">
        <f t="array" ref="J34">IFERROR(INDEX(All_User_backup!D:D,MATCH(D34,All_User_backup!H:H,0)),"없음")</f>
        <v>Sue.Kim@stryker.com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  <c r="AD34" s="125"/>
      <c r="AE34" s="125"/>
      <c r="AF34" s="125"/>
      <c r="AG34" s="125"/>
      <c r="AH34" s="125"/>
      <c r="AI34" s="125"/>
      <c r="AJ34" s="125"/>
      <c r="AK34" s="125"/>
      <c r="AL34" s="125"/>
      <c r="AM34" s="125"/>
      <c r="AN34" s="125"/>
      <c r="AO34" s="125"/>
      <c r="AP34" s="125"/>
      <c r="AQ34" s="125"/>
      <c r="AR34" s="125"/>
      <c r="AS34" s="125"/>
      <c r="AT34" s="125"/>
      <c r="AU34" s="125"/>
      <c r="AV34" s="125"/>
      <c r="AW34" s="125"/>
      <c r="AX34" s="125"/>
      <c r="AY34" s="125"/>
      <c r="AZ34" s="125"/>
      <c r="BA34" s="125"/>
      <c r="BB34" s="125"/>
      <c r="BC34" s="125"/>
      <c r="BD34" s="125"/>
      <c r="BE34" s="125"/>
      <c r="BF34" s="125"/>
    </row>
    <row r="35">
      <c r="A35" s="126" t="s">
        <v>912</v>
      </c>
      <c r="B35" s="126" t="s">
        <v>913</v>
      </c>
      <c r="C35" s="142"/>
      <c r="D35" s="126" t="s">
        <v>993</v>
      </c>
      <c r="E35" s="148" t="s">
        <v>989</v>
      </c>
      <c r="F35" s="126" t="s">
        <v>77</v>
      </c>
      <c r="G35" s="131" t="s">
        <v>317</v>
      </c>
      <c r="H35" s="131" t="s">
        <v>319</v>
      </c>
      <c r="I35" s="134"/>
      <c r="J35" s="125" t="str">
        <f t="array" ref="J35">IFERROR(INDEX(All_User_backup!D:D,MATCH(D35,All_User_backup!H:H,0)),"없음")</f>
        <v>Suhyun.Kim@stryker.com</v>
      </c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  <c r="AD35" s="125"/>
      <c r="AE35" s="125"/>
      <c r="AF35" s="125"/>
      <c r="AG35" s="125"/>
      <c r="AH35" s="125"/>
      <c r="AI35" s="125"/>
      <c r="AJ35" s="125"/>
      <c r="AK35" s="125"/>
      <c r="AL35" s="125"/>
      <c r="AM35" s="125"/>
      <c r="AN35" s="125"/>
      <c r="AO35" s="125"/>
      <c r="AP35" s="125"/>
      <c r="AQ35" s="125"/>
      <c r="AR35" s="125"/>
      <c r="AS35" s="125"/>
      <c r="AT35" s="125"/>
      <c r="AU35" s="125"/>
      <c r="AV35" s="125"/>
      <c r="AW35" s="125"/>
      <c r="AX35" s="125"/>
      <c r="AY35" s="125"/>
      <c r="AZ35" s="125"/>
      <c r="BA35" s="125"/>
      <c r="BB35" s="125"/>
      <c r="BC35" s="125"/>
      <c r="BD35" s="125"/>
      <c r="BE35" s="125"/>
      <c r="BF35" s="125"/>
    </row>
    <row r="36">
      <c r="A36" s="126" t="s">
        <v>912</v>
      </c>
      <c r="B36" s="126" t="s">
        <v>913</v>
      </c>
      <c r="C36" s="142"/>
      <c r="D36" s="126" t="s">
        <v>994</v>
      </c>
      <c r="E36" s="148" t="s">
        <v>989</v>
      </c>
      <c r="F36" s="126" t="s">
        <v>20</v>
      </c>
      <c r="G36" s="131" t="s">
        <v>343</v>
      </c>
      <c r="H36" s="131" t="s">
        <v>345</v>
      </c>
      <c r="I36" s="134"/>
      <c r="J36" s="125" t="str">
        <f t="array" ref="J36">IFERROR(INDEX(All_User_backup!D:D,MATCH(D36,All_User_backup!H:H,0)),"없음")</f>
        <v>henry.kim1@stryker.com</v>
      </c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  <c r="AD36" s="125"/>
      <c r="AE36" s="125"/>
      <c r="AF36" s="125"/>
      <c r="AG36" s="125"/>
      <c r="AH36" s="125"/>
      <c r="AI36" s="125"/>
      <c r="AJ36" s="125"/>
      <c r="AK36" s="125"/>
      <c r="AL36" s="125"/>
      <c r="AM36" s="125"/>
      <c r="AN36" s="125"/>
      <c r="AO36" s="125"/>
      <c r="AP36" s="125"/>
      <c r="AQ36" s="125"/>
      <c r="AR36" s="125"/>
      <c r="AS36" s="125"/>
      <c r="AT36" s="125"/>
      <c r="AU36" s="125"/>
      <c r="AV36" s="125"/>
      <c r="AW36" s="125"/>
      <c r="AX36" s="125"/>
      <c r="AY36" s="125"/>
      <c r="AZ36" s="125"/>
      <c r="BA36" s="125"/>
      <c r="BB36" s="125"/>
      <c r="BC36" s="125"/>
      <c r="BD36" s="125"/>
      <c r="BE36" s="125"/>
      <c r="BF36" s="125"/>
    </row>
    <row r="37">
      <c r="A37" s="126" t="s">
        <v>912</v>
      </c>
      <c r="B37" s="126" t="s">
        <v>913</v>
      </c>
      <c r="C37" s="142"/>
      <c r="D37" s="126" t="s">
        <v>995</v>
      </c>
      <c r="E37" s="148" t="s">
        <v>989</v>
      </c>
      <c r="F37" s="126" t="s">
        <v>671</v>
      </c>
      <c r="G37" s="131" t="s">
        <v>996</v>
      </c>
      <c r="H37" s="129" t="s">
        <v>820</v>
      </c>
      <c r="I37" s="131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  <c r="AD37" s="125"/>
      <c r="AE37" s="125"/>
      <c r="AF37" s="125"/>
      <c r="AG37" s="125"/>
      <c r="AH37" s="125"/>
      <c r="AI37" s="125"/>
      <c r="AJ37" s="125"/>
      <c r="AK37" s="125"/>
      <c r="AL37" s="125"/>
      <c r="AM37" s="125"/>
      <c r="AN37" s="125"/>
      <c r="AO37" s="125"/>
      <c r="AP37" s="125"/>
      <c r="AQ37" s="125"/>
      <c r="AR37" s="125"/>
      <c r="AS37" s="125"/>
      <c r="AT37" s="125"/>
      <c r="AU37" s="125"/>
      <c r="AV37" s="125"/>
      <c r="AW37" s="125"/>
      <c r="AX37" s="125"/>
      <c r="AY37" s="125"/>
      <c r="AZ37" s="125"/>
      <c r="BA37" s="125"/>
      <c r="BB37" s="125"/>
      <c r="BC37" s="125"/>
      <c r="BD37" s="125"/>
      <c r="BE37" s="125"/>
      <c r="BF37" s="125"/>
    </row>
    <row r="38">
      <c r="A38" s="126" t="s">
        <v>912</v>
      </c>
      <c r="B38" s="126" t="s">
        <v>913</v>
      </c>
      <c r="C38" s="142"/>
      <c r="D38" s="126" t="s">
        <v>997</v>
      </c>
      <c r="E38" s="128">
        <v>38407.0</v>
      </c>
      <c r="F38" s="149" t="s">
        <v>982</v>
      </c>
      <c r="G38" s="131" t="s">
        <v>753</v>
      </c>
      <c r="H38" s="139" t="s">
        <v>998</v>
      </c>
      <c r="I38" s="134"/>
      <c r="J38" s="125" t="str">
        <f t="array" ref="J38">IFERROR(INDEX(All_User_backup!D:D,MATCH(D38,All_User_backup!H:H,0)),"없음")</f>
        <v>demoadmin.ym@stryker.com</v>
      </c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  <c r="AD38" s="125"/>
      <c r="AE38" s="125"/>
      <c r="AF38" s="125"/>
      <c r="AG38" s="125"/>
      <c r="AH38" s="125"/>
      <c r="AI38" s="125"/>
      <c r="AJ38" s="125"/>
      <c r="AK38" s="125"/>
      <c r="AL38" s="125"/>
      <c r="AM38" s="125"/>
      <c r="AN38" s="125"/>
      <c r="AO38" s="125"/>
      <c r="AP38" s="125"/>
      <c r="AQ38" s="125"/>
      <c r="AR38" s="125"/>
      <c r="AS38" s="125"/>
      <c r="AT38" s="125"/>
      <c r="AU38" s="125"/>
      <c r="AV38" s="125"/>
      <c r="AW38" s="125"/>
      <c r="AX38" s="125"/>
      <c r="AY38" s="125"/>
      <c r="AZ38" s="125"/>
      <c r="BA38" s="125"/>
      <c r="BB38" s="125"/>
      <c r="BC38" s="125"/>
      <c r="BD38" s="125"/>
      <c r="BE38" s="125"/>
      <c r="BF38" s="125"/>
    </row>
    <row r="39">
      <c r="A39" s="126" t="s">
        <v>912</v>
      </c>
      <c r="B39" s="126" t="s">
        <v>913</v>
      </c>
      <c r="C39" s="142"/>
      <c r="D39" s="126" t="s">
        <v>999</v>
      </c>
      <c r="E39" s="128">
        <v>38407.0</v>
      </c>
      <c r="F39" s="126" t="s">
        <v>671</v>
      </c>
      <c r="G39" s="131" t="s">
        <v>916</v>
      </c>
      <c r="H39" s="150"/>
      <c r="I39" s="129" t="s">
        <v>1000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  <c r="AD39" s="125"/>
      <c r="AE39" s="125"/>
      <c r="AF39" s="125"/>
      <c r="AG39" s="125"/>
      <c r="AH39" s="125"/>
      <c r="AI39" s="125"/>
      <c r="AJ39" s="125"/>
      <c r="AK39" s="125"/>
      <c r="AL39" s="125"/>
      <c r="AM39" s="125"/>
      <c r="AN39" s="125"/>
      <c r="AO39" s="125"/>
      <c r="AP39" s="125"/>
      <c r="AQ39" s="125"/>
      <c r="AR39" s="125"/>
      <c r="AS39" s="125"/>
      <c r="AT39" s="125"/>
      <c r="AU39" s="125"/>
      <c r="AV39" s="125"/>
      <c r="AW39" s="125"/>
      <c r="AX39" s="125"/>
      <c r="AY39" s="125"/>
      <c r="AZ39" s="125"/>
      <c r="BA39" s="125"/>
      <c r="BB39" s="125"/>
      <c r="BC39" s="125"/>
      <c r="BD39" s="125"/>
      <c r="BE39" s="125"/>
      <c r="BF39" s="125"/>
    </row>
    <row r="40">
      <c r="A40" s="126" t="s">
        <v>912</v>
      </c>
      <c r="B40" s="126" t="s">
        <v>913</v>
      </c>
      <c r="C40" s="142"/>
      <c r="D40" s="126" t="s">
        <v>1001</v>
      </c>
      <c r="E40" s="128">
        <v>38407.0</v>
      </c>
      <c r="F40" s="126" t="s">
        <v>671</v>
      </c>
      <c r="G40" s="131" t="s">
        <v>916</v>
      </c>
      <c r="H40" s="129"/>
      <c r="I40" s="151" t="s">
        <v>1002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  <c r="AD40" s="125"/>
      <c r="AE40" s="125"/>
      <c r="AF40" s="125"/>
      <c r="AG40" s="125"/>
      <c r="AH40" s="125"/>
      <c r="AI40" s="125"/>
      <c r="AJ40" s="125"/>
      <c r="AK40" s="125"/>
      <c r="AL40" s="125"/>
      <c r="AM40" s="125"/>
      <c r="AN40" s="125"/>
      <c r="AO40" s="125"/>
      <c r="AP40" s="125"/>
      <c r="AQ40" s="125"/>
      <c r="AR40" s="125"/>
      <c r="AS40" s="125"/>
      <c r="AT40" s="125"/>
      <c r="AU40" s="125"/>
      <c r="AV40" s="125"/>
      <c r="AW40" s="125"/>
      <c r="AX40" s="125"/>
      <c r="AY40" s="125"/>
      <c r="AZ40" s="125"/>
      <c r="BA40" s="125"/>
      <c r="BB40" s="125"/>
      <c r="BC40" s="125"/>
      <c r="BD40" s="125"/>
      <c r="BE40" s="125"/>
      <c r="BF40" s="125"/>
    </row>
    <row r="41">
      <c r="A41" s="126" t="s">
        <v>912</v>
      </c>
      <c r="B41" s="126" t="s">
        <v>913</v>
      </c>
      <c r="C41" s="127" t="s">
        <v>1003</v>
      </c>
      <c r="D41" s="126" t="s">
        <v>1004</v>
      </c>
      <c r="E41" s="128">
        <v>38407.0</v>
      </c>
      <c r="F41" s="126" t="s">
        <v>975</v>
      </c>
      <c r="G41" s="131" t="s">
        <v>830</v>
      </c>
      <c r="H41" s="129" t="s">
        <v>831</v>
      </c>
      <c r="I41" s="131"/>
      <c r="J41" s="125" t="str">
        <f t="array" ref="J41">IFERROR(INDEX(All_User_backup!D:D,MATCH(D41,All_User_backup!H:H,0)),"없음")</f>
        <v>Financeadmin3.SKL@stryker.com</v>
      </c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  <c r="AD41" s="125"/>
      <c r="AE41" s="125"/>
      <c r="AF41" s="125"/>
      <c r="AG41" s="125"/>
      <c r="AH41" s="125"/>
      <c r="AI41" s="125"/>
      <c r="AJ41" s="125"/>
      <c r="AK41" s="125"/>
      <c r="AL41" s="125"/>
      <c r="AM41" s="125"/>
      <c r="AN41" s="125"/>
      <c r="AO41" s="125"/>
      <c r="AP41" s="125"/>
      <c r="AQ41" s="125"/>
      <c r="AR41" s="125"/>
      <c r="AS41" s="125"/>
      <c r="AT41" s="125"/>
      <c r="AU41" s="125"/>
      <c r="AV41" s="125"/>
      <c r="AW41" s="125"/>
      <c r="AX41" s="125"/>
      <c r="AY41" s="125"/>
      <c r="AZ41" s="125"/>
      <c r="BA41" s="125"/>
      <c r="BB41" s="125"/>
      <c r="BC41" s="125"/>
      <c r="BD41" s="125"/>
      <c r="BE41" s="125"/>
      <c r="BF41" s="125"/>
    </row>
    <row r="42">
      <c r="A42" s="126" t="s">
        <v>912</v>
      </c>
      <c r="B42" s="126" t="s">
        <v>913</v>
      </c>
      <c r="C42" s="142"/>
      <c r="D42" s="126" t="s">
        <v>1005</v>
      </c>
      <c r="E42" s="128">
        <v>38407.0</v>
      </c>
      <c r="F42" s="126" t="s">
        <v>104</v>
      </c>
      <c r="G42" s="131" t="s">
        <v>1006</v>
      </c>
      <c r="H42" s="131" t="s">
        <v>517</v>
      </c>
      <c r="I42" s="132" t="s">
        <v>1007</v>
      </c>
      <c r="J42" s="125" t="str">
        <f t="array" ref="J42">IFERROR(INDEX(All_User_backup!D:D,MATCH(D42,All_User_backup!H:H,0)),"없음")</f>
        <v>jay.moon@stryker.com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  <c r="AD42" s="125"/>
      <c r="AE42" s="125"/>
      <c r="AF42" s="125"/>
      <c r="AG42" s="125"/>
      <c r="AH42" s="125"/>
      <c r="AI42" s="125"/>
      <c r="AJ42" s="125"/>
      <c r="AK42" s="125"/>
      <c r="AL42" s="125"/>
      <c r="AM42" s="125"/>
      <c r="AN42" s="125"/>
      <c r="AO42" s="125"/>
      <c r="AP42" s="125"/>
      <c r="AQ42" s="125"/>
      <c r="AR42" s="125"/>
      <c r="AS42" s="125"/>
      <c r="AT42" s="125"/>
      <c r="AU42" s="125"/>
      <c r="AV42" s="125"/>
      <c r="AW42" s="125"/>
      <c r="AX42" s="125"/>
      <c r="AY42" s="125"/>
      <c r="AZ42" s="125"/>
      <c r="BA42" s="125"/>
      <c r="BB42" s="125"/>
      <c r="BC42" s="125"/>
      <c r="BD42" s="125"/>
      <c r="BE42" s="125"/>
      <c r="BF42" s="125"/>
    </row>
    <row r="43">
      <c r="A43" s="126" t="s">
        <v>912</v>
      </c>
      <c r="B43" s="126" t="s">
        <v>913</v>
      </c>
      <c r="C43" s="142"/>
      <c r="D43" s="126" t="s">
        <v>1008</v>
      </c>
      <c r="E43" s="128">
        <v>38407.0</v>
      </c>
      <c r="F43" s="126" t="s">
        <v>47</v>
      </c>
      <c r="G43" s="131" t="s">
        <v>1009</v>
      </c>
      <c r="H43" s="131" t="s">
        <v>45</v>
      </c>
      <c r="I43" s="131" t="s">
        <v>1010</v>
      </c>
      <c r="J43" s="125" t="str">
        <f t="array" ref="J43">IFERROR(INDEX(All_User_backup!D:D,MATCH(D43,All_User_backup!H:H,0)),"없음")</f>
        <v>hyeran.an@stryker.com</v>
      </c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  <c r="AD43" s="125"/>
      <c r="AE43" s="125"/>
      <c r="AF43" s="125"/>
      <c r="AG43" s="125"/>
      <c r="AH43" s="125"/>
      <c r="AI43" s="125"/>
      <c r="AJ43" s="125"/>
      <c r="AK43" s="125"/>
      <c r="AL43" s="125"/>
      <c r="AM43" s="125"/>
      <c r="AN43" s="125"/>
      <c r="AO43" s="125"/>
      <c r="AP43" s="125"/>
      <c r="AQ43" s="125"/>
      <c r="AR43" s="125"/>
      <c r="AS43" s="125"/>
      <c r="AT43" s="125"/>
      <c r="AU43" s="125"/>
      <c r="AV43" s="125"/>
      <c r="AW43" s="125"/>
      <c r="AX43" s="125"/>
      <c r="AY43" s="125"/>
      <c r="AZ43" s="125"/>
      <c r="BA43" s="125"/>
      <c r="BB43" s="125"/>
      <c r="BC43" s="125"/>
      <c r="BD43" s="125"/>
      <c r="BE43" s="125"/>
      <c r="BF43" s="125"/>
    </row>
    <row r="44">
      <c r="A44" s="126" t="s">
        <v>912</v>
      </c>
      <c r="B44" s="126" t="s">
        <v>913</v>
      </c>
      <c r="C44" s="142"/>
      <c r="D44" s="126" t="s">
        <v>1011</v>
      </c>
      <c r="E44" s="128">
        <v>38407.0</v>
      </c>
      <c r="F44" s="126" t="s">
        <v>378</v>
      </c>
      <c r="G44" s="131" t="s">
        <v>410</v>
      </c>
      <c r="H44" s="131" t="s">
        <v>412</v>
      </c>
      <c r="I44" s="134"/>
      <c r="J44" s="125" t="str">
        <f t="array" ref="J44">IFERROR(INDEX(All_User_backup!D:D,MATCH(D44,All_User_backup!H:H,0)),"없음")</f>
        <v>greg.kim@stryker.com</v>
      </c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  <c r="AD44" s="125"/>
      <c r="AE44" s="125"/>
      <c r="AF44" s="125"/>
      <c r="AG44" s="125"/>
      <c r="AH44" s="125"/>
      <c r="AI44" s="125"/>
      <c r="AJ44" s="125"/>
      <c r="AK44" s="125"/>
      <c r="AL44" s="125"/>
      <c r="AM44" s="125"/>
      <c r="AN44" s="125"/>
      <c r="AO44" s="125"/>
      <c r="AP44" s="125"/>
      <c r="AQ44" s="125"/>
      <c r="AR44" s="125"/>
      <c r="AS44" s="125"/>
      <c r="AT44" s="125"/>
      <c r="AU44" s="125"/>
      <c r="AV44" s="125"/>
      <c r="AW44" s="125"/>
      <c r="AX44" s="125"/>
      <c r="AY44" s="125"/>
      <c r="AZ44" s="125"/>
      <c r="BA44" s="125"/>
      <c r="BB44" s="125"/>
      <c r="BC44" s="125"/>
      <c r="BD44" s="125"/>
      <c r="BE44" s="125"/>
      <c r="BF44" s="125"/>
    </row>
    <row r="45">
      <c r="A45" s="126" t="s">
        <v>912</v>
      </c>
      <c r="B45" s="126" t="s">
        <v>913</v>
      </c>
      <c r="C45" s="142"/>
      <c r="D45" s="126" t="s">
        <v>1012</v>
      </c>
      <c r="E45" s="128">
        <v>38407.0</v>
      </c>
      <c r="F45" s="126" t="s">
        <v>27</v>
      </c>
      <c r="G45" s="131" t="s">
        <v>385</v>
      </c>
      <c r="H45" s="131" t="s">
        <v>387</v>
      </c>
      <c r="I45" s="134"/>
      <c r="J45" s="125" t="str">
        <f t="array" ref="J45">IFERROR(INDEX(All_User_backup!D:D,MATCH(D45,All_User_backup!H:H,0)),"없음")</f>
        <v>mason.kim1@stryker.com</v>
      </c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  <c r="AD45" s="125"/>
      <c r="AE45" s="125"/>
      <c r="AF45" s="125"/>
      <c r="AG45" s="125"/>
      <c r="AH45" s="125"/>
      <c r="AI45" s="125"/>
      <c r="AJ45" s="125"/>
      <c r="AK45" s="125"/>
      <c r="AL45" s="125"/>
      <c r="AM45" s="125"/>
      <c r="AN45" s="125"/>
      <c r="AO45" s="125"/>
      <c r="AP45" s="125"/>
      <c r="AQ45" s="125"/>
      <c r="AR45" s="125"/>
      <c r="AS45" s="125"/>
      <c r="AT45" s="125"/>
      <c r="AU45" s="125"/>
      <c r="AV45" s="125"/>
      <c r="AW45" s="125"/>
      <c r="AX45" s="125"/>
      <c r="AY45" s="125"/>
      <c r="AZ45" s="125"/>
      <c r="BA45" s="125"/>
      <c r="BB45" s="125"/>
      <c r="BC45" s="125"/>
      <c r="BD45" s="125"/>
      <c r="BE45" s="125"/>
      <c r="BF45" s="125"/>
    </row>
    <row r="46">
      <c r="A46" s="126" t="s">
        <v>912</v>
      </c>
      <c r="B46" s="126" t="s">
        <v>913</v>
      </c>
      <c r="C46" s="142"/>
      <c r="D46" s="126" t="s">
        <v>1013</v>
      </c>
      <c r="E46" s="128">
        <v>38407.0</v>
      </c>
      <c r="F46" s="131" t="s">
        <v>982</v>
      </c>
      <c r="G46" s="131" t="s">
        <v>1014</v>
      </c>
      <c r="H46" s="131" t="s">
        <v>246</v>
      </c>
      <c r="I46" s="131" t="s">
        <v>1015</v>
      </c>
      <c r="J46" s="125" t="str">
        <f t="array" ref="J46">IFERROR(INDEX(All_User_backup!D:D,MATCH(D46,All_User_backup!H:H,0)),"없음")</f>
        <v>hangil.jeong@stryker.com</v>
      </c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  <c r="AD46" s="125"/>
      <c r="AE46" s="125"/>
      <c r="AF46" s="125"/>
      <c r="AG46" s="125"/>
      <c r="AH46" s="125"/>
      <c r="AI46" s="125"/>
      <c r="AJ46" s="125"/>
      <c r="AK46" s="125"/>
      <c r="AL46" s="125"/>
      <c r="AM46" s="125"/>
      <c r="AN46" s="125"/>
      <c r="AO46" s="125"/>
      <c r="AP46" s="125"/>
      <c r="AQ46" s="125"/>
      <c r="AR46" s="125"/>
      <c r="AS46" s="125"/>
      <c r="AT46" s="125"/>
      <c r="AU46" s="125"/>
      <c r="AV46" s="125"/>
      <c r="AW46" s="125"/>
      <c r="AX46" s="125"/>
      <c r="AY46" s="125"/>
      <c r="AZ46" s="125"/>
      <c r="BA46" s="125"/>
      <c r="BB46" s="125"/>
      <c r="BC46" s="125"/>
      <c r="BD46" s="125"/>
      <c r="BE46" s="125"/>
      <c r="BF46" s="125"/>
    </row>
    <row r="47">
      <c r="A47" s="126" t="s">
        <v>912</v>
      </c>
      <c r="B47" s="126" t="s">
        <v>913</v>
      </c>
      <c r="C47" s="142"/>
      <c r="D47" s="126" t="s">
        <v>1016</v>
      </c>
      <c r="E47" s="128">
        <v>38407.0</v>
      </c>
      <c r="F47" s="126" t="s">
        <v>142</v>
      </c>
      <c r="G47" s="131" t="s">
        <v>730</v>
      </c>
      <c r="H47" s="131" t="s">
        <v>732</v>
      </c>
      <c r="I47" s="134"/>
      <c r="J47" s="125" t="str">
        <f t="array" ref="J47">IFERROR(INDEX(All_User_backup!D:D,MATCH(D47,All_User_backup!H:H,0)),"없음")</f>
        <v>jw.yoon@stryker.com</v>
      </c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  <c r="AD47" s="125"/>
      <c r="AE47" s="125"/>
      <c r="AF47" s="125"/>
      <c r="AG47" s="125"/>
      <c r="AH47" s="125"/>
      <c r="AI47" s="125"/>
      <c r="AJ47" s="125"/>
      <c r="AK47" s="125"/>
      <c r="AL47" s="125"/>
      <c r="AM47" s="125"/>
      <c r="AN47" s="125"/>
      <c r="AO47" s="125"/>
      <c r="AP47" s="125"/>
      <c r="AQ47" s="125"/>
      <c r="AR47" s="125"/>
      <c r="AS47" s="125"/>
      <c r="AT47" s="125"/>
      <c r="AU47" s="125"/>
      <c r="AV47" s="125"/>
      <c r="AW47" s="125"/>
      <c r="AX47" s="125"/>
      <c r="AY47" s="125"/>
      <c r="AZ47" s="125"/>
      <c r="BA47" s="125"/>
      <c r="BB47" s="125"/>
      <c r="BC47" s="125"/>
      <c r="BD47" s="125"/>
      <c r="BE47" s="125"/>
      <c r="BF47" s="125"/>
    </row>
    <row r="48">
      <c r="A48" s="126" t="s">
        <v>912</v>
      </c>
      <c r="B48" s="136" t="s">
        <v>913</v>
      </c>
      <c r="C48" s="152"/>
      <c r="D48" s="126" t="s">
        <v>1017</v>
      </c>
      <c r="E48" s="138">
        <v>38407.0</v>
      </c>
      <c r="F48" s="126" t="s">
        <v>671</v>
      </c>
      <c r="G48" s="131" t="s">
        <v>848</v>
      </c>
      <c r="H48" s="129" t="s">
        <v>849</v>
      </c>
      <c r="I48" s="131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  <c r="AD48" s="125"/>
      <c r="AE48" s="125"/>
      <c r="AF48" s="125"/>
      <c r="AG48" s="125"/>
      <c r="AH48" s="125"/>
      <c r="AI48" s="125"/>
      <c r="AJ48" s="125"/>
      <c r="AK48" s="125"/>
      <c r="AL48" s="125"/>
      <c r="AM48" s="125"/>
      <c r="AN48" s="125"/>
      <c r="AO48" s="125"/>
      <c r="AP48" s="125"/>
      <c r="AQ48" s="125"/>
      <c r="AR48" s="125"/>
      <c r="AS48" s="125"/>
      <c r="AT48" s="125"/>
      <c r="AU48" s="125"/>
      <c r="AV48" s="125"/>
      <c r="AW48" s="125"/>
      <c r="AX48" s="125"/>
      <c r="AY48" s="125"/>
      <c r="AZ48" s="125"/>
      <c r="BA48" s="125"/>
      <c r="BB48" s="125"/>
      <c r="BC48" s="125"/>
      <c r="BD48" s="125"/>
      <c r="BE48" s="125"/>
      <c r="BF48" s="125"/>
    </row>
    <row r="49">
      <c r="A49" s="126" t="s">
        <v>912</v>
      </c>
      <c r="B49" s="126" t="s">
        <v>913</v>
      </c>
      <c r="C49" s="142"/>
      <c r="D49" s="126" t="s">
        <v>1018</v>
      </c>
      <c r="E49" s="128">
        <v>38407.0</v>
      </c>
      <c r="F49" s="126" t="s">
        <v>52</v>
      </c>
      <c r="G49" s="131" t="s">
        <v>519</v>
      </c>
      <c r="H49" s="131" t="s">
        <v>521</v>
      </c>
      <c r="I49" s="134"/>
      <c r="J49" s="125" t="str">
        <f t="array" ref="J49">IFERROR(INDEX(All_User_backup!D:D,MATCH(D49,All_User_backup!H:H,0)),"없음")</f>
        <v>ethan.na@stryker.com</v>
      </c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  <c r="AD49" s="125"/>
      <c r="AE49" s="125"/>
      <c r="AF49" s="125"/>
      <c r="AG49" s="125"/>
      <c r="AH49" s="125"/>
      <c r="AI49" s="125"/>
      <c r="AJ49" s="125"/>
      <c r="AK49" s="125"/>
      <c r="AL49" s="125"/>
      <c r="AM49" s="125"/>
      <c r="AN49" s="125"/>
      <c r="AO49" s="125"/>
      <c r="AP49" s="125"/>
      <c r="AQ49" s="125"/>
      <c r="AR49" s="125"/>
      <c r="AS49" s="125"/>
      <c r="AT49" s="125"/>
      <c r="AU49" s="125"/>
      <c r="AV49" s="125"/>
      <c r="AW49" s="125"/>
      <c r="AX49" s="125"/>
      <c r="AY49" s="125"/>
      <c r="AZ49" s="125"/>
      <c r="BA49" s="125"/>
      <c r="BB49" s="125"/>
      <c r="BC49" s="125"/>
      <c r="BD49" s="125"/>
      <c r="BE49" s="125"/>
      <c r="BF49" s="125"/>
    </row>
    <row r="50">
      <c r="A50" s="126" t="s">
        <v>912</v>
      </c>
      <c r="B50" s="126" t="s">
        <v>913</v>
      </c>
      <c r="C50" s="142"/>
      <c r="D50" s="126" t="s">
        <v>1019</v>
      </c>
      <c r="E50" s="128">
        <v>38407.0</v>
      </c>
      <c r="F50" s="126" t="s">
        <v>671</v>
      </c>
      <c r="G50" s="131" t="s">
        <v>916</v>
      </c>
      <c r="H50" s="131"/>
      <c r="I50" s="131" t="s">
        <v>1020</v>
      </c>
      <c r="J50" s="125" t="str">
        <f t="array" ref="J50">IFERROR(INDEX(All_User_backup!D:D,MATCH(D50,All_User_backup!H:H,0)),"없음")</f>
        <v>없음</v>
      </c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  <c r="AD50" s="125"/>
      <c r="AE50" s="125"/>
      <c r="AF50" s="125"/>
      <c r="AG50" s="125"/>
      <c r="AH50" s="125"/>
      <c r="AI50" s="125"/>
      <c r="AJ50" s="125"/>
      <c r="AK50" s="125"/>
      <c r="AL50" s="125"/>
      <c r="AM50" s="125"/>
      <c r="AN50" s="125"/>
      <c r="AO50" s="125"/>
      <c r="AP50" s="125"/>
      <c r="AQ50" s="125"/>
      <c r="AR50" s="125"/>
      <c r="AS50" s="125"/>
      <c r="AT50" s="125"/>
      <c r="AU50" s="125"/>
      <c r="AV50" s="125"/>
      <c r="AW50" s="125"/>
      <c r="AX50" s="125"/>
      <c r="AY50" s="125"/>
      <c r="AZ50" s="125"/>
      <c r="BA50" s="125"/>
      <c r="BB50" s="125"/>
      <c r="BC50" s="125"/>
      <c r="BD50" s="125"/>
      <c r="BE50" s="125"/>
      <c r="BF50" s="125"/>
    </row>
    <row r="51">
      <c r="A51" s="126" t="s">
        <v>912</v>
      </c>
      <c r="B51" s="126" t="s">
        <v>913</v>
      </c>
      <c r="C51" s="142"/>
      <c r="D51" s="126" t="s">
        <v>1021</v>
      </c>
      <c r="E51" s="128">
        <v>38407.0</v>
      </c>
      <c r="F51" s="126" t="s">
        <v>77</v>
      </c>
      <c r="G51" s="131" t="s">
        <v>122</v>
      </c>
      <c r="H51" s="131" t="s">
        <v>124</v>
      </c>
      <c r="I51" s="153"/>
      <c r="J51" s="125" t="str">
        <f t="array" ref="J51">IFERROR(INDEX(All_User_backup!D:D,MATCH(D51,All_User_backup!H:H,0)),"없음")</f>
        <v>brad.choi@stryker.com</v>
      </c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  <c r="AD51" s="125"/>
      <c r="AE51" s="125"/>
      <c r="AF51" s="125"/>
      <c r="AG51" s="125"/>
      <c r="AH51" s="125"/>
      <c r="AI51" s="125"/>
      <c r="AJ51" s="125"/>
      <c r="AK51" s="125"/>
      <c r="AL51" s="125"/>
      <c r="AM51" s="125"/>
      <c r="AN51" s="125"/>
      <c r="AO51" s="125"/>
      <c r="AP51" s="125"/>
      <c r="AQ51" s="125"/>
      <c r="AR51" s="125"/>
      <c r="AS51" s="125"/>
      <c r="AT51" s="125"/>
      <c r="AU51" s="125"/>
      <c r="AV51" s="125"/>
      <c r="AW51" s="125"/>
      <c r="AX51" s="125"/>
      <c r="AY51" s="125"/>
      <c r="AZ51" s="125"/>
      <c r="BA51" s="125"/>
      <c r="BB51" s="125"/>
      <c r="BC51" s="125"/>
      <c r="BD51" s="125"/>
      <c r="BE51" s="125"/>
      <c r="BF51" s="125"/>
    </row>
    <row r="52">
      <c r="A52" s="126" t="s">
        <v>912</v>
      </c>
      <c r="B52" s="126" t="s">
        <v>913</v>
      </c>
      <c r="C52" s="142"/>
      <c r="D52" s="126" t="s">
        <v>1022</v>
      </c>
      <c r="E52" s="154" t="s">
        <v>1023</v>
      </c>
      <c r="F52" s="126" t="s">
        <v>671</v>
      </c>
      <c r="G52" s="131" t="s">
        <v>996</v>
      </c>
      <c r="H52" s="139" t="s">
        <v>1024</v>
      </c>
      <c r="I52" s="139" t="s">
        <v>1025</v>
      </c>
      <c r="J52" s="155" t="s">
        <v>1026</v>
      </c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  <c r="AD52" s="125"/>
      <c r="AE52" s="125"/>
      <c r="AF52" s="125"/>
      <c r="AG52" s="125"/>
      <c r="AH52" s="125"/>
      <c r="AI52" s="125"/>
      <c r="AJ52" s="125"/>
      <c r="AK52" s="125"/>
      <c r="AL52" s="125"/>
      <c r="AM52" s="125"/>
      <c r="AN52" s="125"/>
      <c r="AO52" s="125"/>
      <c r="AP52" s="125"/>
      <c r="AQ52" s="125"/>
      <c r="AR52" s="125"/>
      <c r="AS52" s="125"/>
      <c r="AT52" s="125"/>
      <c r="AU52" s="125"/>
      <c r="AV52" s="125"/>
      <c r="AW52" s="125"/>
      <c r="AX52" s="125"/>
      <c r="AY52" s="125"/>
      <c r="AZ52" s="125"/>
      <c r="BA52" s="125"/>
      <c r="BB52" s="125"/>
      <c r="BC52" s="125"/>
      <c r="BD52" s="125"/>
      <c r="BE52" s="125"/>
      <c r="BF52" s="125"/>
    </row>
    <row r="53">
      <c r="A53" s="126" t="s">
        <v>912</v>
      </c>
      <c r="B53" s="126" t="s">
        <v>913</v>
      </c>
      <c r="C53" s="142"/>
      <c r="D53" s="126" t="s">
        <v>1027</v>
      </c>
      <c r="E53" s="148" t="s">
        <v>1023</v>
      </c>
      <c r="F53" s="126" t="s">
        <v>750</v>
      </c>
      <c r="G53" s="131" t="s">
        <v>850</v>
      </c>
      <c r="H53" s="129" t="s">
        <v>1028</v>
      </c>
      <c r="I53" s="131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  <c r="AD53" s="125"/>
      <c r="AE53" s="125"/>
      <c r="AF53" s="125"/>
      <c r="AG53" s="125"/>
      <c r="AH53" s="125"/>
      <c r="AI53" s="125"/>
      <c r="AJ53" s="125"/>
      <c r="AK53" s="125"/>
      <c r="AL53" s="125"/>
      <c r="AM53" s="125"/>
      <c r="AN53" s="125"/>
      <c r="AO53" s="125"/>
      <c r="AP53" s="125"/>
      <c r="AQ53" s="125"/>
      <c r="AR53" s="125"/>
      <c r="AS53" s="125"/>
      <c r="AT53" s="125"/>
      <c r="AU53" s="125"/>
      <c r="AV53" s="125"/>
      <c r="AW53" s="125"/>
      <c r="AX53" s="125"/>
      <c r="AY53" s="125"/>
      <c r="AZ53" s="125"/>
      <c r="BA53" s="125"/>
      <c r="BB53" s="125"/>
      <c r="BC53" s="125"/>
      <c r="BD53" s="125"/>
      <c r="BE53" s="125"/>
      <c r="BF53" s="125"/>
    </row>
    <row r="54">
      <c r="A54" s="126" t="s">
        <v>912</v>
      </c>
      <c r="B54" s="136" t="s">
        <v>913</v>
      </c>
      <c r="C54" s="152"/>
      <c r="D54" s="126" t="s">
        <v>1029</v>
      </c>
      <c r="E54" s="156" t="s">
        <v>1023</v>
      </c>
      <c r="F54" s="126" t="s">
        <v>1030</v>
      </c>
      <c r="G54" s="131" t="s">
        <v>1031</v>
      </c>
      <c r="H54" s="139" t="s">
        <v>1032</v>
      </c>
      <c r="I54" s="134"/>
      <c r="J54" s="125" t="str">
        <f t="array" ref="J54">IFERROR(INDEX(All_User_backup!D:D,MATCH(D54,All_User_backup!H:H,0)),"없음")</f>
        <v>yeonjoo.kim@stryker.com</v>
      </c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  <c r="AD54" s="125"/>
      <c r="AE54" s="125"/>
      <c r="AF54" s="125"/>
      <c r="AG54" s="125"/>
      <c r="AH54" s="125"/>
      <c r="AI54" s="125"/>
      <c r="AJ54" s="125"/>
      <c r="AK54" s="125"/>
      <c r="AL54" s="125"/>
      <c r="AM54" s="125"/>
      <c r="AN54" s="125"/>
      <c r="AO54" s="125"/>
      <c r="AP54" s="125"/>
      <c r="AQ54" s="125"/>
      <c r="AR54" s="125"/>
      <c r="AS54" s="125"/>
      <c r="AT54" s="125"/>
      <c r="AU54" s="125"/>
      <c r="AV54" s="125"/>
      <c r="AW54" s="125"/>
      <c r="AX54" s="125"/>
      <c r="AY54" s="125"/>
      <c r="AZ54" s="125"/>
      <c r="BA54" s="125"/>
      <c r="BB54" s="125"/>
      <c r="BC54" s="125"/>
      <c r="BD54" s="125"/>
      <c r="BE54" s="125"/>
      <c r="BF54" s="125"/>
    </row>
    <row r="55">
      <c r="A55" s="126" t="s">
        <v>912</v>
      </c>
      <c r="B55" s="126" t="s">
        <v>913</v>
      </c>
      <c r="C55" s="142"/>
      <c r="D55" s="126" t="s">
        <v>1033</v>
      </c>
      <c r="E55" s="148" t="s">
        <v>1023</v>
      </c>
      <c r="F55" s="126" t="s">
        <v>27</v>
      </c>
      <c r="G55" s="157" t="s">
        <v>529</v>
      </c>
      <c r="H55" s="129" t="s">
        <v>531</v>
      </c>
      <c r="I55" s="131"/>
      <c r="J55" s="125" t="str">
        <f t="array" ref="J55">IFERROR(INDEX(All_User_backup!D:D,MATCH(D55,All_User_backup!H:H,0)),"없음")</f>
        <v>mason.oh@stryker.com</v>
      </c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  <c r="AD55" s="125"/>
      <c r="AE55" s="125"/>
      <c r="AF55" s="125"/>
      <c r="AG55" s="125"/>
      <c r="AH55" s="125"/>
      <c r="AI55" s="125"/>
      <c r="AJ55" s="125"/>
      <c r="AK55" s="125"/>
      <c r="AL55" s="125"/>
      <c r="AM55" s="125"/>
      <c r="AN55" s="125"/>
      <c r="AO55" s="125"/>
      <c r="AP55" s="125"/>
      <c r="AQ55" s="125"/>
      <c r="AR55" s="125"/>
      <c r="AS55" s="125"/>
      <c r="AT55" s="125"/>
      <c r="AU55" s="125"/>
      <c r="AV55" s="125"/>
      <c r="AW55" s="125"/>
      <c r="AX55" s="125"/>
      <c r="AY55" s="125"/>
      <c r="AZ55" s="125"/>
      <c r="BA55" s="125"/>
      <c r="BB55" s="125"/>
      <c r="BC55" s="125"/>
      <c r="BD55" s="125"/>
      <c r="BE55" s="125"/>
      <c r="BF55" s="125"/>
    </row>
    <row r="56">
      <c r="A56" s="126" t="s">
        <v>912</v>
      </c>
      <c r="B56" s="126" t="s">
        <v>913</v>
      </c>
      <c r="C56" s="142"/>
      <c r="D56" s="126" t="s">
        <v>1034</v>
      </c>
      <c r="E56" s="148" t="s">
        <v>1023</v>
      </c>
      <c r="F56" s="126" t="s">
        <v>35</v>
      </c>
      <c r="G56" s="131" t="s">
        <v>675</v>
      </c>
      <c r="H56" s="131" t="s">
        <v>677</v>
      </c>
      <c r="I56" s="134"/>
      <c r="J56" s="125" t="str">
        <f t="array" ref="J56">IFERROR(INDEX(All_User_backup!D:D,MATCH(D56,All_User_backup!H:H,0)),"없음")</f>
        <v>jayden.song@stryker.com</v>
      </c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  <c r="AD56" s="125"/>
      <c r="AE56" s="125"/>
      <c r="AF56" s="125"/>
      <c r="AG56" s="125"/>
      <c r="AH56" s="125"/>
      <c r="AI56" s="125"/>
      <c r="AJ56" s="125"/>
      <c r="AK56" s="125"/>
      <c r="AL56" s="125"/>
      <c r="AM56" s="125"/>
      <c r="AN56" s="125"/>
      <c r="AO56" s="125"/>
      <c r="AP56" s="125"/>
      <c r="AQ56" s="125"/>
      <c r="AR56" s="125"/>
      <c r="AS56" s="125"/>
      <c r="AT56" s="125"/>
      <c r="AU56" s="125"/>
      <c r="AV56" s="125"/>
      <c r="AW56" s="125"/>
      <c r="AX56" s="125"/>
      <c r="AY56" s="125"/>
      <c r="AZ56" s="125"/>
      <c r="BA56" s="125"/>
      <c r="BB56" s="125"/>
      <c r="BC56" s="125"/>
      <c r="BD56" s="125"/>
      <c r="BE56" s="125"/>
      <c r="BF56" s="125"/>
    </row>
    <row r="57">
      <c r="A57" s="126" t="s">
        <v>912</v>
      </c>
      <c r="B57" s="126" t="s">
        <v>913</v>
      </c>
      <c r="C57" s="142"/>
      <c r="D57" s="126" t="s">
        <v>1035</v>
      </c>
      <c r="E57" s="148" t="s">
        <v>1023</v>
      </c>
      <c r="F57" s="126" t="s">
        <v>35</v>
      </c>
      <c r="G57" s="131" t="s">
        <v>457</v>
      </c>
      <c r="H57" s="131" t="s">
        <v>459</v>
      </c>
      <c r="I57" s="134"/>
      <c r="J57" s="125" t="str">
        <f t="array" ref="J57">IFERROR(INDEX(All_User_backup!D:D,MATCH(D57,All_User_backup!H:H,0)),"없음")</f>
        <v>david.lee4@stryker.com</v>
      </c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  <c r="AD57" s="125"/>
      <c r="AE57" s="125"/>
      <c r="AF57" s="125"/>
      <c r="AG57" s="125"/>
      <c r="AH57" s="125"/>
      <c r="AI57" s="125"/>
      <c r="AJ57" s="125"/>
      <c r="AK57" s="125"/>
      <c r="AL57" s="125"/>
      <c r="AM57" s="125"/>
      <c r="AN57" s="125"/>
      <c r="AO57" s="125"/>
      <c r="AP57" s="125"/>
      <c r="AQ57" s="125"/>
      <c r="AR57" s="125"/>
      <c r="AS57" s="125"/>
      <c r="AT57" s="125"/>
      <c r="AU57" s="125"/>
      <c r="AV57" s="125"/>
      <c r="AW57" s="125"/>
      <c r="AX57" s="125"/>
      <c r="AY57" s="125"/>
      <c r="AZ57" s="125"/>
      <c r="BA57" s="125"/>
      <c r="BB57" s="125"/>
      <c r="BC57" s="125"/>
      <c r="BD57" s="125"/>
      <c r="BE57" s="125"/>
      <c r="BF57" s="125"/>
    </row>
    <row r="58">
      <c r="A58" s="126" t="s">
        <v>912</v>
      </c>
      <c r="B58" s="126" t="s">
        <v>913</v>
      </c>
      <c r="C58" s="142"/>
      <c r="D58" s="126" t="s">
        <v>1036</v>
      </c>
      <c r="E58" s="148" t="s">
        <v>1023</v>
      </c>
      <c r="F58" s="131" t="s">
        <v>142</v>
      </c>
      <c r="G58" s="131" t="s">
        <v>1037</v>
      </c>
      <c r="H58" s="131" t="s">
        <v>140</v>
      </c>
      <c r="I58" s="134"/>
      <c r="J58" s="125" t="str">
        <f t="array" ref="J58">IFERROR(INDEX(All_User_backup!D:D,MATCH(D58,All_User_backup!H:H,0)),"없음")</f>
        <v>david.chung@stryker.com</v>
      </c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  <c r="AD58" s="125"/>
      <c r="AE58" s="125"/>
      <c r="AF58" s="125"/>
      <c r="AG58" s="125"/>
      <c r="AH58" s="125"/>
      <c r="AI58" s="125"/>
      <c r="AJ58" s="125"/>
      <c r="AK58" s="125"/>
      <c r="AL58" s="125"/>
      <c r="AM58" s="125"/>
      <c r="AN58" s="125"/>
      <c r="AO58" s="125"/>
      <c r="AP58" s="125"/>
      <c r="AQ58" s="125"/>
      <c r="AR58" s="125"/>
      <c r="AS58" s="125"/>
      <c r="AT58" s="125"/>
      <c r="AU58" s="125"/>
      <c r="AV58" s="125"/>
      <c r="AW58" s="125"/>
      <c r="AX58" s="125"/>
      <c r="AY58" s="125"/>
      <c r="AZ58" s="125"/>
      <c r="BA58" s="125"/>
      <c r="BB58" s="125"/>
      <c r="BC58" s="125"/>
      <c r="BD58" s="125"/>
      <c r="BE58" s="125"/>
      <c r="BF58" s="125"/>
    </row>
    <row r="59">
      <c r="A59" s="126" t="s">
        <v>912</v>
      </c>
      <c r="B59" s="126" t="s">
        <v>913</v>
      </c>
      <c r="C59" s="142"/>
      <c r="D59" s="126" t="s">
        <v>1038</v>
      </c>
      <c r="E59" s="148" t="s">
        <v>1023</v>
      </c>
      <c r="F59" s="126" t="s">
        <v>52</v>
      </c>
      <c r="G59" s="131" t="s">
        <v>309</v>
      </c>
      <c r="H59" s="131" t="s">
        <v>311</v>
      </c>
      <c r="I59" s="134"/>
      <c r="J59" s="125" t="str">
        <f t="array" ref="J59">IFERROR(INDEX(All_User_backup!D:D,MATCH(D59,All_User_backup!H:H,0)),"없음")</f>
        <v>danny.kim@stryker.com</v>
      </c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  <c r="AD59" s="125"/>
      <c r="AE59" s="125"/>
      <c r="AF59" s="125"/>
      <c r="AG59" s="125"/>
      <c r="AH59" s="125"/>
      <c r="AI59" s="125"/>
      <c r="AJ59" s="125"/>
      <c r="AK59" s="125"/>
      <c r="AL59" s="125"/>
      <c r="AM59" s="125"/>
      <c r="AN59" s="125"/>
      <c r="AO59" s="125"/>
      <c r="AP59" s="125"/>
      <c r="AQ59" s="125"/>
      <c r="AR59" s="125"/>
      <c r="AS59" s="125"/>
      <c r="AT59" s="125"/>
      <c r="AU59" s="125"/>
      <c r="AV59" s="125"/>
      <c r="AW59" s="125"/>
      <c r="AX59" s="125"/>
      <c r="AY59" s="125"/>
      <c r="AZ59" s="125"/>
      <c r="BA59" s="125"/>
      <c r="BB59" s="125"/>
      <c r="BC59" s="125"/>
      <c r="BD59" s="125"/>
      <c r="BE59" s="125"/>
      <c r="BF59" s="125"/>
    </row>
    <row r="60">
      <c r="A60" s="126" t="s">
        <v>912</v>
      </c>
      <c r="B60" s="126" t="s">
        <v>913</v>
      </c>
      <c r="C60" s="142"/>
      <c r="D60" s="126" t="s">
        <v>1039</v>
      </c>
      <c r="E60" s="148" t="s">
        <v>1023</v>
      </c>
      <c r="F60" s="126" t="s">
        <v>27</v>
      </c>
      <c r="G60" s="131" t="s">
        <v>78</v>
      </c>
      <c r="H60" s="131" t="s">
        <v>80</v>
      </c>
      <c r="I60" s="134"/>
      <c r="J60" s="125" t="str">
        <f t="array" ref="J60">IFERROR(INDEX(All_User_backup!D:D,MATCH(D60,All_User_backup!H:H,0)),"없음")</f>
        <v>jisoo.byeon@stryker.com</v>
      </c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  <c r="AD60" s="125"/>
      <c r="AE60" s="125"/>
      <c r="AF60" s="125"/>
      <c r="AG60" s="125"/>
      <c r="AH60" s="125"/>
      <c r="AI60" s="125"/>
      <c r="AJ60" s="125"/>
      <c r="AK60" s="125"/>
      <c r="AL60" s="125"/>
      <c r="AM60" s="125"/>
      <c r="AN60" s="125"/>
      <c r="AO60" s="125"/>
      <c r="AP60" s="125"/>
      <c r="AQ60" s="125"/>
      <c r="AR60" s="125"/>
      <c r="AS60" s="125"/>
      <c r="AT60" s="125"/>
      <c r="AU60" s="125"/>
      <c r="AV60" s="125"/>
      <c r="AW60" s="125"/>
      <c r="AX60" s="125"/>
      <c r="AY60" s="125"/>
      <c r="AZ60" s="125"/>
      <c r="BA60" s="125"/>
      <c r="BB60" s="125"/>
      <c r="BC60" s="125"/>
      <c r="BD60" s="125"/>
      <c r="BE60" s="125"/>
      <c r="BF60" s="125"/>
    </row>
    <row r="61">
      <c r="A61" s="126" t="s">
        <v>912</v>
      </c>
      <c r="B61" s="126" t="s">
        <v>913</v>
      </c>
      <c r="C61" s="142"/>
      <c r="D61" s="126" t="s">
        <v>1040</v>
      </c>
      <c r="E61" s="148" t="s">
        <v>1023</v>
      </c>
      <c r="F61" s="126" t="s">
        <v>1041</v>
      </c>
      <c r="G61" s="131" t="s">
        <v>630</v>
      </c>
      <c r="H61" s="131" t="s">
        <v>632</v>
      </c>
      <c r="I61" s="134"/>
      <c r="J61" s="125" t="str">
        <f t="array" ref="J61">IFERROR(INDEX(All_User_backup!D:D,MATCH(D61,All_User_backup!H:H,0)),"없음")</f>
        <v>kevin.shim@stryker.com</v>
      </c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  <c r="AD61" s="125"/>
      <c r="AE61" s="125"/>
      <c r="AF61" s="125"/>
      <c r="AG61" s="125"/>
      <c r="AH61" s="125"/>
      <c r="AI61" s="125"/>
      <c r="AJ61" s="125"/>
      <c r="AK61" s="125"/>
      <c r="AL61" s="125"/>
      <c r="AM61" s="125"/>
      <c r="AN61" s="125"/>
      <c r="AO61" s="125"/>
      <c r="AP61" s="125"/>
      <c r="AQ61" s="125"/>
      <c r="AR61" s="125"/>
      <c r="AS61" s="125"/>
      <c r="AT61" s="125"/>
      <c r="AU61" s="125"/>
      <c r="AV61" s="125"/>
      <c r="AW61" s="125"/>
      <c r="AX61" s="125"/>
      <c r="AY61" s="125"/>
      <c r="AZ61" s="125"/>
      <c r="BA61" s="125"/>
      <c r="BB61" s="125"/>
      <c r="BC61" s="125"/>
      <c r="BD61" s="125"/>
      <c r="BE61" s="125"/>
      <c r="BF61" s="125"/>
    </row>
    <row r="62">
      <c r="A62" s="126" t="s">
        <v>912</v>
      </c>
      <c r="B62" s="126" t="s">
        <v>913</v>
      </c>
      <c r="C62" s="142"/>
      <c r="D62" s="126" t="s">
        <v>1042</v>
      </c>
      <c r="E62" s="148" t="s">
        <v>1023</v>
      </c>
      <c r="F62" s="126" t="s">
        <v>940</v>
      </c>
      <c r="G62" s="131" t="s">
        <v>279</v>
      </c>
      <c r="H62" s="131" t="s">
        <v>281</v>
      </c>
      <c r="I62" s="134"/>
      <c r="J62" s="125" t="str">
        <f t="array" ref="J62">IFERROR(INDEX(All_User_backup!D:D,MATCH(D62,All_User_backup!H:H,0)),"없음")</f>
        <v>celine.jung@stryker.com</v>
      </c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  <c r="AD62" s="125"/>
      <c r="AE62" s="125"/>
      <c r="AF62" s="125"/>
      <c r="AG62" s="125"/>
      <c r="AH62" s="125"/>
      <c r="AI62" s="125"/>
      <c r="AJ62" s="125"/>
      <c r="AK62" s="125"/>
      <c r="AL62" s="125"/>
      <c r="AM62" s="125"/>
      <c r="AN62" s="125"/>
      <c r="AO62" s="125"/>
      <c r="AP62" s="125"/>
      <c r="AQ62" s="125"/>
      <c r="AR62" s="125"/>
      <c r="AS62" s="125"/>
      <c r="AT62" s="125"/>
      <c r="AU62" s="125"/>
      <c r="AV62" s="125"/>
      <c r="AW62" s="125"/>
      <c r="AX62" s="125"/>
      <c r="AY62" s="125"/>
      <c r="AZ62" s="125"/>
      <c r="BA62" s="125"/>
      <c r="BB62" s="125"/>
      <c r="BC62" s="125"/>
      <c r="BD62" s="125"/>
      <c r="BE62" s="125"/>
      <c r="BF62" s="125"/>
    </row>
    <row r="63">
      <c r="A63" s="126" t="s">
        <v>912</v>
      </c>
      <c r="B63" s="126" t="s">
        <v>913</v>
      </c>
      <c r="C63" s="142"/>
      <c r="D63" s="126" t="s">
        <v>1043</v>
      </c>
      <c r="E63" s="148" t="s">
        <v>1023</v>
      </c>
      <c r="F63" s="126" t="s">
        <v>671</v>
      </c>
      <c r="G63" s="131" t="s">
        <v>916</v>
      </c>
      <c r="H63" s="131"/>
      <c r="I63" s="131" t="s">
        <v>1044</v>
      </c>
      <c r="J63" s="125" t="str">
        <f t="array" ref="J63">IFERROR(INDEX(All_User_backup!D:D,MATCH(D63,All_User_backup!H:H,0)),"없음")</f>
        <v>없음</v>
      </c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  <c r="AD63" s="125"/>
      <c r="AE63" s="125"/>
      <c r="AF63" s="125"/>
      <c r="AG63" s="125"/>
      <c r="AH63" s="125"/>
      <c r="AI63" s="125"/>
      <c r="AJ63" s="125"/>
      <c r="AK63" s="125"/>
      <c r="AL63" s="125"/>
      <c r="AM63" s="125"/>
      <c r="AN63" s="125"/>
      <c r="AO63" s="125"/>
      <c r="AP63" s="125"/>
      <c r="AQ63" s="125"/>
      <c r="AR63" s="125"/>
      <c r="AS63" s="125"/>
      <c r="AT63" s="125"/>
      <c r="AU63" s="125"/>
      <c r="AV63" s="125"/>
      <c r="AW63" s="125"/>
      <c r="AX63" s="125"/>
      <c r="AY63" s="125"/>
      <c r="AZ63" s="125"/>
      <c r="BA63" s="125"/>
      <c r="BB63" s="125"/>
      <c r="BC63" s="125"/>
      <c r="BD63" s="125"/>
      <c r="BE63" s="125"/>
      <c r="BF63" s="125"/>
    </row>
    <row r="64">
      <c r="A64" s="126" t="s">
        <v>912</v>
      </c>
      <c r="B64" s="126" t="s">
        <v>913</v>
      </c>
      <c r="C64" s="142"/>
      <c r="D64" s="126" t="s">
        <v>1045</v>
      </c>
      <c r="E64" s="148" t="s">
        <v>1023</v>
      </c>
      <c r="F64" s="126" t="s">
        <v>27</v>
      </c>
      <c r="G64" s="131" t="s">
        <v>1046</v>
      </c>
      <c r="H64" s="131" t="s">
        <v>427</v>
      </c>
      <c r="I64" s="134"/>
      <c r="J64" s="125" t="str">
        <f t="array" ref="J64">IFERROR(INDEX(All_User_backup!D:D,MATCH(D64,All_User_backup!H:H,0)),"없음")</f>
        <v>ara.ko@stryker.com</v>
      </c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  <c r="AD64" s="125"/>
      <c r="AE64" s="125"/>
      <c r="AF64" s="125"/>
      <c r="AG64" s="125"/>
      <c r="AH64" s="125"/>
      <c r="AI64" s="125"/>
      <c r="AJ64" s="125"/>
      <c r="AK64" s="125"/>
      <c r="AL64" s="125"/>
      <c r="AM64" s="125"/>
      <c r="AN64" s="125"/>
      <c r="AO64" s="125"/>
      <c r="AP64" s="125"/>
      <c r="AQ64" s="125"/>
      <c r="AR64" s="125"/>
      <c r="AS64" s="125"/>
      <c r="AT64" s="125"/>
      <c r="AU64" s="125"/>
      <c r="AV64" s="125"/>
      <c r="AW64" s="125"/>
      <c r="AX64" s="125"/>
      <c r="AY64" s="125"/>
      <c r="AZ64" s="125"/>
      <c r="BA64" s="125"/>
      <c r="BB64" s="125"/>
      <c r="BC64" s="125"/>
      <c r="BD64" s="125"/>
      <c r="BE64" s="125"/>
      <c r="BF64" s="125"/>
    </row>
    <row r="65">
      <c r="A65" s="126" t="s">
        <v>912</v>
      </c>
      <c r="B65" s="126" t="s">
        <v>913</v>
      </c>
      <c r="C65" s="142"/>
      <c r="D65" s="126" t="s">
        <v>1047</v>
      </c>
      <c r="E65" s="148" t="s">
        <v>1023</v>
      </c>
      <c r="F65" s="126" t="s">
        <v>1048</v>
      </c>
      <c r="G65" s="131" t="s">
        <v>1049</v>
      </c>
      <c r="H65" s="131" t="s">
        <v>541</v>
      </c>
      <c r="I65" s="134"/>
      <c r="J65" s="125" t="str">
        <f t="array" ref="J65">IFERROR(INDEX(All_User_backup!D:D,MATCH(D65,All_User_backup!H:H,0)),"없음")</f>
        <v>jennifer.paek@stryker.com</v>
      </c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  <c r="AD65" s="125"/>
      <c r="AE65" s="125"/>
      <c r="AF65" s="125"/>
      <c r="AG65" s="125"/>
      <c r="AH65" s="125"/>
      <c r="AI65" s="125"/>
      <c r="AJ65" s="125"/>
      <c r="AK65" s="125"/>
      <c r="AL65" s="125"/>
      <c r="AM65" s="125"/>
      <c r="AN65" s="125"/>
      <c r="AO65" s="125"/>
      <c r="AP65" s="125"/>
      <c r="AQ65" s="125"/>
      <c r="AR65" s="125"/>
      <c r="AS65" s="125"/>
      <c r="AT65" s="125"/>
      <c r="AU65" s="125"/>
      <c r="AV65" s="125"/>
      <c r="AW65" s="125"/>
      <c r="AX65" s="125"/>
      <c r="AY65" s="125"/>
      <c r="AZ65" s="125"/>
      <c r="BA65" s="125"/>
      <c r="BB65" s="125"/>
      <c r="BC65" s="125"/>
      <c r="BD65" s="125"/>
      <c r="BE65" s="125"/>
      <c r="BF65" s="125"/>
    </row>
    <row r="66">
      <c r="A66" s="126" t="s">
        <v>912</v>
      </c>
      <c r="B66" s="126" t="s">
        <v>913</v>
      </c>
      <c r="C66" s="142"/>
      <c r="D66" s="126" t="s">
        <v>1050</v>
      </c>
      <c r="E66" s="148" t="s">
        <v>1023</v>
      </c>
      <c r="F66" s="126" t="s">
        <v>671</v>
      </c>
      <c r="G66" s="131" t="s">
        <v>755</v>
      </c>
      <c r="H66" s="131" t="s">
        <v>756</v>
      </c>
      <c r="I66" s="134"/>
      <c r="J66" s="125" t="str">
        <f t="array" ref="J66">IFERROR(INDEX(All_User_backup!D:D,MATCH(D66,All_User_backup!H:H,0)),"없음")</f>
        <v>eric.kim@stryker.com</v>
      </c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  <c r="AD66" s="125"/>
      <c r="AE66" s="125"/>
      <c r="AF66" s="125"/>
      <c r="AG66" s="125"/>
      <c r="AH66" s="125"/>
      <c r="AI66" s="125"/>
      <c r="AJ66" s="125"/>
      <c r="AK66" s="125"/>
      <c r="AL66" s="125"/>
      <c r="AM66" s="125"/>
      <c r="AN66" s="125"/>
      <c r="AO66" s="125"/>
      <c r="AP66" s="125"/>
      <c r="AQ66" s="125"/>
      <c r="AR66" s="125"/>
      <c r="AS66" s="125"/>
      <c r="AT66" s="125"/>
      <c r="AU66" s="125"/>
      <c r="AV66" s="125"/>
      <c r="AW66" s="125"/>
      <c r="AX66" s="125"/>
      <c r="AY66" s="125"/>
      <c r="AZ66" s="125"/>
      <c r="BA66" s="125"/>
      <c r="BB66" s="125"/>
      <c r="BC66" s="125"/>
      <c r="BD66" s="125"/>
      <c r="BE66" s="125"/>
      <c r="BF66" s="125"/>
    </row>
    <row r="67">
      <c r="A67" s="126" t="s">
        <v>912</v>
      </c>
      <c r="B67" s="126" t="s">
        <v>913</v>
      </c>
      <c r="C67" s="142"/>
      <c r="D67" s="126" t="s">
        <v>1051</v>
      </c>
      <c r="E67" s="148" t="s">
        <v>1023</v>
      </c>
      <c r="F67" s="126" t="s">
        <v>940</v>
      </c>
      <c r="G67" s="131" t="s">
        <v>297</v>
      </c>
      <c r="H67" s="131" t="s">
        <v>299</v>
      </c>
      <c r="I67" s="134"/>
      <c r="J67" s="125" t="str">
        <f t="array" ref="J67">IFERROR(INDEX(All_User_backup!D:D,MATCH(D67,All_User_backup!H:H,0)),"없음")</f>
        <v>Leslie.kim@stryker.com</v>
      </c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  <c r="AD67" s="125"/>
      <c r="AE67" s="125"/>
      <c r="AF67" s="125"/>
      <c r="AG67" s="125"/>
      <c r="AH67" s="125"/>
      <c r="AI67" s="125"/>
      <c r="AJ67" s="125"/>
      <c r="AK67" s="125"/>
      <c r="AL67" s="125"/>
      <c r="AM67" s="125"/>
      <c r="AN67" s="125"/>
      <c r="AO67" s="125"/>
      <c r="AP67" s="125"/>
      <c r="AQ67" s="125"/>
      <c r="AR67" s="125"/>
      <c r="AS67" s="125"/>
      <c r="AT67" s="125"/>
      <c r="AU67" s="125"/>
      <c r="AV67" s="125"/>
      <c r="AW67" s="125"/>
      <c r="AX67" s="125"/>
      <c r="AY67" s="125"/>
      <c r="AZ67" s="125"/>
      <c r="BA67" s="125"/>
      <c r="BB67" s="125"/>
      <c r="BC67" s="125"/>
      <c r="BD67" s="125"/>
      <c r="BE67" s="125"/>
      <c r="BF67" s="125"/>
    </row>
    <row r="68">
      <c r="A68" s="126" t="s">
        <v>912</v>
      </c>
      <c r="B68" s="126" t="s">
        <v>913</v>
      </c>
      <c r="C68" s="142"/>
      <c r="D68" s="126" t="s">
        <v>1052</v>
      </c>
      <c r="E68" s="148" t="s">
        <v>1023</v>
      </c>
      <c r="F68" s="126" t="s">
        <v>671</v>
      </c>
      <c r="G68" s="131" t="s">
        <v>916</v>
      </c>
      <c r="H68" s="129"/>
      <c r="I68" s="158" t="s">
        <v>1053</v>
      </c>
      <c r="J68" s="125" t="str">
        <f t="array" ref="J68">IFERROR(INDEX(All_User_backup!D:D,MATCH(D68,All_User_backup!H:H,0)),"없음")</f>
        <v>없음</v>
      </c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  <c r="AD68" s="125"/>
      <c r="AE68" s="125"/>
      <c r="AF68" s="125"/>
      <c r="AG68" s="125"/>
      <c r="AH68" s="125"/>
      <c r="AI68" s="125"/>
      <c r="AJ68" s="125"/>
      <c r="AK68" s="125"/>
      <c r="AL68" s="125"/>
      <c r="AM68" s="125"/>
      <c r="AN68" s="125"/>
      <c r="AO68" s="125"/>
      <c r="AP68" s="125"/>
      <c r="AQ68" s="125"/>
      <c r="AR68" s="125"/>
      <c r="AS68" s="125"/>
      <c r="AT68" s="125"/>
      <c r="AU68" s="125"/>
      <c r="AV68" s="125"/>
      <c r="AW68" s="125"/>
      <c r="AX68" s="125"/>
      <c r="AY68" s="125"/>
      <c r="AZ68" s="125"/>
      <c r="BA68" s="125"/>
      <c r="BB68" s="125"/>
      <c r="BC68" s="125"/>
      <c r="BD68" s="125"/>
      <c r="BE68" s="125"/>
      <c r="BF68" s="125"/>
    </row>
    <row r="69">
      <c r="A69" s="126" t="s">
        <v>912</v>
      </c>
      <c r="B69" s="126" t="s">
        <v>913</v>
      </c>
      <c r="C69" s="142"/>
      <c r="D69" s="126" t="s">
        <v>1054</v>
      </c>
      <c r="E69" s="148" t="s">
        <v>1023</v>
      </c>
      <c r="F69" s="126" t="s">
        <v>671</v>
      </c>
      <c r="G69" s="131" t="s">
        <v>916</v>
      </c>
      <c r="H69" s="131"/>
      <c r="I69" s="131" t="s">
        <v>1055</v>
      </c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  <c r="AD69" s="125"/>
      <c r="AE69" s="125"/>
      <c r="AF69" s="125"/>
      <c r="AG69" s="125"/>
      <c r="AH69" s="125"/>
      <c r="AI69" s="125"/>
      <c r="AJ69" s="125"/>
      <c r="AK69" s="125"/>
      <c r="AL69" s="125"/>
      <c r="AM69" s="125"/>
      <c r="AN69" s="125"/>
      <c r="AO69" s="125"/>
      <c r="AP69" s="125"/>
      <c r="AQ69" s="125"/>
      <c r="AR69" s="125"/>
      <c r="AS69" s="125"/>
      <c r="AT69" s="125"/>
      <c r="AU69" s="125"/>
      <c r="AV69" s="125"/>
      <c r="AW69" s="125"/>
      <c r="AX69" s="125"/>
      <c r="AY69" s="125"/>
      <c r="AZ69" s="125"/>
      <c r="BA69" s="125"/>
      <c r="BB69" s="125"/>
      <c r="BC69" s="125"/>
      <c r="BD69" s="125"/>
      <c r="BE69" s="125"/>
      <c r="BF69" s="125"/>
    </row>
    <row r="70">
      <c r="A70" s="126" t="s">
        <v>912</v>
      </c>
      <c r="B70" s="126" t="s">
        <v>913</v>
      </c>
      <c r="C70" s="142"/>
      <c r="D70" s="126" t="s">
        <v>1056</v>
      </c>
      <c r="E70" s="148" t="s">
        <v>1023</v>
      </c>
      <c r="F70" s="131" t="s">
        <v>27</v>
      </c>
      <c r="G70" s="131" t="s">
        <v>1057</v>
      </c>
      <c r="H70" s="131" t="s">
        <v>25</v>
      </c>
      <c r="I70" s="134"/>
      <c r="J70" s="125" t="str">
        <f t="array" ref="J70">IFERROR(INDEX(All_User_backup!D:D,MATCH(D70,All_User_backup!H:H,0)),"없음")</f>
        <v>gd.ahn@stryker.com</v>
      </c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  <c r="AD70" s="125"/>
      <c r="AE70" s="125"/>
      <c r="AF70" s="125"/>
      <c r="AG70" s="125"/>
      <c r="AH70" s="125"/>
      <c r="AI70" s="125"/>
      <c r="AJ70" s="125"/>
      <c r="AK70" s="125"/>
      <c r="AL70" s="125"/>
      <c r="AM70" s="125"/>
      <c r="AN70" s="125"/>
      <c r="AO70" s="125"/>
      <c r="AP70" s="125"/>
      <c r="AQ70" s="125"/>
      <c r="AR70" s="125"/>
      <c r="AS70" s="125"/>
      <c r="AT70" s="125"/>
      <c r="AU70" s="125"/>
      <c r="AV70" s="125"/>
      <c r="AW70" s="125"/>
      <c r="AX70" s="125"/>
      <c r="AY70" s="125"/>
      <c r="AZ70" s="125"/>
      <c r="BA70" s="125"/>
      <c r="BB70" s="125"/>
      <c r="BC70" s="125"/>
      <c r="BD70" s="125"/>
      <c r="BE70" s="125"/>
      <c r="BF70" s="125"/>
    </row>
    <row r="71">
      <c r="A71" s="126" t="s">
        <v>912</v>
      </c>
      <c r="B71" s="126" t="s">
        <v>913</v>
      </c>
      <c r="C71" s="142"/>
      <c r="D71" s="126" t="s">
        <v>1058</v>
      </c>
      <c r="E71" s="148" t="s">
        <v>1023</v>
      </c>
      <c r="F71" s="126" t="s">
        <v>27</v>
      </c>
      <c r="G71" s="131" t="s">
        <v>1059</v>
      </c>
      <c r="H71" s="131" t="s">
        <v>434</v>
      </c>
      <c r="I71" s="134"/>
      <c r="J71" s="125" t="str">
        <f t="array" ref="J71">IFERROR(INDEX(All_User_backup!D:D,MATCH(D71,All_User_backup!H:H,0)),"없음")</f>
        <v>arin.ko@stryker.com</v>
      </c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  <c r="AD71" s="125"/>
      <c r="AE71" s="125"/>
      <c r="AF71" s="125"/>
      <c r="AG71" s="125"/>
      <c r="AH71" s="125"/>
      <c r="AI71" s="125"/>
      <c r="AJ71" s="125"/>
      <c r="AK71" s="125"/>
      <c r="AL71" s="125"/>
      <c r="AM71" s="125"/>
      <c r="AN71" s="125"/>
      <c r="AO71" s="125"/>
      <c r="AP71" s="125"/>
      <c r="AQ71" s="125"/>
      <c r="AR71" s="125"/>
      <c r="AS71" s="125"/>
      <c r="AT71" s="125"/>
      <c r="AU71" s="125"/>
      <c r="AV71" s="125"/>
      <c r="AW71" s="125"/>
      <c r="AX71" s="125"/>
      <c r="AY71" s="125"/>
      <c r="AZ71" s="125"/>
      <c r="BA71" s="125"/>
      <c r="BB71" s="125"/>
      <c r="BC71" s="125"/>
      <c r="BD71" s="125"/>
      <c r="BE71" s="125"/>
      <c r="BF71" s="125"/>
    </row>
    <row r="72">
      <c r="A72" s="126" t="s">
        <v>912</v>
      </c>
      <c r="B72" s="126" t="s">
        <v>913</v>
      </c>
      <c r="C72" s="127" t="s">
        <v>1060</v>
      </c>
      <c r="D72" s="126" t="s">
        <v>1061</v>
      </c>
      <c r="E72" s="148" t="s">
        <v>1023</v>
      </c>
      <c r="F72" s="126" t="s">
        <v>750</v>
      </c>
      <c r="G72" s="131" t="s">
        <v>759</v>
      </c>
      <c r="H72" s="131" t="s">
        <v>1062</v>
      </c>
      <c r="I72" s="134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  <c r="AD72" s="125"/>
      <c r="AE72" s="125"/>
      <c r="AF72" s="125"/>
      <c r="AG72" s="125"/>
      <c r="AH72" s="125"/>
      <c r="AI72" s="125"/>
      <c r="AJ72" s="125"/>
      <c r="AK72" s="125"/>
      <c r="AL72" s="125"/>
      <c r="AM72" s="125"/>
      <c r="AN72" s="125"/>
      <c r="AO72" s="125"/>
      <c r="AP72" s="125"/>
      <c r="AQ72" s="125"/>
      <c r="AR72" s="125"/>
      <c r="AS72" s="125"/>
      <c r="AT72" s="125"/>
      <c r="AU72" s="125"/>
      <c r="AV72" s="125"/>
      <c r="AW72" s="125"/>
      <c r="AX72" s="125"/>
      <c r="AY72" s="125"/>
      <c r="AZ72" s="125"/>
      <c r="BA72" s="125"/>
      <c r="BB72" s="125"/>
      <c r="BC72" s="125"/>
      <c r="BD72" s="125"/>
      <c r="BE72" s="125"/>
      <c r="BF72" s="125"/>
    </row>
    <row r="73">
      <c r="A73" s="126" t="s">
        <v>912</v>
      </c>
      <c r="B73" s="126" t="s">
        <v>913</v>
      </c>
      <c r="C73" s="142"/>
      <c r="D73" s="126" t="s">
        <v>1063</v>
      </c>
      <c r="E73" s="148" t="s">
        <v>1023</v>
      </c>
      <c r="F73" s="131" t="s">
        <v>27</v>
      </c>
      <c r="G73" s="131" t="s">
        <v>1064</v>
      </c>
      <c r="H73" s="131" t="s">
        <v>187</v>
      </c>
      <c r="J73" s="125" t="str">
        <f t="array" ref="J73">IFERROR(INDEX(All_User_backup!D:D,MATCH(D73,All_User_backup!H:H,0)),"없음")</f>
        <v>ashley.hong@stryker.com</v>
      </c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  <c r="AD73" s="125"/>
      <c r="AE73" s="125"/>
      <c r="AF73" s="125"/>
      <c r="AG73" s="125"/>
      <c r="AH73" s="125"/>
      <c r="AI73" s="125"/>
      <c r="AJ73" s="125"/>
      <c r="AK73" s="125"/>
      <c r="AL73" s="125"/>
      <c r="AM73" s="125"/>
      <c r="AN73" s="125"/>
      <c r="AO73" s="125"/>
      <c r="AP73" s="125"/>
      <c r="AQ73" s="125"/>
      <c r="AR73" s="125"/>
      <c r="AS73" s="125"/>
      <c r="AT73" s="125"/>
      <c r="AU73" s="125"/>
      <c r="AV73" s="125"/>
      <c r="AW73" s="125"/>
      <c r="AX73" s="125"/>
      <c r="AY73" s="125"/>
      <c r="AZ73" s="125"/>
      <c r="BA73" s="125"/>
      <c r="BB73" s="125"/>
      <c r="BC73" s="125"/>
      <c r="BD73" s="125"/>
      <c r="BE73" s="125"/>
      <c r="BF73" s="125"/>
    </row>
    <row r="74">
      <c r="A74" s="126" t="s">
        <v>912</v>
      </c>
      <c r="B74" s="126" t="s">
        <v>913</v>
      </c>
      <c r="C74" s="142"/>
      <c r="D74" s="126" t="s">
        <v>1065</v>
      </c>
      <c r="E74" s="148" t="s">
        <v>1023</v>
      </c>
      <c r="F74" s="126" t="s">
        <v>27</v>
      </c>
      <c r="G74" s="131" t="s">
        <v>682</v>
      </c>
      <c r="H74" s="131" t="s">
        <v>684</v>
      </c>
      <c r="I74" s="134"/>
      <c r="J74" s="125" t="str">
        <f t="array" ref="J74">IFERROR(INDEX(All_User_backup!D:D,MATCH(D74,All_User_backup!H:H,0)),"없음")</f>
        <v>rosey.song@stryker.com</v>
      </c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  <c r="AD74" s="125"/>
      <c r="AE74" s="125"/>
      <c r="AF74" s="125"/>
      <c r="AG74" s="125"/>
      <c r="AH74" s="125"/>
      <c r="AI74" s="125"/>
      <c r="AJ74" s="125"/>
      <c r="AK74" s="125"/>
      <c r="AL74" s="125"/>
      <c r="AM74" s="125"/>
      <c r="AN74" s="125"/>
      <c r="AO74" s="125"/>
      <c r="AP74" s="125"/>
      <c r="AQ74" s="125"/>
      <c r="AR74" s="125"/>
      <c r="AS74" s="125"/>
      <c r="AT74" s="125"/>
      <c r="AU74" s="125"/>
      <c r="AV74" s="125"/>
      <c r="AW74" s="125"/>
      <c r="AX74" s="125"/>
      <c r="AY74" s="125"/>
      <c r="AZ74" s="125"/>
      <c r="BA74" s="125"/>
      <c r="BB74" s="125"/>
      <c r="BC74" s="125"/>
      <c r="BD74" s="125"/>
      <c r="BE74" s="125"/>
      <c r="BF74" s="125"/>
    </row>
    <row r="75">
      <c r="A75" s="126" t="s">
        <v>912</v>
      </c>
      <c r="B75" s="126" t="s">
        <v>913</v>
      </c>
      <c r="C75" s="142"/>
      <c r="D75" s="126" t="s">
        <v>1066</v>
      </c>
      <c r="E75" s="148" t="s">
        <v>1023</v>
      </c>
      <c r="F75" s="126" t="s">
        <v>142</v>
      </c>
      <c r="G75" s="131" t="s">
        <v>262</v>
      </c>
      <c r="H75" s="131" t="s">
        <v>264</v>
      </c>
      <c r="I75" s="134"/>
      <c r="J75" s="125" t="str">
        <f t="array" ref="J75">IFERROR(INDEX(All_User_backup!D:D,MATCH(D75,All_User_backup!H:H,0)),"없음")</f>
        <v>scott.jo@stryker.com</v>
      </c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  <c r="AD75" s="125"/>
      <c r="AE75" s="125"/>
      <c r="AF75" s="125"/>
      <c r="AG75" s="125"/>
      <c r="AH75" s="125"/>
      <c r="AI75" s="125"/>
      <c r="AJ75" s="125"/>
      <c r="AK75" s="125"/>
      <c r="AL75" s="125"/>
      <c r="AM75" s="125"/>
      <c r="AN75" s="125"/>
      <c r="AO75" s="125"/>
      <c r="AP75" s="125"/>
      <c r="AQ75" s="125"/>
      <c r="AR75" s="125"/>
      <c r="AS75" s="125"/>
      <c r="AT75" s="125"/>
      <c r="AU75" s="125"/>
      <c r="AV75" s="125"/>
      <c r="AW75" s="125"/>
      <c r="AX75" s="125"/>
      <c r="AY75" s="125"/>
      <c r="AZ75" s="125"/>
      <c r="BA75" s="125"/>
      <c r="BB75" s="125"/>
      <c r="BC75" s="125"/>
      <c r="BD75" s="125"/>
      <c r="BE75" s="125"/>
      <c r="BF75" s="125"/>
    </row>
    <row r="76">
      <c r="A76" s="126" t="s">
        <v>912</v>
      </c>
      <c r="B76" s="126" t="s">
        <v>913</v>
      </c>
      <c r="C76" s="142"/>
      <c r="D76" s="126" t="s">
        <v>1067</v>
      </c>
      <c r="E76" s="148" t="s">
        <v>1023</v>
      </c>
      <c r="F76" s="126" t="s">
        <v>47</v>
      </c>
      <c r="G76" s="131" t="s">
        <v>1068</v>
      </c>
      <c r="H76" s="131" t="s">
        <v>500</v>
      </c>
      <c r="I76" s="134"/>
      <c r="J76" s="125" t="str">
        <f t="array" ref="J76">IFERROR(INDEX(All_User_backup!D:D,MATCH(D76,All_User_backup!H:H,0)),"없음")</f>
        <v>kylie.leem@stryker.com</v>
      </c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  <c r="AD76" s="125"/>
      <c r="AE76" s="125"/>
      <c r="AF76" s="125"/>
      <c r="AG76" s="125"/>
      <c r="AH76" s="125"/>
      <c r="AI76" s="125"/>
      <c r="AJ76" s="125"/>
      <c r="AK76" s="125"/>
      <c r="AL76" s="125"/>
      <c r="AM76" s="125"/>
      <c r="AN76" s="125"/>
      <c r="AO76" s="125"/>
      <c r="AP76" s="125"/>
      <c r="AQ76" s="125"/>
      <c r="AR76" s="125"/>
      <c r="AS76" s="125"/>
      <c r="AT76" s="125"/>
      <c r="AU76" s="125"/>
      <c r="AV76" s="125"/>
      <c r="AW76" s="125"/>
      <c r="AX76" s="125"/>
      <c r="AY76" s="125"/>
      <c r="AZ76" s="125"/>
      <c r="BA76" s="125"/>
      <c r="BB76" s="125"/>
      <c r="BC76" s="125"/>
      <c r="BD76" s="125"/>
      <c r="BE76" s="125"/>
      <c r="BF76" s="125"/>
    </row>
    <row r="77">
      <c r="A77" s="126" t="s">
        <v>912</v>
      </c>
      <c r="B77" s="126" t="s">
        <v>913</v>
      </c>
      <c r="C77" s="142"/>
      <c r="D77" s="126" t="s">
        <v>1069</v>
      </c>
      <c r="E77" s="148" t="s">
        <v>1023</v>
      </c>
      <c r="F77" s="126" t="s">
        <v>671</v>
      </c>
      <c r="G77" s="131" t="s">
        <v>916</v>
      </c>
      <c r="H77" s="131"/>
      <c r="I77" s="158" t="s">
        <v>1070</v>
      </c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  <c r="AD77" s="125"/>
      <c r="AE77" s="125"/>
      <c r="AF77" s="125"/>
      <c r="AG77" s="125"/>
      <c r="AH77" s="125"/>
      <c r="AI77" s="125"/>
      <c r="AJ77" s="125"/>
      <c r="AK77" s="125"/>
      <c r="AL77" s="125"/>
      <c r="AM77" s="125"/>
      <c r="AN77" s="125"/>
      <c r="AO77" s="125"/>
      <c r="AP77" s="125"/>
      <c r="AQ77" s="125"/>
      <c r="AR77" s="125"/>
      <c r="AS77" s="125"/>
      <c r="AT77" s="125"/>
      <c r="AU77" s="125"/>
      <c r="AV77" s="125"/>
      <c r="AW77" s="125"/>
      <c r="AX77" s="125"/>
      <c r="AY77" s="125"/>
      <c r="AZ77" s="125"/>
      <c r="BA77" s="125"/>
      <c r="BB77" s="125"/>
      <c r="BC77" s="125"/>
      <c r="BD77" s="125"/>
      <c r="BE77" s="125"/>
      <c r="BF77" s="125"/>
    </row>
    <row r="78">
      <c r="A78" s="126" t="s">
        <v>912</v>
      </c>
      <c r="B78" s="136" t="s">
        <v>913</v>
      </c>
      <c r="C78" s="137" t="s">
        <v>1071</v>
      </c>
      <c r="D78" s="126" t="s">
        <v>1072</v>
      </c>
      <c r="E78" s="156" t="s">
        <v>1073</v>
      </c>
      <c r="F78" s="126" t="s">
        <v>671</v>
      </c>
      <c r="G78" s="131" t="s">
        <v>916</v>
      </c>
      <c r="H78" s="131"/>
      <c r="I78" s="158" t="s">
        <v>1053</v>
      </c>
      <c r="J78" s="15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  <c r="AD78" s="125"/>
      <c r="AE78" s="125"/>
      <c r="AF78" s="125"/>
      <c r="AG78" s="125"/>
      <c r="AH78" s="125"/>
      <c r="AI78" s="125"/>
      <c r="AJ78" s="125"/>
      <c r="AK78" s="125"/>
      <c r="AL78" s="125"/>
      <c r="AM78" s="125"/>
      <c r="AN78" s="125"/>
      <c r="AO78" s="125"/>
      <c r="AP78" s="125"/>
      <c r="AQ78" s="125"/>
      <c r="AR78" s="125"/>
      <c r="AS78" s="125"/>
      <c r="AT78" s="125"/>
      <c r="AU78" s="125"/>
      <c r="AV78" s="125"/>
      <c r="AW78" s="125"/>
      <c r="AX78" s="125"/>
      <c r="AY78" s="125"/>
      <c r="AZ78" s="125"/>
      <c r="BA78" s="125"/>
      <c r="BB78" s="125"/>
      <c r="BC78" s="125"/>
      <c r="BD78" s="125"/>
      <c r="BE78" s="125"/>
      <c r="BF78" s="125"/>
    </row>
    <row r="79">
      <c r="A79" s="126" t="s">
        <v>912</v>
      </c>
      <c r="B79" s="126" t="s">
        <v>913</v>
      </c>
      <c r="C79" s="142"/>
      <c r="D79" s="126" t="s">
        <v>1074</v>
      </c>
      <c r="E79" s="148" t="s">
        <v>1073</v>
      </c>
      <c r="F79" s="126" t="s">
        <v>27</v>
      </c>
      <c r="G79" s="131" t="s">
        <v>364</v>
      </c>
      <c r="H79" s="131" t="s">
        <v>366</v>
      </c>
      <c r="I79" s="131"/>
      <c r="J79" s="15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  <c r="AD79" s="125"/>
      <c r="AE79" s="125"/>
      <c r="AF79" s="125"/>
      <c r="AG79" s="125"/>
      <c r="AH79" s="125"/>
      <c r="AI79" s="125"/>
      <c r="AJ79" s="125"/>
      <c r="AK79" s="125"/>
      <c r="AL79" s="125"/>
      <c r="AM79" s="125"/>
      <c r="AN79" s="125"/>
      <c r="AO79" s="125"/>
      <c r="AP79" s="125"/>
      <c r="AQ79" s="125"/>
      <c r="AR79" s="125"/>
      <c r="AS79" s="125"/>
      <c r="AT79" s="125"/>
      <c r="AU79" s="125"/>
      <c r="AV79" s="125"/>
      <c r="AW79" s="125"/>
      <c r="AX79" s="125"/>
      <c r="AY79" s="125"/>
      <c r="AZ79" s="125"/>
      <c r="BA79" s="125"/>
      <c r="BB79" s="125"/>
      <c r="BC79" s="125"/>
      <c r="BD79" s="125"/>
      <c r="BE79" s="125"/>
      <c r="BF79" s="125"/>
    </row>
    <row r="80">
      <c r="A80" s="126" t="s">
        <v>912</v>
      </c>
      <c r="B80" s="126" t="s">
        <v>913</v>
      </c>
      <c r="C80" s="142"/>
      <c r="D80" s="126" t="s">
        <v>1075</v>
      </c>
      <c r="E80" s="148" t="s">
        <v>1073</v>
      </c>
      <c r="F80" s="126" t="s">
        <v>142</v>
      </c>
      <c r="G80" s="131" t="s">
        <v>727</v>
      </c>
      <c r="H80" s="131" t="s">
        <v>729</v>
      </c>
      <c r="I80" s="159" t="s">
        <v>1076</v>
      </c>
      <c r="J80" s="125" t="str">
        <f t="array" ref="J80">IFERROR(INDEX(All_User_backup!D:D,MATCH(D80,All_User_backup!H:H,0)),"없음")</f>
        <v>ayaan.yoon@stryker.com</v>
      </c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  <c r="AD80" s="125"/>
      <c r="AE80" s="125"/>
      <c r="AF80" s="125"/>
      <c r="AG80" s="125"/>
      <c r="AH80" s="125"/>
      <c r="AI80" s="125"/>
      <c r="AJ80" s="125"/>
      <c r="AK80" s="125"/>
      <c r="AL80" s="125"/>
      <c r="AM80" s="125"/>
      <c r="AN80" s="125"/>
      <c r="AO80" s="125"/>
      <c r="AP80" s="125"/>
      <c r="AQ80" s="125"/>
      <c r="AR80" s="125"/>
      <c r="AS80" s="125"/>
      <c r="AT80" s="125"/>
      <c r="AU80" s="125"/>
      <c r="AV80" s="125"/>
      <c r="AW80" s="125"/>
      <c r="AX80" s="125"/>
      <c r="AY80" s="125"/>
      <c r="AZ80" s="125"/>
      <c r="BA80" s="125"/>
      <c r="BB80" s="125"/>
      <c r="BC80" s="125"/>
      <c r="BD80" s="125"/>
      <c r="BE80" s="125"/>
      <c r="BF80" s="125"/>
    </row>
    <row r="81">
      <c r="A81" s="126" t="s">
        <v>912</v>
      </c>
      <c r="B81" s="126" t="s">
        <v>913</v>
      </c>
      <c r="C81" s="142"/>
      <c r="D81" s="126" t="s">
        <v>1077</v>
      </c>
      <c r="E81" s="148" t="s">
        <v>1073</v>
      </c>
      <c r="F81" s="126" t="s">
        <v>1078</v>
      </c>
      <c r="G81" s="131" t="s">
        <v>1079</v>
      </c>
      <c r="H81" s="139" t="s">
        <v>726</v>
      </c>
      <c r="I81" s="159"/>
      <c r="J81" s="125" t="str">
        <f t="array" ref="J81">IFERROR(INDEX(All_User_backup!D:D,MATCH(D81,All_User_backup!H:H,0)),"없음")</f>
        <v>bella.yoon@stryker.com</v>
      </c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  <c r="AD81" s="125"/>
      <c r="AE81" s="125"/>
      <c r="AF81" s="125"/>
      <c r="AG81" s="125"/>
      <c r="AH81" s="125"/>
      <c r="AI81" s="125"/>
      <c r="AJ81" s="125"/>
      <c r="AK81" s="125"/>
      <c r="AL81" s="125"/>
      <c r="AM81" s="125"/>
      <c r="AN81" s="125"/>
      <c r="AO81" s="125"/>
      <c r="AP81" s="125"/>
      <c r="AQ81" s="125"/>
      <c r="AR81" s="125"/>
      <c r="AS81" s="125"/>
      <c r="AT81" s="125"/>
      <c r="AU81" s="125"/>
      <c r="AV81" s="125"/>
      <c r="AW81" s="125"/>
      <c r="AX81" s="125"/>
      <c r="AY81" s="125"/>
      <c r="AZ81" s="125"/>
      <c r="BA81" s="125"/>
      <c r="BB81" s="125"/>
      <c r="BC81" s="125"/>
      <c r="BD81" s="125"/>
      <c r="BE81" s="125"/>
      <c r="BF81" s="125"/>
    </row>
    <row r="82">
      <c r="A82" s="126" t="s">
        <v>912</v>
      </c>
      <c r="B82" s="126" t="s">
        <v>913</v>
      </c>
      <c r="C82" s="127" t="s">
        <v>1080</v>
      </c>
      <c r="D82" s="126" t="s">
        <v>1081</v>
      </c>
      <c r="E82" s="148" t="s">
        <v>1073</v>
      </c>
      <c r="F82" s="126" t="s">
        <v>27</v>
      </c>
      <c r="G82" s="131" t="s">
        <v>867</v>
      </c>
      <c r="H82" s="160" t="s">
        <v>869</v>
      </c>
      <c r="I82" s="131" t="s">
        <v>1082</v>
      </c>
      <c r="J82" s="125" t="str">
        <f t="array" ref="J82">IFERROR(INDEX(All_User_backup!D:D,MATCH(D82,All_User_backup!H:H,0)),"없음")</f>
        <v>없음</v>
      </c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  <c r="AD82" s="125"/>
      <c r="AE82" s="125"/>
      <c r="AF82" s="125"/>
      <c r="AG82" s="125"/>
      <c r="AH82" s="125"/>
      <c r="AI82" s="125"/>
      <c r="AJ82" s="125"/>
      <c r="AK82" s="125"/>
      <c r="AL82" s="125"/>
      <c r="AM82" s="125"/>
      <c r="AN82" s="125"/>
      <c r="AO82" s="125"/>
      <c r="AP82" s="125"/>
      <c r="AQ82" s="125"/>
      <c r="AR82" s="125"/>
      <c r="AS82" s="125"/>
      <c r="AT82" s="125"/>
      <c r="AU82" s="125"/>
      <c r="AV82" s="125"/>
      <c r="AW82" s="125"/>
      <c r="AX82" s="125"/>
      <c r="AY82" s="125"/>
      <c r="AZ82" s="125"/>
      <c r="BA82" s="125"/>
      <c r="BB82" s="125"/>
      <c r="BC82" s="125"/>
      <c r="BD82" s="125"/>
      <c r="BE82" s="125"/>
      <c r="BF82" s="125"/>
    </row>
    <row r="83">
      <c r="A83" s="126" t="s">
        <v>912</v>
      </c>
      <c r="B83" s="126" t="s">
        <v>913</v>
      </c>
      <c r="C83" s="142"/>
      <c r="D83" s="126" t="s">
        <v>1083</v>
      </c>
      <c r="E83" s="148" t="s">
        <v>1073</v>
      </c>
      <c r="F83" s="126" t="s">
        <v>904</v>
      </c>
      <c r="G83" s="131" t="s">
        <v>580</v>
      </c>
      <c r="H83" s="131" t="s">
        <v>582</v>
      </c>
      <c r="I83" s="159" t="s">
        <v>1084</v>
      </c>
      <c r="J83" s="125" t="str">
        <f t="array" ref="J83">IFERROR(INDEX(All_User_backup!D:D,MATCH(D83,All_User_backup!H:H,0)),"없음")</f>
        <v>michelle.park@stryker.com</v>
      </c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  <c r="AD83" s="125"/>
      <c r="AE83" s="125"/>
      <c r="AF83" s="125"/>
      <c r="AG83" s="125"/>
      <c r="AH83" s="125"/>
      <c r="AI83" s="125"/>
      <c r="AJ83" s="125"/>
      <c r="AK83" s="125"/>
      <c r="AL83" s="125"/>
      <c r="AM83" s="125"/>
      <c r="AN83" s="125"/>
      <c r="AO83" s="125"/>
      <c r="AP83" s="125"/>
      <c r="AQ83" s="125"/>
      <c r="AR83" s="125"/>
      <c r="AS83" s="125"/>
      <c r="AT83" s="125"/>
      <c r="AU83" s="125"/>
      <c r="AV83" s="125"/>
      <c r="AW83" s="125"/>
      <c r="AX83" s="125"/>
      <c r="AY83" s="125"/>
      <c r="AZ83" s="125"/>
      <c r="BA83" s="125"/>
      <c r="BB83" s="125"/>
      <c r="BC83" s="125"/>
      <c r="BD83" s="125"/>
      <c r="BE83" s="125"/>
      <c r="BF83" s="125"/>
    </row>
    <row r="84">
      <c r="A84" s="126" t="s">
        <v>912</v>
      </c>
      <c r="B84" s="126" t="s">
        <v>913</v>
      </c>
      <c r="C84" s="142"/>
      <c r="D84" s="126" t="s">
        <v>1085</v>
      </c>
      <c r="E84" s="148" t="s">
        <v>1073</v>
      </c>
      <c r="F84" s="126" t="s">
        <v>104</v>
      </c>
      <c r="G84" s="131" t="s">
        <v>350</v>
      </c>
      <c r="H84" s="131" t="s">
        <v>352</v>
      </c>
      <c r="I84" s="159" t="s">
        <v>1084</v>
      </c>
      <c r="J84" s="125" t="str">
        <f t="array" ref="J84">IFERROR(INDEX(All_User_backup!D:D,MATCH(D84,All_User_backup!H:H,0)),"없음")</f>
        <v>william.kim1@stryker.com</v>
      </c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  <c r="AD84" s="125"/>
      <c r="AE84" s="125"/>
      <c r="AF84" s="125"/>
      <c r="AG84" s="125"/>
      <c r="AH84" s="125"/>
      <c r="AI84" s="125"/>
      <c r="AJ84" s="125"/>
      <c r="AK84" s="125"/>
      <c r="AL84" s="125"/>
      <c r="AM84" s="125"/>
      <c r="AN84" s="125"/>
      <c r="AO84" s="125"/>
      <c r="AP84" s="125"/>
      <c r="AQ84" s="125"/>
      <c r="AR84" s="125"/>
      <c r="AS84" s="125"/>
      <c r="AT84" s="125"/>
      <c r="AU84" s="125"/>
      <c r="AV84" s="125"/>
      <c r="AW84" s="125"/>
      <c r="AX84" s="125"/>
      <c r="AY84" s="125"/>
      <c r="AZ84" s="125"/>
      <c r="BA84" s="125"/>
      <c r="BB84" s="125"/>
      <c r="BC84" s="125"/>
      <c r="BD84" s="125"/>
      <c r="BE84" s="125"/>
      <c r="BF84" s="125"/>
    </row>
    <row r="85">
      <c r="A85" s="126" t="s">
        <v>912</v>
      </c>
      <c r="B85" s="126" t="s">
        <v>913</v>
      </c>
      <c r="C85" s="142"/>
      <c r="D85" s="126" t="s">
        <v>1086</v>
      </c>
      <c r="E85" s="148" t="s">
        <v>1073</v>
      </c>
      <c r="F85" s="126" t="s">
        <v>671</v>
      </c>
      <c r="G85" s="131" t="s">
        <v>916</v>
      </c>
      <c r="H85" s="160"/>
      <c r="I85" s="159" t="s">
        <v>1087</v>
      </c>
      <c r="J85" s="125" t="str">
        <f t="array" ref="J85">IFERROR(INDEX(All_User_backup!D:D,MATCH(D85,All_User_backup!H:H,0)),"없음")</f>
        <v>없음</v>
      </c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  <c r="AD85" s="125"/>
      <c r="AE85" s="125"/>
      <c r="AF85" s="125"/>
      <c r="AG85" s="125"/>
      <c r="AH85" s="125"/>
      <c r="AI85" s="125"/>
      <c r="AJ85" s="125"/>
      <c r="AK85" s="125"/>
      <c r="AL85" s="125"/>
      <c r="AM85" s="125"/>
      <c r="AN85" s="125"/>
      <c r="AO85" s="125"/>
      <c r="AP85" s="125"/>
      <c r="AQ85" s="125"/>
      <c r="AR85" s="125"/>
      <c r="AS85" s="125"/>
      <c r="AT85" s="125"/>
      <c r="AU85" s="125"/>
      <c r="AV85" s="125"/>
      <c r="AW85" s="125"/>
      <c r="AX85" s="125"/>
      <c r="AY85" s="125"/>
      <c r="AZ85" s="125"/>
      <c r="BA85" s="125"/>
      <c r="BB85" s="125"/>
      <c r="BC85" s="125"/>
      <c r="BD85" s="125"/>
      <c r="BE85" s="125"/>
      <c r="BF85" s="125"/>
    </row>
    <row r="86">
      <c r="A86" s="126" t="s">
        <v>912</v>
      </c>
      <c r="B86" s="126" t="s">
        <v>913</v>
      </c>
      <c r="C86" s="142"/>
      <c r="D86" s="126" t="s">
        <v>1088</v>
      </c>
      <c r="E86" s="148" t="s">
        <v>1073</v>
      </c>
      <c r="F86" s="126" t="s">
        <v>142</v>
      </c>
      <c r="G86" s="131" t="s">
        <v>1089</v>
      </c>
      <c r="H86" s="131" t="s">
        <v>75</v>
      </c>
      <c r="I86" s="134"/>
      <c r="J86" s="125" t="str">
        <f t="array" ref="J86">IFERROR(INDEX(All_User_backup!D:D,MATCH(D86,All_User_backup!H:H,0)),"없음")</f>
        <v>sunghoon.bang@stryker.com</v>
      </c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  <c r="AD86" s="125"/>
      <c r="AE86" s="125"/>
      <c r="AF86" s="125"/>
      <c r="AG86" s="125"/>
      <c r="AH86" s="125"/>
      <c r="AI86" s="125"/>
      <c r="AJ86" s="125"/>
      <c r="AK86" s="125"/>
      <c r="AL86" s="125"/>
      <c r="AM86" s="125"/>
      <c r="AN86" s="125"/>
      <c r="AO86" s="125"/>
      <c r="AP86" s="125"/>
      <c r="AQ86" s="125"/>
      <c r="AR86" s="125"/>
      <c r="AS86" s="125"/>
      <c r="AT86" s="125"/>
      <c r="AU86" s="125"/>
      <c r="AV86" s="125"/>
      <c r="AW86" s="125"/>
      <c r="AX86" s="125"/>
      <c r="AY86" s="125"/>
      <c r="AZ86" s="125"/>
      <c r="BA86" s="125"/>
      <c r="BB86" s="125"/>
      <c r="BC86" s="125"/>
      <c r="BD86" s="125"/>
      <c r="BE86" s="125"/>
      <c r="BF86" s="125"/>
    </row>
    <row r="87">
      <c r="A87" s="126" t="s">
        <v>912</v>
      </c>
      <c r="B87" s="126" t="s">
        <v>913</v>
      </c>
      <c r="C87" s="127" t="s">
        <v>1090</v>
      </c>
      <c r="D87" s="126" t="s">
        <v>1091</v>
      </c>
      <c r="E87" s="148" t="s">
        <v>1073</v>
      </c>
      <c r="F87" s="126" t="s">
        <v>750</v>
      </c>
      <c r="G87" s="131" t="s">
        <v>759</v>
      </c>
      <c r="H87" s="129" t="s">
        <v>760</v>
      </c>
      <c r="I87" s="134"/>
      <c r="J87" s="125" t="str">
        <f t="array" ref="J87">IFERROR(INDEX(All_User_backup!D:D,MATCH(D87,All_User_backup!H:H,0)),"없음")</f>
        <v>yongma02(깡통)</v>
      </c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  <c r="AD87" s="125"/>
      <c r="AE87" s="125"/>
      <c r="AF87" s="125"/>
      <c r="AG87" s="125"/>
      <c r="AH87" s="125"/>
      <c r="AI87" s="125"/>
      <c r="AJ87" s="125"/>
      <c r="AK87" s="125"/>
      <c r="AL87" s="125"/>
      <c r="AM87" s="125"/>
      <c r="AN87" s="125"/>
      <c r="AO87" s="125"/>
      <c r="AP87" s="125"/>
      <c r="AQ87" s="125"/>
      <c r="AR87" s="125"/>
      <c r="AS87" s="125"/>
      <c r="AT87" s="125"/>
      <c r="AU87" s="125"/>
      <c r="AV87" s="125"/>
      <c r="AW87" s="125"/>
      <c r="AX87" s="125"/>
      <c r="AY87" s="125"/>
      <c r="AZ87" s="125"/>
      <c r="BA87" s="125"/>
      <c r="BB87" s="125"/>
      <c r="BC87" s="125"/>
      <c r="BD87" s="125"/>
      <c r="BE87" s="125"/>
      <c r="BF87" s="125"/>
    </row>
    <row r="88">
      <c r="A88" s="126" t="s">
        <v>912</v>
      </c>
      <c r="B88" s="136" t="s">
        <v>913</v>
      </c>
      <c r="C88" s="137"/>
      <c r="D88" s="126" t="s">
        <v>1092</v>
      </c>
      <c r="E88" s="156" t="s">
        <v>1073</v>
      </c>
      <c r="F88" s="136" t="s">
        <v>940</v>
      </c>
      <c r="G88" s="129" t="s">
        <v>712</v>
      </c>
      <c r="H88" s="129" t="s">
        <v>714</v>
      </c>
      <c r="I88" s="134"/>
      <c r="J88" s="125" t="str">
        <f t="array" ref="J88">IFERROR(INDEX(All_User_backup!D:D,MATCH(D88,All_User_backup!H:H,0)),"없음")</f>
        <v>jiwon.yoo@stryker.com</v>
      </c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  <c r="AD88" s="125"/>
      <c r="AE88" s="125"/>
      <c r="AF88" s="125"/>
      <c r="AG88" s="125"/>
      <c r="AH88" s="125"/>
      <c r="AI88" s="125"/>
      <c r="AJ88" s="125"/>
      <c r="AK88" s="125"/>
      <c r="AL88" s="125"/>
      <c r="AM88" s="125"/>
      <c r="AN88" s="125"/>
      <c r="AO88" s="125"/>
      <c r="AP88" s="125"/>
      <c r="AQ88" s="125"/>
      <c r="AR88" s="125"/>
      <c r="AS88" s="125"/>
      <c r="AT88" s="125"/>
      <c r="AU88" s="125"/>
      <c r="AV88" s="125"/>
      <c r="AW88" s="125"/>
      <c r="AX88" s="125"/>
      <c r="AY88" s="125"/>
      <c r="AZ88" s="125"/>
      <c r="BA88" s="125"/>
      <c r="BB88" s="125"/>
      <c r="BC88" s="125"/>
      <c r="BD88" s="125"/>
      <c r="BE88" s="125"/>
      <c r="BF88" s="125"/>
    </row>
    <row r="89">
      <c r="A89" s="126" t="s">
        <v>912</v>
      </c>
      <c r="B89" s="126" t="s">
        <v>913</v>
      </c>
      <c r="C89" s="142"/>
      <c r="D89" s="126" t="s">
        <v>1093</v>
      </c>
      <c r="E89" s="148" t="s">
        <v>1073</v>
      </c>
      <c r="F89" s="126" t="s">
        <v>35</v>
      </c>
      <c r="G89" s="131" t="s">
        <v>1094</v>
      </c>
      <c r="H89" s="131" t="s">
        <v>492</v>
      </c>
      <c r="I89" s="134"/>
      <c r="J89" s="125" t="str">
        <f t="array" ref="J89">IFERROR(INDEX(All_User_backup!D:D,MATCH(D89,All_User_backup!H:H,0)),"없음")</f>
        <v>suhan.lee@stryker.com</v>
      </c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  <c r="AD89" s="125"/>
      <c r="AE89" s="125"/>
      <c r="AF89" s="125"/>
      <c r="AG89" s="125"/>
      <c r="AH89" s="125"/>
      <c r="AI89" s="125"/>
      <c r="AJ89" s="125"/>
      <c r="AK89" s="125"/>
      <c r="AL89" s="125"/>
      <c r="AM89" s="125"/>
      <c r="AN89" s="125"/>
      <c r="AO89" s="125"/>
      <c r="AP89" s="125"/>
      <c r="AQ89" s="125"/>
      <c r="AR89" s="125"/>
      <c r="AS89" s="125"/>
      <c r="AT89" s="125"/>
      <c r="AU89" s="125"/>
      <c r="AV89" s="125"/>
      <c r="AW89" s="125"/>
      <c r="AX89" s="125"/>
      <c r="AY89" s="125"/>
      <c r="AZ89" s="125"/>
      <c r="BA89" s="125"/>
      <c r="BB89" s="125"/>
      <c r="BC89" s="125"/>
      <c r="BD89" s="125"/>
      <c r="BE89" s="125"/>
      <c r="BF89" s="125"/>
    </row>
    <row r="90">
      <c r="A90" s="126" t="s">
        <v>912</v>
      </c>
      <c r="B90" s="126" t="s">
        <v>913</v>
      </c>
      <c r="C90" s="142"/>
      <c r="D90" s="126" t="s">
        <v>1095</v>
      </c>
      <c r="E90" s="148" t="s">
        <v>1073</v>
      </c>
      <c r="F90" s="126" t="s">
        <v>62</v>
      </c>
      <c r="G90" s="131" t="s">
        <v>482</v>
      </c>
      <c r="H90" s="131" t="s">
        <v>484</v>
      </c>
      <c r="I90" s="159" t="s">
        <v>1096</v>
      </c>
      <c r="J90" s="125" t="str">
        <f t="array" ref="J90">IFERROR(INDEX(All_User_backup!D:D,MATCH(D90,All_User_backup!H:H,0)),"없음")</f>
        <v>eunji.lee@stryker.com</v>
      </c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  <c r="AD90" s="125"/>
      <c r="AE90" s="125"/>
      <c r="AF90" s="125"/>
      <c r="AG90" s="125"/>
      <c r="AH90" s="125"/>
      <c r="AI90" s="125"/>
      <c r="AJ90" s="125"/>
      <c r="AK90" s="125"/>
      <c r="AL90" s="125"/>
      <c r="AM90" s="125"/>
      <c r="AN90" s="125"/>
      <c r="AO90" s="125"/>
      <c r="AP90" s="125"/>
      <c r="AQ90" s="125"/>
      <c r="AR90" s="125"/>
      <c r="AS90" s="125"/>
      <c r="AT90" s="125"/>
      <c r="AU90" s="125"/>
      <c r="AV90" s="125"/>
      <c r="AW90" s="125"/>
      <c r="AX90" s="125"/>
      <c r="AY90" s="125"/>
      <c r="AZ90" s="125"/>
      <c r="BA90" s="125"/>
      <c r="BB90" s="125"/>
      <c r="BC90" s="125"/>
      <c r="BD90" s="125"/>
      <c r="BE90" s="125"/>
      <c r="BF90" s="125"/>
    </row>
    <row r="91">
      <c r="A91" s="126" t="s">
        <v>912</v>
      </c>
      <c r="B91" s="136" t="s">
        <v>913</v>
      </c>
      <c r="C91" s="152"/>
      <c r="D91" s="126" t="s">
        <v>1097</v>
      </c>
      <c r="E91" s="156" t="s">
        <v>1073</v>
      </c>
      <c r="F91" s="136" t="s">
        <v>904</v>
      </c>
      <c r="G91" s="129" t="s">
        <v>1098</v>
      </c>
      <c r="H91" s="129" t="s">
        <v>660</v>
      </c>
      <c r="I91" s="159" t="s">
        <v>1099</v>
      </c>
      <c r="J91" s="125" t="str">
        <f t="array" ref="J91">IFERROR(INDEX(All_User_backup!D:D,MATCH(D91,All_User_backup!H:H,0)),"없음")</f>
        <v>amy.son@stryker.com</v>
      </c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  <c r="AD91" s="125"/>
      <c r="AE91" s="125"/>
      <c r="AF91" s="125"/>
      <c r="AG91" s="125"/>
      <c r="AH91" s="125"/>
      <c r="AI91" s="125"/>
      <c r="AJ91" s="125"/>
      <c r="AK91" s="125"/>
      <c r="AL91" s="125"/>
      <c r="AM91" s="125"/>
      <c r="AN91" s="125"/>
      <c r="AO91" s="125"/>
      <c r="AP91" s="125"/>
      <c r="AQ91" s="125"/>
      <c r="AR91" s="125"/>
      <c r="AS91" s="125"/>
      <c r="AT91" s="125"/>
      <c r="AU91" s="125"/>
      <c r="AV91" s="125"/>
      <c r="AW91" s="125"/>
      <c r="AX91" s="125"/>
      <c r="AY91" s="125"/>
      <c r="AZ91" s="125"/>
      <c r="BA91" s="125"/>
      <c r="BB91" s="125"/>
      <c r="BC91" s="125"/>
      <c r="BD91" s="125"/>
      <c r="BE91" s="125"/>
      <c r="BF91" s="125"/>
    </row>
    <row r="92">
      <c r="A92" s="126" t="s">
        <v>912</v>
      </c>
      <c r="B92" s="126" t="s">
        <v>913</v>
      </c>
      <c r="C92" s="161" t="s">
        <v>1100</v>
      </c>
      <c r="D92" s="126" t="s">
        <v>1101</v>
      </c>
      <c r="E92" s="148" t="s">
        <v>1073</v>
      </c>
      <c r="F92" s="126" t="s">
        <v>671</v>
      </c>
      <c r="G92" s="131" t="s">
        <v>762</v>
      </c>
      <c r="H92" s="131" t="s">
        <v>763</v>
      </c>
      <c r="I92" s="162"/>
      <c r="J92" s="125" t="str">
        <f t="array" ref="J92">IFERROR(INDEX(All_User_backup!D:D,MATCH(D92,All_User_backup!H:H,0)),"없음")</f>
        <v>daniel.han@stryker.com</v>
      </c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  <c r="AD92" s="125"/>
      <c r="AE92" s="125"/>
      <c r="AF92" s="125"/>
      <c r="AG92" s="125"/>
      <c r="AH92" s="125"/>
      <c r="AI92" s="125"/>
      <c r="AJ92" s="125"/>
      <c r="AK92" s="125"/>
      <c r="AL92" s="125"/>
      <c r="AM92" s="125"/>
      <c r="AN92" s="125"/>
      <c r="AO92" s="125"/>
      <c r="AP92" s="125"/>
      <c r="AQ92" s="125"/>
      <c r="AR92" s="125"/>
      <c r="AS92" s="125"/>
      <c r="AT92" s="125"/>
      <c r="AU92" s="125"/>
      <c r="AV92" s="125"/>
      <c r="AW92" s="125"/>
      <c r="AX92" s="125"/>
      <c r="AY92" s="125"/>
      <c r="AZ92" s="125"/>
      <c r="BA92" s="125"/>
      <c r="BB92" s="125"/>
      <c r="BC92" s="125"/>
      <c r="BD92" s="125"/>
      <c r="BE92" s="125"/>
      <c r="BF92" s="125"/>
    </row>
    <row r="93">
      <c r="A93" s="126" t="s">
        <v>912</v>
      </c>
      <c r="B93" s="136" t="s">
        <v>913</v>
      </c>
      <c r="C93" s="152"/>
      <c r="D93" s="126" t="s">
        <v>1102</v>
      </c>
      <c r="E93" s="156" t="s">
        <v>1073</v>
      </c>
      <c r="F93" s="136" t="s">
        <v>295</v>
      </c>
      <c r="G93" s="129" t="s">
        <v>1103</v>
      </c>
      <c r="H93" s="129" t="s">
        <v>512</v>
      </c>
      <c r="I93" s="163"/>
      <c r="J93" s="125" t="str">
        <f t="array" ref="J93">IFERROR(INDEX(All_User_backup!D:D,MATCH(D93,All_User_backup!H:H,0)),"없음")</f>
        <v>serene.ma@stryker.com</v>
      </c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  <c r="AD93" s="125"/>
      <c r="AE93" s="125"/>
      <c r="AF93" s="125"/>
      <c r="AG93" s="125"/>
      <c r="AH93" s="125"/>
      <c r="AI93" s="125"/>
      <c r="AJ93" s="125"/>
      <c r="AK93" s="125"/>
      <c r="AL93" s="125"/>
      <c r="AM93" s="125"/>
      <c r="AN93" s="125"/>
      <c r="AO93" s="125"/>
      <c r="AP93" s="125"/>
      <c r="AQ93" s="125"/>
      <c r="AR93" s="125"/>
      <c r="AS93" s="125"/>
      <c r="AT93" s="125"/>
      <c r="AU93" s="125"/>
      <c r="AV93" s="125"/>
      <c r="AW93" s="125"/>
      <c r="AX93" s="125"/>
      <c r="AY93" s="125"/>
      <c r="AZ93" s="125"/>
      <c r="BA93" s="125"/>
      <c r="BB93" s="125"/>
      <c r="BC93" s="125"/>
      <c r="BD93" s="125"/>
      <c r="BE93" s="125"/>
      <c r="BF93" s="125"/>
    </row>
    <row r="94">
      <c r="A94" s="126" t="s">
        <v>912</v>
      </c>
      <c r="B94" s="126" t="s">
        <v>913</v>
      </c>
      <c r="C94" s="142"/>
      <c r="D94" s="126" t="s">
        <v>1104</v>
      </c>
      <c r="E94" s="148" t="s">
        <v>1073</v>
      </c>
      <c r="F94" s="126" t="s">
        <v>27</v>
      </c>
      <c r="G94" s="131" t="s">
        <v>1105</v>
      </c>
      <c r="H94" s="131" t="s">
        <v>369</v>
      </c>
      <c r="I94" s="153"/>
      <c r="J94" s="125" t="str">
        <f t="array" ref="J94">IFERROR(INDEX(All_User_backup!D:D,MATCH(D94,All_User_backup!H:H,0)),"없음")</f>
        <v>dongkyu.kim@stryker.com</v>
      </c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  <c r="AD94" s="125"/>
      <c r="AE94" s="125"/>
      <c r="AF94" s="125"/>
      <c r="AG94" s="125"/>
      <c r="AH94" s="125"/>
      <c r="AI94" s="125"/>
      <c r="AJ94" s="125"/>
      <c r="AK94" s="125"/>
      <c r="AL94" s="125"/>
      <c r="AM94" s="125"/>
      <c r="AN94" s="125"/>
      <c r="AO94" s="125"/>
      <c r="AP94" s="125"/>
      <c r="AQ94" s="125"/>
      <c r="AR94" s="125"/>
      <c r="AS94" s="125"/>
      <c r="AT94" s="125"/>
      <c r="AU94" s="125"/>
      <c r="AV94" s="125"/>
      <c r="AW94" s="125"/>
      <c r="AX94" s="125"/>
      <c r="AY94" s="125"/>
      <c r="AZ94" s="125"/>
      <c r="BA94" s="125"/>
      <c r="BB94" s="125"/>
      <c r="BC94" s="125"/>
      <c r="BD94" s="125"/>
      <c r="BE94" s="125"/>
      <c r="BF94" s="125"/>
    </row>
    <row r="95">
      <c r="A95" s="126" t="s">
        <v>912</v>
      </c>
      <c r="B95" s="126" t="s">
        <v>913</v>
      </c>
      <c r="C95" s="142"/>
      <c r="D95" s="126" t="s">
        <v>1106</v>
      </c>
      <c r="E95" s="148" t="s">
        <v>1073</v>
      </c>
      <c r="F95" s="46" t="s">
        <v>35</v>
      </c>
      <c r="G95" s="131" t="s">
        <v>764</v>
      </c>
      <c r="H95" s="131" t="s">
        <v>765</v>
      </c>
      <c r="I95" s="164" t="s">
        <v>1107</v>
      </c>
      <c r="J95" s="125" t="str">
        <f t="array" ref="J95">IFERROR(INDEX(All_User_backup!D:D,MATCH(D95,All_User_backup!H:H,0)),"없음")</f>
        <v>ts.korea@stryker.com</v>
      </c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  <c r="AD95" s="125"/>
      <c r="AE95" s="125"/>
      <c r="AF95" s="125"/>
      <c r="AG95" s="125"/>
      <c r="AH95" s="125"/>
      <c r="AI95" s="125"/>
      <c r="AJ95" s="125"/>
      <c r="AK95" s="125"/>
      <c r="AL95" s="125"/>
      <c r="AM95" s="125"/>
      <c r="AN95" s="125"/>
      <c r="AO95" s="125"/>
      <c r="AP95" s="125"/>
      <c r="AQ95" s="125"/>
      <c r="AR95" s="125"/>
      <c r="AS95" s="125"/>
      <c r="AT95" s="125"/>
      <c r="AU95" s="125"/>
      <c r="AV95" s="125"/>
      <c r="AW95" s="125"/>
      <c r="AX95" s="125"/>
      <c r="AY95" s="125"/>
      <c r="AZ95" s="125"/>
      <c r="BA95" s="125"/>
      <c r="BB95" s="125"/>
      <c r="BC95" s="125"/>
      <c r="BD95" s="125"/>
      <c r="BE95" s="125"/>
      <c r="BF95" s="125"/>
    </row>
    <row r="96">
      <c r="A96" s="126" t="s">
        <v>912</v>
      </c>
      <c r="B96" s="126" t="s">
        <v>913</v>
      </c>
      <c r="C96" s="142"/>
      <c r="D96" s="126" t="s">
        <v>1108</v>
      </c>
      <c r="E96" s="148" t="s">
        <v>1073</v>
      </c>
      <c r="F96" s="126" t="s">
        <v>52</v>
      </c>
      <c r="G96" s="131" t="s">
        <v>147</v>
      </c>
      <c r="H96" s="131" t="s">
        <v>149</v>
      </c>
      <c r="I96" s="134"/>
      <c r="J96" s="125" t="str">
        <f t="array" ref="J96">IFERROR(INDEX(All_User_backup!D:D,MATCH(D96,All_User_backup!H:H,0)),"없음")</f>
        <v>Nathan.Eom@stryker.com</v>
      </c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  <c r="AD96" s="125"/>
      <c r="AE96" s="125"/>
      <c r="AF96" s="125"/>
      <c r="AG96" s="125"/>
      <c r="AH96" s="125"/>
      <c r="AI96" s="125"/>
      <c r="AJ96" s="125"/>
      <c r="AK96" s="125"/>
      <c r="AL96" s="125"/>
      <c r="AM96" s="125"/>
      <c r="AN96" s="125"/>
      <c r="AO96" s="125"/>
      <c r="AP96" s="125"/>
      <c r="AQ96" s="125"/>
      <c r="AR96" s="125"/>
      <c r="AS96" s="125"/>
      <c r="AT96" s="125"/>
      <c r="AU96" s="125"/>
      <c r="AV96" s="125"/>
      <c r="AW96" s="125"/>
      <c r="AX96" s="125"/>
      <c r="AY96" s="125"/>
      <c r="AZ96" s="125"/>
      <c r="BA96" s="125"/>
      <c r="BB96" s="125"/>
      <c r="BC96" s="125"/>
      <c r="BD96" s="125"/>
      <c r="BE96" s="125"/>
      <c r="BF96" s="125"/>
    </row>
    <row r="97">
      <c r="A97" s="126" t="s">
        <v>912</v>
      </c>
      <c r="B97" s="126" t="s">
        <v>913</v>
      </c>
      <c r="C97" s="127" t="s">
        <v>1109</v>
      </c>
      <c r="D97" s="126" t="s">
        <v>1110</v>
      </c>
      <c r="E97" s="148" t="s">
        <v>1073</v>
      </c>
      <c r="F97" s="126" t="s">
        <v>671</v>
      </c>
      <c r="G97" s="131" t="s">
        <v>916</v>
      </c>
      <c r="H97" s="129"/>
      <c r="I97" s="158" t="s">
        <v>1111</v>
      </c>
      <c r="J97" s="15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  <c r="AD97" s="125"/>
      <c r="AE97" s="125"/>
      <c r="AF97" s="125"/>
      <c r="AG97" s="125"/>
      <c r="AH97" s="125"/>
      <c r="AI97" s="125"/>
      <c r="AJ97" s="125"/>
      <c r="AK97" s="125"/>
      <c r="AL97" s="125"/>
      <c r="AM97" s="125"/>
      <c r="AN97" s="125"/>
      <c r="AO97" s="125"/>
      <c r="AP97" s="125"/>
      <c r="AQ97" s="125"/>
      <c r="AR97" s="125"/>
      <c r="AS97" s="125"/>
      <c r="AT97" s="125"/>
      <c r="AU97" s="125"/>
      <c r="AV97" s="125"/>
      <c r="AW97" s="125"/>
      <c r="AX97" s="125"/>
      <c r="AY97" s="125"/>
      <c r="AZ97" s="125"/>
      <c r="BA97" s="125"/>
      <c r="BB97" s="125"/>
      <c r="BC97" s="125"/>
      <c r="BD97" s="125"/>
      <c r="BE97" s="125"/>
      <c r="BF97" s="125"/>
    </row>
    <row r="98">
      <c r="A98" s="126" t="s">
        <v>912</v>
      </c>
      <c r="B98" s="126" t="s">
        <v>913</v>
      </c>
      <c r="C98" s="142"/>
      <c r="D98" s="126" t="s">
        <v>1112</v>
      </c>
      <c r="E98" s="148" t="s">
        <v>1073</v>
      </c>
      <c r="F98" s="126" t="s">
        <v>750</v>
      </c>
      <c r="G98" s="131" t="s">
        <v>1113</v>
      </c>
      <c r="H98" s="160" t="s">
        <v>772</v>
      </c>
      <c r="I98" s="131"/>
      <c r="J98" s="125" t="str">
        <f t="array" ref="J98">IFERROR(INDEX(All_User_backup!D:D,MATCH(D98,All_User_backup!H:H,0)),"없음")</f>
        <v>orderadmin1.ym@stryker.com</v>
      </c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  <c r="AD98" s="125"/>
      <c r="AE98" s="125"/>
      <c r="AF98" s="125"/>
      <c r="AG98" s="125"/>
      <c r="AH98" s="125"/>
      <c r="AI98" s="125"/>
      <c r="AJ98" s="125"/>
      <c r="AK98" s="125"/>
      <c r="AL98" s="125"/>
      <c r="AM98" s="125"/>
      <c r="AN98" s="125"/>
      <c r="AO98" s="125"/>
      <c r="AP98" s="125"/>
      <c r="AQ98" s="125"/>
      <c r="AR98" s="125"/>
      <c r="AS98" s="125"/>
      <c r="AT98" s="125"/>
      <c r="AU98" s="125"/>
      <c r="AV98" s="125"/>
      <c r="AW98" s="125"/>
      <c r="AX98" s="125"/>
      <c r="AY98" s="125"/>
      <c r="AZ98" s="125"/>
      <c r="BA98" s="125"/>
      <c r="BB98" s="125"/>
      <c r="BC98" s="125"/>
      <c r="BD98" s="125"/>
      <c r="BE98" s="125"/>
      <c r="BF98" s="125"/>
    </row>
    <row r="99">
      <c r="A99" s="126" t="s">
        <v>912</v>
      </c>
      <c r="B99" s="126" t="s">
        <v>913</v>
      </c>
      <c r="C99" s="142"/>
      <c r="D99" s="126" t="s">
        <v>1114</v>
      </c>
      <c r="E99" s="148" t="s">
        <v>1073</v>
      </c>
      <c r="F99" s="126" t="s">
        <v>142</v>
      </c>
      <c r="G99" s="131" t="s">
        <v>276</v>
      </c>
      <c r="H99" s="131" t="s">
        <v>278</v>
      </c>
      <c r="I99" s="134"/>
      <c r="J99" s="125" t="str">
        <f t="array" ref="J99">IFERROR(INDEX(All_User_backup!D:D,MATCH(D99,All_User_backup!H:H,0)),"없음")</f>
        <v>suhwan.jung@stryker.com</v>
      </c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  <c r="AD99" s="125"/>
      <c r="AE99" s="125"/>
      <c r="AF99" s="125"/>
      <c r="AG99" s="125"/>
      <c r="AH99" s="125"/>
      <c r="AI99" s="125"/>
      <c r="AJ99" s="125"/>
      <c r="AK99" s="125"/>
      <c r="AL99" s="125"/>
      <c r="AM99" s="125"/>
      <c r="AN99" s="125"/>
      <c r="AO99" s="125"/>
      <c r="AP99" s="125"/>
      <c r="AQ99" s="125"/>
      <c r="AR99" s="125"/>
      <c r="AS99" s="125"/>
      <c r="AT99" s="125"/>
      <c r="AU99" s="125"/>
      <c r="AV99" s="125"/>
      <c r="AW99" s="125"/>
      <c r="AX99" s="125"/>
      <c r="AY99" s="125"/>
      <c r="AZ99" s="125"/>
      <c r="BA99" s="125"/>
      <c r="BB99" s="125"/>
      <c r="BC99" s="125"/>
      <c r="BD99" s="125"/>
      <c r="BE99" s="125"/>
      <c r="BF99" s="125"/>
    </row>
    <row r="100">
      <c r="A100" s="126" t="s">
        <v>912</v>
      </c>
      <c r="B100" s="126" t="s">
        <v>913</v>
      </c>
      <c r="C100" s="142"/>
      <c r="D100" s="126" t="s">
        <v>1115</v>
      </c>
      <c r="E100" s="148" t="s">
        <v>1073</v>
      </c>
      <c r="F100" s="126" t="s">
        <v>27</v>
      </c>
      <c r="G100" s="131" t="s">
        <v>553</v>
      </c>
      <c r="H100" s="131" t="s">
        <v>555</v>
      </c>
      <c r="I100" s="153"/>
      <c r="J100" s="125" t="str">
        <f t="array" ref="J100">IFERROR(INDEX(All_User_backup!D:D,MATCH(D100,All_User_backup!H:H,0)),"없음")</f>
        <v>julie.park@stryker.com</v>
      </c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  <c r="AD100" s="125"/>
      <c r="AE100" s="125"/>
      <c r="AF100" s="125"/>
      <c r="AG100" s="125"/>
      <c r="AH100" s="125"/>
      <c r="AI100" s="125"/>
      <c r="AJ100" s="125"/>
      <c r="AK100" s="125"/>
      <c r="AL100" s="125"/>
      <c r="AM100" s="125"/>
      <c r="AN100" s="125"/>
      <c r="AO100" s="125"/>
      <c r="AP100" s="125"/>
      <c r="AQ100" s="125"/>
      <c r="AR100" s="125"/>
      <c r="AS100" s="125"/>
      <c r="AT100" s="125"/>
      <c r="AU100" s="125"/>
      <c r="AV100" s="125"/>
      <c r="AW100" s="125"/>
      <c r="AX100" s="125"/>
      <c r="AY100" s="125"/>
      <c r="AZ100" s="125"/>
      <c r="BA100" s="125"/>
      <c r="BB100" s="125"/>
      <c r="BC100" s="125"/>
      <c r="BD100" s="125"/>
      <c r="BE100" s="125"/>
      <c r="BF100" s="125"/>
    </row>
    <row r="101">
      <c r="A101" s="126" t="s">
        <v>912</v>
      </c>
      <c r="B101" s="126" t="s">
        <v>913</v>
      </c>
      <c r="C101" s="142"/>
      <c r="D101" s="126" t="s">
        <v>1116</v>
      </c>
      <c r="E101" s="148" t="s">
        <v>1073</v>
      </c>
      <c r="F101" s="126" t="s">
        <v>671</v>
      </c>
      <c r="G101" s="131" t="s">
        <v>916</v>
      </c>
      <c r="H101" s="131"/>
      <c r="I101" s="131" t="s">
        <v>1117</v>
      </c>
      <c r="J101" s="125" t="str">
        <f t="array" ref="J101">IFERROR(INDEX(All_User_backup!D:D,MATCH(D101,All_User_backup!H:H,0)),"없음")</f>
        <v>없음</v>
      </c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  <c r="AD101" s="125"/>
      <c r="AE101" s="125"/>
      <c r="AF101" s="125"/>
      <c r="AG101" s="125"/>
      <c r="AH101" s="125"/>
      <c r="AI101" s="125"/>
      <c r="AJ101" s="125"/>
      <c r="AK101" s="125"/>
      <c r="AL101" s="125"/>
      <c r="AM101" s="125"/>
      <c r="AN101" s="125"/>
      <c r="AO101" s="125"/>
      <c r="AP101" s="125"/>
      <c r="AQ101" s="125"/>
      <c r="AR101" s="125"/>
      <c r="AS101" s="125"/>
      <c r="AT101" s="125"/>
      <c r="AU101" s="125"/>
      <c r="AV101" s="125"/>
      <c r="AW101" s="125"/>
      <c r="AX101" s="125"/>
      <c r="AY101" s="125"/>
      <c r="AZ101" s="125"/>
      <c r="BA101" s="125"/>
      <c r="BB101" s="125"/>
      <c r="BC101" s="125"/>
      <c r="BD101" s="125"/>
      <c r="BE101" s="125"/>
      <c r="BF101" s="125"/>
    </row>
    <row r="102">
      <c r="A102" s="126" t="s">
        <v>912</v>
      </c>
      <c r="B102" s="126" t="s">
        <v>913</v>
      </c>
      <c r="C102" s="142"/>
      <c r="D102" s="126" t="s">
        <v>1118</v>
      </c>
      <c r="E102" s="148" t="s">
        <v>1073</v>
      </c>
      <c r="F102" s="126" t="s">
        <v>257</v>
      </c>
      <c r="G102" s="131" t="s">
        <v>253</v>
      </c>
      <c r="H102" s="131" t="s">
        <v>255</v>
      </c>
      <c r="I102" s="134"/>
      <c r="J102" s="125" t="str">
        <f t="array" ref="J102">IFERROR(INDEX(All_User_backup!D:D,MATCH(D102,All_User_backup!H:H,0)),"없음")</f>
        <v>jh.ji@stryker.com</v>
      </c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  <c r="AD102" s="125"/>
      <c r="AE102" s="125"/>
      <c r="AF102" s="125"/>
      <c r="AG102" s="125"/>
      <c r="AH102" s="125"/>
      <c r="AI102" s="125"/>
      <c r="AJ102" s="125"/>
      <c r="AK102" s="125"/>
      <c r="AL102" s="125"/>
      <c r="AM102" s="125"/>
      <c r="AN102" s="125"/>
      <c r="AO102" s="125"/>
      <c r="AP102" s="125"/>
      <c r="AQ102" s="125"/>
      <c r="AR102" s="125"/>
      <c r="AS102" s="125"/>
      <c r="AT102" s="125"/>
      <c r="AU102" s="125"/>
      <c r="AV102" s="125"/>
      <c r="AW102" s="125"/>
      <c r="AX102" s="125"/>
      <c r="AY102" s="125"/>
      <c r="AZ102" s="125"/>
      <c r="BA102" s="125"/>
      <c r="BB102" s="125"/>
      <c r="BC102" s="125"/>
      <c r="BD102" s="125"/>
      <c r="BE102" s="125"/>
      <c r="BF102" s="125"/>
    </row>
    <row r="103">
      <c r="A103" s="126" t="s">
        <v>912</v>
      </c>
      <c r="B103" s="126" t="s">
        <v>913</v>
      </c>
      <c r="C103" s="142"/>
      <c r="D103" s="126" t="s">
        <v>1119</v>
      </c>
      <c r="E103" s="148" t="s">
        <v>1073</v>
      </c>
      <c r="F103" s="126" t="s">
        <v>67</v>
      </c>
      <c r="G103" s="131" t="s">
        <v>1120</v>
      </c>
      <c r="H103" s="131" t="s">
        <v>1121</v>
      </c>
      <c r="I103" s="134"/>
      <c r="J103" s="125" t="str">
        <f t="array" ref="J103">IFERROR(INDEX(All_User_backup!D:D,MATCH(D103,All_User_backup!H:H,0)),"없음")</f>
        <v>clare.yang@stryker.com</v>
      </c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  <c r="AD103" s="125"/>
      <c r="AE103" s="125"/>
      <c r="AF103" s="125"/>
      <c r="AG103" s="125"/>
      <c r="AH103" s="125"/>
      <c r="AI103" s="125"/>
      <c r="AJ103" s="125"/>
      <c r="AK103" s="125"/>
      <c r="AL103" s="125"/>
      <c r="AM103" s="125"/>
      <c r="AN103" s="125"/>
      <c r="AO103" s="125"/>
      <c r="AP103" s="125"/>
      <c r="AQ103" s="125"/>
      <c r="AR103" s="125"/>
      <c r="AS103" s="125"/>
      <c r="AT103" s="125"/>
      <c r="AU103" s="125"/>
      <c r="AV103" s="125"/>
      <c r="AW103" s="125"/>
      <c r="AX103" s="125"/>
      <c r="AY103" s="125"/>
      <c r="AZ103" s="125"/>
      <c r="BA103" s="125"/>
      <c r="BB103" s="125"/>
      <c r="BC103" s="125"/>
      <c r="BD103" s="125"/>
      <c r="BE103" s="125"/>
      <c r="BF103" s="125"/>
    </row>
    <row r="104">
      <c r="A104" s="126" t="s">
        <v>912</v>
      </c>
      <c r="B104" s="126" t="s">
        <v>913</v>
      </c>
      <c r="C104" s="127" t="s">
        <v>1122</v>
      </c>
      <c r="D104" s="126" t="s">
        <v>1123</v>
      </c>
      <c r="E104" s="148" t="s">
        <v>1073</v>
      </c>
      <c r="F104" s="126" t="s">
        <v>27</v>
      </c>
      <c r="G104" s="131" t="s">
        <v>1124</v>
      </c>
      <c r="H104" s="129" t="s">
        <v>875</v>
      </c>
      <c r="I104" s="159"/>
      <c r="J104" s="125" t="str">
        <f t="array" ref="J104">IFERROR(INDEX(All_User_backup!D:D,MATCH(D104,All_User_backup!H:H,0)),"없음")</f>
        <v>없음</v>
      </c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  <c r="AD104" s="125"/>
      <c r="AE104" s="125"/>
      <c r="AF104" s="125"/>
      <c r="AG104" s="125"/>
      <c r="AH104" s="125"/>
      <c r="AI104" s="125"/>
      <c r="AJ104" s="125"/>
      <c r="AK104" s="125"/>
      <c r="AL104" s="125"/>
      <c r="AM104" s="125"/>
      <c r="AN104" s="125"/>
      <c r="AO104" s="125"/>
      <c r="AP104" s="125"/>
      <c r="AQ104" s="125"/>
      <c r="AR104" s="125"/>
      <c r="AS104" s="125"/>
      <c r="AT104" s="125"/>
      <c r="AU104" s="125"/>
      <c r="AV104" s="125"/>
      <c r="AW104" s="125"/>
      <c r="AX104" s="125"/>
      <c r="AY104" s="125"/>
      <c r="AZ104" s="125"/>
      <c r="BA104" s="125"/>
      <c r="BB104" s="125"/>
      <c r="BC104" s="125"/>
      <c r="BD104" s="125"/>
      <c r="BE104" s="125"/>
      <c r="BF104" s="125"/>
    </row>
    <row r="105">
      <c r="A105" s="126" t="s">
        <v>912</v>
      </c>
      <c r="B105" s="126" t="s">
        <v>913</v>
      </c>
      <c r="C105" s="142"/>
      <c r="D105" s="126" t="s">
        <v>1125</v>
      </c>
      <c r="E105" s="148" t="s">
        <v>1073</v>
      </c>
      <c r="F105" s="126" t="s">
        <v>41</v>
      </c>
      <c r="G105" s="131" t="s">
        <v>1126</v>
      </c>
      <c r="H105" s="131" t="s">
        <v>690</v>
      </c>
      <c r="I105" s="153"/>
      <c r="J105" s="125" t="str">
        <f t="array" ref="J105">IFERROR(INDEX(All_User_backup!D:D,MATCH(D105,All_User_backup!H:H,0)),"없음")</f>
        <v>imsun.won@stryker.com</v>
      </c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  <c r="AD105" s="125"/>
      <c r="AE105" s="125"/>
      <c r="AF105" s="125"/>
      <c r="AG105" s="125"/>
      <c r="AH105" s="125"/>
      <c r="AI105" s="125"/>
      <c r="AJ105" s="125"/>
      <c r="AK105" s="125"/>
      <c r="AL105" s="125"/>
      <c r="AM105" s="125"/>
      <c r="AN105" s="125"/>
      <c r="AO105" s="125"/>
      <c r="AP105" s="125"/>
      <c r="AQ105" s="125"/>
      <c r="AR105" s="125"/>
      <c r="AS105" s="125"/>
      <c r="AT105" s="125"/>
      <c r="AU105" s="125"/>
      <c r="AV105" s="125"/>
      <c r="AW105" s="125"/>
      <c r="AX105" s="125"/>
      <c r="AY105" s="125"/>
      <c r="AZ105" s="125"/>
      <c r="BA105" s="125"/>
      <c r="BB105" s="125"/>
      <c r="BC105" s="125"/>
      <c r="BD105" s="125"/>
      <c r="BE105" s="125"/>
      <c r="BF105" s="125"/>
    </row>
    <row r="106">
      <c r="A106" s="126" t="s">
        <v>912</v>
      </c>
      <c r="B106" s="126" t="s">
        <v>913</v>
      </c>
      <c r="C106" s="142"/>
      <c r="D106" s="126" t="s">
        <v>1127</v>
      </c>
      <c r="E106" s="148" t="s">
        <v>1073</v>
      </c>
      <c r="F106" s="126" t="s">
        <v>671</v>
      </c>
      <c r="G106" s="131" t="s">
        <v>916</v>
      </c>
      <c r="H106" s="131"/>
      <c r="I106" s="158" t="s">
        <v>1128</v>
      </c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  <c r="AD106" s="125"/>
      <c r="AE106" s="125"/>
      <c r="AF106" s="125"/>
      <c r="AG106" s="125"/>
      <c r="AH106" s="125"/>
      <c r="AI106" s="125"/>
      <c r="AJ106" s="125"/>
      <c r="AK106" s="125"/>
      <c r="AL106" s="125"/>
      <c r="AM106" s="125"/>
      <c r="AN106" s="125"/>
      <c r="AO106" s="125"/>
      <c r="AP106" s="125"/>
      <c r="AQ106" s="125"/>
      <c r="AR106" s="125"/>
      <c r="AS106" s="125"/>
      <c r="AT106" s="125"/>
      <c r="AU106" s="125"/>
      <c r="AV106" s="125"/>
      <c r="AW106" s="125"/>
      <c r="AX106" s="125"/>
      <c r="AY106" s="125"/>
      <c r="AZ106" s="125"/>
      <c r="BA106" s="125"/>
      <c r="BB106" s="125"/>
      <c r="BC106" s="125"/>
      <c r="BD106" s="125"/>
      <c r="BE106" s="125"/>
      <c r="BF106" s="125"/>
    </row>
    <row r="107">
      <c r="A107" s="126" t="s">
        <v>912</v>
      </c>
      <c r="B107" s="126" t="s">
        <v>913</v>
      </c>
      <c r="C107" s="142"/>
      <c r="D107" s="126" t="s">
        <v>1129</v>
      </c>
      <c r="E107" s="148" t="s">
        <v>1073</v>
      </c>
      <c r="F107" s="126" t="s">
        <v>671</v>
      </c>
      <c r="G107" s="131" t="s">
        <v>996</v>
      </c>
      <c r="H107" s="139" t="s">
        <v>1130</v>
      </c>
      <c r="I107" s="131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  <c r="AD107" s="125"/>
      <c r="AE107" s="125"/>
      <c r="AF107" s="125"/>
      <c r="AG107" s="125"/>
      <c r="AH107" s="125"/>
      <c r="AI107" s="125"/>
      <c r="AJ107" s="125"/>
      <c r="AK107" s="125"/>
      <c r="AL107" s="125"/>
      <c r="AM107" s="125"/>
      <c r="AN107" s="125"/>
      <c r="AO107" s="125"/>
      <c r="AP107" s="125"/>
      <c r="AQ107" s="125"/>
      <c r="AR107" s="125"/>
      <c r="AS107" s="125"/>
      <c r="AT107" s="125"/>
      <c r="AU107" s="125"/>
      <c r="AV107" s="125"/>
      <c r="AW107" s="125"/>
      <c r="AX107" s="125"/>
      <c r="AY107" s="125"/>
      <c r="AZ107" s="125"/>
      <c r="BA107" s="125"/>
      <c r="BB107" s="125"/>
      <c r="BC107" s="125"/>
      <c r="BD107" s="125"/>
      <c r="BE107" s="125"/>
      <c r="BF107" s="125"/>
    </row>
    <row r="108">
      <c r="A108" s="126" t="s">
        <v>912</v>
      </c>
      <c r="B108" s="126" t="s">
        <v>913</v>
      </c>
      <c r="C108" s="142"/>
      <c r="D108" s="126" t="s">
        <v>1131</v>
      </c>
      <c r="E108" s="148" t="s">
        <v>1073</v>
      </c>
      <c r="F108" s="126" t="s">
        <v>142</v>
      </c>
      <c r="G108" s="131" t="s">
        <v>397</v>
      </c>
      <c r="H108" s="131" t="s">
        <v>399</v>
      </c>
      <c r="I108" s="153"/>
      <c r="J108" s="125" t="str">
        <f t="array" ref="J108">IFERROR(INDEX(All_User_backup!D:D,MATCH(D108,All_User_backup!H:H,0)),"없음")</f>
        <v>lina.kim@stryker.com</v>
      </c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  <c r="AD108" s="125"/>
      <c r="AE108" s="125"/>
      <c r="AF108" s="125"/>
      <c r="AG108" s="125"/>
      <c r="AH108" s="125"/>
      <c r="AI108" s="125"/>
      <c r="AJ108" s="125"/>
      <c r="AK108" s="125"/>
      <c r="AL108" s="125"/>
      <c r="AM108" s="125"/>
      <c r="AN108" s="125"/>
      <c r="AO108" s="125"/>
      <c r="AP108" s="125"/>
      <c r="AQ108" s="125"/>
      <c r="AR108" s="125"/>
      <c r="AS108" s="125"/>
      <c r="AT108" s="125"/>
      <c r="AU108" s="125"/>
      <c r="AV108" s="125"/>
      <c r="AW108" s="125"/>
      <c r="AX108" s="125"/>
      <c r="AY108" s="125"/>
      <c r="AZ108" s="125"/>
      <c r="BA108" s="125"/>
      <c r="BB108" s="125"/>
      <c r="BC108" s="125"/>
      <c r="BD108" s="125"/>
      <c r="BE108" s="125"/>
      <c r="BF108" s="125"/>
    </row>
    <row r="109">
      <c r="A109" s="126" t="s">
        <v>912</v>
      </c>
      <c r="B109" s="126" t="s">
        <v>913</v>
      </c>
      <c r="C109" s="142"/>
      <c r="D109" s="126" t="s">
        <v>1132</v>
      </c>
      <c r="E109" s="148" t="s">
        <v>1073</v>
      </c>
      <c r="F109" s="126" t="s">
        <v>180</v>
      </c>
      <c r="G109" s="131" t="s">
        <v>1133</v>
      </c>
      <c r="H109" s="131" t="s">
        <v>178</v>
      </c>
      <c r="I109" s="134"/>
      <c r="J109" s="125" t="str">
        <f t="array" ref="J109">IFERROR(INDEX(All_User_backup!D:D,MATCH(D109,All_User_backup!H:H,0)),"없음")</f>
        <v>arum.han@stryker.com</v>
      </c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  <c r="AD109" s="125"/>
      <c r="AE109" s="125"/>
      <c r="AF109" s="125"/>
      <c r="AG109" s="125"/>
      <c r="AH109" s="125"/>
      <c r="AI109" s="125"/>
      <c r="AJ109" s="125"/>
      <c r="AK109" s="125"/>
      <c r="AL109" s="125"/>
      <c r="AM109" s="125"/>
      <c r="AN109" s="125"/>
      <c r="AO109" s="125"/>
      <c r="AP109" s="125"/>
      <c r="AQ109" s="125"/>
      <c r="AR109" s="125"/>
      <c r="AS109" s="125"/>
      <c r="AT109" s="125"/>
      <c r="AU109" s="125"/>
      <c r="AV109" s="125"/>
      <c r="AW109" s="125"/>
      <c r="AX109" s="125"/>
      <c r="AY109" s="125"/>
      <c r="AZ109" s="125"/>
      <c r="BA109" s="125"/>
      <c r="BB109" s="125"/>
      <c r="BC109" s="125"/>
      <c r="BD109" s="125"/>
      <c r="BE109" s="125"/>
      <c r="BF109" s="125"/>
    </row>
    <row r="110">
      <c r="A110" s="126" t="s">
        <v>912</v>
      </c>
      <c r="B110" s="126" t="s">
        <v>913</v>
      </c>
      <c r="C110" s="127" t="s">
        <v>1134</v>
      </c>
      <c r="D110" s="126" t="s">
        <v>1135</v>
      </c>
      <c r="E110" s="148" t="s">
        <v>1073</v>
      </c>
      <c r="F110" s="126" t="s">
        <v>41</v>
      </c>
      <c r="G110" s="131" t="s">
        <v>1136</v>
      </c>
      <c r="H110" s="131" t="s">
        <v>190</v>
      </c>
      <c r="I110" s="153"/>
      <c r="J110" s="125" t="str">
        <f t="array" ref="J110">IFERROR(INDEX(All_User_backup!D:D,MATCH(D110,All_User_backup!H:H,0)),"없음")</f>
        <v>seoyeong.hong@stryker.com</v>
      </c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  <c r="AD110" s="125"/>
      <c r="AE110" s="125"/>
      <c r="AF110" s="125"/>
      <c r="AG110" s="125"/>
      <c r="AH110" s="125"/>
      <c r="AI110" s="125"/>
      <c r="AJ110" s="125"/>
      <c r="AK110" s="125"/>
      <c r="AL110" s="125"/>
      <c r="AM110" s="125"/>
      <c r="AN110" s="125"/>
      <c r="AO110" s="125"/>
      <c r="AP110" s="125"/>
      <c r="AQ110" s="125"/>
      <c r="AR110" s="125"/>
      <c r="AS110" s="125"/>
      <c r="AT110" s="125"/>
      <c r="AU110" s="125"/>
      <c r="AV110" s="125"/>
      <c r="AW110" s="125"/>
      <c r="AX110" s="125"/>
      <c r="AY110" s="125"/>
      <c r="AZ110" s="125"/>
      <c r="BA110" s="125"/>
      <c r="BB110" s="125"/>
      <c r="BC110" s="125"/>
      <c r="BD110" s="125"/>
      <c r="BE110" s="125"/>
      <c r="BF110" s="125"/>
    </row>
    <row r="111">
      <c r="A111" s="126" t="s">
        <v>912</v>
      </c>
      <c r="B111" s="126" t="s">
        <v>913</v>
      </c>
      <c r="C111" s="142"/>
      <c r="D111" s="126" t="s">
        <v>1137</v>
      </c>
      <c r="E111" s="148" t="s">
        <v>1073</v>
      </c>
      <c r="F111" s="126" t="s">
        <v>295</v>
      </c>
      <c r="G111" s="131" t="s">
        <v>1138</v>
      </c>
      <c r="H111" s="129" t="s">
        <v>840</v>
      </c>
      <c r="I111" s="159" t="s">
        <v>1139</v>
      </c>
      <c r="J111" s="125" t="str">
        <f t="array" ref="J111">IFERROR(INDEX(All_User_backup!D:D,MATCH(D111,All_User_backup!H:H,0)),"없음")</f>
        <v>ab-chloe.kang@stryker.com</v>
      </c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  <c r="AD111" s="125"/>
      <c r="AE111" s="125"/>
      <c r="AF111" s="125"/>
      <c r="AG111" s="125"/>
      <c r="AH111" s="125"/>
      <c r="AI111" s="125"/>
      <c r="AJ111" s="125"/>
      <c r="AK111" s="125"/>
      <c r="AL111" s="125"/>
      <c r="AM111" s="125"/>
      <c r="AN111" s="125"/>
      <c r="AO111" s="125"/>
      <c r="AP111" s="125"/>
      <c r="AQ111" s="125"/>
      <c r="AR111" s="125"/>
      <c r="AS111" s="125"/>
      <c r="AT111" s="125"/>
      <c r="AU111" s="125"/>
      <c r="AV111" s="125"/>
      <c r="AW111" s="125"/>
      <c r="AX111" s="125"/>
      <c r="AY111" s="125"/>
      <c r="AZ111" s="125"/>
      <c r="BA111" s="125"/>
      <c r="BB111" s="125"/>
      <c r="BC111" s="125"/>
      <c r="BD111" s="125"/>
      <c r="BE111" s="125"/>
      <c r="BF111" s="125"/>
    </row>
    <row r="112">
      <c r="A112" s="126" t="s">
        <v>912</v>
      </c>
      <c r="B112" s="126" t="s">
        <v>913</v>
      </c>
      <c r="C112" s="142"/>
      <c r="D112" s="126" t="s">
        <v>1140</v>
      </c>
      <c r="E112" s="148" t="s">
        <v>1073</v>
      </c>
      <c r="F112" s="126" t="s">
        <v>750</v>
      </c>
      <c r="G112" s="131" t="s">
        <v>766</v>
      </c>
      <c r="H112" s="129" t="s">
        <v>767</v>
      </c>
      <c r="I112" s="153"/>
      <c r="J112" s="125" t="str">
        <f t="array" ref="J112">IFERROR(INDEX(All_User_backup!D:D,MATCH(D112,All_User_backup!H:H,0)),"없음")</f>
        <v>yongma04(깡통)</v>
      </c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  <c r="AD112" s="125"/>
      <c r="AE112" s="125"/>
      <c r="AF112" s="125"/>
      <c r="AG112" s="125"/>
      <c r="AH112" s="125"/>
      <c r="AI112" s="125"/>
      <c r="AJ112" s="125"/>
      <c r="AK112" s="125"/>
      <c r="AL112" s="125"/>
      <c r="AM112" s="125"/>
      <c r="AN112" s="125"/>
      <c r="AO112" s="125"/>
      <c r="AP112" s="125"/>
      <c r="AQ112" s="125"/>
      <c r="AR112" s="125"/>
      <c r="AS112" s="125"/>
      <c r="AT112" s="125"/>
      <c r="AU112" s="125"/>
      <c r="AV112" s="125"/>
      <c r="AW112" s="125"/>
      <c r="AX112" s="125"/>
      <c r="AY112" s="125"/>
      <c r="AZ112" s="125"/>
      <c r="BA112" s="125"/>
      <c r="BB112" s="125"/>
      <c r="BC112" s="125"/>
      <c r="BD112" s="125"/>
      <c r="BE112" s="125"/>
      <c r="BF112" s="125"/>
    </row>
    <row r="113">
      <c r="A113" s="126" t="s">
        <v>912</v>
      </c>
      <c r="B113" s="126" t="s">
        <v>913</v>
      </c>
      <c r="C113" s="142"/>
      <c r="D113" s="126" t="s">
        <v>1141</v>
      </c>
      <c r="E113" s="148" t="s">
        <v>1073</v>
      </c>
      <c r="F113" s="126" t="s">
        <v>671</v>
      </c>
      <c r="G113" s="131" t="s">
        <v>65</v>
      </c>
      <c r="H113" s="131"/>
      <c r="I113" s="165" t="s">
        <v>1142</v>
      </c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  <c r="AD113" s="125"/>
      <c r="AE113" s="125"/>
      <c r="AF113" s="125"/>
      <c r="AG113" s="125"/>
      <c r="AH113" s="125"/>
      <c r="AI113" s="125"/>
      <c r="AJ113" s="125"/>
      <c r="AK113" s="125"/>
      <c r="AL113" s="125"/>
      <c r="AM113" s="125"/>
      <c r="AN113" s="125"/>
      <c r="AO113" s="125"/>
      <c r="AP113" s="125"/>
      <c r="AQ113" s="125"/>
      <c r="AR113" s="125"/>
      <c r="AS113" s="125"/>
      <c r="AT113" s="125"/>
      <c r="AU113" s="125"/>
      <c r="AV113" s="125"/>
      <c r="AW113" s="125"/>
      <c r="AX113" s="125"/>
      <c r="AY113" s="125"/>
      <c r="AZ113" s="125"/>
      <c r="BA113" s="125"/>
      <c r="BB113" s="125"/>
      <c r="BC113" s="125"/>
      <c r="BD113" s="125"/>
      <c r="BE113" s="125"/>
      <c r="BF113" s="125"/>
    </row>
    <row r="114">
      <c r="A114" s="126" t="s">
        <v>912</v>
      </c>
      <c r="B114" s="126" t="s">
        <v>913</v>
      </c>
      <c r="C114" s="142"/>
      <c r="D114" s="126" t="s">
        <v>1143</v>
      </c>
      <c r="E114" s="148" t="s">
        <v>1073</v>
      </c>
      <c r="F114" s="126" t="s">
        <v>142</v>
      </c>
      <c r="G114" s="131" t="s">
        <v>167</v>
      </c>
      <c r="H114" s="131" t="s">
        <v>169</v>
      </c>
      <c r="I114" s="153"/>
      <c r="J114" s="125" t="str">
        <f t="array" ref="J114">IFERROR(INDEX(All_User_backup!D:D,MATCH(D114,All_User_backup!H:H,0)),"없음")</f>
        <v>leo.han@stryker.com</v>
      </c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  <c r="AD114" s="125"/>
      <c r="AE114" s="125"/>
      <c r="AF114" s="125"/>
      <c r="AG114" s="125"/>
      <c r="AH114" s="125"/>
      <c r="AI114" s="125"/>
      <c r="AJ114" s="125"/>
      <c r="AK114" s="125"/>
      <c r="AL114" s="125"/>
      <c r="AM114" s="125"/>
      <c r="AN114" s="125"/>
      <c r="AO114" s="125"/>
      <c r="AP114" s="125"/>
      <c r="AQ114" s="125"/>
      <c r="AR114" s="125"/>
      <c r="AS114" s="125"/>
      <c r="AT114" s="125"/>
      <c r="AU114" s="125"/>
      <c r="AV114" s="125"/>
      <c r="AW114" s="125"/>
      <c r="AX114" s="125"/>
      <c r="AY114" s="125"/>
      <c r="AZ114" s="125"/>
      <c r="BA114" s="125"/>
      <c r="BB114" s="125"/>
      <c r="BC114" s="125"/>
      <c r="BD114" s="125"/>
      <c r="BE114" s="125"/>
      <c r="BF114" s="125"/>
    </row>
    <row r="115">
      <c r="A115" s="126" t="s">
        <v>912</v>
      </c>
      <c r="B115" s="126" t="s">
        <v>913</v>
      </c>
      <c r="C115" s="142"/>
      <c r="D115" s="126" t="s">
        <v>1144</v>
      </c>
      <c r="E115" s="148" t="s">
        <v>1073</v>
      </c>
      <c r="F115" s="126" t="s">
        <v>41</v>
      </c>
      <c r="G115" s="131" t="s">
        <v>1145</v>
      </c>
      <c r="H115" s="131" t="s">
        <v>710</v>
      </c>
      <c r="I115" s="134"/>
      <c r="J115" s="125" t="str">
        <f t="array" ref="J115">IFERROR(INDEX(All_User_backup!D:D,MATCH(D115,All_User_backup!H:H,0)),"없음")</f>
        <v>minsu.yi@stryker.com</v>
      </c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  <c r="AD115" s="125"/>
      <c r="AE115" s="125"/>
      <c r="AF115" s="125"/>
      <c r="AG115" s="125"/>
      <c r="AH115" s="125"/>
      <c r="AI115" s="125"/>
      <c r="AJ115" s="125"/>
      <c r="AK115" s="125"/>
      <c r="AL115" s="125"/>
      <c r="AM115" s="125"/>
      <c r="AN115" s="125"/>
      <c r="AO115" s="125"/>
      <c r="AP115" s="125"/>
      <c r="AQ115" s="125"/>
      <c r="AR115" s="125"/>
      <c r="AS115" s="125"/>
      <c r="AT115" s="125"/>
      <c r="AU115" s="125"/>
      <c r="AV115" s="125"/>
      <c r="AW115" s="125"/>
      <c r="AX115" s="125"/>
      <c r="AY115" s="125"/>
      <c r="AZ115" s="125"/>
      <c r="BA115" s="125"/>
      <c r="BB115" s="125"/>
      <c r="BC115" s="125"/>
      <c r="BD115" s="125"/>
      <c r="BE115" s="125"/>
      <c r="BF115" s="125"/>
    </row>
    <row r="116">
      <c r="A116" s="126" t="s">
        <v>912</v>
      </c>
      <c r="B116" s="126" t="s">
        <v>913</v>
      </c>
      <c r="C116" s="142"/>
      <c r="D116" s="126" t="s">
        <v>1146</v>
      </c>
      <c r="E116" s="148" t="s">
        <v>1073</v>
      </c>
      <c r="F116" s="126" t="s">
        <v>27</v>
      </c>
      <c r="G116" s="131" t="s">
        <v>238</v>
      </c>
      <c r="H116" s="131" t="s">
        <v>240</v>
      </c>
      <c r="I116" s="131"/>
      <c r="J116" s="125" t="str">
        <f t="array" ref="J116">IFERROR(INDEX(All_User_backup!D:D,MATCH(D116,All_User_backup!H:H,0)),"없음")</f>
        <v>somi.jeong@stryker.com</v>
      </c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  <c r="AD116" s="125"/>
      <c r="AE116" s="125"/>
      <c r="AF116" s="125"/>
      <c r="AG116" s="125"/>
      <c r="AH116" s="125"/>
      <c r="AI116" s="125"/>
      <c r="AJ116" s="125"/>
      <c r="AK116" s="125"/>
      <c r="AL116" s="125"/>
      <c r="AM116" s="125"/>
      <c r="AN116" s="125"/>
      <c r="AO116" s="125"/>
      <c r="AP116" s="125"/>
      <c r="AQ116" s="125"/>
      <c r="AR116" s="125"/>
      <c r="AS116" s="125"/>
      <c r="AT116" s="125"/>
      <c r="AU116" s="125"/>
      <c r="AV116" s="125"/>
      <c r="AW116" s="125"/>
      <c r="AX116" s="125"/>
      <c r="AY116" s="125"/>
      <c r="AZ116" s="125"/>
      <c r="BA116" s="125"/>
      <c r="BB116" s="125"/>
      <c r="BC116" s="125"/>
      <c r="BD116" s="125"/>
      <c r="BE116" s="125"/>
      <c r="BF116" s="125"/>
    </row>
    <row r="117">
      <c r="A117" s="126" t="s">
        <v>1147</v>
      </c>
      <c r="B117" s="136" t="s">
        <v>913</v>
      </c>
      <c r="C117" s="152"/>
      <c r="D117" s="126" t="s">
        <v>1148</v>
      </c>
      <c r="E117" s="138">
        <v>40567.0</v>
      </c>
      <c r="F117" s="136" t="s">
        <v>35</v>
      </c>
      <c r="G117" s="129" t="s">
        <v>204</v>
      </c>
      <c r="H117" s="129" t="s">
        <v>206</v>
      </c>
      <c r="I117" s="140"/>
      <c r="J117" s="125" t="str">
        <f t="array" ref="J117">IFERROR(INDEX(All_User_backup!D:D,MATCH(D117,All_User_backup!H:H,0)),"없음")</f>
        <v>oscar.hwang@stryker.com</v>
      </c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  <c r="AD117" s="125"/>
      <c r="AE117" s="125"/>
      <c r="AF117" s="125"/>
      <c r="AG117" s="125"/>
      <c r="AH117" s="125"/>
      <c r="AI117" s="125"/>
      <c r="AJ117" s="125"/>
      <c r="AK117" s="125"/>
      <c r="AL117" s="125"/>
      <c r="AM117" s="125"/>
      <c r="AN117" s="125"/>
      <c r="AO117" s="125"/>
      <c r="AP117" s="125"/>
      <c r="AQ117" s="125"/>
      <c r="AR117" s="125"/>
      <c r="AS117" s="125"/>
      <c r="AT117" s="125"/>
      <c r="AU117" s="125"/>
      <c r="AV117" s="125"/>
      <c r="AW117" s="125"/>
      <c r="AX117" s="125"/>
      <c r="AY117" s="125"/>
      <c r="AZ117" s="125"/>
      <c r="BA117" s="125"/>
      <c r="BB117" s="125"/>
      <c r="BC117" s="125"/>
      <c r="BD117" s="125"/>
      <c r="BE117" s="125"/>
      <c r="BF117" s="125"/>
    </row>
    <row r="118">
      <c r="A118" s="126" t="s">
        <v>1147</v>
      </c>
      <c r="B118" s="166" t="s">
        <v>913</v>
      </c>
      <c r="C118" s="167"/>
      <c r="D118" s="126" t="s">
        <v>1149</v>
      </c>
      <c r="E118" s="168">
        <v>40567.0</v>
      </c>
      <c r="F118" s="166" t="s">
        <v>137</v>
      </c>
      <c r="G118" s="169" t="s">
        <v>1150</v>
      </c>
      <c r="H118" s="170" t="s">
        <v>1151</v>
      </c>
      <c r="I118" s="171" t="s">
        <v>1152</v>
      </c>
      <c r="J118" s="125" t="str">
        <f t="array" ref="J118">IFERROR(INDEX(All_User_backup!D:D,MATCH(D118,All_User_backup!H:H,0)),"없음")</f>
        <v>minki.kim@stryker.com</v>
      </c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  <c r="AD118" s="125"/>
      <c r="AE118" s="125"/>
      <c r="AF118" s="125"/>
      <c r="AG118" s="125"/>
      <c r="AH118" s="125"/>
      <c r="AI118" s="125"/>
      <c r="AJ118" s="125"/>
      <c r="AK118" s="125"/>
      <c r="AL118" s="125"/>
      <c r="AM118" s="125"/>
      <c r="AN118" s="125"/>
      <c r="AO118" s="125"/>
      <c r="AP118" s="125"/>
      <c r="AQ118" s="125"/>
      <c r="AR118" s="125"/>
      <c r="AS118" s="125"/>
      <c r="AT118" s="125"/>
      <c r="AU118" s="125"/>
      <c r="AV118" s="125"/>
      <c r="AW118" s="125"/>
      <c r="AX118" s="125"/>
      <c r="AY118" s="125"/>
      <c r="AZ118" s="125"/>
      <c r="BA118" s="125"/>
      <c r="BB118" s="125"/>
      <c r="BC118" s="125"/>
      <c r="BD118" s="125"/>
      <c r="BE118" s="125"/>
      <c r="BF118" s="125"/>
    </row>
    <row r="119">
      <c r="A119" s="126" t="s">
        <v>1147</v>
      </c>
      <c r="B119" s="126" t="s">
        <v>913</v>
      </c>
      <c r="C119" s="142"/>
      <c r="D119" s="126" t="s">
        <v>1153</v>
      </c>
      <c r="E119" s="128">
        <v>40567.0</v>
      </c>
      <c r="F119" s="126" t="s">
        <v>27</v>
      </c>
      <c r="G119" s="131" t="s">
        <v>1154</v>
      </c>
      <c r="H119" s="131" t="s">
        <v>85</v>
      </c>
      <c r="I119" s="153"/>
      <c r="J119" s="125" t="str">
        <f t="array" ref="J119">IFERROR(INDEX(All_User_backup!D:D,MATCH(D119,All_User_backup!H:H,0)),"없음")</f>
        <v>junseong.byun@stryker.com</v>
      </c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  <c r="AD119" s="125"/>
      <c r="AE119" s="125"/>
      <c r="AF119" s="125"/>
      <c r="AG119" s="125"/>
      <c r="AH119" s="125"/>
      <c r="AI119" s="125"/>
      <c r="AJ119" s="125"/>
      <c r="AK119" s="125"/>
      <c r="AL119" s="125"/>
      <c r="AM119" s="125"/>
      <c r="AN119" s="125"/>
      <c r="AO119" s="125"/>
      <c r="AP119" s="125"/>
      <c r="AQ119" s="125"/>
      <c r="AR119" s="125"/>
      <c r="AS119" s="125"/>
      <c r="AT119" s="125"/>
      <c r="AU119" s="125"/>
      <c r="AV119" s="125"/>
      <c r="AW119" s="125"/>
      <c r="AX119" s="125"/>
      <c r="AY119" s="125"/>
      <c r="AZ119" s="125"/>
      <c r="BA119" s="125"/>
      <c r="BB119" s="125"/>
      <c r="BC119" s="125"/>
      <c r="BD119" s="125"/>
      <c r="BE119" s="125"/>
      <c r="BF119" s="125"/>
    </row>
    <row r="120">
      <c r="A120" s="126" t="s">
        <v>1147</v>
      </c>
      <c r="B120" s="126" t="s">
        <v>913</v>
      </c>
      <c r="C120" s="142"/>
      <c r="D120" s="126" t="s">
        <v>1155</v>
      </c>
      <c r="E120" s="128">
        <v>40567.0</v>
      </c>
      <c r="F120" s="126" t="s">
        <v>671</v>
      </c>
      <c r="G120" s="131" t="s">
        <v>916</v>
      </c>
      <c r="H120" s="131"/>
      <c r="I120" s="131" t="s">
        <v>1156</v>
      </c>
      <c r="J120" s="125" t="str">
        <f t="array" ref="J120">IFERROR(INDEX(All_User_backup!D:D,MATCH(D120,All_User_backup!H:H,0)),"없음")</f>
        <v>없음</v>
      </c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  <c r="AD120" s="125"/>
      <c r="AE120" s="125"/>
      <c r="AF120" s="125"/>
      <c r="AG120" s="125"/>
      <c r="AH120" s="125"/>
      <c r="AI120" s="125"/>
      <c r="AJ120" s="125"/>
      <c r="AK120" s="125"/>
      <c r="AL120" s="125"/>
      <c r="AM120" s="125"/>
      <c r="AN120" s="125"/>
      <c r="AO120" s="125"/>
      <c r="AP120" s="125"/>
      <c r="AQ120" s="125"/>
      <c r="AR120" s="125"/>
      <c r="AS120" s="125"/>
      <c r="AT120" s="125"/>
      <c r="AU120" s="125"/>
      <c r="AV120" s="125"/>
      <c r="AW120" s="125"/>
      <c r="AX120" s="125"/>
      <c r="AY120" s="125"/>
      <c r="AZ120" s="125"/>
      <c r="BA120" s="125"/>
      <c r="BB120" s="125"/>
      <c r="BC120" s="125"/>
      <c r="BD120" s="125"/>
      <c r="BE120" s="125"/>
      <c r="BF120" s="125"/>
    </row>
    <row r="121">
      <c r="A121" s="126" t="s">
        <v>1147</v>
      </c>
      <c r="B121" s="136" t="s">
        <v>913</v>
      </c>
      <c r="C121" s="152"/>
      <c r="D121" s="126" t="s">
        <v>1157</v>
      </c>
      <c r="E121" s="138">
        <v>40567.0</v>
      </c>
      <c r="F121" s="126" t="s">
        <v>202</v>
      </c>
      <c r="G121" s="131" t="s">
        <v>198</v>
      </c>
      <c r="H121" s="131" t="s">
        <v>200</v>
      </c>
      <c r="I121" s="131"/>
      <c r="J121" s="125" t="str">
        <f t="array" ref="J121">IFERROR(INDEX(All_User_backup!D:D,MATCH(D121,All_User_backup!H:H,0)),"없음")</f>
        <v>sungyoun.hur@stryker.com</v>
      </c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  <c r="AD121" s="125"/>
      <c r="AE121" s="125"/>
      <c r="AF121" s="125"/>
      <c r="AG121" s="125"/>
      <c r="AH121" s="125"/>
      <c r="AI121" s="125"/>
      <c r="AJ121" s="125"/>
      <c r="AK121" s="125"/>
      <c r="AL121" s="125"/>
      <c r="AM121" s="125"/>
      <c r="AN121" s="125"/>
      <c r="AO121" s="125"/>
      <c r="AP121" s="125"/>
      <c r="AQ121" s="125"/>
      <c r="AR121" s="125"/>
      <c r="AS121" s="125"/>
      <c r="AT121" s="125"/>
      <c r="AU121" s="125"/>
      <c r="AV121" s="125"/>
      <c r="AW121" s="125"/>
      <c r="AX121" s="125"/>
      <c r="AY121" s="125"/>
      <c r="AZ121" s="125"/>
      <c r="BA121" s="125"/>
      <c r="BB121" s="125"/>
      <c r="BC121" s="125"/>
      <c r="BD121" s="125"/>
      <c r="BE121" s="125"/>
      <c r="BF121" s="125"/>
    </row>
    <row r="122">
      <c r="A122" s="126" t="s">
        <v>1147</v>
      </c>
      <c r="B122" s="126" t="s">
        <v>913</v>
      </c>
      <c r="C122" s="127" t="s">
        <v>1158</v>
      </c>
      <c r="D122" s="126" t="s">
        <v>1159</v>
      </c>
      <c r="E122" s="128">
        <v>40567.0</v>
      </c>
      <c r="F122" s="126" t="s">
        <v>750</v>
      </c>
      <c r="G122" s="131" t="s">
        <v>1160</v>
      </c>
      <c r="H122" s="131" t="s">
        <v>1161</v>
      </c>
      <c r="I122" s="159"/>
      <c r="J122" s="125" t="str">
        <f t="array" ref="J122">IFERROR(INDEX(All_User_backup!D:D,MATCH(D122,All_User_backup!H:H,0)),"없음")</f>
        <v>없음</v>
      </c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  <c r="AD122" s="125"/>
      <c r="AE122" s="125"/>
      <c r="AF122" s="125"/>
      <c r="AG122" s="125"/>
      <c r="AH122" s="125"/>
      <c r="AI122" s="125"/>
      <c r="AJ122" s="125"/>
      <c r="AK122" s="125"/>
      <c r="AL122" s="125"/>
      <c r="AM122" s="125"/>
      <c r="AN122" s="125"/>
      <c r="AO122" s="125"/>
      <c r="AP122" s="125"/>
      <c r="AQ122" s="125"/>
      <c r="AR122" s="125"/>
      <c r="AS122" s="125"/>
      <c r="AT122" s="125"/>
      <c r="AU122" s="125"/>
      <c r="AV122" s="125"/>
      <c r="AW122" s="125"/>
      <c r="AX122" s="125"/>
      <c r="AY122" s="125"/>
      <c r="AZ122" s="125"/>
      <c r="BA122" s="125"/>
      <c r="BB122" s="125"/>
      <c r="BC122" s="125"/>
      <c r="BD122" s="125"/>
      <c r="BE122" s="125"/>
      <c r="BF122" s="125"/>
    </row>
    <row r="123">
      <c r="A123" s="126" t="s">
        <v>1147</v>
      </c>
      <c r="B123" s="126" t="s">
        <v>913</v>
      </c>
      <c r="C123" s="142"/>
      <c r="D123" s="126" t="s">
        <v>1162</v>
      </c>
      <c r="E123" s="128">
        <v>40567.0</v>
      </c>
      <c r="F123" s="126" t="s">
        <v>52</v>
      </c>
      <c r="G123" s="131" t="s">
        <v>1163</v>
      </c>
      <c r="H123" s="131" t="s">
        <v>447</v>
      </c>
      <c r="I123" s="153"/>
      <c r="J123" s="125" t="str">
        <f t="array" ref="J123">IFERROR(INDEX(All_User_backup!D:D,MATCH(D123,All_User_backup!H:H,0)),"없음")</f>
        <v>joy.lee@stryker.com</v>
      </c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  <c r="AD123" s="125"/>
      <c r="AE123" s="125"/>
      <c r="AF123" s="125"/>
      <c r="AG123" s="125"/>
      <c r="AH123" s="125"/>
      <c r="AI123" s="125"/>
      <c r="AJ123" s="125"/>
      <c r="AK123" s="125"/>
      <c r="AL123" s="125"/>
      <c r="AM123" s="125"/>
      <c r="AN123" s="125"/>
      <c r="AO123" s="125"/>
      <c r="AP123" s="125"/>
      <c r="AQ123" s="125"/>
      <c r="AR123" s="125"/>
      <c r="AS123" s="125"/>
      <c r="AT123" s="125"/>
      <c r="AU123" s="125"/>
      <c r="AV123" s="125"/>
      <c r="AW123" s="125"/>
      <c r="AX123" s="125"/>
      <c r="AY123" s="125"/>
      <c r="AZ123" s="125"/>
      <c r="BA123" s="125"/>
      <c r="BB123" s="125"/>
      <c r="BC123" s="125"/>
      <c r="BD123" s="125"/>
      <c r="BE123" s="125"/>
      <c r="BF123" s="125"/>
    </row>
    <row r="124">
      <c r="A124" s="126" t="s">
        <v>1147</v>
      </c>
      <c r="B124" s="126" t="s">
        <v>913</v>
      </c>
      <c r="C124" s="142"/>
      <c r="D124" s="126" t="s">
        <v>1164</v>
      </c>
      <c r="E124" s="128">
        <v>40567.0</v>
      </c>
      <c r="F124" s="131" t="s">
        <v>1165</v>
      </c>
      <c r="G124" s="131" t="s">
        <v>37</v>
      </c>
      <c r="H124" s="131" t="s">
        <v>39</v>
      </c>
      <c r="I124" s="153"/>
      <c r="J124" s="125" t="str">
        <f t="array" ref="J124">IFERROR(INDEX(All_User_backup!D:D,MATCH(D124,All_User_backup!H:H,0)),"없음")</f>
        <v>ryan.ahn@stryker.com</v>
      </c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  <c r="AD124" s="125"/>
      <c r="AE124" s="125"/>
      <c r="AF124" s="125"/>
      <c r="AG124" s="125"/>
      <c r="AH124" s="125"/>
      <c r="AI124" s="125"/>
      <c r="AJ124" s="125"/>
      <c r="AK124" s="125"/>
      <c r="AL124" s="125"/>
      <c r="AM124" s="125"/>
      <c r="AN124" s="125"/>
      <c r="AO124" s="125"/>
      <c r="AP124" s="125"/>
      <c r="AQ124" s="125"/>
      <c r="AR124" s="125"/>
      <c r="AS124" s="125"/>
      <c r="AT124" s="125"/>
      <c r="AU124" s="125"/>
      <c r="AV124" s="125"/>
      <c r="AW124" s="125"/>
      <c r="AX124" s="125"/>
      <c r="AY124" s="125"/>
      <c r="AZ124" s="125"/>
      <c r="BA124" s="125"/>
      <c r="BB124" s="125"/>
      <c r="BC124" s="125"/>
      <c r="BD124" s="125"/>
      <c r="BE124" s="125"/>
      <c r="BF124" s="125"/>
    </row>
    <row r="125">
      <c r="A125" s="126" t="s">
        <v>1147</v>
      </c>
      <c r="B125" s="126" t="s">
        <v>913</v>
      </c>
      <c r="C125" s="142"/>
      <c r="D125" s="126" t="s">
        <v>1166</v>
      </c>
      <c r="E125" s="128">
        <v>40567.0</v>
      </c>
      <c r="F125" s="126" t="s">
        <v>27</v>
      </c>
      <c r="G125" s="131" t="s">
        <v>269</v>
      </c>
      <c r="H125" s="131" t="s">
        <v>271</v>
      </c>
      <c r="I125" s="172"/>
      <c r="J125" s="125" t="str">
        <f t="array" ref="J125">IFERROR(INDEX(All_User_backup!D:D,MATCH(D125,All_User_backup!H:H,0)),"없음")</f>
        <v>jade.jung@stryker.com</v>
      </c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  <c r="AD125" s="125"/>
      <c r="AE125" s="125"/>
      <c r="AF125" s="125"/>
      <c r="AG125" s="125"/>
      <c r="AH125" s="125"/>
      <c r="AI125" s="125"/>
      <c r="AJ125" s="125"/>
      <c r="AK125" s="125"/>
      <c r="AL125" s="125"/>
      <c r="AM125" s="125"/>
      <c r="AN125" s="125"/>
      <c r="AO125" s="125"/>
      <c r="AP125" s="125"/>
      <c r="AQ125" s="125"/>
      <c r="AR125" s="125"/>
      <c r="AS125" s="125"/>
      <c r="AT125" s="125"/>
      <c r="AU125" s="125"/>
      <c r="AV125" s="125"/>
      <c r="AW125" s="125"/>
      <c r="AX125" s="125"/>
      <c r="AY125" s="125"/>
      <c r="AZ125" s="125"/>
      <c r="BA125" s="125"/>
      <c r="BB125" s="125"/>
      <c r="BC125" s="125"/>
      <c r="BD125" s="125"/>
      <c r="BE125" s="125"/>
      <c r="BF125" s="125"/>
    </row>
    <row r="126">
      <c r="A126" s="126" t="s">
        <v>1147</v>
      </c>
      <c r="B126" s="126" t="s">
        <v>913</v>
      </c>
      <c r="C126" s="142"/>
      <c r="D126" s="126" t="s">
        <v>1167</v>
      </c>
      <c r="E126" s="128">
        <v>40567.0</v>
      </c>
      <c r="F126" s="136" t="s">
        <v>904</v>
      </c>
      <c r="G126" s="129" t="s">
        <v>1098</v>
      </c>
      <c r="H126" s="129" t="s">
        <v>660</v>
      </c>
      <c r="I126" s="159"/>
      <c r="J126" s="125" t="str">
        <f t="array" ref="J126">IFERROR(INDEX(All_User_backup!D:D,MATCH(D126,All_User_backup!H:H,0)),"없음")</f>
        <v>없음</v>
      </c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  <c r="AD126" s="125"/>
      <c r="AE126" s="125"/>
      <c r="AF126" s="125"/>
      <c r="AG126" s="125"/>
      <c r="AH126" s="125"/>
      <c r="AI126" s="125"/>
      <c r="AJ126" s="125"/>
      <c r="AK126" s="125"/>
      <c r="AL126" s="125"/>
      <c r="AM126" s="125"/>
      <c r="AN126" s="125"/>
      <c r="AO126" s="125"/>
      <c r="AP126" s="125"/>
      <c r="AQ126" s="125"/>
      <c r="AR126" s="125"/>
      <c r="AS126" s="125"/>
      <c r="AT126" s="125"/>
      <c r="AU126" s="125"/>
      <c r="AV126" s="125"/>
      <c r="AW126" s="125"/>
      <c r="AX126" s="125"/>
      <c r="AY126" s="125"/>
      <c r="AZ126" s="125"/>
      <c r="BA126" s="125"/>
      <c r="BB126" s="125"/>
      <c r="BC126" s="125"/>
      <c r="BD126" s="125"/>
      <c r="BE126" s="125"/>
      <c r="BF126" s="125"/>
    </row>
    <row r="127">
      <c r="A127" s="126" t="s">
        <v>1147</v>
      </c>
      <c r="B127" s="126" t="s">
        <v>913</v>
      </c>
      <c r="C127" s="142"/>
      <c r="D127" s="126" t="s">
        <v>1168</v>
      </c>
      <c r="E127" s="128">
        <v>40567.0</v>
      </c>
      <c r="F127" s="126" t="s">
        <v>104</v>
      </c>
      <c r="G127" s="131" t="s">
        <v>100</v>
      </c>
      <c r="H127" s="131" t="s">
        <v>102</v>
      </c>
      <c r="I127" s="153"/>
      <c r="J127" s="125" t="str">
        <f t="array" ref="J127">IFERROR(INDEX(All_User_backup!D:D,MATCH(D127,All_User_backup!H:H,0)),"없음")</f>
        <v>heesun.cho@stryker.com</v>
      </c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  <c r="AD127" s="125"/>
      <c r="AE127" s="125"/>
      <c r="AF127" s="125"/>
      <c r="AG127" s="125"/>
      <c r="AH127" s="125"/>
      <c r="AI127" s="125"/>
      <c r="AJ127" s="125"/>
      <c r="AK127" s="125"/>
      <c r="AL127" s="125"/>
      <c r="AM127" s="125"/>
      <c r="AN127" s="125"/>
      <c r="AO127" s="125"/>
      <c r="AP127" s="125"/>
      <c r="AQ127" s="125"/>
      <c r="AR127" s="125"/>
      <c r="AS127" s="125"/>
      <c r="AT127" s="125"/>
      <c r="AU127" s="125"/>
      <c r="AV127" s="125"/>
      <c r="AW127" s="125"/>
      <c r="AX127" s="125"/>
      <c r="AY127" s="125"/>
      <c r="AZ127" s="125"/>
      <c r="BA127" s="125"/>
      <c r="BB127" s="125"/>
      <c r="BC127" s="125"/>
      <c r="BD127" s="125"/>
      <c r="BE127" s="125"/>
      <c r="BF127" s="125"/>
    </row>
    <row r="128">
      <c r="A128" s="126" t="s">
        <v>1147</v>
      </c>
      <c r="B128" s="126" t="s">
        <v>913</v>
      </c>
      <c r="C128" s="142"/>
      <c r="D128" s="126" t="s">
        <v>1169</v>
      </c>
      <c r="E128" s="128">
        <v>40567.0</v>
      </c>
      <c r="F128" s="126" t="s">
        <v>27</v>
      </c>
      <c r="G128" s="131" t="s">
        <v>1170</v>
      </c>
      <c r="H128" s="131" t="s">
        <v>219</v>
      </c>
      <c r="I128" s="134"/>
      <c r="J128" s="125" t="str">
        <f t="array" ref="J128">IFERROR(INDEX(All_User_backup!D:D,MATCH(D128,All_User_backup!H:H,0)),"없음")</f>
        <v>daniel.jang@stryker.com</v>
      </c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  <c r="AD128" s="125"/>
      <c r="AE128" s="125"/>
      <c r="AF128" s="125"/>
      <c r="AG128" s="125"/>
      <c r="AH128" s="125"/>
      <c r="AI128" s="125"/>
      <c r="AJ128" s="125"/>
      <c r="AK128" s="125"/>
      <c r="AL128" s="125"/>
      <c r="AM128" s="125"/>
      <c r="AN128" s="125"/>
      <c r="AO128" s="125"/>
      <c r="AP128" s="125"/>
      <c r="AQ128" s="125"/>
      <c r="AR128" s="125"/>
      <c r="AS128" s="125"/>
      <c r="AT128" s="125"/>
      <c r="AU128" s="125"/>
      <c r="AV128" s="125"/>
      <c r="AW128" s="125"/>
      <c r="AX128" s="125"/>
      <c r="AY128" s="125"/>
      <c r="AZ128" s="125"/>
      <c r="BA128" s="125"/>
      <c r="BB128" s="125"/>
      <c r="BC128" s="125"/>
      <c r="BD128" s="125"/>
      <c r="BE128" s="125"/>
      <c r="BF128" s="125"/>
    </row>
    <row r="129">
      <c r="A129" s="126" t="s">
        <v>1147</v>
      </c>
      <c r="B129" s="126" t="s">
        <v>913</v>
      </c>
      <c r="C129" s="142"/>
      <c r="D129" s="126" t="s">
        <v>1171</v>
      </c>
      <c r="E129" s="128">
        <v>40567.0</v>
      </c>
      <c r="F129" s="126" t="s">
        <v>52</v>
      </c>
      <c r="G129" s="131" t="s">
        <v>1172</v>
      </c>
      <c r="H129" s="131" t="s">
        <v>135</v>
      </c>
      <c r="I129" s="134"/>
      <c r="J129" s="125" t="str">
        <f t="array" ref="J129">IFERROR(INDEX(All_User_backup!D:D,MATCH(D129,All_User_backup!H:H,0)),"없음")</f>
        <v>jae.chung@stryker.com</v>
      </c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  <c r="AD129" s="125"/>
      <c r="AE129" s="125"/>
      <c r="AF129" s="125"/>
      <c r="AG129" s="125"/>
      <c r="AH129" s="125"/>
      <c r="AI129" s="125"/>
      <c r="AJ129" s="125"/>
      <c r="AK129" s="125"/>
      <c r="AL129" s="125"/>
      <c r="AM129" s="125"/>
      <c r="AN129" s="125"/>
      <c r="AO129" s="125"/>
      <c r="AP129" s="125"/>
      <c r="AQ129" s="125"/>
      <c r="AR129" s="125"/>
      <c r="AS129" s="125"/>
      <c r="AT129" s="125"/>
      <c r="AU129" s="125"/>
      <c r="AV129" s="125"/>
      <c r="AW129" s="125"/>
      <c r="AX129" s="125"/>
      <c r="AY129" s="125"/>
      <c r="AZ129" s="125"/>
      <c r="BA129" s="125"/>
      <c r="BB129" s="125"/>
      <c r="BC129" s="125"/>
      <c r="BD129" s="125"/>
      <c r="BE129" s="125"/>
      <c r="BF129" s="125"/>
    </row>
    <row r="130">
      <c r="A130" s="126" t="s">
        <v>1147</v>
      </c>
      <c r="B130" s="126" t="s">
        <v>913</v>
      </c>
      <c r="C130" s="127"/>
      <c r="D130" s="126" t="s">
        <v>1173</v>
      </c>
      <c r="E130" s="128">
        <v>40567.0</v>
      </c>
      <c r="F130" s="126" t="s">
        <v>27</v>
      </c>
      <c r="G130" s="131" t="s">
        <v>441</v>
      </c>
      <c r="H130" s="131" t="s">
        <v>1174</v>
      </c>
      <c r="I130" s="153"/>
      <c r="J130" s="125" t="str">
        <f t="array" ref="J130">IFERROR(INDEX(All_User_backup!D:D,MATCH(D130,All_User_backup!H:H,0)),"없음")</f>
        <v>Jeff.Lee@stryker.com</v>
      </c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  <c r="AD130" s="125"/>
      <c r="AE130" s="125"/>
      <c r="AF130" s="125"/>
      <c r="AG130" s="125"/>
      <c r="AH130" s="125"/>
      <c r="AI130" s="125"/>
      <c r="AJ130" s="125"/>
      <c r="AK130" s="125"/>
      <c r="AL130" s="125"/>
      <c r="AM130" s="125"/>
      <c r="AN130" s="125"/>
      <c r="AO130" s="125"/>
      <c r="AP130" s="125"/>
      <c r="AQ130" s="125"/>
      <c r="AR130" s="125"/>
      <c r="AS130" s="125"/>
      <c r="AT130" s="125"/>
      <c r="AU130" s="125"/>
      <c r="AV130" s="125"/>
      <c r="AW130" s="125"/>
      <c r="AX130" s="125"/>
      <c r="AY130" s="125"/>
      <c r="AZ130" s="125"/>
      <c r="BA130" s="125"/>
      <c r="BB130" s="125"/>
      <c r="BC130" s="125"/>
      <c r="BD130" s="125"/>
      <c r="BE130" s="125"/>
      <c r="BF130" s="125"/>
    </row>
    <row r="131">
      <c r="A131" s="126" t="s">
        <v>1147</v>
      </c>
      <c r="B131" s="126" t="s">
        <v>913</v>
      </c>
      <c r="C131" s="142"/>
      <c r="D131" s="126" t="s">
        <v>1175</v>
      </c>
      <c r="E131" s="128">
        <v>40567.0</v>
      </c>
      <c r="F131" s="126" t="s">
        <v>62</v>
      </c>
      <c r="G131" s="131" t="s">
        <v>158</v>
      </c>
      <c r="H131" s="131" t="s">
        <v>160</v>
      </c>
      <c r="I131" s="134"/>
      <c r="J131" s="125" t="str">
        <f t="array" ref="J131">IFERROR(INDEX(All_User_backup!D:D,MATCH(D131,All_User_backup!H:H,0)),"없음")</f>
        <v>gyolim.gu@stryker.com</v>
      </c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  <c r="AD131" s="125"/>
      <c r="AE131" s="125"/>
      <c r="AF131" s="125"/>
      <c r="AG131" s="125"/>
      <c r="AH131" s="125"/>
      <c r="AI131" s="125"/>
      <c r="AJ131" s="125"/>
      <c r="AK131" s="125"/>
      <c r="AL131" s="125"/>
      <c r="AM131" s="125"/>
      <c r="AN131" s="125"/>
      <c r="AO131" s="125"/>
      <c r="AP131" s="125"/>
      <c r="AQ131" s="125"/>
      <c r="AR131" s="125"/>
      <c r="AS131" s="125"/>
      <c r="AT131" s="125"/>
      <c r="AU131" s="125"/>
      <c r="AV131" s="125"/>
      <c r="AW131" s="125"/>
      <c r="AX131" s="125"/>
      <c r="AY131" s="125"/>
      <c r="AZ131" s="125"/>
      <c r="BA131" s="125"/>
      <c r="BB131" s="125"/>
      <c r="BC131" s="125"/>
      <c r="BD131" s="125"/>
      <c r="BE131" s="125"/>
      <c r="BF131" s="125"/>
    </row>
    <row r="132">
      <c r="A132" s="126" t="s">
        <v>1147</v>
      </c>
      <c r="B132" s="126" t="s">
        <v>913</v>
      </c>
      <c r="C132" s="142"/>
      <c r="D132" s="126" t="s">
        <v>1176</v>
      </c>
      <c r="E132" s="173">
        <v>40567.0</v>
      </c>
      <c r="F132" s="126" t="s">
        <v>62</v>
      </c>
      <c r="G132" s="131" t="s">
        <v>494</v>
      </c>
      <c r="H132" s="139" t="s">
        <v>1177</v>
      </c>
      <c r="I132" s="153"/>
      <c r="J132" s="125" t="str">
        <f t="array" ref="J132">IFERROR(INDEX(All_User_backup!D:D,MATCH(D132,All_User_backup!H:H,0)),"없음")</f>
        <v>bruce.lee@stryker.com</v>
      </c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  <c r="AD132" s="125"/>
      <c r="AE132" s="125"/>
      <c r="AF132" s="125"/>
      <c r="AG132" s="125"/>
      <c r="AH132" s="125"/>
      <c r="AI132" s="125"/>
      <c r="AJ132" s="125"/>
      <c r="AK132" s="125"/>
      <c r="AL132" s="125"/>
      <c r="AM132" s="125"/>
      <c r="AN132" s="125"/>
      <c r="AO132" s="125"/>
      <c r="AP132" s="125"/>
      <c r="AQ132" s="125"/>
      <c r="AR132" s="125"/>
      <c r="AS132" s="125"/>
      <c r="AT132" s="125"/>
      <c r="AU132" s="125"/>
      <c r="AV132" s="125"/>
      <c r="AW132" s="125"/>
      <c r="AX132" s="125"/>
      <c r="AY132" s="125"/>
      <c r="AZ132" s="125"/>
      <c r="BA132" s="125"/>
      <c r="BB132" s="125"/>
      <c r="BC132" s="125"/>
      <c r="BD132" s="125"/>
      <c r="BE132" s="125"/>
      <c r="BF132" s="125"/>
    </row>
    <row r="133">
      <c r="A133" s="126" t="s">
        <v>1147</v>
      </c>
      <c r="B133" s="126" t="s">
        <v>913</v>
      </c>
      <c r="C133" s="142"/>
      <c r="D133" s="126" t="s">
        <v>1178</v>
      </c>
      <c r="E133" s="128">
        <v>40567.0</v>
      </c>
      <c r="F133" s="126" t="s">
        <v>52</v>
      </c>
      <c r="G133" s="131" t="s">
        <v>1179</v>
      </c>
      <c r="H133" s="131" t="s">
        <v>602</v>
      </c>
      <c r="I133" s="153"/>
      <c r="J133" s="125" t="str">
        <f t="array" ref="J133">IFERROR(INDEX(All_User_backup!D:D,MATCH(D133,All_User_backup!H:H,0)),"없음")</f>
        <v>hyoseon.park@stryker.com</v>
      </c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  <c r="AD133" s="125"/>
      <c r="AE133" s="125"/>
      <c r="AF133" s="125"/>
      <c r="AG133" s="125"/>
      <c r="AH133" s="125"/>
      <c r="AI133" s="125"/>
      <c r="AJ133" s="125"/>
      <c r="AK133" s="125"/>
      <c r="AL133" s="125"/>
      <c r="AM133" s="125"/>
      <c r="AN133" s="125"/>
      <c r="AO133" s="125"/>
      <c r="AP133" s="125"/>
      <c r="AQ133" s="125"/>
      <c r="AR133" s="125"/>
      <c r="AS133" s="125"/>
      <c r="AT133" s="125"/>
      <c r="AU133" s="125"/>
      <c r="AV133" s="125"/>
      <c r="AW133" s="125"/>
      <c r="AX133" s="125"/>
      <c r="AY133" s="125"/>
      <c r="AZ133" s="125"/>
      <c r="BA133" s="125"/>
      <c r="BB133" s="125"/>
      <c r="BC133" s="125"/>
      <c r="BD133" s="125"/>
      <c r="BE133" s="125"/>
      <c r="BF133" s="125"/>
    </row>
    <row r="134">
      <c r="A134" s="126" t="s">
        <v>1147</v>
      </c>
      <c r="B134" s="126" t="s">
        <v>913</v>
      </c>
      <c r="C134" s="142"/>
      <c r="D134" s="126" t="s">
        <v>1180</v>
      </c>
      <c r="E134" s="128">
        <v>40567.0</v>
      </c>
      <c r="F134" s="131" t="s">
        <v>1165</v>
      </c>
      <c r="G134" s="131" t="s">
        <v>698</v>
      </c>
      <c r="H134" s="131" t="s">
        <v>700</v>
      </c>
      <c r="I134" s="153"/>
      <c r="J134" s="125" t="str">
        <f t="array" ref="J134">IFERROR(INDEX(All_User_backup!D:D,MATCH(D134,All_User_backup!H:H,0)),"없음")</f>
        <v>owen.yang@stryker.com</v>
      </c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  <c r="AD134" s="125"/>
      <c r="AE134" s="125"/>
      <c r="AF134" s="125"/>
      <c r="AG134" s="125"/>
      <c r="AH134" s="125"/>
      <c r="AI134" s="125"/>
      <c r="AJ134" s="125"/>
      <c r="AK134" s="125"/>
      <c r="AL134" s="125"/>
      <c r="AM134" s="125"/>
      <c r="AN134" s="125"/>
      <c r="AO134" s="125"/>
      <c r="AP134" s="125"/>
      <c r="AQ134" s="125"/>
      <c r="AR134" s="125"/>
      <c r="AS134" s="125"/>
      <c r="AT134" s="125"/>
      <c r="AU134" s="125"/>
      <c r="AV134" s="125"/>
      <c r="AW134" s="125"/>
      <c r="AX134" s="125"/>
      <c r="AY134" s="125"/>
      <c r="AZ134" s="125"/>
      <c r="BA134" s="125"/>
      <c r="BB134" s="125"/>
      <c r="BC134" s="125"/>
      <c r="BD134" s="125"/>
      <c r="BE134" s="125"/>
      <c r="BF134" s="125"/>
    </row>
    <row r="135">
      <c r="A135" s="126" t="s">
        <v>1147</v>
      </c>
      <c r="B135" s="126" t="s">
        <v>913</v>
      </c>
      <c r="C135" s="127" t="s">
        <v>1181</v>
      </c>
      <c r="D135" s="126" t="s">
        <v>1182</v>
      </c>
      <c r="E135" s="148" t="s">
        <v>1183</v>
      </c>
      <c r="F135" s="126" t="s">
        <v>750</v>
      </c>
      <c r="G135" s="131" t="s">
        <v>781</v>
      </c>
      <c r="H135" s="139" t="s">
        <v>1184</v>
      </c>
      <c r="I135" s="134"/>
      <c r="J135" s="125" t="str">
        <f t="array" ref="J135">IFERROR(INDEX(All_User_backup!D:D,MATCH(D135,All_User_backup!H:H,0)),"없음")</f>
        <v>label.ym@stryker.com</v>
      </c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  <c r="AD135" s="125"/>
      <c r="AE135" s="125"/>
      <c r="AF135" s="125"/>
      <c r="AG135" s="125"/>
      <c r="AH135" s="125"/>
      <c r="AI135" s="125"/>
      <c r="AJ135" s="125"/>
      <c r="AK135" s="125"/>
      <c r="AL135" s="125"/>
      <c r="AM135" s="125"/>
      <c r="AN135" s="125"/>
      <c r="AO135" s="125"/>
      <c r="AP135" s="125"/>
      <c r="AQ135" s="125"/>
      <c r="AR135" s="125"/>
      <c r="AS135" s="125"/>
      <c r="AT135" s="125"/>
      <c r="AU135" s="125"/>
      <c r="AV135" s="125"/>
      <c r="AW135" s="125"/>
      <c r="AX135" s="125"/>
      <c r="AY135" s="125"/>
      <c r="AZ135" s="125"/>
      <c r="BA135" s="125"/>
      <c r="BB135" s="125"/>
      <c r="BC135" s="125"/>
      <c r="BD135" s="125"/>
      <c r="BE135" s="125"/>
      <c r="BF135" s="125"/>
    </row>
    <row r="136">
      <c r="A136" s="126" t="s">
        <v>1147</v>
      </c>
      <c r="B136" s="136" t="s">
        <v>913</v>
      </c>
      <c r="C136" s="152"/>
      <c r="D136" s="126" t="s">
        <v>1185</v>
      </c>
      <c r="E136" s="156" t="s">
        <v>1183</v>
      </c>
      <c r="F136" s="136" t="s">
        <v>35</v>
      </c>
      <c r="G136" s="129" t="s">
        <v>1186</v>
      </c>
      <c r="H136" s="129" t="s">
        <v>469</v>
      </c>
      <c r="I136" s="140"/>
      <c r="J136" s="125" t="str">
        <f t="array" ref="J136">IFERROR(INDEX(All_User_backup!D:D,MATCH(D136,All_User_backup!H:H,0)),"없음")</f>
        <v>daniel.lee1@stryker.com</v>
      </c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  <c r="AD136" s="125"/>
      <c r="AE136" s="125"/>
      <c r="AF136" s="125"/>
      <c r="AG136" s="125"/>
      <c r="AH136" s="125"/>
      <c r="AI136" s="125"/>
      <c r="AJ136" s="125"/>
      <c r="AK136" s="125"/>
      <c r="AL136" s="125"/>
      <c r="AM136" s="125"/>
      <c r="AN136" s="125"/>
      <c r="AO136" s="125"/>
      <c r="AP136" s="125"/>
      <c r="AQ136" s="125"/>
      <c r="AR136" s="125"/>
      <c r="AS136" s="125"/>
      <c r="AT136" s="125"/>
      <c r="AU136" s="125"/>
      <c r="AV136" s="125"/>
      <c r="AW136" s="125"/>
      <c r="AX136" s="125"/>
      <c r="AY136" s="125"/>
      <c r="AZ136" s="125"/>
      <c r="BA136" s="125"/>
      <c r="BB136" s="125"/>
      <c r="BC136" s="125"/>
      <c r="BD136" s="125"/>
      <c r="BE136" s="125"/>
      <c r="BF136" s="125"/>
    </row>
    <row r="137">
      <c r="A137" s="126" t="s">
        <v>1147</v>
      </c>
      <c r="B137" s="126" t="s">
        <v>913</v>
      </c>
      <c r="C137" s="142"/>
      <c r="D137" s="126" t="s">
        <v>1187</v>
      </c>
      <c r="E137" s="148" t="s">
        <v>1183</v>
      </c>
      <c r="F137" s="126" t="s">
        <v>27</v>
      </c>
      <c r="G137" s="131" t="s">
        <v>69</v>
      </c>
      <c r="H137" s="131" t="s">
        <v>71</v>
      </c>
      <c r="I137" s="153"/>
      <c r="J137" s="125" t="str">
        <f t="array" ref="J137">IFERROR(INDEX(All_User_backup!D:D,MATCH(D137,All_User_backup!H:H,0)),"없음")</f>
        <v>bella.bang@stryker.com</v>
      </c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  <c r="AD137" s="125"/>
      <c r="AE137" s="125"/>
      <c r="AF137" s="125"/>
      <c r="AG137" s="125"/>
      <c r="AH137" s="125"/>
      <c r="AI137" s="125"/>
      <c r="AJ137" s="125"/>
      <c r="AK137" s="125"/>
      <c r="AL137" s="125"/>
      <c r="AM137" s="125"/>
      <c r="AN137" s="125"/>
      <c r="AO137" s="125"/>
      <c r="AP137" s="125"/>
      <c r="AQ137" s="125"/>
      <c r="AR137" s="125"/>
      <c r="AS137" s="125"/>
      <c r="AT137" s="125"/>
      <c r="AU137" s="125"/>
      <c r="AV137" s="125"/>
      <c r="AW137" s="125"/>
      <c r="AX137" s="125"/>
      <c r="AY137" s="125"/>
      <c r="AZ137" s="125"/>
      <c r="BA137" s="125"/>
      <c r="BB137" s="125"/>
      <c r="BC137" s="125"/>
      <c r="BD137" s="125"/>
      <c r="BE137" s="125"/>
      <c r="BF137" s="125"/>
    </row>
    <row r="138">
      <c r="A138" s="126" t="s">
        <v>1147</v>
      </c>
      <c r="B138" s="126" t="s">
        <v>913</v>
      </c>
      <c r="C138" s="142"/>
      <c r="D138" s="126" t="s">
        <v>1188</v>
      </c>
      <c r="E138" s="148" t="s">
        <v>1183</v>
      </c>
      <c r="F138" s="126" t="s">
        <v>1189</v>
      </c>
      <c r="G138" s="131" t="s">
        <v>557</v>
      </c>
      <c r="H138" s="139" t="s">
        <v>1190</v>
      </c>
      <c r="I138" s="134"/>
      <c r="J138" s="125" t="str">
        <f t="array" ref="J138">IFERROR(INDEX(All_User_backup!D:D,MATCH(D138,All_User_backup!H:H,0)),"없음")</f>
        <v>jinny.park@stryker.com</v>
      </c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  <c r="AD138" s="125"/>
      <c r="AE138" s="125"/>
      <c r="AF138" s="125"/>
      <c r="AG138" s="125"/>
      <c r="AH138" s="125"/>
      <c r="AI138" s="125"/>
      <c r="AJ138" s="125"/>
      <c r="AK138" s="125"/>
      <c r="AL138" s="125"/>
      <c r="AM138" s="125"/>
      <c r="AN138" s="125"/>
      <c r="AO138" s="125"/>
      <c r="AP138" s="125"/>
      <c r="AQ138" s="125"/>
      <c r="AR138" s="125"/>
      <c r="AS138" s="125"/>
      <c r="AT138" s="125"/>
      <c r="AU138" s="125"/>
      <c r="AV138" s="125"/>
      <c r="AW138" s="125"/>
      <c r="AX138" s="125"/>
      <c r="AY138" s="125"/>
      <c r="AZ138" s="125"/>
      <c r="BA138" s="125"/>
      <c r="BB138" s="125"/>
      <c r="BC138" s="125"/>
      <c r="BD138" s="125"/>
      <c r="BE138" s="125"/>
      <c r="BF138" s="125"/>
    </row>
    <row r="139">
      <c r="A139" s="126" t="s">
        <v>1147</v>
      </c>
      <c r="B139" s="126" t="s">
        <v>913</v>
      </c>
      <c r="C139" s="142"/>
      <c r="D139" s="126" t="s">
        <v>1191</v>
      </c>
      <c r="E139" s="148" t="s">
        <v>1183</v>
      </c>
      <c r="F139" s="126" t="s">
        <v>27</v>
      </c>
      <c r="G139" s="131" t="s">
        <v>1192</v>
      </c>
      <c r="H139" s="131" t="s">
        <v>132</v>
      </c>
      <c r="I139" s="134"/>
      <c r="J139" s="125" t="str">
        <f t="array" ref="J139">IFERROR(INDEX(All_User_backup!D:D,MATCH(D139,All_User_backup!H:H,0)),"없음")</f>
        <v>mason.choi@stryker.com</v>
      </c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  <c r="AD139" s="125"/>
      <c r="AE139" s="125"/>
      <c r="AF139" s="125"/>
      <c r="AG139" s="125"/>
      <c r="AH139" s="125"/>
      <c r="AI139" s="125"/>
      <c r="AJ139" s="125"/>
      <c r="AK139" s="125"/>
      <c r="AL139" s="125"/>
      <c r="AM139" s="125"/>
      <c r="AN139" s="125"/>
      <c r="AO139" s="125"/>
      <c r="AP139" s="125"/>
      <c r="AQ139" s="125"/>
      <c r="AR139" s="125"/>
      <c r="AS139" s="125"/>
      <c r="AT139" s="125"/>
      <c r="AU139" s="125"/>
      <c r="AV139" s="125"/>
      <c r="AW139" s="125"/>
      <c r="AX139" s="125"/>
      <c r="AY139" s="125"/>
      <c r="AZ139" s="125"/>
      <c r="BA139" s="125"/>
      <c r="BB139" s="125"/>
      <c r="BC139" s="125"/>
      <c r="BD139" s="125"/>
      <c r="BE139" s="125"/>
      <c r="BF139" s="125"/>
    </row>
    <row r="140">
      <c r="A140" s="126" t="s">
        <v>1147</v>
      </c>
      <c r="B140" s="126" t="s">
        <v>913</v>
      </c>
      <c r="C140" s="142"/>
      <c r="D140" s="126" t="s">
        <v>1193</v>
      </c>
      <c r="E140" s="148" t="s">
        <v>1183</v>
      </c>
      <c r="F140" s="126" t="s">
        <v>671</v>
      </c>
      <c r="G140" s="131" t="s">
        <v>916</v>
      </c>
      <c r="H140" s="174"/>
      <c r="I140" s="175" t="s">
        <v>1194</v>
      </c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  <c r="AD140" s="125"/>
      <c r="AE140" s="125"/>
      <c r="AF140" s="125"/>
      <c r="AG140" s="125"/>
      <c r="AH140" s="125"/>
      <c r="AI140" s="125"/>
      <c r="AJ140" s="125"/>
      <c r="AK140" s="125"/>
      <c r="AL140" s="125"/>
      <c r="AM140" s="125"/>
      <c r="AN140" s="125"/>
      <c r="AO140" s="125"/>
      <c r="AP140" s="125"/>
      <c r="AQ140" s="125"/>
      <c r="AR140" s="125"/>
      <c r="AS140" s="125"/>
      <c r="AT140" s="125"/>
      <c r="AU140" s="125"/>
      <c r="AV140" s="125"/>
      <c r="AW140" s="125"/>
      <c r="AX140" s="125"/>
      <c r="AY140" s="125"/>
      <c r="AZ140" s="125"/>
      <c r="BA140" s="125"/>
      <c r="BB140" s="125"/>
      <c r="BC140" s="125"/>
      <c r="BD140" s="125"/>
      <c r="BE140" s="125"/>
      <c r="BF140" s="125"/>
    </row>
    <row r="141">
      <c r="A141" s="126" t="s">
        <v>1147</v>
      </c>
      <c r="B141" s="126" t="s">
        <v>913</v>
      </c>
      <c r="C141" s="142"/>
      <c r="D141" s="126" t="s">
        <v>1195</v>
      </c>
      <c r="E141" s="148" t="s">
        <v>1183</v>
      </c>
      <c r="F141" s="126" t="s">
        <v>77</v>
      </c>
      <c r="G141" s="131" t="s">
        <v>1196</v>
      </c>
      <c r="H141" s="131" t="s">
        <v>341</v>
      </c>
      <c r="I141" s="131"/>
      <c r="J141" s="125" t="str">
        <f t="array" ref="J141">IFERROR(INDEX(All_User_backup!D:D,MATCH(D141,All_User_backup!H:H,0)),"없음")</f>
        <v>jason.kim1@stryker.com</v>
      </c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  <c r="AD141" s="125"/>
      <c r="AE141" s="125"/>
      <c r="AF141" s="125"/>
      <c r="AG141" s="125"/>
      <c r="AH141" s="125"/>
      <c r="AI141" s="125"/>
      <c r="AJ141" s="125"/>
      <c r="AK141" s="125"/>
      <c r="AL141" s="125"/>
      <c r="AM141" s="125"/>
      <c r="AN141" s="125"/>
      <c r="AO141" s="125"/>
      <c r="AP141" s="125"/>
      <c r="AQ141" s="125"/>
      <c r="AR141" s="125"/>
      <c r="AS141" s="125"/>
      <c r="AT141" s="125"/>
      <c r="AU141" s="125"/>
      <c r="AV141" s="125"/>
      <c r="AW141" s="125"/>
      <c r="AX141" s="125"/>
      <c r="AY141" s="125"/>
      <c r="AZ141" s="125"/>
      <c r="BA141" s="125"/>
      <c r="BB141" s="125"/>
      <c r="BC141" s="125"/>
      <c r="BD141" s="125"/>
      <c r="BE141" s="125"/>
      <c r="BF141" s="125"/>
    </row>
    <row r="142">
      <c r="A142" s="126" t="s">
        <v>1147</v>
      </c>
      <c r="B142" s="126" t="s">
        <v>913</v>
      </c>
      <c r="C142" s="142"/>
      <c r="D142" s="126" t="s">
        <v>1197</v>
      </c>
      <c r="E142" s="148" t="s">
        <v>1183</v>
      </c>
      <c r="F142" s="126" t="s">
        <v>27</v>
      </c>
      <c r="G142" s="131" t="s">
        <v>1198</v>
      </c>
      <c r="H142" s="131" t="s">
        <v>285</v>
      </c>
      <c r="I142" s="153"/>
      <c r="J142" s="125" t="str">
        <f t="array" ref="J142">IFERROR(INDEX(All_User_backup!D:D,MATCH(D142,All_User_backup!H:H,0)),"없음")</f>
        <v>sol.jung@stryker.com</v>
      </c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  <c r="AD142" s="125"/>
      <c r="AE142" s="125"/>
      <c r="AF142" s="125"/>
      <c r="AG142" s="125"/>
      <c r="AH142" s="125"/>
      <c r="AI142" s="125"/>
      <c r="AJ142" s="125"/>
      <c r="AK142" s="125"/>
      <c r="AL142" s="125"/>
      <c r="AM142" s="125"/>
      <c r="AN142" s="125"/>
      <c r="AO142" s="125"/>
      <c r="AP142" s="125"/>
      <c r="AQ142" s="125"/>
      <c r="AR142" s="125"/>
      <c r="AS142" s="125"/>
      <c r="AT142" s="125"/>
      <c r="AU142" s="125"/>
      <c r="AV142" s="125"/>
      <c r="AW142" s="125"/>
      <c r="AX142" s="125"/>
      <c r="AY142" s="125"/>
      <c r="AZ142" s="125"/>
      <c r="BA142" s="125"/>
      <c r="BB142" s="125"/>
      <c r="BC142" s="125"/>
      <c r="BD142" s="125"/>
      <c r="BE142" s="125"/>
      <c r="BF142" s="125"/>
    </row>
    <row r="143">
      <c r="A143" s="126" t="s">
        <v>1147</v>
      </c>
      <c r="B143" s="126" t="s">
        <v>913</v>
      </c>
      <c r="C143" s="142"/>
      <c r="D143" s="126" t="s">
        <v>1199</v>
      </c>
      <c r="E143" s="148" t="s">
        <v>1183</v>
      </c>
      <c r="F143" s="126" t="s">
        <v>940</v>
      </c>
      <c r="G143" s="131" t="s">
        <v>143</v>
      </c>
      <c r="H143" s="131" t="s">
        <v>145</v>
      </c>
      <c r="I143" s="134"/>
      <c r="J143" s="125" t="str">
        <f t="array" ref="J143">IFERROR(INDEX(All_User_backup!D:D,MATCH(D143,All_User_backup!H:H,0)),"없음")</f>
        <v>amy.chung@stryker.com</v>
      </c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  <c r="AD143" s="125"/>
      <c r="AE143" s="125"/>
      <c r="AF143" s="125"/>
      <c r="AG143" s="125"/>
      <c r="AH143" s="125"/>
      <c r="AI143" s="125"/>
      <c r="AJ143" s="125"/>
      <c r="AK143" s="125"/>
      <c r="AL143" s="125"/>
      <c r="AM143" s="125"/>
      <c r="AN143" s="125"/>
      <c r="AO143" s="125"/>
      <c r="AP143" s="125"/>
      <c r="AQ143" s="125"/>
      <c r="AR143" s="125"/>
      <c r="AS143" s="125"/>
      <c r="AT143" s="125"/>
      <c r="AU143" s="125"/>
      <c r="AV143" s="125"/>
      <c r="AW143" s="125"/>
      <c r="AX143" s="125"/>
      <c r="AY143" s="125"/>
      <c r="AZ143" s="125"/>
      <c r="BA143" s="125"/>
      <c r="BB143" s="125"/>
      <c r="BC143" s="125"/>
      <c r="BD143" s="125"/>
      <c r="BE143" s="125"/>
      <c r="BF143" s="125"/>
    </row>
    <row r="144">
      <c r="A144" s="126" t="s">
        <v>1147</v>
      </c>
      <c r="B144" s="126" t="s">
        <v>913</v>
      </c>
      <c r="C144" s="127" t="s">
        <v>1200</v>
      </c>
      <c r="D144" s="126" t="s">
        <v>1201</v>
      </c>
      <c r="E144" s="148" t="s">
        <v>1183</v>
      </c>
      <c r="F144" s="126" t="s">
        <v>671</v>
      </c>
      <c r="G144" s="131" t="s">
        <v>916</v>
      </c>
      <c r="H144" s="174"/>
      <c r="I144" s="175" t="s">
        <v>1202</v>
      </c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  <c r="AD144" s="125"/>
      <c r="AE144" s="125"/>
      <c r="AF144" s="125"/>
      <c r="AG144" s="125"/>
      <c r="AH144" s="125"/>
      <c r="AI144" s="125"/>
      <c r="AJ144" s="125"/>
      <c r="AK144" s="125"/>
      <c r="AL144" s="125"/>
      <c r="AM144" s="125"/>
      <c r="AN144" s="125"/>
      <c r="AO144" s="125"/>
      <c r="AP144" s="125"/>
      <c r="AQ144" s="125"/>
      <c r="AR144" s="125"/>
      <c r="AS144" s="125"/>
      <c r="AT144" s="125"/>
      <c r="AU144" s="125"/>
      <c r="AV144" s="125"/>
      <c r="AW144" s="125"/>
      <c r="AX144" s="125"/>
      <c r="AY144" s="125"/>
      <c r="AZ144" s="125"/>
      <c r="BA144" s="125"/>
      <c r="BB144" s="125"/>
      <c r="BC144" s="125"/>
      <c r="BD144" s="125"/>
      <c r="BE144" s="125"/>
      <c r="BF144" s="125"/>
    </row>
    <row r="145">
      <c r="A145" s="126" t="s">
        <v>1147</v>
      </c>
      <c r="B145" s="126" t="s">
        <v>913</v>
      </c>
      <c r="C145" s="142"/>
      <c r="D145" s="126" t="s">
        <v>1203</v>
      </c>
      <c r="E145" s="148" t="s">
        <v>1183</v>
      </c>
      <c r="F145" s="126" t="s">
        <v>27</v>
      </c>
      <c r="G145" s="131" t="s">
        <v>1204</v>
      </c>
      <c r="H145" s="139" t="s">
        <v>1205</v>
      </c>
      <c r="I145" s="134"/>
      <c r="J145" s="125" t="str">
        <f t="array" ref="J145">IFERROR(INDEX(All_User_backup!D:D,MATCH(D145,All_User_backup!H:H,0)),"없음")</f>
        <v>lucia.park@stryker.com</v>
      </c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  <c r="AD145" s="125"/>
      <c r="AE145" s="125"/>
      <c r="AF145" s="125"/>
      <c r="AG145" s="125"/>
      <c r="AH145" s="125"/>
      <c r="AI145" s="125"/>
      <c r="AJ145" s="125"/>
      <c r="AK145" s="125"/>
      <c r="AL145" s="125"/>
      <c r="AM145" s="125"/>
      <c r="AN145" s="125"/>
      <c r="AO145" s="125"/>
      <c r="AP145" s="125"/>
      <c r="AQ145" s="125"/>
      <c r="AR145" s="125"/>
      <c r="AS145" s="125"/>
      <c r="AT145" s="125"/>
      <c r="AU145" s="125"/>
      <c r="AV145" s="125"/>
      <c r="AW145" s="125"/>
      <c r="AX145" s="125"/>
      <c r="AY145" s="125"/>
      <c r="AZ145" s="125"/>
      <c r="BA145" s="125"/>
      <c r="BB145" s="125"/>
      <c r="BC145" s="125"/>
      <c r="BD145" s="125"/>
      <c r="BE145" s="125"/>
      <c r="BF145" s="125"/>
    </row>
    <row r="146">
      <c r="A146" s="126" t="s">
        <v>1147</v>
      </c>
      <c r="B146" s="126" t="s">
        <v>913</v>
      </c>
      <c r="C146" s="127" t="s">
        <v>1206</v>
      </c>
      <c r="D146" s="126" t="s">
        <v>1207</v>
      </c>
      <c r="E146" s="148" t="s">
        <v>1183</v>
      </c>
      <c r="F146" s="126" t="s">
        <v>295</v>
      </c>
      <c r="G146" s="131" t="s">
        <v>1208</v>
      </c>
      <c r="H146" s="131" t="s">
        <v>705</v>
      </c>
      <c r="I146" s="134"/>
      <c r="J146" s="125" t="str">
        <f t="array" ref="J146">IFERROR(INDEX(All_User_backup!D:D,MATCH(D146,All_User_backup!H:H,0)),"없음")</f>
        <v>jisoo.yang@stryker.com</v>
      </c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  <c r="AD146" s="125"/>
      <c r="AE146" s="125"/>
      <c r="AF146" s="125"/>
      <c r="AG146" s="125"/>
      <c r="AH146" s="125"/>
      <c r="AI146" s="125"/>
      <c r="AJ146" s="125"/>
      <c r="AK146" s="125"/>
      <c r="AL146" s="125"/>
      <c r="AM146" s="125"/>
      <c r="AN146" s="125"/>
      <c r="AO146" s="125"/>
      <c r="AP146" s="125"/>
      <c r="AQ146" s="125"/>
      <c r="AR146" s="125"/>
      <c r="AS146" s="125"/>
      <c r="AT146" s="125"/>
      <c r="AU146" s="125"/>
      <c r="AV146" s="125"/>
      <c r="AW146" s="125"/>
      <c r="AX146" s="125"/>
      <c r="AY146" s="125"/>
      <c r="AZ146" s="125"/>
      <c r="BA146" s="125"/>
      <c r="BB146" s="125"/>
      <c r="BC146" s="125"/>
      <c r="BD146" s="125"/>
      <c r="BE146" s="125"/>
      <c r="BF146" s="125"/>
    </row>
    <row r="147">
      <c r="A147" s="126" t="s">
        <v>1147</v>
      </c>
      <c r="B147" s="126" t="s">
        <v>913</v>
      </c>
      <c r="C147" s="127" t="s">
        <v>1209</v>
      </c>
      <c r="D147" s="126" t="s">
        <v>1210</v>
      </c>
      <c r="E147" s="148" t="s">
        <v>1183</v>
      </c>
      <c r="F147" s="126" t="s">
        <v>671</v>
      </c>
      <c r="G147" s="131" t="s">
        <v>773</v>
      </c>
      <c r="H147" s="139" t="s">
        <v>1211</v>
      </c>
      <c r="I147" s="134"/>
      <c r="J147" s="125" t="str">
        <f t="array" ref="J147">IFERROR(INDEX(All_User_backup!D:D,MATCH(D147,All_User_backup!H:H,0)),"없음")</f>
        <v>medsurg.ym@stryker.com</v>
      </c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  <c r="AD147" s="125"/>
      <c r="AE147" s="125"/>
      <c r="AF147" s="125"/>
      <c r="AG147" s="125"/>
      <c r="AH147" s="125"/>
      <c r="AI147" s="125"/>
      <c r="AJ147" s="125"/>
      <c r="AK147" s="125"/>
      <c r="AL147" s="125"/>
      <c r="AM147" s="125"/>
      <c r="AN147" s="125"/>
      <c r="AO147" s="125"/>
      <c r="AP147" s="125"/>
      <c r="AQ147" s="125"/>
      <c r="AR147" s="125"/>
      <c r="AS147" s="125"/>
      <c r="AT147" s="125"/>
      <c r="AU147" s="125"/>
      <c r="AV147" s="125"/>
      <c r="AW147" s="125"/>
      <c r="AX147" s="125"/>
      <c r="AY147" s="125"/>
      <c r="AZ147" s="125"/>
      <c r="BA147" s="125"/>
      <c r="BB147" s="125"/>
      <c r="BC147" s="125"/>
      <c r="BD147" s="125"/>
      <c r="BE147" s="125"/>
      <c r="BF147" s="125"/>
    </row>
    <row r="148">
      <c r="A148" s="126" t="s">
        <v>1147</v>
      </c>
      <c r="B148" s="136" t="s">
        <v>913</v>
      </c>
      <c r="C148" s="152"/>
      <c r="D148" s="126" t="s">
        <v>1212</v>
      </c>
      <c r="E148" s="156" t="s">
        <v>1183</v>
      </c>
      <c r="F148" s="126" t="s">
        <v>47</v>
      </c>
      <c r="G148" s="129" t="s">
        <v>1213</v>
      </c>
      <c r="H148" s="139" t="s">
        <v>1214</v>
      </c>
      <c r="I148" s="176"/>
      <c r="J148" s="125" t="str">
        <f t="array" ref="J148">IFERROR(INDEX(All_User_backup!D:D,MATCH(D148,All_User_backup!H:H,0)),"없음")</f>
        <v>daphne.kim@stryker.com</v>
      </c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  <c r="AD148" s="125"/>
      <c r="AE148" s="125"/>
      <c r="AF148" s="125"/>
      <c r="AG148" s="125"/>
      <c r="AH148" s="125"/>
      <c r="AI148" s="125"/>
      <c r="AJ148" s="125"/>
      <c r="AK148" s="125"/>
      <c r="AL148" s="125"/>
      <c r="AM148" s="125"/>
      <c r="AN148" s="125"/>
      <c r="AO148" s="125"/>
      <c r="AP148" s="125"/>
      <c r="AQ148" s="125"/>
      <c r="AR148" s="125"/>
      <c r="AS148" s="125"/>
      <c r="AT148" s="125"/>
      <c r="AU148" s="125"/>
      <c r="AV148" s="125"/>
      <c r="AW148" s="125"/>
      <c r="AX148" s="125"/>
      <c r="AY148" s="125"/>
      <c r="AZ148" s="125"/>
      <c r="BA148" s="125"/>
      <c r="BB148" s="125"/>
      <c r="BC148" s="125"/>
      <c r="BD148" s="125"/>
      <c r="BE148" s="125"/>
      <c r="BF148" s="125"/>
    </row>
    <row r="149">
      <c r="A149" s="126" t="s">
        <v>1147</v>
      </c>
      <c r="B149" s="126" t="s">
        <v>913</v>
      </c>
      <c r="C149" s="142"/>
      <c r="D149" s="126" t="s">
        <v>1215</v>
      </c>
      <c r="E149" s="148" t="s">
        <v>1183</v>
      </c>
      <c r="F149" s="126" t="s">
        <v>1216</v>
      </c>
      <c r="G149" s="131" t="s">
        <v>1217</v>
      </c>
      <c r="H149" s="139" t="s">
        <v>1218</v>
      </c>
      <c r="I149" s="134"/>
      <c r="J149" s="125" t="str">
        <f t="array" ref="J149">IFERROR(INDEX(All_User_backup!D:D,MATCH(D149,All_User_backup!H:H,0)),"없음")</f>
        <v>ethan.jang@stryker.com</v>
      </c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  <c r="AD149" s="125"/>
      <c r="AE149" s="125"/>
      <c r="AF149" s="125"/>
      <c r="AG149" s="125"/>
      <c r="AH149" s="125"/>
      <c r="AI149" s="125"/>
      <c r="AJ149" s="125"/>
      <c r="AK149" s="125"/>
      <c r="AL149" s="125"/>
      <c r="AM149" s="125"/>
      <c r="AN149" s="125"/>
      <c r="AO149" s="125"/>
      <c r="AP149" s="125"/>
      <c r="AQ149" s="125"/>
      <c r="AR149" s="125"/>
      <c r="AS149" s="125"/>
      <c r="AT149" s="125"/>
      <c r="AU149" s="125"/>
      <c r="AV149" s="125"/>
      <c r="AW149" s="125"/>
      <c r="AX149" s="125"/>
      <c r="AY149" s="125"/>
      <c r="AZ149" s="125"/>
      <c r="BA149" s="125"/>
      <c r="BB149" s="125"/>
      <c r="BC149" s="125"/>
      <c r="BD149" s="125"/>
      <c r="BE149" s="125"/>
      <c r="BF149" s="125"/>
    </row>
    <row r="150">
      <c r="A150" s="126" t="s">
        <v>1147</v>
      </c>
      <c r="B150" s="126" t="s">
        <v>913</v>
      </c>
      <c r="C150" s="142"/>
      <c r="D150" s="126" t="s">
        <v>1219</v>
      </c>
      <c r="E150" s="148" t="s">
        <v>1183</v>
      </c>
      <c r="F150" s="126" t="s">
        <v>52</v>
      </c>
      <c r="G150" s="131" t="s">
        <v>1220</v>
      </c>
      <c r="H150" s="139" t="s">
        <v>1221</v>
      </c>
      <c r="I150" s="134"/>
      <c r="J150" s="125" t="str">
        <f t="array" ref="J150">IFERROR(INDEX(All_User_backup!D:D,MATCH(D150,All_User_backup!H:H,0)),"없음")</f>
        <v>Justin.Kim@stryker.com</v>
      </c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  <c r="AD150" s="125"/>
      <c r="AE150" s="125"/>
      <c r="AF150" s="125"/>
      <c r="AG150" s="125"/>
      <c r="AH150" s="125"/>
      <c r="AI150" s="125"/>
      <c r="AJ150" s="125"/>
      <c r="AK150" s="125"/>
      <c r="AL150" s="125"/>
      <c r="AM150" s="125"/>
      <c r="AN150" s="125"/>
      <c r="AO150" s="125"/>
      <c r="AP150" s="125"/>
      <c r="AQ150" s="125"/>
      <c r="AR150" s="125"/>
      <c r="AS150" s="125"/>
      <c r="AT150" s="125"/>
      <c r="AU150" s="125"/>
      <c r="AV150" s="125"/>
      <c r="AW150" s="125"/>
      <c r="AX150" s="125"/>
      <c r="AY150" s="125"/>
      <c r="AZ150" s="125"/>
      <c r="BA150" s="125"/>
      <c r="BB150" s="125"/>
      <c r="BC150" s="125"/>
      <c r="BD150" s="125"/>
      <c r="BE150" s="125"/>
      <c r="BF150" s="125"/>
    </row>
    <row r="151">
      <c r="A151" s="126" t="s">
        <v>1147</v>
      </c>
      <c r="B151" s="126" t="s">
        <v>913</v>
      </c>
      <c r="C151" s="142"/>
      <c r="D151" s="126" t="s">
        <v>1222</v>
      </c>
      <c r="E151" s="148" t="s">
        <v>1183</v>
      </c>
      <c r="F151" s="126" t="s">
        <v>67</v>
      </c>
      <c r="G151" s="131" t="s">
        <v>1223</v>
      </c>
      <c r="H151" s="139" t="s">
        <v>847</v>
      </c>
      <c r="I151" s="131"/>
      <c r="J151" s="125" t="str">
        <f t="array" ref="J151">IFERROR(INDEX(All_User_backup!D:D,MATCH(D151,All_User_backup!H:H,0)),"없음")</f>
        <v>andy.kim@stryker.com</v>
      </c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  <c r="AD151" s="125"/>
      <c r="AE151" s="125"/>
      <c r="AF151" s="125"/>
      <c r="AG151" s="125"/>
      <c r="AH151" s="125"/>
      <c r="AI151" s="125"/>
      <c r="AJ151" s="125"/>
      <c r="AK151" s="125"/>
      <c r="AL151" s="125"/>
      <c r="AM151" s="125"/>
      <c r="AN151" s="125"/>
      <c r="AO151" s="125"/>
      <c r="AP151" s="125"/>
      <c r="AQ151" s="125"/>
      <c r="AR151" s="125"/>
      <c r="AS151" s="125"/>
      <c r="AT151" s="125"/>
      <c r="AU151" s="125"/>
      <c r="AV151" s="125"/>
      <c r="AW151" s="125"/>
      <c r="AX151" s="125"/>
      <c r="AY151" s="125"/>
      <c r="AZ151" s="125"/>
      <c r="BA151" s="125"/>
      <c r="BB151" s="125"/>
      <c r="BC151" s="125"/>
      <c r="BD151" s="125"/>
      <c r="BE151" s="125"/>
      <c r="BF151" s="125"/>
    </row>
    <row r="152">
      <c r="A152" s="126" t="s">
        <v>1147</v>
      </c>
      <c r="B152" s="126" t="s">
        <v>913</v>
      </c>
      <c r="C152" s="127" t="s">
        <v>1224</v>
      </c>
      <c r="D152" s="126" t="s">
        <v>1225</v>
      </c>
      <c r="E152" s="148" t="s">
        <v>1183</v>
      </c>
      <c r="F152" s="126" t="s">
        <v>750</v>
      </c>
      <c r="G152" s="131" t="s">
        <v>775</v>
      </c>
      <c r="H152" s="139" t="s">
        <v>1226</v>
      </c>
      <c r="I152" s="134"/>
      <c r="J152" s="125" t="str">
        <f t="array" ref="J152">IFERROR(INDEX(All_User_backup!D:D,MATCH(D152,All_User_backup!H:H,0)),"없음")</f>
        <v>recon.ym@stryker.com</v>
      </c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  <c r="AD152" s="125"/>
      <c r="AE152" s="125"/>
      <c r="AF152" s="125"/>
      <c r="AG152" s="125"/>
      <c r="AH152" s="125"/>
      <c r="AI152" s="125"/>
      <c r="AJ152" s="125"/>
      <c r="AK152" s="125"/>
      <c r="AL152" s="125"/>
      <c r="AM152" s="125"/>
      <c r="AN152" s="125"/>
      <c r="AO152" s="125"/>
      <c r="AP152" s="125"/>
      <c r="AQ152" s="125"/>
      <c r="AR152" s="125"/>
      <c r="AS152" s="125"/>
      <c r="AT152" s="125"/>
      <c r="AU152" s="125"/>
      <c r="AV152" s="125"/>
      <c r="AW152" s="125"/>
      <c r="AX152" s="125"/>
      <c r="AY152" s="125"/>
      <c r="AZ152" s="125"/>
      <c r="BA152" s="125"/>
      <c r="BB152" s="125"/>
      <c r="BC152" s="125"/>
      <c r="BD152" s="125"/>
      <c r="BE152" s="125"/>
      <c r="BF152" s="125"/>
    </row>
    <row r="153">
      <c r="A153" s="126" t="s">
        <v>1147</v>
      </c>
      <c r="B153" s="126" t="s">
        <v>913</v>
      </c>
      <c r="C153" s="127" t="s">
        <v>1227</v>
      </c>
      <c r="D153" s="126" t="s">
        <v>1228</v>
      </c>
      <c r="E153" s="148" t="s">
        <v>1183</v>
      </c>
      <c r="F153" s="126" t="s">
        <v>52</v>
      </c>
      <c r="G153" s="131" t="s">
        <v>777</v>
      </c>
      <c r="H153" s="139" t="s">
        <v>1229</v>
      </c>
      <c r="I153" s="134"/>
      <c r="J153" s="125" t="str">
        <f t="array" ref="J153">IFERROR(INDEX(All_User_backup!D:D,MATCH(D153,All_User_backup!H:H,0)),"없음")</f>
        <v>stella.hwang@stryker.com</v>
      </c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  <c r="AD153" s="125"/>
      <c r="AE153" s="125"/>
      <c r="AF153" s="125"/>
      <c r="AG153" s="125"/>
      <c r="AH153" s="125"/>
      <c r="AI153" s="125"/>
      <c r="AJ153" s="125"/>
      <c r="AK153" s="125"/>
      <c r="AL153" s="125"/>
      <c r="AM153" s="125"/>
      <c r="AN153" s="125"/>
      <c r="AO153" s="125"/>
      <c r="AP153" s="125"/>
      <c r="AQ153" s="125"/>
      <c r="AR153" s="125"/>
      <c r="AS153" s="125"/>
      <c r="AT153" s="125"/>
      <c r="AU153" s="125"/>
      <c r="AV153" s="125"/>
      <c r="AW153" s="125"/>
      <c r="AX153" s="125"/>
      <c r="AY153" s="125"/>
      <c r="AZ153" s="125"/>
      <c r="BA153" s="125"/>
      <c r="BB153" s="125"/>
      <c r="BC153" s="125"/>
      <c r="BD153" s="125"/>
      <c r="BE153" s="125"/>
      <c r="BF153" s="125"/>
    </row>
    <row r="154">
      <c r="A154" s="126" t="s">
        <v>1147</v>
      </c>
      <c r="B154" s="126" t="s">
        <v>913</v>
      </c>
      <c r="C154" s="142"/>
      <c r="D154" s="126" t="s">
        <v>1230</v>
      </c>
      <c r="E154" s="148" t="s">
        <v>1183</v>
      </c>
      <c r="F154" s="126" t="s">
        <v>20</v>
      </c>
      <c r="G154" s="131" t="s">
        <v>1231</v>
      </c>
      <c r="H154" s="139" t="s">
        <v>828</v>
      </c>
      <c r="I154" s="159"/>
      <c r="J154" s="125" t="str">
        <f t="array" ref="J154">IFERROR(INDEX(All_User_backup!D:D,MATCH(D154,All_User_backup!H:H,0)),"없음")</f>
        <v>ian.hwang@stryker.com</v>
      </c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  <c r="AD154" s="125"/>
      <c r="AE154" s="125"/>
      <c r="AF154" s="125"/>
      <c r="AG154" s="125"/>
      <c r="AH154" s="125"/>
      <c r="AI154" s="125"/>
      <c r="AJ154" s="125"/>
      <c r="AK154" s="125"/>
      <c r="AL154" s="125"/>
      <c r="AM154" s="125"/>
      <c r="AN154" s="125"/>
      <c r="AO154" s="125"/>
      <c r="AP154" s="125"/>
      <c r="AQ154" s="125"/>
      <c r="AR154" s="125"/>
      <c r="AS154" s="125"/>
      <c r="AT154" s="125"/>
      <c r="AU154" s="125"/>
      <c r="AV154" s="125"/>
      <c r="AW154" s="125"/>
      <c r="AX154" s="125"/>
      <c r="AY154" s="125"/>
      <c r="AZ154" s="125"/>
      <c r="BA154" s="125"/>
      <c r="BB154" s="125"/>
      <c r="BC154" s="125"/>
      <c r="BD154" s="125"/>
      <c r="BE154" s="125"/>
      <c r="BF154" s="125"/>
    </row>
    <row r="155">
      <c r="A155" s="126" t="s">
        <v>1147</v>
      </c>
      <c r="B155" s="126" t="s">
        <v>913</v>
      </c>
      <c r="C155" s="127" t="s">
        <v>1232</v>
      </c>
      <c r="D155" s="126" t="s">
        <v>1233</v>
      </c>
      <c r="E155" s="148" t="s">
        <v>1183</v>
      </c>
      <c r="F155" s="126" t="s">
        <v>62</v>
      </c>
      <c r="G155" s="131" t="s">
        <v>1234</v>
      </c>
      <c r="H155" s="129" t="s">
        <v>809</v>
      </c>
      <c r="I155" s="134"/>
      <c r="J155" s="125" t="str">
        <f t="array" ref="J155">IFERROR(INDEX(All_User_backup!D:D,MATCH(D155,All_User_backup!H:H,0)),"없음")</f>
        <v>gyowon.jeong@stryker.com</v>
      </c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  <c r="AD155" s="125"/>
      <c r="AE155" s="125"/>
      <c r="AF155" s="125"/>
      <c r="AG155" s="125"/>
      <c r="AH155" s="125"/>
      <c r="AI155" s="125"/>
      <c r="AJ155" s="125"/>
      <c r="AK155" s="125"/>
      <c r="AL155" s="125"/>
      <c r="AM155" s="125"/>
      <c r="AN155" s="125"/>
      <c r="AO155" s="125"/>
      <c r="AP155" s="125"/>
      <c r="AQ155" s="125"/>
      <c r="AR155" s="125"/>
      <c r="AS155" s="125"/>
      <c r="AT155" s="125"/>
      <c r="AU155" s="125"/>
      <c r="AV155" s="125"/>
      <c r="AW155" s="125"/>
      <c r="AX155" s="125"/>
      <c r="AY155" s="125"/>
      <c r="AZ155" s="125"/>
      <c r="BA155" s="125"/>
      <c r="BB155" s="125"/>
      <c r="BC155" s="125"/>
      <c r="BD155" s="125"/>
      <c r="BE155" s="125"/>
      <c r="BF155" s="125"/>
    </row>
    <row r="156">
      <c r="A156" s="126" t="s">
        <v>1147</v>
      </c>
      <c r="B156" s="126" t="s">
        <v>913</v>
      </c>
      <c r="C156" s="127" t="s">
        <v>1235</v>
      </c>
      <c r="D156" s="126" t="s">
        <v>1236</v>
      </c>
      <c r="E156" s="148" t="s">
        <v>1183</v>
      </c>
      <c r="F156" s="126" t="s">
        <v>750</v>
      </c>
      <c r="G156" s="131" t="s">
        <v>783</v>
      </c>
      <c r="H156" s="139" t="s">
        <v>1237</v>
      </c>
      <c r="I156" s="134"/>
      <c r="J156" s="125" t="str">
        <f t="array" ref="J156">IFERROR(INDEX(All_User_backup!D:D,MATCH(D156,All_User_backup!H:H,0)),"없음")</f>
        <v>orderadmin2.ym@stryker.com</v>
      </c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  <c r="AD156" s="125"/>
      <c r="AE156" s="125"/>
      <c r="AF156" s="125"/>
      <c r="AG156" s="125"/>
      <c r="AH156" s="125"/>
      <c r="AI156" s="125"/>
      <c r="AJ156" s="125"/>
      <c r="AK156" s="125"/>
      <c r="AL156" s="125"/>
      <c r="AM156" s="125"/>
      <c r="AN156" s="125"/>
      <c r="AO156" s="125"/>
      <c r="AP156" s="125"/>
      <c r="AQ156" s="125"/>
      <c r="AR156" s="125"/>
      <c r="AS156" s="125"/>
      <c r="AT156" s="125"/>
      <c r="AU156" s="125"/>
      <c r="AV156" s="125"/>
      <c r="AW156" s="125"/>
      <c r="AX156" s="125"/>
      <c r="AY156" s="125"/>
      <c r="AZ156" s="125"/>
      <c r="BA156" s="125"/>
      <c r="BB156" s="125"/>
      <c r="BC156" s="125"/>
      <c r="BD156" s="125"/>
      <c r="BE156" s="125"/>
      <c r="BF156" s="125"/>
    </row>
    <row r="157">
      <c r="A157" s="126" t="s">
        <v>1147</v>
      </c>
      <c r="B157" s="126" t="s">
        <v>913</v>
      </c>
      <c r="C157" s="127" t="s">
        <v>1238</v>
      </c>
      <c r="D157" s="126" t="s">
        <v>1239</v>
      </c>
      <c r="E157" s="148" t="s">
        <v>1183</v>
      </c>
      <c r="F157" s="126" t="s">
        <v>750</v>
      </c>
      <c r="G157" s="131" t="s">
        <v>785</v>
      </c>
      <c r="H157" s="139" t="s">
        <v>1240</v>
      </c>
      <c r="I157" s="134"/>
      <c r="J157" s="125" t="str">
        <f t="array" ref="J157">IFERROR(INDEX(All_User_backup!D:D,MATCH(D157,All_User_backup!H:H,0)),"없음")</f>
        <v>NV.SKL@stryker.com-1</v>
      </c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  <c r="AD157" s="125"/>
      <c r="AE157" s="125"/>
      <c r="AF157" s="125"/>
      <c r="AG157" s="125"/>
      <c r="AH157" s="125"/>
      <c r="AI157" s="125"/>
      <c r="AJ157" s="125"/>
      <c r="AK157" s="125"/>
      <c r="AL157" s="125"/>
      <c r="AM157" s="125"/>
      <c r="AN157" s="125"/>
      <c r="AO157" s="125"/>
      <c r="AP157" s="125"/>
      <c r="AQ157" s="125"/>
      <c r="AR157" s="125"/>
      <c r="AS157" s="125"/>
      <c r="AT157" s="125"/>
      <c r="AU157" s="125"/>
      <c r="AV157" s="125"/>
      <c r="AW157" s="125"/>
      <c r="AX157" s="125"/>
      <c r="AY157" s="125"/>
      <c r="AZ157" s="125"/>
      <c r="BA157" s="125"/>
      <c r="BB157" s="125"/>
      <c r="BC157" s="125"/>
      <c r="BD157" s="125"/>
      <c r="BE157" s="125"/>
      <c r="BF157" s="125"/>
    </row>
    <row r="158">
      <c r="A158" s="126" t="s">
        <v>1147</v>
      </c>
      <c r="B158" s="126" t="s">
        <v>913</v>
      </c>
      <c r="C158" s="142"/>
      <c r="D158" s="126" t="s">
        <v>1241</v>
      </c>
      <c r="E158" s="148" t="s">
        <v>1183</v>
      </c>
      <c r="F158" s="126" t="s">
        <v>27</v>
      </c>
      <c r="G158" s="131" t="s">
        <v>1242</v>
      </c>
      <c r="H158" s="131" t="s">
        <v>737</v>
      </c>
      <c r="I158" s="134"/>
      <c r="J158" s="125" t="str">
        <f t="array" ref="J158">IFERROR(INDEX(All_User_backup!D:D,MATCH(D158,All_User_backup!H:H,0)),"없음")</f>
        <v>aaron.yoon@stryker.com</v>
      </c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  <c r="AD158" s="125"/>
      <c r="AE158" s="125"/>
      <c r="AF158" s="125"/>
      <c r="AG158" s="125"/>
      <c r="AH158" s="125"/>
      <c r="AI158" s="125"/>
      <c r="AJ158" s="125"/>
      <c r="AK158" s="125"/>
      <c r="AL158" s="125"/>
      <c r="AM158" s="125"/>
      <c r="AN158" s="125"/>
      <c r="AO158" s="125"/>
      <c r="AP158" s="125"/>
      <c r="AQ158" s="125"/>
      <c r="AR158" s="125"/>
      <c r="AS158" s="125"/>
      <c r="AT158" s="125"/>
      <c r="AU158" s="125"/>
      <c r="AV158" s="125"/>
      <c r="AW158" s="125"/>
      <c r="AX158" s="125"/>
      <c r="AY158" s="125"/>
      <c r="AZ158" s="125"/>
      <c r="BA158" s="125"/>
      <c r="BB158" s="125"/>
      <c r="BC158" s="125"/>
      <c r="BD158" s="125"/>
      <c r="BE158" s="125"/>
      <c r="BF158" s="125"/>
    </row>
    <row r="159">
      <c r="A159" s="126" t="s">
        <v>1147</v>
      </c>
      <c r="B159" s="126" t="s">
        <v>913</v>
      </c>
      <c r="C159" s="127" t="s">
        <v>1243</v>
      </c>
      <c r="D159" s="126" t="s">
        <v>1244</v>
      </c>
      <c r="E159" s="148" t="s">
        <v>1183</v>
      </c>
      <c r="F159" s="126" t="s">
        <v>750</v>
      </c>
      <c r="G159" s="131" t="s">
        <v>787</v>
      </c>
      <c r="H159" s="139" t="s">
        <v>1245</v>
      </c>
      <c r="I159" s="134"/>
      <c r="J159" s="125" t="str">
        <f t="array" ref="J159">IFERROR(INDEX(All_User_backup!D:D,MATCH(D159,All_User_backup!H:H,0)),"없음")</f>
        <v>NV.SKL@stryker.com-2</v>
      </c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  <c r="AD159" s="125"/>
      <c r="AE159" s="125"/>
      <c r="AF159" s="125"/>
      <c r="AG159" s="125"/>
      <c r="AH159" s="125"/>
      <c r="AI159" s="125"/>
      <c r="AJ159" s="125"/>
      <c r="AK159" s="125"/>
      <c r="AL159" s="125"/>
      <c r="AM159" s="125"/>
      <c r="AN159" s="125"/>
      <c r="AO159" s="125"/>
      <c r="AP159" s="125"/>
      <c r="AQ159" s="125"/>
      <c r="AR159" s="125"/>
      <c r="AS159" s="125"/>
      <c r="AT159" s="125"/>
      <c r="AU159" s="125"/>
      <c r="AV159" s="125"/>
      <c r="AW159" s="125"/>
      <c r="AX159" s="125"/>
      <c r="AY159" s="125"/>
      <c r="AZ159" s="125"/>
      <c r="BA159" s="125"/>
      <c r="BB159" s="125"/>
      <c r="BC159" s="125"/>
      <c r="BD159" s="125"/>
      <c r="BE159" s="125"/>
      <c r="BF159" s="125"/>
    </row>
    <row r="160">
      <c r="A160" s="126" t="s">
        <v>1147</v>
      </c>
      <c r="B160" s="126" t="s">
        <v>913</v>
      </c>
      <c r="C160" s="142"/>
      <c r="D160" s="126" t="s">
        <v>1246</v>
      </c>
      <c r="E160" s="148" t="s">
        <v>1183</v>
      </c>
      <c r="F160" s="126" t="s">
        <v>27</v>
      </c>
      <c r="G160" s="131" t="s">
        <v>1247</v>
      </c>
      <c r="H160" s="139" t="s">
        <v>1248</v>
      </c>
      <c r="I160" s="134"/>
      <c r="J160" s="125" t="str">
        <f t="array" ref="J160">IFERROR(INDEX(All_User_backup!D:D,MATCH(D160,All_User_backup!H:H,0)),"없음")</f>
        <v>hannah.kim@stryker.com</v>
      </c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  <c r="AD160" s="125"/>
      <c r="AE160" s="125"/>
      <c r="AF160" s="125"/>
      <c r="AG160" s="125"/>
      <c r="AH160" s="125"/>
      <c r="AI160" s="125"/>
      <c r="AJ160" s="125"/>
      <c r="AK160" s="125"/>
      <c r="AL160" s="125"/>
      <c r="AM160" s="125"/>
      <c r="AN160" s="125"/>
      <c r="AO160" s="125"/>
      <c r="AP160" s="125"/>
      <c r="AQ160" s="125"/>
      <c r="AR160" s="125"/>
      <c r="AS160" s="125"/>
      <c r="AT160" s="125"/>
      <c r="AU160" s="125"/>
      <c r="AV160" s="125"/>
      <c r="AW160" s="125"/>
      <c r="AX160" s="125"/>
      <c r="AY160" s="125"/>
      <c r="AZ160" s="125"/>
      <c r="BA160" s="125"/>
      <c r="BB160" s="125"/>
      <c r="BC160" s="125"/>
      <c r="BD160" s="125"/>
      <c r="BE160" s="125"/>
      <c r="BF160" s="125"/>
    </row>
    <row r="161">
      <c r="A161" s="126" t="s">
        <v>1147</v>
      </c>
      <c r="B161" s="136" t="s">
        <v>913</v>
      </c>
      <c r="C161" s="152"/>
      <c r="D161" s="126" t="s">
        <v>1249</v>
      </c>
      <c r="E161" s="156" t="s">
        <v>1183</v>
      </c>
      <c r="F161" s="136" t="s">
        <v>27</v>
      </c>
      <c r="G161" s="129" t="s">
        <v>1250</v>
      </c>
      <c r="H161" s="177" t="s">
        <v>260</v>
      </c>
      <c r="I161" s="176"/>
      <c r="J161" s="125" t="str">
        <f t="array" ref="J161">IFERROR(INDEX(All_User_backup!D:D,MATCH(D161,All_User_backup!H:H,0)),"없음")</f>
        <v>jay.ji@stryker.com</v>
      </c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  <c r="AD161" s="125"/>
      <c r="AE161" s="125"/>
      <c r="AF161" s="125"/>
      <c r="AG161" s="125"/>
      <c r="AH161" s="125"/>
      <c r="AI161" s="125"/>
      <c r="AJ161" s="125"/>
      <c r="AK161" s="125"/>
      <c r="AL161" s="125"/>
      <c r="AM161" s="125"/>
      <c r="AN161" s="125"/>
      <c r="AO161" s="125"/>
      <c r="AP161" s="125"/>
      <c r="AQ161" s="125"/>
      <c r="AR161" s="125"/>
      <c r="AS161" s="125"/>
      <c r="AT161" s="125"/>
      <c r="AU161" s="125"/>
      <c r="AV161" s="125"/>
      <c r="AW161" s="125"/>
      <c r="AX161" s="125"/>
      <c r="AY161" s="125"/>
      <c r="AZ161" s="125"/>
      <c r="BA161" s="125"/>
      <c r="BB161" s="125"/>
      <c r="BC161" s="125"/>
      <c r="BD161" s="125"/>
      <c r="BE161" s="125"/>
      <c r="BF161" s="125"/>
    </row>
    <row r="162">
      <c r="A162" s="126" t="s">
        <v>1147</v>
      </c>
      <c r="B162" s="126" t="s">
        <v>913</v>
      </c>
      <c r="C162" s="142"/>
      <c r="D162" s="126" t="s">
        <v>1251</v>
      </c>
      <c r="E162" s="148" t="s">
        <v>1183</v>
      </c>
      <c r="F162" s="126" t="s">
        <v>27</v>
      </c>
      <c r="G162" s="131" t="s">
        <v>1252</v>
      </c>
      <c r="H162" s="139" t="s">
        <v>1253</v>
      </c>
      <c r="I162" s="134"/>
      <c r="J162" s="125" t="str">
        <f t="array" ref="J162">IFERROR(INDEX(All_User_backup!D:D,MATCH(D162,All_User_backup!H:H,0)),"없음")</f>
        <v>vincent.bae@stryker.com</v>
      </c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  <c r="AD162" s="125"/>
      <c r="AE162" s="125"/>
      <c r="AF162" s="125"/>
      <c r="AG162" s="125"/>
      <c r="AH162" s="125"/>
      <c r="AI162" s="125"/>
      <c r="AJ162" s="125"/>
      <c r="AK162" s="125"/>
      <c r="AL162" s="125"/>
      <c r="AM162" s="125"/>
      <c r="AN162" s="125"/>
      <c r="AO162" s="125"/>
      <c r="AP162" s="125"/>
      <c r="AQ162" s="125"/>
      <c r="AR162" s="125"/>
      <c r="AS162" s="125"/>
      <c r="AT162" s="125"/>
      <c r="AU162" s="125"/>
      <c r="AV162" s="125"/>
      <c r="AW162" s="125"/>
      <c r="AX162" s="125"/>
      <c r="AY162" s="125"/>
      <c r="AZ162" s="125"/>
      <c r="BA162" s="125"/>
      <c r="BB162" s="125"/>
      <c r="BC162" s="125"/>
      <c r="BD162" s="125"/>
      <c r="BE162" s="125"/>
      <c r="BF162" s="125"/>
    </row>
    <row r="163">
      <c r="A163" s="126" t="s">
        <v>1147</v>
      </c>
      <c r="B163" s="126" t="s">
        <v>913</v>
      </c>
      <c r="C163" s="142"/>
      <c r="D163" s="126" t="s">
        <v>1254</v>
      </c>
      <c r="E163" s="148" t="s">
        <v>1183</v>
      </c>
      <c r="F163" s="126" t="s">
        <v>27</v>
      </c>
      <c r="G163" s="131" t="s">
        <v>789</v>
      </c>
      <c r="H163" s="139" t="s">
        <v>1255</v>
      </c>
      <c r="I163" s="134"/>
      <c r="J163" s="125" t="str">
        <f t="array" ref="J163">IFERROR(INDEX(All_User_backup!D:D,MATCH(D163,All_User_backup!H:H,0)),"없음")</f>
        <v>lucas.heo@stryker.com</v>
      </c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  <c r="AD163" s="125"/>
      <c r="AE163" s="125"/>
      <c r="AF163" s="125"/>
      <c r="AG163" s="125"/>
      <c r="AH163" s="125"/>
      <c r="AI163" s="125"/>
      <c r="AJ163" s="125"/>
      <c r="AK163" s="125"/>
      <c r="AL163" s="125"/>
      <c r="AM163" s="125"/>
      <c r="AN163" s="125"/>
      <c r="AO163" s="125"/>
      <c r="AP163" s="125"/>
      <c r="AQ163" s="125"/>
      <c r="AR163" s="125"/>
      <c r="AS163" s="125"/>
      <c r="AT163" s="125"/>
      <c r="AU163" s="125"/>
      <c r="AV163" s="125"/>
      <c r="AW163" s="125"/>
      <c r="AX163" s="125"/>
      <c r="AY163" s="125"/>
      <c r="AZ163" s="125"/>
      <c r="BA163" s="125"/>
      <c r="BB163" s="125"/>
      <c r="BC163" s="125"/>
      <c r="BD163" s="125"/>
      <c r="BE163" s="125"/>
      <c r="BF163" s="125"/>
    </row>
    <row r="164">
      <c r="A164" s="126" t="s">
        <v>1147</v>
      </c>
      <c r="B164" s="126" t="s">
        <v>913</v>
      </c>
      <c r="C164" s="178" t="s">
        <v>1256</v>
      </c>
      <c r="D164" s="126" t="s">
        <v>1257</v>
      </c>
      <c r="E164" s="148" t="s">
        <v>1258</v>
      </c>
      <c r="F164" s="126" t="s">
        <v>27</v>
      </c>
      <c r="G164" s="131" t="s">
        <v>685</v>
      </c>
      <c r="H164" s="139" t="s">
        <v>1259</v>
      </c>
      <c r="I164" s="134"/>
      <c r="J164" s="125" t="str">
        <f t="array" ref="J164">IFERROR(INDEX(All_User_backup!D:D,MATCH(D164,All_User_backup!H:H,0)),"없음")</f>
        <v>hailey.song@stryker.com</v>
      </c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  <c r="AD164" s="125"/>
      <c r="AE164" s="125"/>
      <c r="AF164" s="125"/>
      <c r="AG164" s="125"/>
      <c r="AH164" s="125"/>
      <c r="AI164" s="125"/>
      <c r="AJ164" s="125"/>
      <c r="AK164" s="125"/>
      <c r="AL164" s="125"/>
      <c r="AM164" s="125"/>
      <c r="AN164" s="125"/>
      <c r="AO164" s="125"/>
      <c r="AP164" s="125"/>
      <c r="AQ164" s="125"/>
      <c r="AR164" s="125"/>
      <c r="AS164" s="125"/>
      <c r="AT164" s="125"/>
      <c r="AU164" s="125"/>
      <c r="AV164" s="125"/>
      <c r="AW164" s="125"/>
      <c r="AX164" s="125"/>
      <c r="AY164" s="125"/>
      <c r="AZ164" s="125"/>
      <c r="BA164" s="125"/>
      <c r="BB164" s="125"/>
      <c r="BC164" s="125"/>
      <c r="BD164" s="125"/>
      <c r="BE164" s="125"/>
      <c r="BF164" s="125"/>
    </row>
    <row r="165">
      <c r="A165" s="126" t="s">
        <v>1147</v>
      </c>
      <c r="B165" s="126" t="s">
        <v>913</v>
      </c>
      <c r="C165" s="178" t="s">
        <v>1260</v>
      </c>
      <c r="D165" s="126" t="s">
        <v>1261</v>
      </c>
      <c r="E165" s="148" t="s">
        <v>1258</v>
      </c>
      <c r="F165" s="126" t="s">
        <v>671</v>
      </c>
      <c r="H165" s="131" t="s">
        <v>1262</v>
      </c>
      <c r="I165" s="131" t="s">
        <v>1263</v>
      </c>
      <c r="J165" s="125" t="str">
        <f t="array" ref="J165">IFERROR(INDEX(All_User_backup!D:D,MATCH(D165,All_User_backup!H:H,0)),"없음")</f>
        <v>soyeon.park@stryker.com</v>
      </c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  <c r="AD165" s="125"/>
      <c r="AE165" s="125"/>
      <c r="AF165" s="125"/>
      <c r="AG165" s="125"/>
      <c r="AH165" s="125"/>
      <c r="AI165" s="125"/>
      <c r="AJ165" s="125"/>
      <c r="AK165" s="125"/>
      <c r="AL165" s="125"/>
      <c r="AM165" s="125"/>
      <c r="AN165" s="125"/>
      <c r="AO165" s="125"/>
      <c r="AP165" s="125"/>
      <c r="AQ165" s="125"/>
      <c r="AR165" s="125"/>
      <c r="AS165" s="125"/>
      <c r="AT165" s="125"/>
      <c r="AU165" s="125"/>
      <c r="AV165" s="125"/>
      <c r="AW165" s="125"/>
      <c r="AX165" s="125"/>
      <c r="AY165" s="125"/>
      <c r="AZ165" s="125"/>
      <c r="BA165" s="125"/>
      <c r="BB165" s="125"/>
      <c r="BC165" s="125"/>
      <c r="BD165" s="125"/>
      <c r="BE165" s="125"/>
      <c r="BF165" s="125"/>
    </row>
    <row r="166">
      <c r="A166" s="126" t="s">
        <v>1147</v>
      </c>
      <c r="B166" s="126" t="s">
        <v>913</v>
      </c>
      <c r="C166" s="178" t="s">
        <v>1264</v>
      </c>
      <c r="D166" s="126" t="s">
        <v>1265</v>
      </c>
      <c r="E166" s="148" t="s">
        <v>1258</v>
      </c>
      <c r="F166" s="126" t="s">
        <v>27</v>
      </c>
      <c r="G166" s="179" t="s">
        <v>603</v>
      </c>
      <c r="H166" s="180" t="s">
        <v>1266</v>
      </c>
      <c r="I166" s="134"/>
      <c r="J166" s="125" t="str">
        <f t="array" ref="J166">IFERROR(INDEX(All_User_backup!D:D,MATCH(D166,All_User_backup!H:H,0)),"없음")</f>
        <v>sujin.park@stryker.com</v>
      </c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  <c r="AD166" s="125"/>
      <c r="AE166" s="125"/>
      <c r="AF166" s="125"/>
      <c r="AG166" s="125"/>
      <c r="AH166" s="125"/>
      <c r="AI166" s="125"/>
      <c r="AJ166" s="125"/>
      <c r="AK166" s="125"/>
      <c r="AL166" s="125"/>
      <c r="AM166" s="125"/>
      <c r="AN166" s="125"/>
      <c r="AO166" s="125"/>
      <c r="AP166" s="125"/>
      <c r="AQ166" s="125"/>
      <c r="AR166" s="125"/>
      <c r="AS166" s="125"/>
      <c r="AT166" s="125"/>
      <c r="AU166" s="125"/>
      <c r="AV166" s="125"/>
      <c r="AW166" s="125"/>
      <c r="AX166" s="125"/>
      <c r="AY166" s="125"/>
      <c r="AZ166" s="125"/>
      <c r="BA166" s="125"/>
      <c r="BB166" s="125"/>
      <c r="BC166" s="125"/>
      <c r="BD166" s="125"/>
      <c r="BE166" s="125"/>
      <c r="BF166" s="125"/>
    </row>
    <row r="167">
      <c r="A167" s="126" t="s">
        <v>1147</v>
      </c>
      <c r="B167" s="126" t="s">
        <v>913</v>
      </c>
      <c r="C167" s="178" t="s">
        <v>1267</v>
      </c>
      <c r="D167" s="126" t="s">
        <v>1268</v>
      </c>
      <c r="E167" s="148" t="s">
        <v>1258</v>
      </c>
      <c r="F167" s="126" t="s">
        <v>750</v>
      </c>
      <c r="G167" s="131" t="s">
        <v>791</v>
      </c>
      <c r="H167" s="139" t="s">
        <v>1269</v>
      </c>
      <c r="I167" s="134"/>
      <c r="J167" s="125" t="str">
        <f t="array" ref="J167">IFERROR(INDEX(All_User_backup!D:D,MATCH(D167,All_User_backup!H:H,0)),"없음")</f>
        <v>cis2.ym@stryker.com</v>
      </c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  <c r="AD167" s="125"/>
      <c r="AE167" s="125"/>
      <c r="AF167" s="125"/>
      <c r="AG167" s="125"/>
      <c r="AH167" s="125"/>
      <c r="AI167" s="125"/>
      <c r="AJ167" s="125"/>
      <c r="AK167" s="125"/>
      <c r="AL167" s="125"/>
      <c r="AM167" s="125"/>
      <c r="AN167" s="125"/>
      <c r="AO167" s="125"/>
      <c r="AP167" s="125"/>
      <c r="AQ167" s="125"/>
      <c r="AR167" s="125"/>
      <c r="AS167" s="125"/>
      <c r="AT167" s="125"/>
      <c r="AU167" s="125"/>
      <c r="AV167" s="125"/>
      <c r="AW167" s="125"/>
      <c r="AX167" s="125"/>
      <c r="AY167" s="125"/>
      <c r="AZ167" s="125"/>
      <c r="BA167" s="125"/>
      <c r="BB167" s="125"/>
      <c r="BC167" s="125"/>
      <c r="BD167" s="125"/>
      <c r="BE167" s="125"/>
      <c r="BF167" s="125"/>
    </row>
    <row r="168">
      <c r="A168" s="126" t="s">
        <v>1147</v>
      </c>
      <c r="B168" s="126" t="s">
        <v>913</v>
      </c>
      <c r="C168" s="178" t="s">
        <v>1270</v>
      </c>
      <c r="D168" s="126" t="s">
        <v>1271</v>
      </c>
      <c r="E168" s="148" t="s">
        <v>1258</v>
      </c>
      <c r="F168" s="126" t="s">
        <v>750</v>
      </c>
      <c r="G168" s="131" t="s">
        <v>793</v>
      </c>
      <c r="H168" s="139" t="s">
        <v>1272</v>
      </c>
      <c r="I168" s="134"/>
      <c r="J168" s="125" t="str">
        <f t="array" ref="J168">IFERROR(INDEX(All_User_backup!D:D,MATCH(D168,All_User_backup!H:H,0)),"없음")</f>
        <v>cis6.ym@stryker.com</v>
      </c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  <c r="AD168" s="125"/>
      <c r="AE168" s="125"/>
      <c r="AF168" s="125"/>
      <c r="AG168" s="125"/>
      <c r="AH168" s="125"/>
      <c r="AI168" s="125"/>
      <c r="AJ168" s="125"/>
      <c r="AK168" s="125"/>
      <c r="AL168" s="125"/>
      <c r="AM168" s="125"/>
      <c r="AN168" s="125"/>
      <c r="AO168" s="125"/>
      <c r="AP168" s="125"/>
      <c r="AQ168" s="125"/>
      <c r="AR168" s="125"/>
      <c r="AS168" s="125"/>
      <c r="AT168" s="125"/>
      <c r="AU168" s="125"/>
      <c r="AV168" s="125"/>
      <c r="AW168" s="125"/>
      <c r="AX168" s="125"/>
      <c r="AY168" s="125"/>
      <c r="AZ168" s="125"/>
      <c r="BA168" s="125"/>
      <c r="BB168" s="125"/>
      <c r="BC168" s="125"/>
      <c r="BD168" s="125"/>
      <c r="BE168" s="125"/>
      <c r="BF168" s="125"/>
    </row>
    <row r="169">
      <c r="A169" s="126" t="s">
        <v>1147</v>
      </c>
      <c r="B169" s="126" t="s">
        <v>913</v>
      </c>
      <c r="C169" s="178" t="s">
        <v>1273</v>
      </c>
      <c r="D169" s="126" t="s">
        <v>1274</v>
      </c>
      <c r="E169" s="148" t="s">
        <v>1258</v>
      </c>
      <c r="F169" s="126" t="s">
        <v>750</v>
      </c>
      <c r="G169" s="131" t="s">
        <v>795</v>
      </c>
      <c r="H169" s="139" t="s">
        <v>1275</v>
      </c>
      <c r="I169" s="134"/>
      <c r="J169" s="125" t="str">
        <f t="array" ref="J169">IFERROR(INDEX(All_User_backup!D:D,MATCH(D169,All_User_backup!H:H,0)),"없음")</f>
        <v>cis1.ym@stryker.com</v>
      </c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  <c r="AD169" s="125"/>
      <c r="AE169" s="125"/>
      <c r="AF169" s="125"/>
      <c r="AG169" s="125"/>
      <c r="AH169" s="125"/>
      <c r="AI169" s="125"/>
      <c r="AJ169" s="125"/>
      <c r="AK169" s="125"/>
      <c r="AL169" s="125"/>
      <c r="AM169" s="125"/>
      <c r="AN169" s="125"/>
      <c r="AO169" s="125"/>
      <c r="AP169" s="125"/>
      <c r="AQ169" s="125"/>
      <c r="AR169" s="125"/>
      <c r="AS169" s="125"/>
      <c r="AT169" s="125"/>
      <c r="AU169" s="125"/>
      <c r="AV169" s="125"/>
      <c r="AW169" s="125"/>
      <c r="AX169" s="125"/>
      <c r="AY169" s="125"/>
      <c r="AZ169" s="125"/>
      <c r="BA169" s="125"/>
      <c r="BB169" s="125"/>
      <c r="BC169" s="125"/>
      <c r="BD169" s="125"/>
      <c r="BE169" s="125"/>
      <c r="BF169" s="125"/>
    </row>
    <row r="170">
      <c r="A170" s="126" t="s">
        <v>1147</v>
      </c>
      <c r="B170" s="126" t="s">
        <v>913</v>
      </c>
      <c r="C170" s="178" t="s">
        <v>1276</v>
      </c>
      <c r="D170" s="126" t="s">
        <v>1277</v>
      </c>
      <c r="E170" s="148" t="s">
        <v>1258</v>
      </c>
      <c r="F170" s="162"/>
      <c r="G170" s="179" t="s">
        <v>96</v>
      </c>
      <c r="H170" s="179" t="s">
        <v>98</v>
      </c>
      <c r="I170" s="134"/>
      <c r="J170" s="125" t="str">
        <f t="array" ref="J170">IFERROR(INDEX(All_User_backup!D:D,MATCH(D170,All_User_backup!H:H,0)),"없음")</f>
        <v>Willy.Chang@stryker.com</v>
      </c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  <c r="AD170" s="125"/>
      <c r="AE170" s="125"/>
      <c r="AF170" s="125"/>
      <c r="AG170" s="125"/>
      <c r="AH170" s="125"/>
      <c r="AI170" s="125"/>
      <c r="AJ170" s="125"/>
      <c r="AK170" s="125"/>
      <c r="AL170" s="125"/>
      <c r="AM170" s="125"/>
      <c r="AN170" s="125"/>
      <c r="AO170" s="125"/>
      <c r="AP170" s="125"/>
      <c r="AQ170" s="125"/>
      <c r="AR170" s="125"/>
      <c r="AS170" s="125"/>
      <c r="AT170" s="125"/>
      <c r="AU170" s="125"/>
      <c r="AV170" s="125"/>
      <c r="AW170" s="125"/>
      <c r="AX170" s="125"/>
      <c r="AY170" s="125"/>
      <c r="AZ170" s="125"/>
      <c r="BA170" s="125"/>
      <c r="BB170" s="125"/>
      <c r="BC170" s="125"/>
      <c r="BD170" s="125"/>
      <c r="BE170" s="125"/>
      <c r="BF170" s="125"/>
    </row>
    <row r="171">
      <c r="A171" s="126" t="s">
        <v>1147</v>
      </c>
      <c r="B171" s="126" t="s">
        <v>913</v>
      </c>
      <c r="C171" s="178" t="s">
        <v>1278</v>
      </c>
      <c r="D171" s="126" t="s">
        <v>1279</v>
      </c>
      <c r="E171" s="148" t="s">
        <v>1258</v>
      </c>
      <c r="F171" s="162"/>
      <c r="G171" s="179" t="s">
        <v>693</v>
      </c>
      <c r="H171" s="179" t="s">
        <v>695</v>
      </c>
      <c r="I171" s="134"/>
      <c r="J171" s="125" t="str">
        <f t="array" ref="J171">IFERROR(INDEX(All_User_backup!D:D,MATCH(D171,All_User_backup!H:H,0)),"없음")</f>
        <v>David.Yang@stryker.com</v>
      </c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  <c r="AD171" s="125"/>
      <c r="AE171" s="125"/>
      <c r="AF171" s="125"/>
      <c r="AG171" s="125"/>
      <c r="AH171" s="125"/>
      <c r="AI171" s="125"/>
      <c r="AJ171" s="125"/>
      <c r="AK171" s="125"/>
      <c r="AL171" s="125"/>
      <c r="AM171" s="125"/>
      <c r="AN171" s="125"/>
      <c r="AO171" s="125"/>
      <c r="AP171" s="125"/>
      <c r="AQ171" s="125"/>
      <c r="AR171" s="125"/>
      <c r="AS171" s="125"/>
      <c r="AT171" s="125"/>
      <c r="AU171" s="125"/>
      <c r="AV171" s="125"/>
      <c r="AW171" s="125"/>
      <c r="AX171" s="125"/>
      <c r="AY171" s="125"/>
      <c r="AZ171" s="125"/>
      <c r="BA171" s="125"/>
      <c r="BB171" s="125"/>
      <c r="BC171" s="125"/>
      <c r="BD171" s="125"/>
      <c r="BE171" s="125"/>
      <c r="BF171" s="125"/>
    </row>
    <row r="172">
      <c r="A172" s="126" t="s">
        <v>1147</v>
      </c>
      <c r="B172" s="126" t="s">
        <v>913</v>
      </c>
      <c r="C172" s="178" t="s">
        <v>1280</v>
      </c>
      <c r="D172" s="126" t="s">
        <v>1281</v>
      </c>
      <c r="E172" s="148" t="s">
        <v>1258</v>
      </c>
      <c r="F172" s="126" t="s">
        <v>52</v>
      </c>
      <c r="G172" s="131" t="s">
        <v>810</v>
      </c>
      <c r="H172" s="181" t="s">
        <v>812</v>
      </c>
      <c r="I172" s="134"/>
      <c r="J172" s="125" t="str">
        <f t="array" ref="J172">IFERROR(INDEX(All_User_backup!D:D,MATCH(D172,All_User_backup!H:H,0)),"없음")</f>
        <v>dawn.kim@stryker.com</v>
      </c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  <c r="AD172" s="125"/>
      <c r="AE172" s="125"/>
      <c r="AF172" s="125"/>
      <c r="AG172" s="125"/>
      <c r="AH172" s="125"/>
      <c r="AI172" s="125"/>
      <c r="AJ172" s="125"/>
      <c r="AK172" s="125"/>
      <c r="AL172" s="125"/>
      <c r="AM172" s="125"/>
      <c r="AN172" s="125"/>
      <c r="AO172" s="125"/>
      <c r="AP172" s="125"/>
      <c r="AQ172" s="125"/>
      <c r="AR172" s="125"/>
      <c r="AS172" s="125"/>
      <c r="AT172" s="125"/>
      <c r="AU172" s="125"/>
      <c r="AV172" s="125"/>
      <c r="AW172" s="125"/>
      <c r="AX172" s="125"/>
      <c r="AY172" s="125"/>
      <c r="AZ172" s="125"/>
      <c r="BA172" s="125"/>
      <c r="BB172" s="125"/>
      <c r="BC172" s="125"/>
      <c r="BD172" s="125"/>
      <c r="BE172" s="125"/>
      <c r="BF172" s="125"/>
    </row>
    <row r="173">
      <c r="A173" s="126" t="s">
        <v>1147</v>
      </c>
      <c r="B173" s="126" t="s">
        <v>913</v>
      </c>
      <c r="C173" s="178" t="s">
        <v>1282</v>
      </c>
      <c r="D173" s="126" t="s">
        <v>1283</v>
      </c>
      <c r="E173" s="148" t="s">
        <v>1258</v>
      </c>
      <c r="F173" s="162"/>
      <c r="G173" s="179" t="s">
        <v>716</v>
      </c>
      <c r="H173" s="179" t="s">
        <v>718</v>
      </c>
      <c r="I173" s="134"/>
      <c r="J173" s="125" t="str">
        <f t="array" ref="J173">IFERROR(INDEX(All_User_backup!D:D,MATCH(D173,All_User_backup!H:H,0)),"없음")</f>
        <v>jiho.yoo@stryker.com</v>
      </c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  <c r="AD173" s="125"/>
      <c r="AE173" s="125"/>
      <c r="AF173" s="125"/>
      <c r="AG173" s="125"/>
      <c r="AH173" s="125"/>
      <c r="AI173" s="125"/>
      <c r="AJ173" s="125"/>
      <c r="AK173" s="125"/>
      <c r="AL173" s="125"/>
      <c r="AM173" s="125"/>
      <c r="AN173" s="125"/>
      <c r="AO173" s="125"/>
      <c r="AP173" s="125"/>
      <c r="AQ173" s="125"/>
      <c r="AR173" s="125"/>
      <c r="AS173" s="125"/>
      <c r="AT173" s="125"/>
      <c r="AU173" s="125"/>
      <c r="AV173" s="125"/>
      <c r="AW173" s="125"/>
      <c r="AX173" s="125"/>
      <c r="AY173" s="125"/>
      <c r="AZ173" s="125"/>
      <c r="BA173" s="125"/>
      <c r="BB173" s="125"/>
      <c r="BC173" s="125"/>
      <c r="BD173" s="125"/>
      <c r="BE173" s="125"/>
      <c r="BF173" s="125"/>
    </row>
    <row r="174">
      <c r="A174" s="126" t="s">
        <v>1147</v>
      </c>
      <c r="B174" s="126" t="s">
        <v>913</v>
      </c>
      <c r="C174" s="178" t="s">
        <v>1284</v>
      </c>
      <c r="D174" s="126" t="s">
        <v>1285</v>
      </c>
      <c r="E174" s="148" t="s">
        <v>1258</v>
      </c>
      <c r="F174" s="162"/>
      <c r="G174" s="179" t="s">
        <v>287</v>
      </c>
      <c r="H174" s="179" t="s">
        <v>289</v>
      </c>
      <c r="I174" s="134"/>
      <c r="J174" s="125" t="str">
        <f t="array" ref="J174">IFERROR(INDEX(All_User_backup!D:D,MATCH(D174,All_User_backup!H:H,0)),"없음")</f>
        <v>louis.kang@stryker.com</v>
      </c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  <c r="AD174" s="125"/>
      <c r="AE174" s="125"/>
      <c r="AF174" s="125"/>
      <c r="AG174" s="125"/>
      <c r="AH174" s="125"/>
      <c r="AI174" s="125"/>
      <c r="AJ174" s="125"/>
      <c r="AK174" s="125"/>
      <c r="AL174" s="125"/>
      <c r="AM174" s="125"/>
      <c r="AN174" s="125"/>
      <c r="AO174" s="125"/>
      <c r="AP174" s="125"/>
      <c r="AQ174" s="125"/>
      <c r="AR174" s="125"/>
      <c r="AS174" s="125"/>
      <c r="AT174" s="125"/>
      <c r="AU174" s="125"/>
      <c r="AV174" s="125"/>
      <c r="AW174" s="125"/>
      <c r="AX174" s="125"/>
      <c r="AY174" s="125"/>
      <c r="AZ174" s="125"/>
      <c r="BA174" s="125"/>
      <c r="BB174" s="125"/>
      <c r="BC174" s="125"/>
      <c r="BD174" s="125"/>
      <c r="BE174" s="125"/>
      <c r="BF174" s="125"/>
    </row>
    <row r="175">
      <c r="A175" s="126" t="s">
        <v>1147</v>
      </c>
      <c r="B175" s="126" t="s">
        <v>913</v>
      </c>
      <c r="C175" s="182"/>
      <c r="D175" s="126" t="s">
        <v>1286</v>
      </c>
      <c r="E175" s="148" t="s">
        <v>1258</v>
      </c>
      <c r="F175" s="162"/>
      <c r="G175" s="179" t="s">
        <v>208</v>
      </c>
      <c r="H175" s="179" t="s">
        <v>210</v>
      </c>
      <c r="I175" s="134"/>
      <c r="J175" s="125" t="str">
        <f t="array" ref="J175">IFERROR(INDEX(All_User_backup!D:D,MATCH(D175,All_User_backup!H:H,0)),"없음")</f>
        <v>young.hwang@stryker.com</v>
      </c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  <c r="AD175" s="125"/>
      <c r="AE175" s="125"/>
      <c r="AF175" s="125"/>
      <c r="AG175" s="125"/>
      <c r="AH175" s="125"/>
      <c r="AI175" s="125"/>
      <c r="AJ175" s="125"/>
      <c r="AK175" s="125"/>
      <c r="AL175" s="125"/>
      <c r="AM175" s="125"/>
      <c r="AN175" s="125"/>
      <c r="AO175" s="125"/>
      <c r="AP175" s="125"/>
      <c r="AQ175" s="125"/>
      <c r="AR175" s="125"/>
      <c r="AS175" s="125"/>
      <c r="AT175" s="125"/>
      <c r="AU175" s="125"/>
      <c r="AV175" s="125"/>
      <c r="AW175" s="125"/>
      <c r="AX175" s="125"/>
      <c r="AY175" s="125"/>
      <c r="AZ175" s="125"/>
      <c r="BA175" s="125"/>
      <c r="BB175" s="125"/>
      <c r="BC175" s="125"/>
      <c r="BD175" s="125"/>
      <c r="BE175" s="125"/>
      <c r="BF175" s="125"/>
    </row>
    <row r="176">
      <c r="A176" s="126" t="s">
        <v>1147</v>
      </c>
      <c r="B176" s="126" t="s">
        <v>913</v>
      </c>
      <c r="C176" s="178" t="s">
        <v>1287</v>
      </c>
      <c r="D176" s="126" t="s">
        <v>1288</v>
      </c>
      <c r="E176" s="148" t="s">
        <v>1258</v>
      </c>
      <c r="F176" s="136" t="s">
        <v>104</v>
      </c>
      <c r="G176" s="129" t="s">
        <v>1289</v>
      </c>
      <c r="H176" s="139" t="s">
        <v>1290</v>
      </c>
      <c r="I176" s="134"/>
      <c r="J176" s="125" t="str">
        <f t="array" ref="J176">IFERROR(INDEX(All_User_backup!D:D,MATCH(D176,All_User_backup!H:H,0)),"없음")</f>
        <v>terry.kim@stryker.com</v>
      </c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  <c r="AD176" s="125"/>
      <c r="AE176" s="125"/>
      <c r="AF176" s="125"/>
      <c r="AG176" s="125"/>
      <c r="AH176" s="125"/>
      <c r="AI176" s="125"/>
      <c r="AJ176" s="125"/>
      <c r="AK176" s="125"/>
      <c r="AL176" s="125"/>
      <c r="AM176" s="125"/>
      <c r="AN176" s="125"/>
      <c r="AO176" s="125"/>
      <c r="AP176" s="125"/>
      <c r="AQ176" s="125"/>
      <c r="AR176" s="125"/>
      <c r="AS176" s="125"/>
      <c r="AT176" s="125"/>
      <c r="AU176" s="125"/>
      <c r="AV176" s="125"/>
      <c r="AW176" s="125"/>
      <c r="AX176" s="125"/>
      <c r="AY176" s="125"/>
      <c r="AZ176" s="125"/>
      <c r="BA176" s="125"/>
      <c r="BB176" s="125"/>
      <c r="BC176" s="125"/>
      <c r="BD176" s="125"/>
      <c r="BE176" s="125"/>
      <c r="BF176" s="125"/>
    </row>
    <row r="177">
      <c r="A177" s="126" t="s">
        <v>1147</v>
      </c>
      <c r="B177" s="126" t="s">
        <v>913</v>
      </c>
      <c r="C177" s="178" t="s">
        <v>1291</v>
      </c>
      <c r="D177" s="126" t="s">
        <v>1292</v>
      </c>
      <c r="E177" s="148" t="s">
        <v>1258</v>
      </c>
      <c r="F177" s="126" t="s">
        <v>27</v>
      </c>
      <c r="G177" s="179" t="s">
        <v>768</v>
      </c>
      <c r="H177" s="180" t="s">
        <v>1293</v>
      </c>
      <c r="I177" s="131"/>
      <c r="J177" s="125" t="str">
        <f t="array" ref="J177">IFERROR(INDEX(All_User_backup!D:D,MATCH(D177,All_User_backup!H:H,0)),"없음")</f>
        <v>neal.kim@stryker.com</v>
      </c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  <c r="AD177" s="125"/>
      <c r="AE177" s="125"/>
      <c r="AF177" s="125"/>
      <c r="AG177" s="125"/>
      <c r="AH177" s="125"/>
      <c r="AI177" s="125"/>
      <c r="AJ177" s="125"/>
      <c r="AK177" s="125"/>
      <c r="AL177" s="125"/>
      <c r="AM177" s="125"/>
      <c r="AN177" s="125"/>
      <c r="AO177" s="125"/>
      <c r="AP177" s="125"/>
      <c r="AQ177" s="125"/>
      <c r="AR177" s="125"/>
      <c r="AS177" s="125"/>
      <c r="AT177" s="125"/>
      <c r="AU177" s="125"/>
      <c r="AV177" s="125"/>
      <c r="AW177" s="125"/>
      <c r="AX177" s="125"/>
      <c r="AY177" s="125"/>
      <c r="AZ177" s="125"/>
      <c r="BA177" s="125"/>
      <c r="BB177" s="125"/>
      <c r="BC177" s="125"/>
      <c r="BD177" s="125"/>
      <c r="BE177" s="125"/>
      <c r="BF177" s="125"/>
    </row>
    <row r="178">
      <c r="A178" s="126" t="s">
        <v>1147</v>
      </c>
      <c r="B178" s="126" t="s">
        <v>913</v>
      </c>
      <c r="C178" s="178" t="s">
        <v>1294</v>
      </c>
      <c r="D178" s="126" t="s">
        <v>1295</v>
      </c>
      <c r="E178" s="148" t="s">
        <v>1258</v>
      </c>
      <c r="F178" s="126" t="s">
        <v>20</v>
      </c>
      <c r="G178" s="131" t="s">
        <v>330</v>
      </c>
      <c r="H178" s="129" t="s">
        <v>332</v>
      </c>
      <c r="I178" s="134"/>
      <c r="J178" s="125" t="str">
        <f t="array" ref="J178">IFERROR(INDEX(All_User_backup!D:D,MATCH(D178,All_User_backup!H:H,0)),"없음")</f>
        <v>jackson.kim@stryker.com</v>
      </c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  <c r="AD178" s="125"/>
      <c r="AE178" s="125"/>
      <c r="AF178" s="125"/>
      <c r="AG178" s="125"/>
      <c r="AH178" s="125"/>
      <c r="AI178" s="125"/>
      <c r="AJ178" s="125"/>
      <c r="AK178" s="125"/>
      <c r="AL178" s="125"/>
      <c r="AM178" s="125"/>
      <c r="AN178" s="125"/>
      <c r="AO178" s="125"/>
      <c r="AP178" s="125"/>
      <c r="AQ178" s="125"/>
      <c r="AR178" s="125"/>
      <c r="AS178" s="125"/>
      <c r="AT178" s="125"/>
      <c r="AU178" s="125"/>
      <c r="AV178" s="125"/>
      <c r="AW178" s="125"/>
      <c r="AX178" s="125"/>
      <c r="AY178" s="125"/>
      <c r="AZ178" s="125"/>
      <c r="BA178" s="125"/>
      <c r="BB178" s="125"/>
      <c r="BC178" s="125"/>
      <c r="BD178" s="125"/>
      <c r="BE178" s="125"/>
      <c r="BF178" s="125"/>
    </row>
    <row r="179">
      <c r="A179" s="126" t="s">
        <v>1147</v>
      </c>
      <c r="B179" s="126" t="s">
        <v>913</v>
      </c>
      <c r="C179" s="178" t="s">
        <v>1296</v>
      </c>
      <c r="D179" s="126" t="s">
        <v>1297</v>
      </c>
      <c r="E179" s="148" t="s">
        <v>1258</v>
      </c>
      <c r="F179" s="126" t="s">
        <v>750</v>
      </c>
      <c r="G179" s="131" t="s">
        <v>797</v>
      </c>
      <c r="H179" s="139" t="s">
        <v>1298</v>
      </c>
      <c r="I179" s="134"/>
      <c r="J179" s="125" t="str">
        <f t="array" ref="J179">IFERROR(INDEX(All_User_backup!D:D,MATCH(D179,All_User_backup!H:H,0)),"없음")</f>
        <v>cis7.ym@stryker.com</v>
      </c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  <c r="AD179" s="125"/>
      <c r="AE179" s="125"/>
      <c r="AF179" s="125"/>
      <c r="AG179" s="125"/>
      <c r="AH179" s="125"/>
      <c r="AI179" s="125"/>
      <c r="AJ179" s="125"/>
      <c r="AK179" s="125"/>
      <c r="AL179" s="125"/>
      <c r="AM179" s="125"/>
      <c r="AN179" s="125"/>
      <c r="AO179" s="125"/>
      <c r="AP179" s="125"/>
      <c r="AQ179" s="125"/>
      <c r="AR179" s="125"/>
      <c r="AS179" s="125"/>
      <c r="AT179" s="125"/>
      <c r="AU179" s="125"/>
      <c r="AV179" s="125"/>
      <c r="AW179" s="125"/>
      <c r="AX179" s="125"/>
      <c r="AY179" s="125"/>
      <c r="AZ179" s="125"/>
      <c r="BA179" s="125"/>
      <c r="BB179" s="125"/>
      <c r="BC179" s="125"/>
      <c r="BD179" s="125"/>
      <c r="BE179" s="125"/>
      <c r="BF179" s="125"/>
    </row>
    <row r="180">
      <c r="A180" s="126" t="s">
        <v>1147</v>
      </c>
      <c r="B180" s="126" t="s">
        <v>913</v>
      </c>
      <c r="C180" s="182"/>
      <c r="D180" s="126" t="s">
        <v>1299</v>
      </c>
      <c r="E180" s="148" t="s">
        <v>1258</v>
      </c>
      <c r="F180" s="126" t="s">
        <v>27</v>
      </c>
      <c r="G180" s="131" t="s">
        <v>679</v>
      </c>
      <c r="H180" s="129" t="s">
        <v>681</v>
      </c>
      <c r="I180" s="134"/>
      <c r="J180" s="125" t="str">
        <f t="array" ref="J180">IFERROR(INDEX(All_User_backup!D:D,MATCH(D180,All_User_backup!H:H,0)),"없음")</f>
        <v>ethan.song@stryker.com</v>
      </c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  <c r="AD180" s="125"/>
      <c r="AE180" s="125"/>
      <c r="AF180" s="125"/>
      <c r="AG180" s="125"/>
      <c r="AH180" s="125"/>
      <c r="AI180" s="125"/>
      <c r="AJ180" s="125"/>
      <c r="AK180" s="125"/>
      <c r="AL180" s="125"/>
      <c r="AM180" s="125"/>
      <c r="AN180" s="125"/>
      <c r="AO180" s="125"/>
      <c r="AP180" s="125"/>
      <c r="AQ180" s="125"/>
      <c r="AR180" s="125"/>
      <c r="AS180" s="125"/>
      <c r="AT180" s="125"/>
      <c r="AU180" s="125"/>
      <c r="AV180" s="125"/>
      <c r="AW180" s="125"/>
      <c r="AX180" s="125"/>
      <c r="AY180" s="125"/>
      <c r="AZ180" s="125"/>
      <c r="BA180" s="125"/>
      <c r="BB180" s="125"/>
      <c r="BC180" s="125"/>
      <c r="BD180" s="125"/>
      <c r="BE180" s="125"/>
      <c r="BF180" s="125"/>
    </row>
    <row r="181">
      <c r="A181" s="126" t="s">
        <v>1147</v>
      </c>
      <c r="B181" s="126" t="s">
        <v>913</v>
      </c>
      <c r="C181" s="178" t="s">
        <v>1300</v>
      </c>
      <c r="D181" s="126" t="s">
        <v>1301</v>
      </c>
      <c r="E181" s="148" t="s">
        <v>1258</v>
      </c>
      <c r="F181" s="126" t="s">
        <v>750</v>
      </c>
      <c r="G181" s="131" t="s">
        <v>799</v>
      </c>
      <c r="H181" s="139" t="s">
        <v>1302</v>
      </c>
      <c r="I181" s="134"/>
      <c r="J181" s="125" t="str">
        <f t="array" ref="J181">IFERROR(INDEX(All_User_backup!D:D,MATCH(D181,All_User_backup!H:H,0)),"없음")</f>
        <v>cis3.ym@stryker.com</v>
      </c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  <c r="AD181" s="125"/>
      <c r="AE181" s="125"/>
      <c r="AF181" s="125"/>
      <c r="AG181" s="125"/>
      <c r="AH181" s="125"/>
      <c r="AI181" s="125"/>
      <c r="AJ181" s="125"/>
      <c r="AK181" s="125"/>
      <c r="AL181" s="125"/>
      <c r="AM181" s="125"/>
      <c r="AN181" s="125"/>
      <c r="AO181" s="125"/>
      <c r="AP181" s="125"/>
      <c r="AQ181" s="125"/>
      <c r="AR181" s="125"/>
      <c r="AS181" s="125"/>
      <c r="AT181" s="125"/>
      <c r="AU181" s="125"/>
      <c r="AV181" s="125"/>
      <c r="AW181" s="125"/>
      <c r="AX181" s="125"/>
      <c r="AY181" s="125"/>
      <c r="AZ181" s="125"/>
      <c r="BA181" s="125"/>
      <c r="BB181" s="125"/>
      <c r="BC181" s="125"/>
      <c r="BD181" s="125"/>
      <c r="BE181" s="125"/>
      <c r="BF181" s="125"/>
    </row>
    <row r="182">
      <c r="A182" s="126" t="s">
        <v>1147</v>
      </c>
      <c r="B182" s="126" t="s">
        <v>913</v>
      </c>
      <c r="C182" s="182"/>
      <c r="D182" s="126" t="s">
        <v>1303</v>
      </c>
      <c r="E182" s="148" t="s">
        <v>1258</v>
      </c>
      <c r="F182" s="126" t="s">
        <v>20</v>
      </c>
      <c r="G182" s="131" t="s">
        <v>1304</v>
      </c>
      <c r="H182" s="179" t="s">
        <v>18</v>
      </c>
      <c r="I182" s="126" t="s">
        <v>1305</v>
      </c>
      <c r="J182" s="125" t="str">
        <f t="array" ref="J182">IFERROR(INDEX(All_User_backup!D:D,MATCH(D182,All_User_backup!H:H,0)),"없음")</f>
        <v>dj.ahn@stryker.com</v>
      </c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  <c r="AD182" s="125"/>
      <c r="AE182" s="125"/>
      <c r="AF182" s="125"/>
      <c r="AG182" s="125"/>
      <c r="AH182" s="125"/>
      <c r="AI182" s="125"/>
      <c r="AJ182" s="125"/>
      <c r="AK182" s="125"/>
      <c r="AL182" s="125"/>
      <c r="AM182" s="125"/>
      <c r="AN182" s="125"/>
      <c r="AO182" s="125"/>
      <c r="AP182" s="125"/>
      <c r="AQ182" s="125"/>
      <c r="AR182" s="125"/>
      <c r="AS182" s="125"/>
      <c r="AT182" s="125"/>
      <c r="AU182" s="125"/>
      <c r="AV182" s="125"/>
      <c r="AW182" s="125"/>
      <c r="AX182" s="125"/>
      <c r="AY182" s="125"/>
      <c r="AZ182" s="125"/>
      <c r="BA182" s="125"/>
      <c r="BB182" s="125"/>
      <c r="BC182" s="125"/>
      <c r="BD182" s="125"/>
      <c r="BE182" s="125"/>
      <c r="BF182" s="125"/>
    </row>
    <row r="183">
      <c r="A183" s="126" t="s">
        <v>1147</v>
      </c>
      <c r="B183" s="126" t="s">
        <v>913</v>
      </c>
      <c r="C183" s="182"/>
      <c r="D183" s="126" t="s">
        <v>1306</v>
      </c>
      <c r="E183" s="148" t="s">
        <v>1258</v>
      </c>
      <c r="F183" s="162"/>
      <c r="G183" s="179" t="s">
        <v>374</v>
      </c>
      <c r="H183" s="179" t="s">
        <v>376</v>
      </c>
      <c r="I183" s="134"/>
      <c r="J183" s="125" t="str">
        <f t="array" ref="J183">IFERROR(INDEX(All_User_backup!D:D,MATCH(D183,All_User_backup!H:H,0)),"없음")</f>
        <v>soyoun.kim@stryker.com</v>
      </c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  <c r="AD183" s="125"/>
      <c r="AE183" s="125"/>
      <c r="AF183" s="125"/>
      <c r="AG183" s="125"/>
      <c r="AH183" s="125"/>
      <c r="AI183" s="125"/>
      <c r="AJ183" s="125"/>
      <c r="AK183" s="125"/>
      <c r="AL183" s="125"/>
      <c r="AM183" s="125"/>
      <c r="AN183" s="125"/>
      <c r="AO183" s="125"/>
      <c r="AP183" s="125"/>
      <c r="AQ183" s="125"/>
      <c r="AR183" s="125"/>
      <c r="AS183" s="125"/>
      <c r="AT183" s="125"/>
      <c r="AU183" s="125"/>
      <c r="AV183" s="125"/>
      <c r="AW183" s="125"/>
      <c r="AX183" s="125"/>
      <c r="AY183" s="125"/>
      <c r="AZ183" s="125"/>
      <c r="BA183" s="125"/>
      <c r="BB183" s="125"/>
      <c r="BC183" s="125"/>
      <c r="BD183" s="125"/>
      <c r="BE183" s="125"/>
      <c r="BF183" s="125"/>
    </row>
    <row r="184">
      <c r="A184" s="126" t="s">
        <v>1147</v>
      </c>
      <c r="B184" s="126" t="s">
        <v>913</v>
      </c>
      <c r="C184" s="178" t="s">
        <v>1307</v>
      </c>
      <c r="D184" s="126" t="s">
        <v>1308</v>
      </c>
      <c r="E184" s="148" t="s">
        <v>1258</v>
      </c>
      <c r="F184" s="126" t="s">
        <v>52</v>
      </c>
      <c r="G184" s="131" t="s">
        <v>1309</v>
      </c>
      <c r="H184" s="139" t="s">
        <v>1310</v>
      </c>
      <c r="I184" s="134"/>
      <c r="J184" s="125" t="str">
        <f t="array" ref="J184">IFERROR(INDEX(All_User_backup!D:D,MATCH(D184,All_User_backup!H:H,0)),"없음")</f>
        <v>Bomin.kim@stryker.com</v>
      </c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  <c r="AD184" s="125"/>
      <c r="AE184" s="125"/>
      <c r="AF184" s="125"/>
      <c r="AG184" s="125"/>
      <c r="AH184" s="125"/>
      <c r="AI184" s="125"/>
      <c r="AJ184" s="125"/>
      <c r="AK184" s="125"/>
      <c r="AL184" s="125"/>
      <c r="AM184" s="125"/>
      <c r="AN184" s="125"/>
      <c r="AO184" s="125"/>
      <c r="AP184" s="125"/>
      <c r="AQ184" s="125"/>
      <c r="AR184" s="125"/>
      <c r="AS184" s="125"/>
      <c r="AT184" s="125"/>
      <c r="AU184" s="125"/>
      <c r="AV184" s="125"/>
      <c r="AW184" s="125"/>
      <c r="AX184" s="125"/>
      <c r="AY184" s="125"/>
      <c r="AZ184" s="125"/>
      <c r="BA184" s="125"/>
      <c r="BB184" s="125"/>
      <c r="BC184" s="125"/>
      <c r="BD184" s="125"/>
      <c r="BE184" s="125"/>
      <c r="BF184" s="125"/>
    </row>
    <row r="185">
      <c r="A185" s="126" t="s">
        <v>1147</v>
      </c>
      <c r="B185" s="126" t="s">
        <v>913</v>
      </c>
      <c r="C185" s="178" t="s">
        <v>1311</v>
      </c>
      <c r="D185" s="126" t="s">
        <v>1312</v>
      </c>
      <c r="E185" s="148" t="s">
        <v>1258</v>
      </c>
      <c r="F185" s="162"/>
      <c r="G185" s="179" t="s">
        <v>106</v>
      </c>
      <c r="H185" s="179" t="s">
        <v>108</v>
      </c>
      <c r="I185" s="134"/>
      <c r="J185" s="125" t="str">
        <f t="array" ref="J185">IFERROR(INDEX(All_User_backup!D:D,MATCH(D185,All_User_backup!H:H,0)),"없음")</f>
        <v>martin.cho@stryker.com</v>
      </c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  <c r="AD185" s="125"/>
      <c r="AE185" s="125"/>
      <c r="AF185" s="125"/>
      <c r="AG185" s="125"/>
      <c r="AH185" s="125"/>
      <c r="AI185" s="125"/>
      <c r="AJ185" s="125"/>
      <c r="AK185" s="125"/>
      <c r="AL185" s="125"/>
      <c r="AM185" s="125"/>
      <c r="AN185" s="125"/>
      <c r="AO185" s="125"/>
      <c r="AP185" s="125"/>
      <c r="AQ185" s="125"/>
      <c r="AR185" s="125"/>
      <c r="AS185" s="125"/>
      <c r="AT185" s="125"/>
      <c r="AU185" s="125"/>
      <c r="AV185" s="125"/>
      <c r="AW185" s="125"/>
      <c r="AX185" s="125"/>
      <c r="AY185" s="125"/>
      <c r="AZ185" s="125"/>
      <c r="BA185" s="125"/>
      <c r="BB185" s="125"/>
      <c r="BC185" s="125"/>
      <c r="BD185" s="125"/>
      <c r="BE185" s="125"/>
      <c r="BF185" s="125"/>
    </row>
    <row r="186">
      <c r="A186" s="126" t="s">
        <v>1147</v>
      </c>
      <c r="B186" s="126" t="s">
        <v>913</v>
      </c>
      <c r="C186" s="178" t="s">
        <v>1313</v>
      </c>
      <c r="D186" s="126" t="s">
        <v>1314</v>
      </c>
      <c r="E186" s="148" t="s">
        <v>1258</v>
      </c>
      <c r="F186" s="162"/>
      <c r="G186" s="179" t="s">
        <v>644</v>
      </c>
      <c r="H186" s="179" t="s">
        <v>646</v>
      </c>
      <c r="I186" s="131"/>
      <c r="J186" s="125" t="str">
        <f t="array" ref="J186">IFERROR(INDEX(All_User_backup!D:D,MATCH(D186,All_User_backup!H:H,0)),"없음")</f>
        <v>dana.shin@stryker.com</v>
      </c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  <c r="AD186" s="125"/>
      <c r="AE186" s="125"/>
      <c r="AF186" s="125"/>
      <c r="AG186" s="125"/>
      <c r="AH186" s="125"/>
      <c r="AI186" s="125"/>
      <c r="AJ186" s="125"/>
      <c r="AK186" s="125"/>
      <c r="AL186" s="125"/>
      <c r="AM186" s="125"/>
      <c r="AN186" s="125"/>
      <c r="AO186" s="125"/>
      <c r="AP186" s="125"/>
      <c r="AQ186" s="125"/>
      <c r="AR186" s="125"/>
      <c r="AS186" s="125"/>
      <c r="AT186" s="125"/>
      <c r="AU186" s="125"/>
      <c r="AV186" s="125"/>
      <c r="AW186" s="125"/>
      <c r="AX186" s="125"/>
      <c r="AY186" s="125"/>
      <c r="AZ186" s="125"/>
      <c r="BA186" s="125"/>
      <c r="BB186" s="125"/>
      <c r="BC186" s="125"/>
      <c r="BD186" s="125"/>
      <c r="BE186" s="125"/>
      <c r="BF186" s="125"/>
    </row>
    <row r="187">
      <c r="A187" s="126" t="s">
        <v>1147</v>
      </c>
      <c r="B187" s="126" t="s">
        <v>913</v>
      </c>
      <c r="C187" s="178" t="s">
        <v>1315</v>
      </c>
      <c r="D187" s="126" t="s">
        <v>1316</v>
      </c>
      <c r="E187" s="148" t="s">
        <v>1258</v>
      </c>
      <c r="F187" s="162"/>
      <c r="G187" s="179" t="s">
        <v>835</v>
      </c>
      <c r="H187" s="179" t="s">
        <v>837</v>
      </c>
      <c r="I187" s="134"/>
      <c r="J187" s="125" t="str">
        <f t="array" ref="J187">IFERROR(INDEX(All_User_backup!D:D,MATCH(D187,All_User_backup!H:H,0)),"없음")</f>
        <v>shawn.kim@stryker.com</v>
      </c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  <c r="AD187" s="125"/>
      <c r="AE187" s="125"/>
      <c r="AF187" s="125"/>
      <c r="AG187" s="125"/>
      <c r="AH187" s="125"/>
      <c r="AI187" s="125"/>
      <c r="AJ187" s="125"/>
      <c r="AK187" s="125"/>
      <c r="AL187" s="125"/>
      <c r="AM187" s="125"/>
      <c r="AN187" s="125"/>
      <c r="AO187" s="125"/>
      <c r="AP187" s="125"/>
      <c r="AQ187" s="125"/>
      <c r="AR187" s="125"/>
      <c r="AS187" s="125"/>
      <c r="AT187" s="125"/>
      <c r="AU187" s="125"/>
      <c r="AV187" s="125"/>
      <c r="AW187" s="125"/>
      <c r="AX187" s="125"/>
      <c r="AY187" s="125"/>
      <c r="AZ187" s="125"/>
      <c r="BA187" s="125"/>
      <c r="BB187" s="125"/>
      <c r="BC187" s="125"/>
      <c r="BD187" s="125"/>
      <c r="BE187" s="125"/>
      <c r="BF187" s="125"/>
    </row>
    <row r="188">
      <c r="A188" s="126" t="s">
        <v>1147</v>
      </c>
      <c r="B188" s="126" t="s">
        <v>913</v>
      </c>
      <c r="C188" s="178" t="s">
        <v>1317</v>
      </c>
      <c r="D188" s="126" t="s">
        <v>1318</v>
      </c>
      <c r="E188" s="148" t="s">
        <v>1258</v>
      </c>
      <c r="F188" s="136" t="s">
        <v>77</v>
      </c>
      <c r="G188" s="129" t="s">
        <v>653</v>
      </c>
      <c r="H188" s="131" t="s">
        <v>655</v>
      </c>
      <c r="I188" s="131" t="s">
        <v>1319</v>
      </c>
      <c r="J188" s="125" t="str">
        <f t="array" ref="J188">IFERROR(INDEX(All_User_backup!D:D,MATCH(D188,All_User_backup!H:H,0)),"없음")</f>
        <v>Simon.sin@stryker.com</v>
      </c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  <c r="AD188" s="125"/>
      <c r="AE188" s="125"/>
      <c r="AF188" s="125"/>
      <c r="AG188" s="125"/>
      <c r="AH188" s="125"/>
      <c r="AI188" s="125"/>
      <c r="AJ188" s="125"/>
      <c r="AK188" s="125"/>
      <c r="AL188" s="125"/>
      <c r="AM188" s="125"/>
      <c r="AN188" s="125"/>
      <c r="AO188" s="125"/>
      <c r="AP188" s="125"/>
      <c r="AQ188" s="125"/>
      <c r="AR188" s="125"/>
      <c r="AS188" s="125"/>
      <c r="AT188" s="125"/>
      <c r="AU188" s="125"/>
      <c r="AV188" s="125"/>
      <c r="AW188" s="125"/>
      <c r="AX188" s="125"/>
      <c r="AY188" s="125"/>
      <c r="AZ188" s="125"/>
      <c r="BA188" s="125"/>
      <c r="BB188" s="125"/>
      <c r="BC188" s="125"/>
      <c r="BD188" s="125"/>
      <c r="BE188" s="125"/>
      <c r="BF188" s="125"/>
    </row>
    <row r="189">
      <c r="A189" s="126" t="s">
        <v>1147</v>
      </c>
      <c r="B189" s="126" t="s">
        <v>913</v>
      </c>
      <c r="C189" s="178" t="s">
        <v>1320</v>
      </c>
      <c r="D189" s="126" t="s">
        <v>1321</v>
      </c>
      <c r="E189" s="148" t="s">
        <v>1258</v>
      </c>
      <c r="F189" s="136" t="s">
        <v>1322</v>
      </c>
      <c r="G189" s="129" t="s">
        <v>854</v>
      </c>
      <c r="H189" s="183" t="s">
        <v>856</v>
      </c>
      <c r="I189" s="131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  <c r="AD189" s="125"/>
      <c r="AE189" s="125"/>
      <c r="AF189" s="125"/>
      <c r="AG189" s="125"/>
      <c r="AH189" s="125"/>
      <c r="AI189" s="125"/>
      <c r="AJ189" s="125"/>
      <c r="AK189" s="125"/>
      <c r="AL189" s="125"/>
      <c r="AM189" s="125"/>
      <c r="AN189" s="125"/>
      <c r="AO189" s="125"/>
      <c r="AP189" s="125"/>
      <c r="AQ189" s="125"/>
      <c r="AR189" s="125"/>
      <c r="AS189" s="125"/>
      <c r="AT189" s="125"/>
      <c r="AU189" s="125"/>
      <c r="AV189" s="125"/>
      <c r="AW189" s="125"/>
      <c r="AX189" s="125"/>
      <c r="AY189" s="125"/>
      <c r="AZ189" s="125"/>
      <c r="BA189" s="125"/>
      <c r="BB189" s="125"/>
      <c r="BC189" s="125"/>
      <c r="BD189" s="125"/>
      <c r="BE189" s="125"/>
      <c r="BF189" s="125"/>
    </row>
    <row r="190">
      <c r="A190" s="126" t="s">
        <v>1147</v>
      </c>
      <c r="B190" s="126" t="s">
        <v>913</v>
      </c>
      <c r="C190" s="178" t="s">
        <v>1323</v>
      </c>
      <c r="D190" s="126" t="s">
        <v>1324</v>
      </c>
      <c r="E190" s="148" t="s">
        <v>1258</v>
      </c>
      <c r="F190" s="126" t="s">
        <v>27</v>
      </c>
      <c r="G190" s="131" t="s">
        <v>1325</v>
      </c>
      <c r="H190" s="139" t="s">
        <v>1326</v>
      </c>
      <c r="I190" s="134"/>
      <c r="J190" s="125" t="str">
        <f t="array" ref="J190">IFERROR(INDEX(All_User_backup!D:D,MATCH(D190,All_User_backup!H:H,0)),"없음")</f>
        <v>dahye.jeong@stryker.com</v>
      </c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  <c r="AD190" s="125"/>
      <c r="AE190" s="125"/>
      <c r="AF190" s="125"/>
      <c r="AG190" s="125"/>
      <c r="AH190" s="125"/>
      <c r="AI190" s="125"/>
      <c r="AJ190" s="125"/>
      <c r="AK190" s="125"/>
      <c r="AL190" s="125"/>
      <c r="AM190" s="125"/>
      <c r="AN190" s="125"/>
      <c r="AO190" s="125"/>
      <c r="AP190" s="125"/>
      <c r="AQ190" s="125"/>
      <c r="AR190" s="125"/>
      <c r="AS190" s="125"/>
      <c r="AT190" s="125"/>
      <c r="AU190" s="125"/>
      <c r="AV190" s="125"/>
      <c r="AW190" s="125"/>
      <c r="AX190" s="125"/>
      <c r="AY190" s="125"/>
      <c r="AZ190" s="125"/>
      <c r="BA190" s="125"/>
      <c r="BB190" s="125"/>
      <c r="BC190" s="125"/>
      <c r="BD190" s="125"/>
      <c r="BE190" s="125"/>
      <c r="BF190" s="125"/>
    </row>
    <row r="191">
      <c r="A191" s="126" t="s">
        <v>1147</v>
      </c>
      <c r="B191" s="126" t="s">
        <v>913</v>
      </c>
      <c r="C191" s="178" t="s">
        <v>1327</v>
      </c>
      <c r="D191" s="126" t="s">
        <v>1328</v>
      </c>
      <c r="E191" s="148" t="s">
        <v>1258</v>
      </c>
      <c r="F191" s="136" t="s">
        <v>20</v>
      </c>
      <c r="G191" s="129" t="s">
        <v>548</v>
      </c>
      <c r="H191" s="177" t="s">
        <v>550</v>
      </c>
      <c r="I191" s="134"/>
      <c r="J191" s="125" t="str">
        <f t="array" ref="J191">IFERROR(INDEX(All_User_backup!D:D,MATCH(D191,All_User_backup!H:H,0)),"없음")</f>
        <v>tyler.park@stryker.com</v>
      </c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  <c r="AD191" s="125"/>
      <c r="AE191" s="125"/>
      <c r="AF191" s="125"/>
      <c r="AG191" s="125"/>
      <c r="AH191" s="125"/>
      <c r="AI191" s="125"/>
      <c r="AJ191" s="125"/>
      <c r="AK191" s="125"/>
      <c r="AL191" s="125"/>
      <c r="AM191" s="125"/>
      <c r="AN191" s="125"/>
      <c r="AO191" s="125"/>
      <c r="AP191" s="125"/>
      <c r="AQ191" s="125"/>
      <c r="AR191" s="125"/>
      <c r="AS191" s="125"/>
      <c r="AT191" s="125"/>
      <c r="AU191" s="125"/>
      <c r="AV191" s="125"/>
      <c r="AW191" s="125"/>
      <c r="AX191" s="125"/>
      <c r="AY191" s="125"/>
      <c r="AZ191" s="125"/>
      <c r="BA191" s="125"/>
      <c r="BB191" s="125"/>
      <c r="BC191" s="125"/>
      <c r="BD191" s="125"/>
      <c r="BE191" s="125"/>
      <c r="BF191" s="125"/>
    </row>
    <row r="192">
      <c r="A192" s="126" t="s">
        <v>1147</v>
      </c>
      <c r="B192" s="126" t="s">
        <v>913</v>
      </c>
      <c r="C192" s="178" t="s">
        <v>1329</v>
      </c>
      <c r="D192" s="126" t="s">
        <v>1330</v>
      </c>
      <c r="E192" s="148" t="s">
        <v>1258</v>
      </c>
      <c r="F192" s="126" t="s">
        <v>77</v>
      </c>
      <c r="G192" s="131" t="s">
        <v>335</v>
      </c>
      <c r="H192" s="129" t="s">
        <v>337</v>
      </c>
      <c r="I192" s="134"/>
      <c r="J192" s="125" t="str">
        <f t="array" ref="J192">IFERROR(INDEX(All_User_backup!D:D,MATCH(D192,All_User_backup!H:H,0)),"없음")</f>
        <v>genie.kim@stryker.com</v>
      </c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  <c r="AD192" s="125"/>
      <c r="AE192" s="125"/>
      <c r="AF192" s="125"/>
      <c r="AG192" s="125"/>
      <c r="AH192" s="125"/>
      <c r="AI192" s="125"/>
      <c r="AJ192" s="125"/>
      <c r="AK192" s="125"/>
      <c r="AL192" s="125"/>
      <c r="AM192" s="125"/>
      <c r="AN192" s="125"/>
      <c r="AO192" s="125"/>
      <c r="AP192" s="125"/>
      <c r="AQ192" s="125"/>
      <c r="AR192" s="125"/>
      <c r="AS192" s="125"/>
      <c r="AT192" s="125"/>
      <c r="AU192" s="125"/>
      <c r="AV192" s="125"/>
      <c r="AW192" s="125"/>
      <c r="AX192" s="125"/>
      <c r="AY192" s="125"/>
      <c r="AZ192" s="125"/>
      <c r="BA192" s="125"/>
      <c r="BB192" s="125"/>
      <c r="BC192" s="125"/>
      <c r="BD192" s="125"/>
      <c r="BE192" s="125"/>
      <c r="BF192" s="125"/>
    </row>
    <row r="193">
      <c r="A193" s="126" t="s">
        <v>1147</v>
      </c>
      <c r="B193" s="126" t="s">
        <v>913</v>
      </c>
      <c r="C193" s="178" t="s">
        <v>1331</v>
      </c>
      <c r="D193" s="126" t="s">
        <v>1332</v>
      </c>
      <c r="E193" s="148" t="s">
        <v>1258</v>
      </c>
      <c r="F193" s="162"/>
      <c r="G193" s="179" t="s">
        <v>624</v>
      </c>
      <c r="H193" s="179" t="s">
        <v>626</v>
      </c>
      <c r="I193" s="131" t="s">
        <v>1333</v>
      </c>
      <c r="J193" s="125" t="str">
        <f t="array" ref="J193">IFERROR(INDEX(All_User_backup!D:D,MATCH(D193,All_User_backup!H:H,0)),"없음")</f>
        <v>jaehee.seo@stryker.com</v>
      </c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  <c r="AD193" s="125"/>
      <c r="AE193" s="125"/>
      <c r="AF193" s="125"/>
      <c r="AG193" s="125"/>
      <c r="AH193" s="125"/>
      <c r="AI193" s="125"/>
      <c r="AJ193" s="125"/>
      <c r="AK193" s="125"/>
      <c r="AL193" s="125"/>
      <c r="AM193" s="125"/>
      <c r="AN193" s="125"/>
      <c r="AO193" s="125"/>
      <c r="AP193" s="125"/>
      <c r="AQ193" s="125"/>
      <c r="AR193" s="125"/>
      <c r="AS193" s="125"/>
      <c r="AT193" s="125"/>
      <c r="AU193" s="125"/>
      <c r="AV193" s="125"/>
      <c r="AW193" s="125"/>
      <c r="AX193" s="125"/>
      <c r="AY193" s="125"/>
      <c r="AZ193" s="125"/>
      <c r="BA193" s="125"/>
      <c r="BB193" s="125"/>
      <c r="BC193" s="125"/>
      <c r="BD193" s="125"/>
      <c r="BE193" s="125"/>
      <c r="BF193" s="125"/>
    </row>
    <row r="194">
      <c r="A194" s="126" t="s">
        <v>1147</v>
      </c>
      <c r="B194" s="126" t="s">
        <v>913</v>
      </c>
      <c r="C194" s="178" t="s">
        <v>1334</v>
      </c>
      <c r="D194" s="126" t="s">
        <v>1335</v>
      </c>
      <c r="E194" s="148" t="s">
        <v>1258</v>
      </c>
      <c r="F194" s="126" t="s">
        <v>20</v>
      </c>
      <c r="G194" s="131" t="s">
        <v>312</v>
      </c>
      <c r="H194" s="139" t="s">
        <v>1336</v>
      </c>
      <c r="I194" s="134"/>
      <c r="J194" s="125" t="str">
        <f t="array" ref="J194">IFERROR(INDEX(All_User_backup!D:D,MATCH(D194,All_User_backup!H:H,0)),"없음")</f>
        <v>Rayna.Kim@stryker.com</v>
      </c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  <c r="AD194" s="125"/>
      <c r="AE194" s="125"/>
      <c r="AF194" s="125"/>
      <c r="AG194" s="125"/>
      <c r="AH194" s="125"/>
      <c r="AI194" s="125"/>
      <c r="AJ194" s="125"/>
      <c r="AK194" s="125"/>
      <c r="AL194" s="125"/>
      <c r="AM194" s="125"/>
      <c r="AN194" s="125"/>
      <c r="AO194" s="125"/>
      <c r="AP194" s="125"/>
      <c r="AQ194" s="125"/>
      <c r="AR194" s="125"/>
      <c r="AS194" s="125"/>
      <c r="AT194" s="125"/>
      <c r="AU194" s="125"/>
      <c r="AV194" s="125"/>
      <c r="AW194" s="125"/>
      <c r="AX194" s="125"/>
      <c r="AY194" s="125"/>
      <c r="AZ194" s="125"/>
      <c r="BA194" s="125"/>
      <c r="BB194" s="125"/>
      <c r="BC194" s="125"/>
      <c r="BD194" s="125"/>
      <c r="BE194" s="125"/>
      <c r="BF194" s="125"/>
    </row>
    <row r="195">
      <c r="A195" s="126" t="s">
        <v>1147</v>
      </c>
      <c r="B195" s="126" t="s">
        <v>913</v>
      </c>
      <c r="C195" s="178" t="s">
        <v>1337</v>
      </c>
      <c r="D195" s="126" t="s">
        <v>1338</v>
      </c>
      <c r="E195" s="148" t="s">
        <v>1258</v>
      </c>
      <c r="F195" s="126" t="s">
        <v>27</v>
      </c>
      <c r="G195" s="131" t="s">
        <v>234</v>
      </c>
      <c r="H195" s="131" t="s">
        <v>236</v>
      </c>
      <c r="I195" s="131"/>
      <c r="J195" s="125" t="str">
        <f t="array" ref="J195">IFERROR(INDEX(All_User_backup!D:D,MATCH(D195,All_User_backup!H:H,0)),"없음")</f>
        <v>yoonbee.jeong@stryker.com</v>
      </c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  <c r="AD195" s="125"/>
      <c r="AE195" s="125"/>
      <c r="AF195" s="125"/>
      <c r="AG195" s="125"/>
      <c r="AH195" s="125"/>
      <c r="AI195" s="125"/>
      <c r="AJ195" s="125"/>
      <c r="AK195" s="125"/>
      <c r="AL195" s="125"/>
      <c r="AM195" s="125"/>
      <c r="AN195" s="125"/>
      <c r="AO195" s="125"/>
      <c r="AP195" s="125"/>
      <c r="AQ195" s="125"/>
      <c r="AR195" s="125"/>
      <c r="AS195" s="125"/>
      <c r="AT195" s="125"/>
      <c r="AU195" s="125"/>
      <c r="AV195" s="125"/>
      <c r="AW195" s="125"/>
      <c r="AX195" s="125"/>
      <c r="AY195" s="125"/>
      <c r="AZ195" s="125"/>
      <c r="BA195" s="125"/>
      <c r="BB195" s="125"/>
      <c r="BC195" s="125"/>
      <c r="BD195" s="125"/>
      <c r="BE195" s="125"/>
      <c r="BF195" s="125"/>
    </row>
    <row r="196">
      <c r="A196" s="126" t="s">
        <v>1147</v>
      </c>
      <c r="B196" s="126" t="s">
        <v>913</v>
      </c>
      <c r="C196" s="178" t="s">
        <v>1339</v>
      </c>
      <c r="D196" s="126" t="s">
        <v>1340</v>
      </c>
      <c r="E196" s="148" t="s">
        <v>1258</v>
      </c>
      <c r="F196" s="162"/>
      <c r="G196" s="179" t="s">
        <v>471</v>
      </c>
      <c r="H196" s="179" t="s">
        <v>473</v>
      </c>
      <c r="I196" s="134"/>
      <c r="J196" s="125" t="str">
        <f t="array" ref="J196">IFERROR(INDEX(All_User_backup!D:D,MATCH(D196,All_User_backup!H:H,0)),"없음")</f>
        <v>henry.lee@stryker.com</v>
      </c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  <c r="AD196" s="125"/>
      <c r="AE196" s="125"/>
      <c r="AF196" s="125"/>
      <c r="AG196" s="125"/>
      <c r="AH196" s="125"/>
      <c r="AI196" s="125"/>
      <c r="AJ196" s="125"/>
      <c r="AK196" s="125"/>
      <c r="AL196" s="125"/>
      <c r="AM196" s="125"/>
      <c r="AN196" s="125"/>
      <c r="AO196" s="125"/>
      <c r="AP196" s="125"/>
      <c r="AQ196" s="125"/>
      <c r="AR196" s="125"/>
      <c r="AS196" s="125"/>
      <c r="AT196" s="125"/>
      <c r="AU196" s="125"/>
      <c r="AV196" s="125"/>
      <c r="AW196" s="125"/>
      <c r="AX196" s="125"/>
      <c r="AY196" s="125"/>
      <c r="AZ196" s="125"/>
      <c r="BA196" s="125"/>
      <c r="BB196" s="125"/>
      <c r="BC196" s="125"/>
      <c r="BD196" s="125"/>
      <c r="BE196" s="125"/>
      <c r="BF196" s="125"/>
    </row>
    <row r="197">
      <c r="A197" s="126" t="s">
        <v>1147</v>
      </c>
      <c r="B197" s="126" t="s">
        <v>913</v>
      </c>
      <c r="C197" s="178" t="s">
        <v>1329</v>
      </c>
      <c r="D197" s="126" t="s">
        <v>1341</v>
      </c>
      <c r="E197" s="148" t="s">
        <v>1258</v>
      </c>
      <c r="F197" s="126" t="s">
        <v>35</v>
      </c>
      <c r="G197" s="131" t="s">
        <v>1342</v>
      </c>
      <c r="H197" s="15" t="s">
        <v>32</v>
      </c>
      <c r="I197" s="134"/>
      <c r="J197" s="125" t="str">
        <f t="array" ref="J197">IFERROR(INDEX(All_User_backup!D:D,MATCH(D197,All_User_backup!H:H,0)),"없음")</f>
        <v>andrew.ahn@stryker.com</v>
      </c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  <c r="AD197" s="125"/>
      <c r="AE197" s="125"/>
      <c r="AF197" s="125"/>
      <c r="AG197" s="125"/>
      <c r="AH197" s="125"/>
      <c r="AI197" s="125"/>
      <c r="AJ197" s="125"/>
      <c r="AK197" s="125"/>
      <c r="AL197" s="125"/>
      <c r="AM197" s="125"/>
      <c r="AN197" s="125"/>
      <c r="AO197" s="125"/>
      <c r="AP197" s="125"/>
      <c r="AQ197" s="125"/>
      <c r="AR197" s="125"/>
      <c r="AS197" s="125"/>
      <c r="AT197" s="125"/>
      <c r="AU197" s="125"/>
      <c r="AV197" s="125"/>
      <c r="AW197" s="125"/>
      <c r="AX197" s="125"/>
      <c r="AY197" s="125"/>
      <c r="AZ197" s="125"/>
      <c r="BA197" s="125"/>
      <c r="BB197" s="125"/>
      <c r="BC197" s="125"/>
      <c r="BD197" s="125"/>
      <c r="BE197" s="125"/>
      <c r="BF197" s="125"/>
    </row>
    <row r="198">
      <c r="A198" s="126" t="s">
        <v>1147</v>
      </c>
      <c r="B198" s="126" t="s">
        <v>913</v>
      </c>
      <c r="C198" s="178" t="s">
        <v>1343</v>
      </c>
      <c r="D198" s="126" t="s">
        <v>1344</v>
      </c>
      <c r="E198" s="148" t="s">
        <v>1258</v>
      </c>
      <c r="F198" s="126" t="s">
        <v>20</v>
      </c>
      <c r="G198" s="131" t="s">
        <v>1345</v>
      </c>
      <c r="H198" s="129" t="s">
        <v>128</v>
      </c>
      <c r="I198" s="134"/>
      <c r="J198" s="125" t="str">
        <f t="array" ref="J198">IFERROR(INDEX(All_User_backup!D:D,MATCH(D198,All_User_backup!H:H,0)),"없음")</f>
        <v>kyu.choi@stryker.com</v>
      </c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  <c r="AD198" s="125"/>
      <c r="AE198" s="125"/>
      <c r="AF198" s="125"/>
      <c r="AG198" s="125"/>
      <c r="AH198" s="125"/>
      <c r="AI198" s="125"/>
      <c r="AJ198" s="125"/>
      <c r="AK198" s="125"/>
      <c r="AL198" s="125"/>
      <c r="AM198" s="125"/>
      <c r="AN198" s="125"/>
      <c r="AO198" s="125"/>
      <c r="AP198" s="125"/>
      <c r="AQ198" s="125"/>
      <c r="AR198" s="125"/>
      <c r="AS198" s="125"/>
      <c r="AT198" s="125"/>
      <c r="AU198" s="125"/>
      <c r="AV198" s="125"/>
      <c r="AW198" s="125"/>
      <c r="AX198" s="125"/>
      <c r="AY198" s="125"/>
      <c r="AZ198" s="125"/>
      <c r="BA198" s="125"/>
      <c r="BB198" s="125"/>
      <c r="BC198" s="125"/>
      <c r="BD198" s="125"/>
      <c r="BE198" s="125"/>
      <c r="BF198" s="125"/>
    </row>
    <row r="199">
      <c r="A199" s="126" t="s">
        <v>1147</v>
      </c>
      <c r="B199" s="126" t="s">
        <v>913</v>
      </c>
      <c r="C199" s="178" t="s">
        <v>1346</v>
      </c>
      <c r="D199" s="126" t="s">
        <v>1347</v>
      </c>
      <c r="E199" s="148" t="s">
        <v>1258</v>
      </c>
      <c r="F199" s="126" t="s">
        <v>1348</v>
      </c>
      <c r="G199" s="131" t="s">
        <v>403</v>
      </c>
      <c r="H199" s="139" t="s">
        <v>1349</v>
      </c>
      <c r="I199" s="134"/>
      <c r="J199" s="125" t="str">
        <f t="array" ref="J199">IFERROR(INDEX(All_User_backup!D:D,MATCH(D199,All_User_backup!H:H,0)),"없음")</f>
        <v>james.kim@stryker.com</v>
      </c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  <c r="AD199" s="125"/>
      <c r="AE199" s="125"/>
      <c r="AF199" s="125"/>
      <c r="AG199" s="125"/>
      <c r="AH199" s="125"/>
      <c r="AI199" s="125"/>
      <c r="AJ199" s="125"/>
      <c r="AK199" s="125"/>
      <c r="AL199" s="125"/>
      <c r="AM199" s="125"/>
      <c r="AN199" s="125"/>
      <c r="AO199" s="125"/>
      <c r="AP199" s="125"/>
      <c r="AQ199" s="125"/>
      <c r="AR199" s="125"/>
      <c r="AS199" s="125"/>
      <c r="AT199" s="125"/>
      <c r="AU199" s="125"/>
      <c r="AV199" s="125"/>
      <c r="AW199" s="125"/>
      <c r="AX199" s="125"/>
      <c r="AY199" s="125"/>
      <c r="AZ199" s="125"/>
      <c r="BA199" s="125"/>
      <c r="BB199" s="125"/>
      <c r="BC199" s="125"/>
      <c r="BD199" s="125"/>
      <c r="BE199" s="125"/>
      <c r="BF199" s="125"/>
    </row>
    <row r="200">
      <c r="A200" s="126" t="s">
        <v>1147</v>
      </c>
      <c r="B200" s="126" t="s">
        <v>913</v>
      </c>
      <c r="C200" s="178" t="s">
        <v>1350</v>
      </c>
      <c r="D200" s="126" t="s">
        <v>1351</v>
      </c>
      <c r="E200" s="148" t="s">
        <v>1258</v>
      </c>
      <c r="F200" s="126" t="s">
        <v>202</v>
      </c>
      <c r="G200" s="131" t="s">
        <v>821</v>
      </c>
      <c r="H200" s="139" t="s">
        <v>1352</v>
      </c>
      <c r="I200" s="134"/>
      <c r="J200" s="125" t="str">
        <f t="array" ref="J200">IFERROR(INDEX(All_User_backup!D:D,MATCH(D200,All_User_backup!H:H,0)),"없음")</f>
        <v>sally.choi@stryker.com</v>
      </c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  <c r="AD200" s="125"/>
      <c r="AE200" s="125"/>
      <c r="AF200" s="125"/>
      <c r="AG200" s="125"/>
      <c r="AH200" s="125"/>
      <c r="AI200" s="125"/>
      <c r="AJ200" s="125"/>
      <c r="AK200" s="125"/>
      <c r="AL200" s="125"/>
      <c r="AM200" s="125"/>
      <c r="AN200" s="125"/>
      <c r="AO200" s="125"/>
      <c r="AP200" s="125"/>
      <c r="AQ200" s="125"/>
      <c r="AR200" s="125"/>
      <c r="AS200" s="125"/>
      <c r="AT200" s="125"/>
      <c r="AU200" s="125"/>
      <c r="AV200" s="125"/>
      <c r="AW200" s="125"/>
      <c r="AX200" s="125"/>
      <c r="AY200" s="125"/>
      <c r="AZ200" s="125"/>
      <c r="BA200" s="125"/>
      <c r="BB200" s="125"/>
      <c r="BC200" s="125"/>
      <c r="BD200" s="125"/>
      <c r="BE200" s="125"/>
      <c r="BF200" s="125"/>
    </row>
    <row r="201">
      <c r="A201" s="126" t="s">
        <v>1147</v>
      </c>
      <c r="B201" s="126" t="s">
        <v>913</v>
      </c>
      <c r="C201" s="178" t="s">
        <v>1353</v>
      </c>
      <c r="D201" s="126" t="s">
        <v>1354</v>
      </c>
      <c r="E201" s="148" t="s">
        <v>1258</v>
      </c>
      <c r="F201" s="126" t="s">
        <v>62</v>
      </c>
      <c r="G201" s="184" t="s">
        <v>610</v>
      </c>
      <c r="H201" s="184" t="s">
        <v>612</v>
      </c>
      <c r="I201" s="134"/>
      <c r="J201" s="125" t="str">
        <f t="array" ref="J201">IFERROR(INDEX(All_User_backup!D:D,MATCH(D201,All_User_backup!H:H,0)),"없음")</f>
        <v>yj.seo@stryker.com</v>
      </c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  <c r="AD201" s="125"/>
      <c r="AE201" s="125"/>
      <c r="AF201" s="125"/>
      <c r="AG201" s="125"/>
      <c r="AH201" s="125"/>
      <c r="AI201" s="125"/>
      <c r="AJ201" s="125"/>
      <c r="AK201" s="125"/>
      <c r="AL201" s="125"/>
      <c r="AM201" s="125"/>
      <c r="AN201" s="125"/>
      <c r="AO201" s="125"/>
      <c r="AP201" s="125"/>
      <c r="AQ201" s="125"/>
      <c r="AR201" s="125"/>
      <c r="AS201" s="125"/>
      <c r="AT201" s="125"/>
      <c r="AU201" s="125"/>
      <c r="AV201" s="125"/>
      <c r="AW201" s="125"/>
      <c r="AX201" s="125"/>
      <c r="AY201" s="125"/>
      <c r="AZ201" s="125"/>
      <c r="BA201" s="125"/>
      <c r="BB201" s="125"/>
      <c r="BC201" s="125"/>
      <c r="BD201" s="125"/>
      <c r="BE201" s="125"/>
      <c r="BF201" s="125"/>
    </row>
    <row r="202">
      <c r="A202" s="126" t="s">
        <v>1147</v>
      </c>
      <c r="B202" s="126" t="s">
        <v>913</v>
      </c>
      <c r="C202" s="178" t="s">
        <v>1355</v>
      </c>
      <c r="D202" s="126" t="s">
        <v>1356</v>
      </c>
      <c r="E202" s="148" t="s">
        <v>1258</v>
      </c>
      <c r="F202" s="126" t="s">
        <v>27</v>
      </c>
      <c r="G202" s="131" t="s">
        <v>1357</v>
      </c>
      <c r="H202" s="139" t="s">
        <v>1358</v>
      </c>
      <c r="I202" s="134"/>
      <c r="J202" s="125" t="str">
        <f t="array" ref="J202">IFERROR(INDEX(All_User_backup!D:D,MATCH(D202,All_User_backup!H:H,0)),"없음")</f>
        <v>bryan.park@stryker.com</v>
      </c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  <c r="AD202" s="125"/>
      <c r="AE202" s="125"/>
      <c r="AF202" s="125"/>
      <c r="AG202" s="125"/>
      <c r="AH202" s="125"/>
      <c r="AI202" s="125"/>
      <c r="AJ202" s="125"/>
      <c r="AK202" s="125"/>
      <c r="AL202" s="125"/>
      <c r="AM202" s="125"/>
      <c r="AN202" s="125"/>
      <c r="AO202" s="125"/>
      <c r="AP202" s="125"/>
      <c r="AQ202" s="125"/>
      <c r="AR202" s="125"/>
      <c r="AS202" s="125"/>
      <c r="AT202" s="125"/>
      <c r="AU202" s="125"/>
      <c r="AV202" s="125"/>
      <c r="AW202" s="125"/>
      <c r="AX202" s="125"/>
      <c r="AY202" s="125"/>
      <c r="AZ202" s="125"/>
      <c r="BA202" s="125"/>
      <c r="BB202" s="125"/>
      <c r="BC202" s="125"/>
      <c r="BD202" s="125"/>
      <c r="BE202" s="125"/>
      <c r="BF202" s="125"/>
    </row>
    <row r="203">
      <c r="A203" s="126" t="s">
        <v>1147</v>
      </c>
      <c r="B203" s="126" t="s">
        <v>913</v>
      </c>
      <c r="C203" s="178" t="s">
        <v>1359</v>
      </c>
      <c r="D203" s="126" t="s">
        <v>1360</v>
      </c>
      <c r="E203" s="148" t="s">
        <v>1258</v>
      </c>
      <c r="F203" s="126" t="s">
        <v>750</v>
      </c>
      <c r="G203" s="131" t="s">
        <v>801</v>
      </c>
      <c r="H203" s="139" t="s">
        <v>1361</v>
      </c>
      <c r="I203" s="134"/>
      <c r="J203" s="125" t="str">
        <f t="array" ref="J203">IFERROR(INDEX(All_User_backup!D:D,MATCH(D203,All_User_backup!H:H,0)),"없음")</f>
        <v>kit.ym@stryker.com</v>
      </c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  <c r="AD203" s="125"/>
      <c r="AE203" s="125"/>
      <c r="AF203" s="125"/>
      <c r="AG203" s="125"/>
      <c r="AH203" s="125"/>
      <c r="AI203" s="125"/>
      <c r="AJ203" s="125"/>
      <c r="AK203" s="125"/>
      <c r="AL203" s="125"/>
      <c r="AM203" s="125"/>
      <c r="AN203" s="125"/>
      <c r="AO203" s="125"/>
      <c r="AP203" s="125"/>
      <c r="AQ203" s="125"/>
      <c r="AR203" s="125"/>
      <c r="AS203" s="125"/>
      <c r="AT203" s="125"/>
      <c r="AU203" s="125"/>
      <c r="AV203" s="125"/>
      <c r="AW203" s="125"/>
      <c r="AX203" s="125"/>
      <c r="AY203" s="125"/>
      <c r="AZ203" s="125"/>
      <c r="BA203" s="125"/>
      <c r="BB203" s="125"/>
      <c r="BC203" s="125"/>
      <c r="BD203" s="125"/>
      <c r="BE203" s="125"/>
      <c r="BF203" s="125"/>
    </row>
    <row r="204">
      <c r="A204" s="126" t="s">
        <v>1147</v>
      </c>
      <c r="B204" s="126" t="s">
        <v>913</v>
      </c>
      <c r="C204" s="178" t="s">
        <v>1362</v>
      </c>
      <c r="D204" s="126" t="s">
        <v>1363</v>
      </c>
      <c r="E204" s="148" t="s">
        <v>1258</v>
      </c>
      <c r="F204" s="126" t="s">
        <v>750</v>
      </c>
      <c r="G204" s="131" t="s">
        <v>803</v>
      </c>
      <c r="H204" s="139" t="s">
        <v>1364</v>
      </c>
      <c r="I204" s="134"/>
      <c r="J204" s="125" t="str">
        <f t="array" ref="J204">IFERROR(INDEX(All_User_backup!D:D,MATCH(D204,All_User_backup!H:H,0)),"없음")</f>
        <v>grn.ym@stryker.com</v>
      </c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  <c r="AD204" s="125"/>
      <c r="AE204" s="125"/>
      <c r="AF204" s="125"/>
      <c r="AG204" s="125"/>
      <c r="AH204" s="125"/>
      <c r="AI204" s="125"/>
      <c r="AJ204" s="125"/>
      <c r="AK204" s="125"/>
      <c r="AL204" s="125"/>
      <c r="AM204" s="125"/>
      <c r="AN204" s="125"/>
      <c r="AO204" s="125"/>
      <c r="AP204" s="125"/>
      <c r="AQ204" s="125"/>
      <c r="AR204" s="125"/>
      <c r="AS204" s="125"/>
      <c r="AT204" s="125"/>
      <c r="AU204" s="125"/>
      <c r="AV204" s="125"/>
      <c r="AW204" s="125"/>
      <c r="AX204" s="125"/>
      <c r="AY204" s="125"/>
      <c r="AZ204" s="125"/>
      <c r="BA204" s="125"/>
      <c r="BB204" s="125"/>
      <c r="BC204" s="125"/>
      <c r="BD204" s="125"/>
      <c r="BE204" s="125"/>
      <c r="BF204" s="125"/>
    </row>
    <row r="205">
      <c r="A205" s="126" t="s">
        <v>1147</v>
      </c>
      <c r="B205" s="126" t="s">
        <v>913</v>
      </c>
      <c r="C205" s="178" t="s">
        <v>1365</v>
      </c>
      <c r="D205" s="126" t="s">
        <v>1366</v>
      </c>
      <c r="E205" s="148" t="s">
        <v>1258</v>
      </c>
      <c r="F205" s="126" t="s">
        <v>750</v>
      </c>
      <c r="G205" s="131" t="s">
        <v>805</v>
      </c>
      <c r="H205" s="139" t="s">
        <v>1367</v>
      </c>
      <c r="J205" s="125" t="str">
        <f t="array" ref="J205">IFERROR(INDEX(All_User_backup!D:D,MATCH(D205,All_User_backup!H:H,0)),"없음")</f>
        <v>fixation.ym@stryker.com</v>
      </c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  <c r="AD205" s="125"/>
      <c r="AE205" s="125"/>
      <c r="AF205" s="125"/>
      <c r="AG205" s="125"/>
      <c r="AH205" s="125"/>
      <c r="AI205" s="125"/>
      <c r="AJ205" s="125"/>
      <c r="AK205" s="125"/>
      <c r="AL205" s="125"/>
      <c r="AM205" s="125"/>
      <c r="AN205" s="125"/>
      <c r="AO205" s="125"/>
      <c r="AP205" s="125"/>
      <c r="AQ205" s="125"/>
      <c r="AR205" s="125"/>
      <c r="AS205" s="125"/>
      <c r="AT205" s="125"/>
      <c r="AU205" s="125"/>
      <c r="AV205" s="125"/>
      <c r="AW205" s="125"/>
      <c r="AX205" s="125"/>
      <c r="AY205" s="125"/>
      <c r="AZ205" s="125"/>
      <c r="BA205" s="125"/>
      <c r="BB205" s="125"/>
      <c r="BC205" s="125"/>
      <c r="BD205" s="125"/>
      <c r="BE205" s="125"/>
      <c r="BF205" s="125"/>
    </row>
    <row r="206">
      <c r="A206" s="126" t="s">
        <v>1147</v>
      </c>
      <c r="B206" s="126" t="s">
        <v>913</v>
      </c>
      <c r="C206" s="178" t="s">
        <v>1368</v>
      </c>
      <c r="D206" s="126" t="s">
        <v>1369</v>
      </c>
      <c r="E206" s="148" t="s">
        <v>1258</v>
      </c>
      <c r="F206" s="136" t="s">
        <v>940</v>
      </c>
      <c r="G206" s="129" t="s">
        <v>163</v>
      </c>
      <c r="H206" s="139" t="s">
        <v>1370</v>
      </c>
      <c r="I206" s="134"/>
      <c r="J206" s="125" t="str">
        <f t="array" ref="J206">IFERROR(INDEX(All_User_backup!D:D,MATCH(D206,All_User_backup!H:H,0)),"없음")</f>
        <v>alice.han@stryker.com</v>
      </c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  <c r="AD206" s="125"/>
      <c r="AE206" s="125"/>
      <c r="AF206" s="125"/>
      <c r="AG206" s="125"/>
      <c r="AH206" s="125"/>
      <c r="AI206" s="125"/>
      <c r="AJ206" s="125"/>
      <c r="AK206" s="125"/>
      <c r="AL206" s="125"/>
      <c r="AM206" s="125"/>
      <c r="AN206" s="125"/>
      <c r="AO206" s="125"/>
      <c r="AP206" s="125"/>
      <c r="AQ206" s="125"/>
      <c r="AR206" s="125"/>
      <c r="AS206" s="125"/>
      <c r="AT206" s="125"/>
      <c r="AU206" s="125"/>
      <c r="AV206" s="125"/>
      <c r="AW206" s="125"/>
      <c r="AX206" s="125"/>
      <c r="AY206" s="125"/>
      <c r="AZ206" s="125"/>
      <c r="BA206" s="125"/>
      <c r="BB206" s="125"/>
      <c r="BC206" s="125"/>
      <c r="BD206" s="125"/>
      <c r="BE206" s="125"/>
      <c r="BF206" s="125"/>
    </row>
    <row r="207">
      <c r="A207" s="126" t="s">
        <v>1147</v>
      </c>
      <c r="B207" s="126" t="s">
        <v>913</v>
      </c>
      <c r="C207" s="178" t="s">
        <v>1371</v>
      </c>
      <c r="D207" s="126" t="s">
        <v>1372</v>
      </c>
      <c r="E207" s="148" t="s">
        <v>1258</v>
      </c>
      <c r="F207" s="126" t="s">
        <v>35</v>
      </c>
      <c r="G207" s="131" t="s">
        <v>1373</v>
      </c>
      <c r="H207" s="139" t="s">
        <v>1374</v>
      </c>
      <c r="I207" s="134"/>
      <c r="J207" s="125" t="str">
        <f t="array" ref="J207">IFERROR(INDEX(All_User_backup!D:D,MATCH(D207,All_User_backup!H:H,0)),"없음")</f>
        <v>Huey.Sim@stryker.com</v>
      </c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  <c r="AD207" s="125"/>
      <c r="AE207" s="125"/>
      <c r="AF207" s="125"/>
      <c r="AG207" s="125"/>
      <c r="AH207" s="125"/>
      <c r="AI207" s="125"/>
      <c r="AJ207" s="125"/>
      <c r="AK207" s="125"/>
      <c r="AL207" s="125"/>
      <c r="AM207" s="125"/>
      <c r="AN207" s="125"/>
      <c r="AO207" s="125"/>
      <c r="AP207" s="125"/>
      <c r="AQ207" s="125"/>
      <c r="AR207" s="125"/>
      <c r="AS207" s="125"/>
      <c r="AT207" s="125"/>
      <c r="AU207" s="125"/>
      <c r="AV207" s="125"/>
      <c r="AW207" s="125"/>
      <c r="AX207" s="125"/>
      <c r="AY207" s="125"/>
      <c r="AZ207" s="125"/>
      <c r="BA207" s="125"/>
      <c r="BB207" s="125"/>
      <c r="BC207" s="125"/>
      <c r="BD207" s="125"/>
      <c r="BE207" s="125"/>
      <c r="BF207" s="125"/>
    </row>
    <row r="208">
      <c r="A208" s="126" t="s">
        <v>1147</v>
      </c>
      <c r="B208" s="126" t="s">
        <v>913</v>
      </c>
      <c r="C208" s="178" t="s">
        <v>1375</v>
      </c>
      <c r="D208" s="126" t="s">
        <v>1376</v>
      </c>
      <c r="E208" s="148" t="s">
        <v>1258</v>
      </c>
      <c r="F208" s="126" t="s">
        <v>295</v>
      </c>
      <c r="G208" s="131" t="s">
        <v>291</v>
      </c>
      <c r="H208" s="131" t="s">
        <v>293</v>
      </c>
      <c r="I208" s="134"/>
      <c r="J208" s="125" t="str">
        <f t="array" ref="J208">IFERROR(INDEX(All_User_backup!D:D,MATCH(D208,All_User_backup!H:H,0)),"없음")</f>
        <v>chloe.kang@stryker.com</v>
      </c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  <c r="AD208" s="125"/>
      <c r="AE208" s="125"/>
      <c r="AF208" s="125"/>
      <c r="AG208" s="125"/>
      <c r="AH208" s="125"/>
      <c r="AI208" s="125"/>
      <c r="AJ208" s="125"/>
      <c r="AK208" s="125"/>
      <c r="AL208" s="125"/>
      <c r="AM208" s="125"/>
      <c r="AN208" s="125"/>
      <c r="AO208" s="125"/>
      <c r="AP208" s="125"/>
      <c r="AQ208" s="125"/>
      <c r="AR208" s="125"/>
      <c r="AS208" s="125"/>
      <c r="AT208" s="125"/>
      <c r="AU208" s="125"/>
      <c r="AV208" s="125"/>
      <c r="AW208" s="125"/>
      <c r="AX208" s="125"/>
      <c r="AY208" s="125"/>
      <c r="AZ208" s="125"/>
      <c r="BA208" s="125"/>
      <c r="BB208" s="125"/>
      <c r="BC208" s="125"/>
      <c r="BD208" s="125"/>
      <c r="BE208" s="125"/>
      <c r="BF208" s="125"/>
    </row>
    <row r="209">
      <c r="A209" s="126" t="s">
        <v>1377</v>
      </c>
      <c r="B209" s="126" t="s">
        <v>913</v>
      </c>
      <c r="C209" s="185" t="s">
        <v>1378</v>
      </c>
      <c r="D209" s="126" t="s">
        <v>1379</v>
      </c>
      <c r="E209" s="148" t="s">
        <v>1380</v>
      </c>
      <c r="F209" s="126" t="s">
        <v>671</v>
      </c>
      <c r="G209" s="131" t="s">
        <v>667</v>
      </c>
      <c r="H209" s="126" t="s">
        <v>669</v>
      </c>
      <c r="I209" s="126"/>
      <c r="J209" s="125" t="str">
        <f t="array" ref="J209">IFERROR(INDEX(All_User_backup!D:D,MATCH(D209,All_User_backup!H:H,0)),"없음")</f>
        <v>jun.song@stryker.com</v>
      </c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  <c r="AD209" s="125"/>
      <c r="AE209" s="125"/>
      <c r="AF209" s="125"/>
      <c r="AG209" s="125"/>
      <c r="AH209" s="125"/>
      <c r="AI209" s="125"/>
      <c r="AJ209" s="125"/>
      <c r="AK209" s="125"/>
      <c r="AL209" s="125"/>
      <c r="AM209" s="125"/>
      <c r="AN209" s="125"/>
      <c r="AO209" s="125"/>
      <c r="AP209" s="125"/>
      <c r="AQ209" s="125"/>
      <c r="AR209" s="125"/>
      <c r="AS209" s="125"/>
      <c r="AT209" s="125"/>
      <c r="AU209" s="125"/>
      <c r="AV209" s="125"/>
      <c r="AW209" s="125"/>
      <c r="AX209" s="125"/>
      <c r="AY209" s="125"/>
      <c r="AZ209" s="125"/>
      <c r="BA209" s="125"/>
      <c r="BB209" s="125"/>
      <c r="BC209" s="125"/>
      <c r="BD209" s="125"/>
      <c r="BE209" s="125"/>
      <c r="BF209" s="125"/>
    </row>
    <row r="210">
      <c r="A210" s="126" t="s">
        <v>1377</v>
      </c>
      <c r="B210" s="126" t="s">
        <v>913</v>
      </c>
      <c r="C210" s="185" t="s">
        <v>1381</v>
      </c>
      <c r="D210" s="126" t="s">
        <v>1382</v>
      </c>
      <c r="E210" s="148" t="s">
        <v>1380</v>
      </c>
      <c r="F210" s="186" t="s">
        <v>104</v>
      </c>
      <c r="G210" s="131" t="s">
        <v>515</v>
      </c>
      <c r="H210" s="187" t="s">
        <v>517</v>
      </c>
      <c r="I210" s="126" t="s">
        <v>1383</v>
      </c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  <c r="AD210" s="125"/>
      <c r="AE210" s="125"/>
      <c r="AF210" s="125"/>
      <c r="AG210" s="125"/>
      <c r="AH210" s="125"/>
      <c r="AI210" s="125"/>
      <c r="AJ210" s="125"/>
      <c r="AK210" s="125"/>
      <c r="AL210" s="125"/>
      <c r="AM210" s="125"/>
      <c r="AN210" s="125"/>
      <c r="AO210" s="125"/>
      <c r="AP210" s="125"/>
      <c r="AQ210" s="125"/>
      <c r="AR210" s="125"/>
      <c r="AS210" s="125"/>
      <c r="AT210" s="125"/>
      <c r="AU210" s="125"/>
      <c r="AV210" s="125"/>
      <c r="AW210" s="125"/>
      <c r="AX210" s="125"/>
      <c r="AY210" s="125"/>
      <c r="AZ210" s="125"/>
      <c r="BA210" s="125"/>
      <c r="BB210" s="125"/>
      <c r="BC210" s="125"/>
      <c r="BD210" s="125"/>
      <c r="BE210" s="125"/>
      <c r="BF210" s="125"/>
    </row>
    <row r="211">
      <c r="A211" s="126" t="s">
        <v>1377</v>
      </c>
      <c r="B211" s="126" t="s">
        <v>913</v>
      </c>
      <c r="C211" s="185" t="s">
        <v>1384</v>
      </c>
      <c r="D211" s="126" t="s">
        <v>1385</v>
      </c>
      <c r="E211" s="148" t="s">
        <v>1380</v>
      </c>
      <c r="F211" s="126" t="s">
        <v>62</v>
      </c>
      <c r="G211" s="131" t="s">
        <v>1386</v>
      </c>
      <c r="H211" s="126" t="s">
        <v>484</v>
      </c>
      <c r="I211" s="126" t="s">
        <v>1387</v>
      </c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  <c r="AD211" s="125"/>
      <c r="AE211" s="125"/>
      <c r="AF211" s="125"/>
      <c r="AG211" s="125"/>
      <c r="AH211" s="125"/>
      <c r="AI211" s="125"/>
      <c r="AJ211" s="125"/>
      <c r="AK211" s="125"/>
      <c r="AL211" s="125"/>
      <c r="AM211" s="125"/>
      <c r="AN211" s="125"/>
      <c r="AO211" s="125"/>
      <c r="AP211" s="125"/>
      <c r="AQ211" s="125"/>
      <c r="AR211" s="125"/>
      <c r="AS211" s="125"/>
      <c r="AT211" s="125"/>
      <c r="AU211" s="125"/>
      <c r="AV211" s="125"/>
      <c r="AW211" s="125"/>
      <c r="AX211" s="125"/>
      <c r="AY211" s="125"/>
      <c r="AZ211" s="125"/>
      <c r="BA211" s="125"/>
      <c r="BB211" s="125"/>
      <c r="BC211" s="125"/>
      <c r="BD211" s="125"/>
      <c r="BE211" s="125"/>
      <c r="BF211" s="125"/>
    </row>
    <row r="212">
      <c r="A212" s="126" t="s">
        <v>1377</v>
      </c>
      <c r="B212" s="126" t="s">
        <v>913</v>
      </c>
      <c r="C212" s="185" t="s">
        <v>1388</v>
      </c>
      <c r="D212" s="126" t="s">
        <v>1389</v>
      </c>
      <c r="E212" s="148" t="s">
        <v>1380</v>
      </c>
      <c r="F212" s="126" t="s">
        <v>671</v>
      </c>
      <c r="G212" s="131" t="s">
        <v>916</v>
      </c>
      <c r="H212" s="162"/>
      <c r="I212" s="126" t="s">
        <v>1390</v>
      </c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  <c r="AD212" s="125"/>
      <c r="AE212" s="125"/>
      <c r="AF212" s="125"/>
      <c r="AG212" s="125"/>
      <c r="AH212" s="125"/>
      <c r="AI212" s="125"/>
      <c r="AJ212" s="125"/>
      <c r="AK212" s="125"/>
      <c r="AL212" s="125"/>
      <c r="AM212" s="125"/>
      <c r="AN212" s="125"/>
      <c r="AO212" s="125"/>
      <c r="AP212" s="125"/>
      <c r="AQ212" s="125"/>
      <c r="AR212" s="125"/>
      <c r="AS212" s="125"/>
      <c r="AT212" s="125"/>
      <c r="AU212" s="125"/>
      <c r="AV212" s="125"/>
      <c r="AW212" s="125"/>
      <c r="AX212" s="125"/>
      <c r="AY212" s="125"/>
      <c r="AZ212" s="125"/>
      <c r="BA212" s="125"/>
      <c r="BB212" s="125"/>
      <c r="BC212" s="125"/>
      <c r="BD212" s="125"/>
      <c r="BE212" s="125"/>
      <c r="BF212" s="125"/>
    </row>
    <row r="213">
      <c r="A213" s="126" t="s">
        <v>1377</v>
      </c>
      <c r="B213" s="126" t="s">
        <v>913</v>
      </c>
      <c r="C213" s="185" t="s">
        <v>1391</v>
      </c>
      <c r="D213" s="126" t="s">
        <v>1392</v>
      </c>
      <c r="E213" s="148" t="s">
        <v>1380</v>
      </c>
      <c r="F213" s="136" t="s">
        <v>940</v>
      </c>
      <c r="G213" s="131" t="s">
        <v>1393</v>
      </c>
      <c r="H213" s="126" t="s">
        <v>65</v>
      </c>
      <c r="I213" s="162"/>
      <c r="J213" s="125" t="str">
        <f t="array" ref="J213">IFERROR(INDEX(All_User_backup!D:D,MATCH(D213,All_User_backup!H:H,0)),"없음")</f>
        <v>alicia.bang@stryker.com</v>
      </c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  <c r="AD213" s="125"/>
      <c r="AE213" s="125"/>
      <c r="AF213" s="125"/>
      <c r="AG213" s="125"/>
      <c r="AH213" s="125"/>
      <c r="AI213" s="125"/>
      <c r="AJ213" s="125"/>
      <c r="AK213" s="125"/>
      <c r="AL213" s="125"/>
      <c r="AM213" s="125"/>
      <c r="AN213" s="125"/>
      <c r="AO213" s="125"/>
      <c r="AP213" s="125"/>
      <c r="AQ213" s="125"/>
      <c r="AR213" s="125"/>
      <c r="AS213" s="125"/>
      <c r="AT213" s="125"/>
      <c r="AU213" s="125"/>
      <c r="AV213" s="125"/>
      <c r="AW213" s="125"/>
      <c r="AX213" s="125"/>
      <c r="AY213" s="125"/>
      <c r="AZ213" s="125"/>
      <c r="BA213" s="125"/>
      <c r="BB213" s="125"/>
      <c r="BC213" s="125"/>
      <c r="BD213" s="125"/>
      <c r="BE213" s="125"/>
      <c r="BF213" s="125"/>
    </row>
    <row r="214">
      <c r="A214" s="126" t="s">
        <v>1377</v>
      </c>
      <c r="B214" s="126" t="s">
        <v>913</v>
      </c>
      <c r="C214" s="185" t="s">
        <v>1394</v>
      </c>
      <c r="D214" s="126" t="s">
        <v>1395</v>
      </c>
      <c r="E214" s="148" t="s">
        <v>1380</v>
      </c>
      <c r="F214" s="126" t="s">
        <v>104</v>
      </c>
      <c r="G214" s="131" t="s">
        <v>1396</v>
      </c>
      <c r="H214" s="126" t="s">
        <v>382</v>
      </c>
      <c r="I214" s="162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  <c r="AD214" s="125"/>
      <c r="AE214" s="125"/>
      <c r="AF214" s="125"/>
      <c r="AG214" s="125"/>
      <c r="AH214" s="125"/>
      <c r="AI214" s="125"/>
      <c r="AJ214" s="125"/>
      <c r="AK214" s="125"/>
      <c r="AL214" s="125"/>
      <c r="AM214" s="125"/>
      <c r="AN214" s="125"/>
      <c r="AO214" s="125"/>
      <c r="AP214" s="125"/>
      <c r="AQ214" s="125"/>
      <c r="AR214" s="125"/>
      <c r="AS214" s="125"/>
      <c r="AT214" s="125"/>
      <c r="AU214" s="125"/>
      <c r="AV214" s="125"/>
      <c r="AW214" s="125"/>
      <c r="AX214" s="125"/>
      <c r="AY214" s="125"/>
      <c r="AZ214" s="125"/>
      <c r="BA214" s="125"/>
      <c r="BB214" s="125"/>
      <c r="BC214" s="125"/>
      <c r="BD214" s="125"/>
      <c r="BE214" s="125"/>
      <c r="BF214" s="125"/>
    </row>
    <row r="215">
      <c r="A215" s="126" t="s">
        <v>1377</v>
      </c>
      <c r="B215" s="126" t="s">
        <v>913</v>
      </c>
      <c r="C215" s="185" t="s">
        <v>1397</v>
      </c>
      <c r="D215" s="126" t="s">
        <v>1398</v>
      </c>
      <c r="E215" s="148" t="s">
        <v>1380</v>
      </c>
      <c r="F215" s="126" t="s">
        <v>671</v>
      </c>
      <c r="G215" s="131" t="s">
        <v>916</v>
      </c>
      <c r="H215" s="162"/>
      <c r="I215" s="126" t="s">
        <v>1399</v>
      </c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  <c r="AD215" s="125"/>
      <c r="AE215" s="125"/>
      <c r="AF215" s="125"/>
      <c r="AG215" s="125"/>
      <c r="AH215" s="125"/>
      <c r="AI215" s="125"/>
      <c r="AJ215" s="125"/>
      <c r="AK215" s="125"/>
      <c r="AL215" s="125"/>
      <c r="AM215" s="125"/>
      <c r="AN215" s="125"/>
      <c r="AO215" s="125"/>
      <c r="AP215" s="125"/>
      <c r="AQ215" s="125"/>
      <c r="AR215" s="125"/>
      <c r="AS215" s="125"/>
      <c r="AT215" s="125"/>
      <c r="AU215" s="125"/>
      <c r="AV215" s="125"/>
      <c r="AW215" s="125"/>
      <c r="AX215" s="125"/>
      <c r="AY215" s="125"/>
      <c r="AZ215" s="125"/>
      <c r="BA215" s="125"/>
      <c r="BB215" s="125"/>
      <c r="BC215" s="125"/>
      <c r="BD215" s="125"/>
      <c r="BE215" s="125"/>
      <c r="BF215" s="125"/>
    </row>
    <row r="216">
      <c r="A216" s="126" t="s">
        <v>1377</v>
      </c>
      <c r="B216" s="126" t="s">
        <v>913</v>
      </c>
      <c r="C216" s="185" t="s">
        <v>1400</v>
      </c>
      <c r="D216" s="126" t="s">
        <v>1401</v>
      </c>
      <c r="E216" s="148" t="s">
        <v>1380</v>
      </c>
      <c r="F216" s="126" t="s">
        <v>77</v>
      </c>
      <c r="G216" s="131" t="s">
        <v>1402</v>
      </c>
      <c r="H216" s="136" t="s">
        <v>740</v>
      </c>
      <c r="I216" s="126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  <c r="AD216" s="125"/>
      <c r="AE216" s="125"/>
      <c r="AF216" s="125"/>
      <c r="AG216" s="125"/>
      <c r="AH216" s="125"/>
      <c r="AI216" s="125"/>
      <c r="AJ216" s="125"/>
      <c r="AK216" s="125"/>
      <c r="AL216" s="125"/>
      <c r="AM216" s="125"/>
      <c r="AN216" s="125"/>
      <c r="AO216" s="125"/>
      <c r="AP216" s="125"/>
      <c r="AQ216" s="125"/>
      <c r="AR216" s="125"/>
      <c r="AS216" s="125"/>
      <c r="AT216" s="125"/>
      <c r="AU216" s="125"/>
      <c r="AV216" s="125"/>
      <c r="AW216" s="125"/>
      <c r="AX216" s="125"/>
      <c r="AY216" s="125"/>
      <c r="AZ216" s="125"/>
      <c r="BA216" s="125"/>
      <c r="BB216" s="125"/>
      <c r="BC216" s="125"/>
      <c r="BD216" s="125"/>
      <c r="BE216" s="125"/>
      <c r="BF216" s="125"/>
    </row>
    <row r="217">
      <c r="A217" s="126" t="s">
        <v>1377</v>
      </c>
      <c r="B217" s="126" t="s">
        <v>913</v>
      </c>
      <c r="C217" s="185" t="s">
        <v>1403</v>
      </c>
      <c r="D217" s="126" t="s">
        <v>1404</v>
      </c>
      <c r="E217" s="148" t="s">
        <v>1380</v>
      </c>
      <c r="F217" s="126" t="s">
        <v>27</v>
      </c>
      <c r="G217" s="131" t="s">
        <v>1405</v>
      </c>
      <c r="H217" s="136" t="s">
        <v>545</v>
      </c>
      <c r="I217" s="126"/>
      <c r="J217" s="125" t="str">
        <f t="array" ref="J217">IFERROR(INDEX(All_User_backup!D:D,MATCH(D217,All_User_backup!H:H,0)),"없음")</f>
        <v>jy.park@stryker.com</v>
      </c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  <c r="AD217" s="125"/>
      <c r="AE217" s="125"/>
      <c r="AF217" s="125"/>
      <c r="AG217" s="125"/>
      <c r="AH217" s="125"/>
      <c r="AI217" s="125"/>
      <c r="AJ217" s="125"/>
      <c r="AK217" s="125"/>
      <c r="AL217" s="125"/>
      <c r="AM217" s="125"/>
      <c r="AN217" s="125"/>
      <c r="AO217" s="125"/>
      <c r="AP217" s="125"/>
      <c r="AQ217" s="125"/>
      <c r="AR217" s="125"/>
      <c r="AS217" s="125"/>
      <c r="AT217" s="125"/>
      <c r="AU217" s="125"/>
      <c r="AV217" s="125"/>
      <c r="AW217" s="125"/>
      <c r="AX217" s="125"/>
      <c r="AY217" s="125"/>
      <c r="AZ217" s="125"/>
      <c r="BA217" s="125"/>
      <c r="BB217" s="125"/>
      <c r="BC217" s="125"/>
      <c r="BD217" s="125"/>
      <c r="BE217" s="125"/>
      <c r="BF217" s="125"/>
    </row>
    <row r="218">
      <c r="A218" s="126" t="s">
        <v>1377</v>
      </c>
      <c r="B218" s="126" t="s">
        <v>913</v>
      </c>
      <c r="C218" s="185" t="s">
        <v>1406</v>
      </c>
      <c r="D218" s="126" t="s">
        <v>1407</v>
      </c>
      <c r="E218" s="148" t="s">
        <v>1380</v>
      </c>
      <c r="F218" s="126" t="s">
        <v>62</v>
      </c>
      <c r="G218" s="131" t="s">
        <v>224</v>
      </c>
      <c r="H218" s="136" t="s">
        <v>226</v>
      </c>
      <c r="I218" s="126" t="s">
        <v>1408</v>
      </c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  <c r="AD218" s="125"/>
      <c r="AE218" s="125"/>
      <c r="AF218" s="125"/>
      <c r="AG218" s="125"/>
      <c r="AH218" s="125"/>
      <c r="AI218" s="125"/>
      <c r="AJ218" s="125"/>
      <c r="AK218" s="125"/>
      <c r="AL218" s="125"/>
      <c r="AM218" s="125"/>
      <c r="AN218" s="125"/>
      <c r="AO218" s="125"/>
      <c r="AP218" s="125"/>
      <c r="AQ218" s="125"/>
      <c r="AR218" s="125"/>
      <c r="AS218" s="125"/>
      <c r="AT218" s="125"/>
      <c r="AU218" s="125"/>
      <c r="AV218" s="125"/>
      <c r="AW218" s="125"/>
      <c r="AX218" s="125"/>
      <c r="AY218" s="125"/>
      <c r="AZ218" s="125"/>
      <c r="BA218" s="125"/>
      <c r="BB218" s="125"/>
      <c r="BC218" s="125"/>
      <c r="BD218" s="125"/>
      <c r="BE218" s="125"/>
      <c r="BF218" s="125"/>
    </row>
    <row r="219">
      <c r="A219" s="126" t="s">
        <v>1377</v>
      </c>
      <c r="B219" s="126" t="s">
        <v>913</v>
      </c>
      <c r="C219" s="185" t="s">
        <v>1409</v>
      </c>
      <c r="D219" s="126" t="s">
        <v>1410</v>
      </c>
      <c r="E219" s="148" t="s">
        <v>1380</v>
      </c>
      <c r="F219" s="126" t="s">
        <v>27</v>
      </c>
      <c r="G219" s="131" t="s">
        <v>859</v>
      </c>
      <c r="H219" s="136" t="s">
        <v>861</v>
      </c>
      <c r="I219" s="126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  <c r="AD219" s="125"/>
      <c r="AE219" s="125"/>
      <c r="AF219" s="125"/>
      <c r="AG219" s="125"/>
      <c r="AH219" s="125"/>
      <c r="AI219" s="125"/>
      <c r="AJ219" s="125"/>
      <c r="AK219" s="125"/>
      <c r="AL219" s="125"/>
      <c r="AM219" s="125"/>
      <c r="AN219" s="125"/>
      <c r="AO219" s="125"/>
      <c r="AP219" s="125"/>
      <c r="AQ219" s="125"/>
      <c r="AR219" s="125"/>
      <c r="AS219" s="125"/>
      <c r="AT219" s="125"/>
      <c r="AU219" s="125"/>
      <c r="AV219" s="125"/>
      <c r="AW219" s="125"/>
      <c r="AX219" s="125"/>
      <c r="AY219" s="125"/>
      <c r="AZ219" s="125"/>
      <c r="BA219" s="125"/>
      <c r="BB219" s="125"/>
      <c r="BC219" s="125"/>
      <c r="BD219" s="125"/>
      <c r="BE219" s="125"/>
      <c r="BF219" s="125"/>
    </row>
    <row r="220">
      <c r="A220" s="126" t="s">
        <v>1377</v>
      </c>
      <c r="B220" s="126" t="s">
        <v>913</v>
      </c>
      <c r="C220" s="188"/>
      <c r="D220" s="126" t="s">
        <v>1411</v>
      </c>
      <c r="E220" s="148" t="s">
        <v>1380</v>
      </c>
      <c r="F220" s="126" t="s">
        <v>77</v>
      </c>
      <c r="G220" s="131" t="s">
        <v>863</v>
      </c>
      <c r="H220" s="126" t="s">
        <v>865</v>
      </c>
      <c r="I220" s="126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  <c r="AD220" s="125"/>
      <c r="AE220" s="125"/>
      <c r="AF220" s="125"/>
      <c r="AG220" s="125"/>
      <c r="AH220" s="125"/>
      <c r="AI220" s="125"/>
      <c r="AJ220" s="125"/>
      <c r="AK220" s="125"/>
      <c r="AL220" s="125"/>
      <c r="AM220" s="125"/>
      <c r="AN220" s="125"/>
      <c r="AO220" s="125"/>
      <c r="AP220" s="125"/>
      <c r="AQ220" s="125"/>
      <c r="AR220" s="125"/>
      <c r="AS220" s="125"/>
      <c r="AT220" s="125"/>
      <c r="AU220" s="125"/>
      <c r="AV220" s="125"/>
      <c r="AW220" s="125"/>
      <c r="AX220" s="125"/>
      <c r="AY220" s="125"/>
      <c r="AZ220" s="125"/>
      <c r="BA220" s="125"/>
      <c r="BB220" s="125"/>
      <c r="BC220" s="125"/>
      <c r="BD220" s="125"/>
      <c r="BE220" s="125"/>
      <c r="BF220" s="125"/>
    </row>
    <row r="221">
      <c r="A221" s="126" t="s">
        <v>1377</v>
      </c>
      <c r="B221" s="126" t="s">
        <v>913</v>
      </c>
      <c r="C221" s="188"/>
      <c r="D221" s="126" t="s">
        <v>1412</v>
      </c>
      <c r="E221" s="148" t="s">
        <v>1380</v>
      </c>
      <c r="F221" s="126" t="s">
        <v>671</v>
      </c>
      <c r="G221" s="131" t="s">
        <v>916</v>
      </c>
      <c r="H221" s="162"/>
      <c r="I221" s="126" t="s">
        <v>1413</v>
      </c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  <c r="AD221" s="125"/>
      <c r="AE221" s="125"/>
      <c r="AF221" s="125"/>
      <c r="AG221" s="125"/>
      <c r="AH221" s="125"/>
      <c r="AI221" s="125"/>
      <c r="AJ221" s="125"/>
      <c r="AK221" s="125"/>
      <c r="AL221" s="125"/>
      <c r="AM221" s="125"/>
      <c r="AN221" s="125"/>
      <c r="AO221" s="125"/>
      <c r="AP221" s="125"/>
      <c r="AQ221" s="125"/>
      <c r="AR221" s="125"/>
      <c r="AS221" s="125"/>
      <c r="AT221" s="125"/>
      <c r="AU221" s="125"/>
      <c r="AV221" s="125"/>
      <c r="AW221" s="125"/>
      <c r="AX221" s="125"/>
      <c r="AY221" s="125"/>
      <c r="AZ221" s="125"/>
      <c r="BA221" s="125"/>
      <c r="BB221" s="125"/>
      <c r="BC221" s="125"/>
      <c r="BD221" s="125"/>
      <c r="BE221" s="125"/>
      <c r="BF221" s="125"/>
    </row>
    <row r="222">
      <c r="A222" s="126" t="s">
        <v>1377</v>
      </c>
      <c r="B222" s="126" t="s">
        <v>913</v>
      </c>
      <c r="C222" s="185" t="s">
        <v>1414</v>
      </c>
      <c r="D222" s="126" t="s">
        <v>1415</v>
      </c>
      <c r="E222" s="148" t="s">
        <v>1380</v>
      </c>
      <c r="F222" s="126" t="s">
        <v>62</v>
      </c>
      <c r="G222" s="131" t="s">
        <v>561</v>
      </c>
      <c r="H222" s="126" t="s">
        <v>563</v>
      </c>
      <c r="I222" s="126" t="s">
        <v>1416</v>
      </c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  <c r="AD222" s="125"/>
      <c r="AE222" s="125"/>
      <c r="AF222" s="125"/>
      <c r="AG222" s="125"/>
      <c r="AH222" s="125"/>
      <c r="AI222" s="125"/>
      <c r="AJ222" s="125"/>
      <c r="AK222" s="125"/>
      <c r="AL222" s="125"/>
      <c r="AM222" s="125"/>
      <c r="AN222" s="125"/>
      <c r="AO222" s="125"/>
      <c r="AP222" s="125"/>
      <c r="AQ222" s="125"/>
      <c r="AR222" s="125"/>
      <c r="AS222" s="125"/>
      <c r="AT222" s="125"/>
      <c r="AU222" s="125"/>
      <c r="AV222" s="125"/>
      <c r="AW222" s="125"/>
      <c r="AX222" s="125"/>
      <c r="AY222" s="125"/>
      <c r="AZ222" s="125"/>
      <c r="BA222" s="125"/>
      <c r="BB222" s="125"/>
      <c r="BC222" s="125"/>
      <c r="BD222" s="125"/>
      <c r="BE222" s="125"/>
      <c r="BF222" s="125"/>
    </row>
    <row r="223">
      <c r="A223" s="126" t="s">
        <v>1377</v>
      </c>
      <c r="B223" s="126" t="s">
        <v>913</v>
      </c>
      <c r="C223" s="185" t="s">
        <v>1417</v>
      </c>
      <c r="D223" s="126" t="s">
        <v>1418</v>
      </c>
      <c r="E223" s="148" t="s">
        <v>1380</v>
      </c>
      <c r="F223" s="126" t="s">
        <v>882</v>
      </c>
      <c r="G223" s="131" t="s">
        <v>620</v>
      </c>
      <c r="H223" s="126" t="s">
        <v>622</v>
      </c>
      <c r="I223" s="126"/>
      <c r="J223" s="125" t="str">
        <f t="array" ref="J223">IFERROR(INDEX(All_User_backup!D:D,MATCH(D223,All_User_backup!H:H,0)),"없음")</f>
        <v>junghoon.seo@stryker.com</v>
      </c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  <c r="AD223" s="125"/>
      <c r="AE223" s="125"/>
      <c r="AF223" s="125"/>
      <c r="AG223" s="125"/>
      <c r="AH223" s="125"/>
      <c r="AI223" s="125"/>
      <c r="AJ223" s="125"/>
      <c r="AK223" s="125"/>
      <c r="AL223" s="125"/>
      <c r="AM223" s="125"/>
      <c r="AN223" s="125"/>
      <c r="AO223" s="125"/>
      <c r="AP223" s="125"/>
      <c r="AQ223" s="125"/>
      <c r="AR223" s="125"/>
      <c r="AS223" s="125"/>
      <c r="AT223" s="125"/>
      <c r="AU223" s="125"/>
      <c r="AV223" s="125"/>
      <c r="AW223" s="125"/>
      <c r="AX223" s="125"/>
      <c r="AY223" s="125"/>
      <c r="AZ223" s="125"/>
      <c r="BA223" s="125"/>
      <c r="BB223" s="125"/>
      <c r="BC223" s="125"/>
      <c r="BD223" s="125"/>
      <c r="BE223" s="125"/>
      <c r="BF223" s="125"/>
    </row>
    <row r="224">
      <c r="A224" s="126" t="s">
        <v>1377</v>
      </c>
      <c r="B224" s="126" t="s">
        <v>913</v>
      </c>
      <c r="C224" s="185" t="s">
        <v>1419</v>
      </c>
      <c r="D224" s="126" t="s">
        <v>1420</v>
      </c>
      <c r="E224" s="148" t="s">
        <v>1380</v>
      </c>
      <c r="F224" s="126" t="s">
        <v>671</v>
      </c>
      <c r="G224" s="131" t="s">
        <v>916</v>
      </c>
      <c r="H224" s="162"/>
      <c r="I224" s="126" t="s">
        <v>1421</v>
      </c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  <c r="AD224" s="125"/>
      <c r="AE224" s="125"/>
      <c r="AF224" s="125"/>
      <c r="AG224" s="125"/>
      <c r="AH224" s="125"/>
      <c r="AI224" s="125"/>
      <c r="AJ224" s="125"/>
      <c r="AK224" s="125"/>
      <c r="AL224" s="125"/>
      <c r="AM224" s="125"/>
      <c r="AN224" s="125"/>
      <c r="AO224" s="125"/>
      <c r="AP224" s="125"/>
      <c r="AQ224" s="125"/>
      <c r="AR224" s="125"/>
      <c r="AS224" s="125"/>
      <c r="AT224" s="125"/>
      <c r="AU224" s="125"/>
      <c r="AV224" s="125"/>
      <c r="AW224" s="125"/>
      <c r="AX224" s="125"/>
      <c r="AY224" s="125"/>
      <c r="AZ224" s="125"/>
      <c r="BA224" s="125"/>
      <c r="BB224" s="125"/>
      <c r="BC224" s="125"/>
      <c r="BD224" s="125"/>
      <c r="BE224" s="125"/>
      <c r="BF224" s="125"/>
    </row>
    <row r="225">
      <c r="A225" s="126" t="s">
        <v>1377</v>
      </c>
      <c r="B225" s="126" t="s">
        <v>913</v>
      </c>
      <c r="C225" s="185" t="s">
        <v>1422</v>
      </c>
      <c r="D225" s="126" t="s">
        <v>1423</v>
      </c>
      <c r="E225" s="148" t="s">
        <v>1380</v>
      </c>
      <c r="F225" s="126" t="s">
        <v>41</v>
      </c>
      <c r="G225" s="131" t="s">
        <v>506</v>
      </c>
      <c r="H225" s="126" t="s">
        <v>508</v>
      </c>
      <c r="I225" s="126" t="s">
        <v>1424</v>
      </c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  <c r="AD225" s="125"/>
      <c r="AE225" s="125"/>
      <c r="AF225" s="125"/>
      <c r="AG225" s="125"/>
      <c r="AH225" s="125"/>
      <c r="AI225" s="125"/>
      <c r="AJ225" s="125"/>
      <c r="AK225" s="125"/>
      <c r="AL225" s="125"/>
      <c r="AM225" s="125"/>
      <c r="AN225" s="125"/>
      <c r="AO225" s="125"/>
      <c r="AP225" s="125"/>
      <c r="AQ225" s="125"/>
      <c r="AR225" s="125"/>
      <c r="AS225" s="125"/>
      <c r="AT225" s="125"/>
      <c r="AU225" s="125"/>
      <c r="AV225" s="125"/>
      <c r="AW225" s="125"/>
      <c r="AX225" s="125"/>
      <c r="AY225" s="125"/>
      <c r="AZ225" s="125"/>
      <c r="BA225" s="125"/>
      <c r="BB225" s="125"/>
      <c r="BC225" s="125"/>
      <c r="BD225" s="125"/>
      <c r="BE225" s="125"/>
      <c r="BF225" s="125"/>
    </row>
    <row r="226">
      <c r="A226" s="126" t="s">
        <v>1377</v>
      </c>
      <c r="B226" s="126" t="s">
        <v>913</v>
      </c>
      <c r="C226" s="185" t="s">
        <v>1425</v>
      </c>
      <c r="D226" s="126" t="s">
        <v>1426</v>
      </c>
      <c r="E226" s="148" t="s">
        <v>1380</v>
      </c>
      <c r="F226" s="126" t="s">
        <v>104</v>
      </c>
      <c r="G226" s="131" t="s">
        <v>448</v>
      </c>
      <c r="H226" s="126" t="s">
        <v>450</v>
      </c>
      <c r="I226" s="126" t="s">
        <v>1427</v>
      </c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  <c r="AD226" s="125"/>
      <c r="AE226" s="125"/>
      <c r="AF226" s="125"/>
      <c r="AG226" s="125"/>
      <c r="AH226" s="125"/>
      <c r="AI226" s="125"/>
      <c r="AJ226" s="125"/>
      <c r="AK226" s="125"/>
      <c r="AL226" s="125"/>
      <c r="AM226" s="125"/>
      <c r="AN226" s="125"/>
      <c r="AO226" s="125"/>
      <c r="AP226" s="125"/>
      <c r="AQ226" s="125"/>
      <c r="AR226" s="125"/>
      <c r="AS226" s="125"/>
      <c r="AT226" s="125"/>
      <c r="AU226" s="125"/>
      <c r="AV226" s="125"/>
      <c r="AW226" s="125"/>
      <c r="AX226" s="125"/>
      <c r="AY226" s="125"/>
      <c r="AZ226" s="125"/>
      <c r="BA226" s="125"/>
      <c r="BB226" s="125"/>
      <c r="BC226" s="125"/>
      <c r="BD226" s="125"/>
      <c r="BE226" s="125"/>
      <c r="BF226" s="125"/>
    </row>
    <row r="227">
      <c r="A227" s="126" t="s">
        <v>1377</v>
      </c>
      <c r="B227" s="126" t="s">
        <v>913</v>
      </c>
      <c r="C227" s="185" t="s">
        <v>1428</v>
      </c>
      <c r="D227" s="126" t="s">
        <v>1429</v>
      </c>
      <c r="E227" s="148" t="s">
        <v>1380</v>
      </c>
      <c r="F227" s="126" t="s">
        <v>47</v>
      </c>
      <c r="G227" s="131" t="s">
        <v>1430</v>
      </c>
      <c r="H227" s="126" t="s">
        <v>113</v>
      </c>
      <c r="I227" s="162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  <c r="AD227" s="125"/>
      <c r="AE227" s="125"/>
      <c r="AF227" s="125"/>
      <c r="AG227" s="125"/>
      <c r="AH227" s="125"/>
      <c r="AI227" s="125"/>
      <c r="AJ227" s="125"/>
      <c r="AK227" s="125"/>
      <c r="AL227" s="125"/>
      <c r="AM227" s="125"/>
      <c r="AN227" s="125"/>
      <c r="AO227" s="125"/>
      <c r="AP227" s="125"/>
      <c r="AQ227" s="125"/>
      <c r="AR227" s="125"/>
      <c r="AS227" s="125"/>
      <c r="AT227" s="125"/>
      <c r="AU227" s="125"/>
      <c r="AV227" s="125"/>
      <c r="AW227" s="125"/>
      <c r="AX227" s="125"/>
      <c r="AY227" s="125"/>
      <c r="AZ227" s="125"/>
      <c r="BA227" s="125"/>
      <c r="BB227" s="125"/>
      <c r="BC227" s="125"/>
      <c r="BD227" s="125"/>
      <c r="BE227" s="125"/>
      <c r="BF227" s="125"/>
    </row>
    <row r="228">
      <c r="A228" s="126" t="s">
        <v>1377</v>
      </c>
      <c r="B228" s="126" t="s">
        <v>913</v>
      </c>
      <c r="C228" s="185" t="s">
        <v>1431</v>
      </c>
      <c r="D228" s="126" t="s">
        <v>1432</v>
      </c>
      <c r="E228" s="148" t="s">
        <v>1380</v>
      </c>
      <c r="F228" s="126" t="s">
        <v>104</v>
      </c>
      <c r="G228" s="131" t="s">
        <v>1433</v>
      </c>
      <c r="H228" s="126" t="s">
        <v>250</v>
      </c>
      <c r="I228" s="126" t="s">
        <v>1434</v>
      </c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  <c r="AD228" s="125"/>
      <c r="AE228" s="125"/>
      <c r="AF228" s="125"/>
      <c r="AG228" s="125"/>
      <c r="AH228" s="125"/>
      <c r="AI228" s="125"/>
      <c r="AJ228" s="125"/>
      <c r="AK228" s="125"/>
      <c r="AL228" s="125"/>
      <c r="AM228" s="125"/>
      <c r="AN228" s="125"/>
      <c r="AO228" s="125"/>
      <c r="AP228" s="125"/>
      <c r="AQ228" s="125"/>
      <c r="AR228" s="125"/>
      <c r="AS228" s="125"/>
      <c r="AT228" s="125"/>
      <c r="AU228" s="125"/>
      <c r="AV228" s="125"/>
      <c r="AW228" s="125"/>
      <c r="AX228" s="125"/>
      <c r="AY228" s="125"/>
      <c r="AZ228" s="125"/>
      <c r="BA228" s="125"/>
      <c r="BB228" s="125"/>
      <c r="BC228" s="125"/>
      <c r="BD228" s="125"/>
      <c r="BE228" s="125"/>
      <c r="BF228" s="125"/>
    </row>
    <row r="229">
      <c r="A229" s="126" t="s">
        <v>1377</v>
      </c>
      <c r="B229" s="126" t="s">
        <v>913</v>
      </c>
      <c r="C229" s="185" t="s">
        <v>1435</v>
      </c>
      <c r="D229" s="126" t="s">
        <v>1436</v>
      </c>
      <c r="E229" s="148" t="s">
        <v>1380</v>
      </c>
      <c r="F229" s="126" t="s">
        <v>671</v>
      </c>
      <c r="G229" s="131" t="s">
        <v>916</v>
      </c>
      <c r="H229" s="162"/>
      <c r="I229" s="126" t="s">
        <v>1437</v>
      </c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  <c r="AD229" s="125"/>
      <c r="AE229" s="125"/>
      <c r="AF229" s="125"/>
      <c r="AG229" s="125"/>
      <c r="AH229" s="125"/>
      <c r="AI229" s="125"/>
      <c r="AJ229" s="125"/>
      <c r="AK229" s="125"/>
      <c r="AL229" s="125"/>
      <c r="AM229" s="125"/>
      <c r="AN229" s="125"/>
      <c r="AO229" s="125"/>
      <c r="AP229" s="125"/>
      <c r="AQ229" s="125"/>
      <c r="AR229" s="125"/>
      <c r="AS229" s="125"/>
      <c r="AT229" s="125"/>
      <c r="AU229" s="125"/>
      <c r="AV229" s="125"/>
      <c r="AW229" s="125"/>
      <c r="AX229" s="125"/>
      <c r="AY229" s="125"/>
      <c r="AZ229" s="125"/>
      <c r="BA229" s="125"/>
      <c r="BB229" s="125"/>
      <c r="BC229" s="125"/>
      <c r="BD229" s="125"/>
      <c r="BE229" s="125"/>
      <c r="BF229" s="125"/>
    </row>
    <row r="230">
      <c r="A230" s="126" t="s">
        <v>1377</v>
      </c>
      <c r="B230" s="126" t="s">
        <v>913</v>
      </c>
      <c r="C230" s="185" t="s">
        <v>1438</v>
      </c>
      <c r="D230" s="126" t="s">
        <v>1439</v>
      </c>
      <c r="E230" s="148" t="s">
        <v>1380</v>
      </c>
      <c r="F230" s="126" t="s">
        <v>671</v>
      </c>
      <c r="G230" s="131" t="s">
        <v>916</v>
      </c>
      <c r="H230" s="162"/>
      <c r="I230" s="126" t="s">
        <v>1440</v>
      </c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  <c r="AD230" s="125"/>
      <c r="AE230" s="125"/>
      <c r="AF230" s="125"/>
      <c r="AG230" s="125"/>
      <c r="AH230" s="125"/>
      <c r="AI230" s="125"/>
      <c r="AJ230" s="125"/>
      <c r="AK230" s="125"/>
      <c r="AL230" s="125"/>
      <c r="AM230" s="125"/>
      <c r="AN230" s="125"/>
      <c r="AO230" s="125"/>
      <c r="AP230" s="125"/>
      <c r="AQ230" s="125"/>
      <c r="AR230" s="125"/>
      <c r="AS230" s="125"/>
      <c r="AT230" s="125"/>
      <c r="AU230" s="125"/>
      <c r="AV230" s="125"/>
      <c r="AW230" s="125"/>
      <c r="AX230" s="125"/>
      <c r="AY230" s="125"/>
      <c r="AZ230" s="125"/>
      <c r="BA230" s="125"/>
      <c r="BB230" s="125"/>
      <c r="BC230" s="125"/>
      <c r="BD230" s="125"/>
      <c r="BE230" s="125"/>
      <c r="BF230" s="125"/>
    </row>
    <row r="231">
      <c r="A231" s="126" t="s">
        <v>1377</v>
      </c>
      <c r="B231" s="126" t="s">
        <v>913</v>
      </c>
      <c r="C231" s="185" t="s">
        <v>1441</v>
      </c>
      <c r="D231" s="126" t="s">
        <v>1442</v>
      </c>
      <c r="E231" s="148" t="s">
        <v>1380</v>
      </c>
      <c r="F231" s="126" t="s">
        <v>1443</v>
      </c>
      <c r="G231" s="131" t="s">
        <v>1444</v>
      </c>
      <c r="H231" s="126" t="s">
        <v>578</v>
      </c>
      <c r="I231" s="126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  <c r="AD231" s="125"/>
      <c r="AE231" s="125"/>
      <c r="AF231" s="125"/>
      <c r="AG231" s="125"/>
      <c r="AH231" s="125"/>
      <c r="AI231" s="125"/>
      <c r="AJ231" s="125"/>
      <c r="AK231" s="125"/>
      <c r="AL231" s="125"/>
      <c r="AM231" s="125"/>
      <c r="AN231" s="125"/>
      <c r="AO231" s="125"/>
      <c r="AP231" s="125"/>
      <c r="AQ231" s="125"/>
      <c r="AR231" s="125"/>
      <c r="AS231" s="125"/>
      <c r="AT231" s="125"/>
      <c r="AU231" s="125"/>
      <c r="AV231" s="125"/>
      <c r="AW231" s="125"/>
      <c r="AX231" s="125"/>
      <c r="AY231" s="125"/>
      <c r="AZ231" s="125"/>
      <c r="BA231" s="125"/>
      <c r="BB231" s="125"/>
      <c r="BC231" s="125"/>
      <c r="BD231" s="125"/>
      <c r="BE231" s="125"/>
      <c r="BF231" s="125"/>
    </row>
    <row r="232">
      <c r="A232" s="126" t="s">
        <v>1377</v>
      </c>
      <c r="B232" s="126" t="s">
        <v>913</v>
      </c>
      <c r="C232" s="185" t="s">
        <v>1445</v>
      </c>
      <c r="D232" s="126" t="s">
        <v>1446</v>
      </c>
      <c r="E232" s="148" t="s">
        <v>1380</v>
      </c>
      <c r="F232" s="126" t="s">
        <v>671</v>
      </c>
      <c r="G232" s="131" t="s">
        <v>916</v>
      </c>
      <c r="H232" s="162"/>
      <c r="I232" s="126" t="s">
        <v>1447</v>
      </c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  <c r="AD232" s="125"/>
      <c r="AE232" s="125"/>
      <c r="AF232" s="125"/>
      <c r="AG232" s="125"/>
      <c r="AH232" s="125"/>
      <c r="AI232" s="125"/>
      <c r="AJ232" s="125"/>
      <c r="AK232" s="125"/>
      <c r="AL232" s="125"/>
      <c r="AM232" s="125"/>
      <c r="AN232" s="125"/>
      <c r="AO232" s="125"/>
      <c r="AP232" s="125"/>
      <c r="AQ232" s="125"/>
      <c r="AR232" s="125"/>
      <c r="AS232" s="125"/>
      <c r="AT232" s="125"/>
      <c r="AU232" s="125"/>
      <c r="AV232" s="125"/>
      <c r="AW232" s="125"/>
      <c r="AX232" s="125"/>
      <c r="AY232" s="125"/>
      <c r="AZ232" s="125"/>
      <c r="BA232" s="125"/>
      <c r="BB232" s="125"/>
      <c r="BC232" s="125"/>
      <c r="BD232" s="125"/>
      <c r="BE232" s="125"/>
      <c r="BF232" s="125"/>
    </row>
    <row r="233">
      <c r="A233" s="126" t="s">
        <v>1377</v>
      </c>
      <c r="B233" s="126" t="s">
        <v>913</v>
      </c>
      <c r="C233" s="185" t="s">
        <v>1448</v>
      </c>
      <c r="D233" s="126" t="s">
        <v>1449</v>
      </c>
      <c r="E233" s="148" t="s">
        <v>1380</v>
      </c>
      <c r="F233" s="126" t="s">
        <v>671</v>
      </c>
      <c r="G233" s="131" t="s">
        <v>916</v>
      </c>
      <c r="H233" s="126"/>
      <c r="I233" s="126" t="s">
        <v>1450</v>
      </c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  <c r="AD233" s="125"/>
      <c r="AE233" s="125"/>
      <c r="AF233" s="125"/>
      <c r="AG233" s="125"/>
      <c r="AH233" s="125"/>
      <c r="AI233" s="125"/>
      <c r="AJ233" s="125"/>
      <c r="AK233" s="125"/>
      <c r="AL233" s="125"/>
      <c r="AM233" s="125"/>
      <c r="AN233" s="125"/>
      <c r="AO233" s="125"/>
      <c r="AP233" s="125"/>
      <c r="AQ233" s="125"/>
      <c r="AR233" s="125"/>
      <c r="AS233" s="125"/>
      <c r="AT233" s="125"/>
      <c r="AU233" s="125"/>
      <c r="AV233" s="125"/>
      <c r="AW233" s="125"/>
      <c r="AX233" s="125"/>
      <c r="AY233" s="125"/>
      <c r="AZ233" s="125"/>
      <c r="BA233" s="125"/>
      <c r="BB233" s="125"/>
      <c r="BC233" s="125"/>
      <c r="BD233" s="125"/>
      <c r="BE233" s="125"/>
      <c r="BF233" s="125"/>
    </row>
    <row r="234">
      <c r="A234" s="126" t="s">
        <v>1377</v>
      </c>
      <c r="B234" s="126" t="s">
        <v>913</v>
      </c>
      <c r="C234" s="188"/>
      <c r="D234" s="126" t="s">
        <v>1451</v>
      </c>
      <c r="E234" s="128">
        <v>40719.0</v>
      </c>
      <c r="F234" s="126" t="s">
        <v>671</v>
      </c>
      <c r="G234" s="131" t="s">
        <v>916</v>
      </c>
      <c r="H234" s="162"/>
      <c r="I234" s="162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  <c r="AD234" s="125"/>
      <c r="AE234" s="125"/>
      <c r="AF234" s="125"/>
      <c r="AG234" s="125"/>
      <c r="AH234" s="125"/>
      <c r="AI234" s="125"/>
      <c r="AJ234" s="125"/>
      <c r="AK234" s="125"/>
      <c r="AL234" s="125"/>
      <c r="AM234" s="125"/>
      <c r="AN234" s="125"/>
      <c r="AO234" s="125"/>
      <c r="AP234" s="125"/>
      <c r="AQ234" s="125"/>
      <c r="AR234" s="125"/>
      <c r="AS234" s="125"/>
      <c r="AT234" s="125"/>
      <c r="AU234" s="125"/>
      <c r="AV234" s="125"/>
      <c r="AW234" s="125"/>
      <c r="AX234" s="125"/>
      <c r="AY234" s="125"/>
      <c r="AZ234" s="125"/>
      <c r="BA234" s="125"/>
      <c r="BB234" s="125"/>
      <c r="BC234" s="125"/>
      <c r="BD234" s="125"/>
      <c r="BE234" s="125"/>
      <c r="BF234" s="125"/>
    </row>
    <row r="235">
      <c r="A235" s="126" t="s">
        <v>1377</v>
      </c>
      <c r="B235" s="126" t="s">
        <v>913</v>
      </c>
      <c r="C235" s="185" t="s">
        <v>1452</v>
      </c>
      <c r="D235" s="126" t="s">
        <v>1453</v>
      </c>
      <c r="E235" s="128">
        <v>40719.0</v>
      </c>
      <c r="F235" s="162" t="s">
        <v>77</v>
      </c>
      <c r="G235" s="134" t="s">
        <v>525</v>
      </c>
      <c r="H235" s="162" t="s">
        <v>527</v>
      </c>
      <c r="I235" s="162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  <c r="AD235" s="125"/>
      <c r="AE235" s="125"/>
      <c r="AF235" s="125"/>
      <c r="AG235" s="125"/>
      <c r="AH235" s="125"/>
      <c r="AI235" s="125"/>
      <c r="AJ235" s="125"/>
      <c r="AK235" s="125"/>
      <c r="AL235" s="125"/>
      <c r="AM235" s="125"/>
      <c r="AN235" s="125"/>
      <c r="AO235" s="125"/>
      <c r="AP235" s="125"/>
      <c r="AQ235" s="125"/>
      <c r="AR235" s="125"/>
      <c r="AS235" s="125"/>
      <c r="AT235" s="125"/>
      <c r="AU235" s="125"/>
      <c r="AV235" s="125"/>
      <c r="AW235" s="125"/>
      <c r="AX235" s="125"/>
      <c r="AY235" s="125"/>
      <c r="AZ235" s="125"/>
      <c r="BA235" s="125"/>
      <c r="BB235" s="125"/>
      <c r="BC235" s="125"/>
      <c r="BD235" s="125"/>
      <c r="BE235" s="125"/>
      <c r="BF235" s="125"/>
    </row>
    <row r="236">
      <c r="A236" s="126" t="s">
        <v>1377</v>
      </c>
      <c r="B236" s="126" t="s">
        <v>913</v>
      </c>
      <c r="C236" s="185" t="s">
        <v>1454</v>
      </c>
      <c r="D236" s="126" t="s">
        <v>1455</v>
      </c>
      <c r="E236" s="128">
        <v>40719.0</v>
      </c>
      <c r="F236" s="126" t="s">
        <v>671</v>
      </c>
      <c r="G236" s="131" t="s">
        <v>916</v>
      </c>
      <c r="H236" s="162"/>
      <c r="I236" s="126" t="s">
        <v>1456</v>
      </c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  <c r="AD236" s="125"/>
      <c r="AE236" s="125"/>
      <c r="AF236" s="125"/>
      <c r="AG236" s="125"/>
      <c r="AH236" s="125"/>
      <c r="AI236" s="125"/>
      <c r="AJ236" s="125"/>
      <c r="AK236" s="125"/>
      <c r="AL236" s="125"/>
      <c r="AM236" s="125"/>
      <c r="AN236" s="125"/>
      <c r="AO236" s="125"/>
      <c r="AP236" s="125"/>
      <c r="AQ236" s="125"/>
      <c r="AR236" s="125"/>
      <c r="AS236" s="125"/>
      <c r="AT236" s="125"/>
      <c r="AU236" s="125"/>
      <c r="AV236" s="125"/>
      <c r="AW236" s="125"/>
      <c r="AX236" s="125"/>
      <c r="AY236" s="125"/>
      <c r="AZ236" s="125"/>
      <c r="BA236" s="125"/>
      <c r="BB236" s="125"/>
      <c r="BC236" s="125"/>
      <c r="BD236" s="125"/>
      <c r="BE236" s="125"/>
      <c r="BF236" s="125"/>
    </row>
    <row r="237">
      <c r="A237" s="126" t="s">
        <v>1377</v>
      </c>
      <c r="B237" s="126" t="s">
        <v>913</v>
      </c>
      <c r="C237" s="188"/>
      <c r="D237" s="126" t="s">
        <v>1457</v>
      </c>
      <c r="E237" s="128">
        <v>40719.0</v>
      </c>
      <c r="F237" s="126" t="s">
        <v>671</v>
      </c>
      <c r="G237" s="131" t="s">
        <v>916</v>
      </c>
      <c r="H237" s="162"/>
      <c r="I237" s="162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  <c r="AD237" s="125"/>
      <c r="AE237" s="125"/>
      <c r="AF237" s="125"/>
      <c r="AG237" s="125"/>
      <c r="AH237" s="125"/>
      <c r="AI237" s="125"/>
      <c r="AJ237" s="125"/>
      <c r="AK237" s="125"/>
      <c r="AL237" s="125"/>
      <c r="AM237" s="125"/>
      <c r="AN237" s="125"/>
      <c r="AO237" s="125"/>
      <c r="AP237" s="125"/>
      <c r="AQ237" s="125"/>
      <c r="AR237" s="125"/>
      <c r="AS237" s="125"/>
      <c r="AT237" s="125"/>
      <c r="AU237" s="125"/>
      <c r="AV237" s="125"/>
      <c r="AW237" s="125"/>
      <c r="AX237" s="125"/>
      <c r="AY237" s="125"/>
      <c r="AZ237" s="125"/>
      <c r="BA237" s="125"/>
      <c r="BB237" s="125"/>
      <c r="BC237" s="125"/>
      <c r="BD237" s="125"/>
      <c r="BE237" s="125"/>
      <c r="BF237" s="125"/>
    </row>
    <row r="238">
      <c r="A238" s="126" t="s">
        <v>1377</v>
      </c>
      <c r="B238" s="126" t="s">
        <v>913</v>
      </c>
      <c r="C238" s="188"/>
      <c r="D238" s="126" t="s">
        <v>1458</v>
      </c>
      <c r="E238" s="128">
        <v>40719.0</v>
      </c>
      <c r="F238" s="126" t="s">
        <v>671</v>
      </c>
      <c r="G238" s="131" t="s">
        <v>916</v>
      </c>
      <c r="H238" s="162"/>
      <c r="I238" s="162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  <c r="AD238" s="125"/>
      <c r="AE238" s="125"/>
      <c r="AF238" s="125"/>
      <c r="AG238" s="125"/>
      <c r="AH238" s="125"/>
      <c r="AI238" s="125"/>
      <c r="AJ238" s="125"/>
      <c r="AK238" s="125"/>
      <c r="AL238" s="125"/>
      <c r="AM238" s="125"/>
      <c r="AN238" s="125"/>
      <c r="AO238" s="125"/>
      <c r="AP238" s="125"/>
      <c r="AQ238" s="125"/>
      <c r="AR238" s="125"/>
      <c r="AS238" s="125"/>
      <c r="AT238" s="125"/>
      <c r="AU238" s="125"/>
      <c r="AV238" s="125"/>
      <c r="AW238" s="125"/>
      <c r="AX238" s="125"/>
      <c r="AY238" s="125"/>
      <c r="AZ238" s="125"/>
      <c r="BA238" s="125"/>
      <c r="BB238" s="125"/>
      <c r="BC238" s="125"/>
      <c r="BD238" s="125"/>
      <c r="BE238" s="125"/>
      <c r="BF238" s="125"/>
    </row>
    <row r="239">
      <c r="A239" s="126" t="s">
        <v>1377</v>
      </c>
      <c r="B239" s="126" t="s">
        <v>913</v>
      </c>
      <c r="C239" s="188"/>
      <c r="D239" s="126" t="s">
        <v>1459</v>
      </c>
      <c r="E239" s="128">
        <v>40719.0</v>
      </c>
      <c r="F239" s="126" t="s">
        <v>671</v>
      </c>
      <c r="G239" s="131" t="s">
        <v>916</v>
      </c>
      <c r="H239" s="162"/>
      <c r="I239" s="162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  <c r="AD239" s="125"/>
      <c r="AE239" s="125"/>
      <c r="AF239" s="125"/>
      <c r="AG239" s="125"/>
      <c r="AH239" s="125"/>
      <c r="AI239" s="125"/>
      <c r="AJ239" s="125"/>
      <c r="AK239" s="125"/>
      <c r="AL239" s="125"/>
      <c r="AM239" s="125"/>
      <c r="AN239" s="125"/>
      <c r="AO239" s="125"/>
      <c r="AP239" s="125"/>
      <c r="AQ239" s="125"/>
      <c r="AR239" s="125"/>
      <c r="AS239" s="125"/>
      <c r="AT239" s="125"/>
      <c r="AU239" s="125"/>
      <c r="AV239" s="125"/>
      <c r="AW239" s="125"/>
      <c r="AX239" s="125"/>
      <c r="AY239" s="125"/>
      <c r="AZ239" s="125"/>
      <c r="BA239" s="125"/>
      <c r="BB239" s="125"/>
      <c r="BC239" s="125"/>
      <c r="BD239" s="125"/>
      <c r="BE239" s="125"/>
      <c r="BF239" s="125"/>
    </row>
    <row r="240">
      <c r="A240" s="126" t="s">
        <v>1377</v>
      </c>
      <c r="B240" s="126" t="s">
        <v>913</v>
      </c>
      <c r="C240" s="188"/>
      <c r="D240" s="126" t="s">
        <v>1460</v>
      </c>
      <c r="E240" s="128">
        <v>40719.0</v>
      </c>
      <c r="F240" s="126" t="s">
        <v>671</v>
      </c>
      <c r="G240" s="131" t="s">
        <v>916</v>
      </c>
      <c r="H240" s="162"/>
      <c r="I240" s="162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  <c r="AD240" s="125"/>
      <c r="AE240" s="125"/>
      <c r="AF240" s="125"/>
      <c r="AG240" s="125"/>
      <c r="AH240" s="125"/>
      <c r="AI240" s="125"/>
      <c r="AJ240" s="125"/>
      <c r="AK240" s="125"/>
      <c r="AL240" s="125"/>
      <c r="AM240" s="125"/>
      <c r="AN240" s="125"/>
      <c r="AO240" s="125"/>
      <c r="AP240" s="125"/>
      <c r="AQ240" s="125"/>
      <c r="AR240" s="125"/>
      <c r="AS240" s="125"/>
      <c r="AT240" s="125"/>
      <c r="AU240" s="125"/>
      <c r="AV240" s="125"/>
      <c r="AW240" s="125"/>
      <c r="AX240" s="125"/>
      <c r="AY240" s="125"/>
      <c r="AZ240" s="125"/>
      <c r="BA240" s="125"/>
      <c r="BB240" s="125"/>
      <c r="BC240" s="125"/>
      <c r="BD240" s="125"/>
      <c r="BE240" s="125"/>
      <c r="BF240" s="125"/>
    </row>
    <row r="241">
      <c r="A241" s="126" t="s">
        <v>1377</v>
      </c>
      <c r="B241" s="126" t="s">
        <v>913</v>
      </c>
      <c r="C241" s="188"/>
      <c r="D241" s="126" t="s">
        <v>1461</v>
      </c>
      <c r="E241" s="128">
        <v>40719.0</v>
      </c>
      <c r="F241" s="126" t="s">
        <v>671</v>
      </c>
      <c r="G241" s="131" t="s">
        <v>916</v>
      </c>
      <c r="H241" s="162"/>
      <c r="I241" s="162"/>
      <c r="J241" s="15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  <c r="AD241" s="125"/>
      <c r="AE241" s="125"/>
      <c r="AF241" s="125"/>
      <c r="AG241" s="125"/>
      <c r="AH241" s="125"/>
      <c r="AI241" s="125"/>
      <c r="AJ241" s="125"/>
      <c r="AK241" s="125"/>
      <c r="AL241" s="125"/>
      <c r="AM241" s="125"/>
      <c r="AN241" s="125"/>
      <c r="AO241" s="125"/>
      <c r="AP241" s="125"/>
      <c r="AQ241" s="125"/>
      <c r="AR241" s="125"/>
      <c r="AS241" s="125"/>
      <c r="AT241" s="125"/>
      <c r="AU241" s="125"/>
      <c r="AV241" s="125"/>
      <c r="AW241" s="125"/>
      <c r="AX241" s="125"/>
      <c r="AY241" s="125"/>
      <c r="AZ241" s="125"/>
      <c r="BA241" s="125"/>
      <c r="BB241" s="125"/>
      <c r="BC241" s="125"/>
      <c r="BD241" s="125"/>
      <c r="BE241" s="125"/>
      <c r="BF241" s="125"/>
    </row>
    <row r="242">
      <c r="A242" s="126" t="s">
        <v>1377</v>
      </c>
      <c r="B242" s="126" t="s">
        <v>913</v>
      </c>
      <c r="C242" s="188"/>
      <c r="D242" s="126" t="s">
        <v>1462</v>
      </c>
      <c r="E242" s="128">
        <v>40719.0</v>
      </c>
      <c r="F242" s="126" t="s">
        <v>671</v>
      </c>
      <c r="G242" s="131" t="s">
        <v>916</v>
      </c>
      <c r="H242" s="162"/>
      <c r="I242" s="162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  <c r="AD242" s="125"/>
      <c r="AE242" s="125"/>
      <c r="AF242" s="125"/>
      <c r="AG242" s="125"/>
      <c r="AH242" s="125"/>
      <c r="AI242" s="125"/>
      <c r="AJ242" s="125"/>
      <c r="AK242" s="125"/>
      <c r="AL242" s="125"/>
      <c r="AM242" s="125"/>
      <c r="AN242" s="125"/>
      <c r="AO242" s="125"/>
      <c r="AP242" s="125"/>
      <c r="AQ242" s="125"/>
      <c r="AR242" s="125"/>
      <c r="AS242" s="125"/>
      <c r="AT242" s="125"/>
      <c r="AU242" s="125"/>
      <c r="AV242" s="125"/>
      <c r="AW242" s="125"/>
      <c r="AX242" s="125"/>
      <c r="AY242" s="125"/>
      <c r="AZ242" s="125"/>
      <c r="BA242" s="125"/>
      <c r="BB242" s="125"/>
      <c r="BC242" s="125"/>
      <c r="BD242" s="125"/>
      <c r="BE242" s="125"/>
      <c r="BF242" s="125"/>
    </row>
    <row r="243">
      <c r="A243" s="126" t="s">
        <v>1377</v>
      </c>
      <c r="B243" s="126" t="s">
        <v>913</v>
      </c>
      <c r="C243" s="188"/>
      <c r="D243" s="126" t="s">
        <v>1463</v>
      </c>
      <c r="E243" s="128">
        <v>40719.0</v>
      </c>
      <c r="F243" s="126" t="s">
        <v>671</v>
      </c>
      <c r="G243" s="131" t="s">
        <v>916</v>
      </c>
      <c r="H243" s="162"/>
      <c r="I243" s="162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  <c r="AD243" s="125"/>
      <c r="AE243" s="125"/>
      <c r="AF243" s="125"/>
      <c r="AG243" s="125"/>
      <c r="AH243" s="125"/>
      <c r="AI243" s="125"/>
      <c r="AJ243" s="125"/>
      <c r="AK243" s="125"/>
      <c r="AL243" s="125"/>
      <c r="AM243" s="125"/>
      <c r="AN243" s="125"/>
      <c r="AO243" s="125"/>
      <c r="AP243" s="125"/>
      <c r="AQ243" s="125"/>
      <c r="AR243" s="125"/>
      <c r="AS243" s="125"/>
      <c r="AT243" s="125"/>
      <c r="AU243" s="125"/>
      <c r="AV243" s="125"/>
      <c r="AW243" s="125"/>
      <c r="AX243" s="125"/>
      <c r="AY243" s="125"/>
      <c r="AZ243" s="125"/>
      <c r="BA243" s="125"/>
      <c r="BB243" s="125"/>
      <c r="BC243" s="125"/>
      <c r="BD243" s="125"/>
      <c r="BE243" s="125"/>
      <c r="BF243" s="125"/>
    </row>
    <row r="244">
      <c r="A244" s="126" t="s">
        <v>1377</v>
      </c>
      <c r="B244" s="126" t="s">
        <v>913</v>
      </c>
      <c r="C244" s="188"/>
      <c r="D244" s="126" t="s">
        <v>1464</v>
      </c>
      <c r="E244" s="128">
        <v>40719.0</v>
      </c>
      <c r="F244" s="126" t="s">
        <v>671</v>
      </c>
      <c r="G244" s="131" t="s">
        <v>916</v>
      </c>
      <c r="H244" s="162"/>
      <c r="I244" s="162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  <c r="AD244" s="125"/>
      <c r="AE244" s="125"/>
      <c r="AF244" s="125"/>
      <c r="AG244" s="125"/>
      <c r="AH244" s="125"/>
      <c r="AI244" s="125"/>
      <c r="AJ244" s="125"/>
      <c r="AK244" s="125"/>
      <c r="AL244" s="125"/>
      <c r="AM244" s="125"/>
      <c r="AN244" s="125"/>
      <c r="AO244" s="125"/>
      <c r="AP244" s="125"/>
      <c r="AQ244" s="125"/>
      <c r="AR244" s="125"/>
      <c r="AS244" s="125"/>
      <c r="AT244" s="125"/>
      <c r="AU244" s="125"/>
      <c r="AV244" s="125"/>
      <c r="AW244" s="125"/>
      <c r="AX244" s="125"/>
      <c r="AY244" s="125"/>
      <c r="AZ244" s="125"/>
      <c r="BA244" s="125"/>
      <c r="BB244" s="125"/>
      <c r="BC244" s="125"/>
      <c r="BD244" s="125"/>
      <c r="BE244" s="125"/>
      <c r="BF244" s="125"/>
    </row>
    <row r="245">
      <c r="A245" s="126" t="s">
        <v>1377</v>
      </c>
      <c r="B245" s="126" t="s">
        <v>913</v>
      </c>
      <c r="C245" s="185" t="s">
        <v>1465</v>
      </c>
      <c r="D245" s="126" t="s">
        <v>1466</v>
      </c>
      <c r="E245" s="128">
        <v>40719.0</v>
      </c>
      <c r="F245" s="126" t="s">
        <v>671</v>
      </c>
      <c r="G245" s="131" t="s">
        <v>916</v>
      </c>
      <c r="H245" s="162"/>
      <c r="I245" s="126" t="s">
        <v>1055</v>
      </c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  <c r="AD245" s="125"/>
      <c r="AE245" s="125"/>
      <c r="AF245" s="125"/>
      <c r="AG245" s="125"/>
      <c r="AH245" s="125"/>
      <c r="AI245" s="125"/>
      <c r="AJ245" s="125"/>
      <c r="AK245" s="125"/>
      <c r="AL245" s="125"/>
      <c r="AM245" s="125"/>
      <c r="AN245" s="125"/>
      <c r="AO245" s="125"/>
      <c r="AP245" s="125"/>
      <c r="AQ245" s="125"/>
      <c r="AR245" s="125"/>
      <c r="AS245" s="125"/>
      <c r="AT245" s="125"/>
      <c r="AU245" s="125"/>
      <c r="AV245" s="125"/>
      <c r="AW245" s="125"/>
      <c r="AX245" s="125"/>
      <c r="AY245" s="125"/>
      <c r="AZ245" s="125"/>
      <c r="BA245" s="125"/>
      <c r="BB245" s="125"/>
      <c r="BC245" s="125"/>
      <c r="BD245" s="125"/>
      <c r="BE245" s="125"/>
      <c r="BF245" s="125"/>
    </row>
    <row r="246">
      <c r="A246" s="126" t="s">
        <v>1377</v>
      </c>
      <c r="B246" s="126" t="s">
        <v>913</v>
      </c>
      <c r="C246" s="188"/>
      <c r="D246" s="126" t="s">
        <v>1467</v>
      </c>
      <c r="E246" s="128">
        <v>40719.0</v>
      </c>
      <c r="F246" s="126" t="s">
        <v>671</v>
      </c>
      <c r="G246" s="131" t="s">
        <v>916</v>
      </c>
      <c r="H246" s="162"/>
      <c r="I246" s="162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  <c r="AD246" s="125"/>
      <c r="AE246" s="125"/>
      <c r="AF246" s="125"/>
      <c r="AG246" s="125"/>
      <c r="AH246" s="125"/>
      <c r="AI246" s="125"/>
      <c r="AJ246" s="125"/>
      <c r="AK246" s="125"/>
      <c r="AL246" s="125"/>
      <c r="AM246" s="125"/>
      <c r="AN246" s="125"/>
      <c r="AO246" s="125"/>
      <c r="AP246" s="125"/>
      <c r="AQ246" s="125"/>
      <c r="AR246" s="125"/>
      <c r="AS246" s="125"/>
      <c r="AT246" s="125"/>
      <c r="AU246" s="125"/>
      <c r="AV246" s="125"/>
      <c r="AW246" s="125"/>
      <c r="AX246" s="125"/>
      <c r="AY246" s="125"/>
      <c r="AZ246" s="125"/>
      <c r="BA246" s="125"/>
      <c r="BB246" s="125"/>
      <c r="BC246" s="125"/>
      <c r="BD246" s="125"/>
      <c r="BE246" s="125"/>
      <c r="BF246" s="125"/>
    </row>
    <row r="247">
      <c r="A247" s="126" t="s">
        <v>1377</v>
      </c>
      <c r="B247" s="126" t="s">
        <v>913</v>
      </c>
      <c r="C247" s="185" t="s">
        <v>1468</v>
      </c>
      <c r="D247" s="126" t="s">
        <v>1469</v>
      </c>
      <c r="E247" s="128">
        <v>40719.0</v>
      </c>
      <c r="F247" s="126" t="s">
        <v>671</v>
      </c>
      <c r="G247" s="131" t="s">
        <v>916</v>
      </c>
      <c r="H247" s="162"/>
      <c r="I247" s="126" t="s">
        <v>1470</v>
      </c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  <c r="AD247" s="125"/>
      <c r="AE247" s="125"/>
      <c r="AF247" s="125"/>
      <c r="AG247" s="125"/>
      <c r="AH247" s="125"/>
      <c r="AI247" s="125"/>
      <c r="AJ247" s="125"/>
      <c r="AK247" s="125"/>
      <c r="AL247" s="125"/>
      <c r="AM247" s="125"/>
      <c r="AN247" s="125"/>
      <c r="AO247" s="125"/>
      <c r="AP247" s="125"/>
      <c r="AQ247" s="125"/>
      <c r="AR247" s="125"/>
      <c r="AS247" s="125"/>
      <c r="AT247" s="125"/>
      <c r="AU247" s="125"/>
      <c r="AV247" s="125"/>
      <c r="AW247" s="125"/>
      <c r="AX247" s="125"/>
      <c r="AY247" s="125"/>
      <c r="AZ247" s="125"/>
      <c r="BA247" s="125"/>
      <c r="BB247" s="125"/>
      <c r="BC247" s="125"/>
      <c r="BD247" s="125"/>
      <c r="BE247" s="125"/>
      <c r="BF247" s="125"/>
    </row>
    <row r="248">
      <c r="A248" s="126" t="s">
        <v>1377</v>
      </c>
      <c r="B248" s="126" t="s">
        <v>913</v>
      </c>
      <c r="C248" s="185" t="s">
        <v>1471</v>
      </c>
      <c r="D248" s="126" t="s">
        <v>1472</v>
      </c>
      <c r="E248" s="128">
        <v>40719.0</v>
      </c>
      <c r="F248" s="126" t="s">
        <v>671</v>
      </c>
      <c r="G248" s="131" t="s">
        <v>916</v>
      </c>
      <c r="H248" s="162"/>
      <c r="I248" s="126" t="s">
        <v>1055</v>
      </c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  <c r="AD248" s="125"/>
      <c r="AE248" s="125"/>
      <c r="AF248" s="125"/>
      <c r="AG248" s="125"/>
      <c r="AH248" s="125"/>
      <c r="AI248" s="125"/>
      <c r="AJ248" s="125"/>
      <c r="AK248" s="125"/>
      <c r="AL248" s="125"/>
      <c r="AM248" s="125"/>
      <c r="AN248" s="125"/>
      <c r="AO248" s="125"/>
      <c r="AP248" s="125"/>
      <c r="AQ248" s="125"/>
      <c r="AR248" s="125"/>
      <c r="AS248" s="125"/>
      <c r="AT248" s="125"/>
      <c r="AU248" s="125"/>
      <c r="AV248" s="125"/>
      <c r="AW248" s="125"/>
      <c r="AX248" s="125"/>
      <c r="AY248" s="125"/>
      <c r="AZ248" s="125"/>
      <c r="BA248" s="125"/>
      <c r="BB248" s="125"/>
      <c r="BC248" s="125"/>
      <c r="BD248" s="125"/>
      <c r="BE248" s="125"/>
      <c r="BF248" s="125"/>
    </row>
    <row r="249">
      <c r="A249" s="126" t="s">
        <v>1377</v>
      </c>
      <c r="B249" s="126" t="s">
        <v>913</v>
      </c>
      <c r="C249" s="188"/>
      <c r="D249" s="126" t="s">
        <v>1473</v>
      </c>
      <c r="E249" s="128">
        <v>40719.0</v>
      </c>
      <c r="F249" s="126" t="s">
        <v>671</v>
      </c>
      <c r="G249" s="131" t="s">
        <v>916</v>
      </c>
      <c r="H249" s="162"/>
      <c r="I249" s="162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  <c r="AD249" s="125"/>
      <c r="AE249" s="125"/>
      <c r="AF249" s="125"/>
      <c r="AG249" s="125"/>
      <c r="AH249" s="125"/>
      <c r="AI249" s="125"/>
      <c r="AJ249" s="125"/>
      <c r="AK249" s="125"/>
      <c r="AL249" s="125"/>
      <c r="AM249" s="125"/>
      <c r="AN249" s="125"/>
      <c r="AO249" s="125"/>
      <c r="AP249" s="125"/>
      <c r="AQ249" s="125"/>
      <c r="AR249" s="125"/>
      <c r="AS249" s="125"/>
      <c r="AT249" s="125"/>
      <c r="AU249" s="125"/>
      <c r="AV249" s="125"/>
      <c r="AW249" s="125"/>
      <c r="AX249" s="125"/>
      <c r="AY249" s="125"/>
      <c r="AZ249" s="125"/>
      <c r="BA249" s="125"/>
      <c r="BB249" s="125"/>
      <c r="BC249" s="125"/>
      <c r="BD249" s="125"/>
      <c r="BE249" s="125"/>
      <c r="BF249" s="125"/>
    </row>
    <row r="250">
      <c r="A250" s="126" t="s">
        <v>1377</v>
      </c>
      <c r="B250" s="126" t="s">
        <v>913</v>
      </c>
      <c r="C250" s="188"/>
      <c r="D250" s="126" t="s">
        <v>1474</v>
      </c>
      <c r="E250" s="128">
        <v>40719.0</v>
      </c>
      <c r="F250" s="126" t="s">
        <v>671</v>
      </c>
      <c r="G250" s="131" t="s">
        <v>916</v>
      </c>
      <c r="H250" s="162"/>
      <c r="I250" s="162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  <c r="AD250" s="125"/>
      <c r="AE250" s="125"/>
      <c r="AF250" s="125"/>
      <c r="AG250" s="125"/>
      <c r="AH250" s="125"/>
      <c r="AI250" s="125"/>
      <c r="AJ250" s="125"/>
      <c r="AK250" s="125"/>
      <c r="AL250" s="125"/>
      <c r="AM250" s="125"/>
      <c r="AN250" s="125"/>
      <c r="AO250" s="125"/>
      <c r="AP250" s="125"/>
      <c r="AQ250" s="125"/>
      <c r="AR250" s="125"/>
      <c r="AS250" s="125"/>
      <c r="AT250" s="125"/>
      <c r="AU250" s="125"/>
      <c r="AV250" s="125"/>
      <c r="AW250" s="125"/>
      <c r="AX250" s="125"/>
      <c r="AY250" s="125"/>
      <c r="AZ250" s="125"/>
      <c r="BA250" s="125"/>
      <c r="BB250" s="125"/>
      <c r="BC250" s="125"/>
      <c r="BD250" s="125"/>
      <c r="BE250" s="125"/>
      <c r="BF250" s="125"/>
    </row>
    <row r="251">
      <c r="A251" s="126" t="s">
        <v>1377</v>
      </c>
      <c r="B251" s="126" t="s">
        <v>913</v>
      </c>
      <c r="C251" s="188"/>
      <c r="D251" s="126" t="s">
        <v>1475</v>
      </c>
      <c r="E251" s="128">
        <v>40719.0</v>
      </c>
      <c r="F251" s="126" t="s">
        <v>671</v>
      </c>
      <c r="G251" s="131" t="s">
        <v>916</v>
      </c>
      <c r="H251" s="162"/>
      <c r="I251" s="162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  <c r="AD251" s="125"/>
      <c r="AE251" s="125"/>
      <c r="AF251" s="125"/>
      <c r="AG251" s="125"/>
      <c r="AH251" s="125"/>
      <c r="AI251" s="125"/>
      <c r="AJ251" s="125"/>
      <c r="AK251" s="125"/>
      <c r="AL251" s="125"/>
      <c r="AM251" s="125"/>
      <c r="AN251" s="125"/>
      <c r="AO251" s="125"/>
      <c r="AP251" s="125"/>
      <c r="AQ251" s="125"/>
      <c r="AR251" s="125"/>
      <c r="AS251" s="125"/>
      <c r="AT251" s="125"/>
      <c r="AU251" s="125"/>
      <c r="AV251" s="125"/>
      <c r="AW251" s="125"/>
      <c r="AX251" s="125"/>
      <c r="AY251" s="125"/>
      <c r="AZ251" s="125"/>
      <c r="BA251" s="125"/>
      <c r="BB251" s="125"/>
      <c r="BC251" s="125"/>
      <c r="BD251" s="125"/>
      <c r="BE251" s="125"/>
      <c r="BF251" s="125"/>
    </row>
    <row r="252">
      <c r="A252" s="126" t="s">
        <v>1377</v>
      </c>
      <c r="B252" s="126" t="s">
        <v>913</v>
      </c>
      <c r="C252" s="188"/>
      <c r="D252" s="126" t="s">
        <v>1476</v>
      </c>
      <c r="E252" s="128">
        <v>40719.0</v>
      </c>
      <c r="F252" s="126" t="s">
        <v>671</v>
      </c>
      <c r="G252" s="131" t="s">
        <v>916</v>
      </c>
      <c r="H252" s="162"/>
      <c r="I252" s="162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  <c r="AD252" s="125"/>
      <c r="AE252" s="125"/>
      <c r="AF252" s="125"/>
      <c r="AG252" s="125"/>
      <c r="AH252" s="125"/>
      <c r="AI252" s="125"/>
      <c r="AJ252" s="125"/>
      <c r="AK252" s="125"/>
      <c r="AL252" s="125"/>
      <c r="AM252" s="125"/>
      <c r="AN252" s="125"/>
      <c r="AO252" s="125"/>
      <c r="AP252" s="125"/>
      <c r="AQ252" s="125"/>
      <c r="AR252" s="125"/>
      <c r="AS252" s="125"/>
      <c r="AT252" s="125"/>
      <c r="AU252" s="125"/>
      <c r="AV252" s="125"/>
      <c r="AW252" s="125"/>
      <c r="AX252" s="125"/>
      <c r="AY252" s="125"/>
      <c r="AZ252" s="125"/>
      <c r="BA252" s="125"/>
      <c r="BB252" s="125"/>
      <c r="BC252" s="125"/>
      <c r="BD252" s="125"/>
      <c r="BE252" s="125"/>
      <c r="BF252" s="125"/>
    </row>
    <row r="253">
      <c r="A253" s="164" t="s">
        <v>1477</v>
      </c>
      <c r="B253" s="164" t="s">
        <v>913</v>
      </c>
      <c r="C253" s="189"/>
      <c r="D253" s="164" t="s">
        <v>1478</v>
      </c>
      <c r="E253" s="190" t="s">
        <v>1479</v>
      </c>
      <c r="F253" s="46" t="s">
        <v>35</v>
      </c>
      <c r="G253" s="150" t="s">
        <v>764</v>
      </c>
      <c r="H253" s="191" t="s">
        <v>765</v>
      </c>
      <c r="I253" s="164" t="s">
        <v>1480</v>
      </c>
      <c r="J253" s="125" t="str">
        <f t="array" ref="J253">IFERROR(INDEX(All_User_backup!D:D,MATCH(D253,All_User_backup!H:H,0)),"없음")</f>
        <v>없음</v>
      </c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  <c r="AD253" s="125"/>
      <c r="AE253" s="125"/>
      <c r="AF253" s="125"/>
      <c r="AG253" s="125"/>
      <c r="AH253" s="125"/>
      <c r="AI253" s="125"/>
      <c r="AJ253" s="125"/>
      <c r="AK253" s="125"/>
      <c r="AL253" s="125"/>
      <c r="AM253" s="125"/>
      <c r="AN253" s="125"/>
      <c r="AO253" s="125"/>
      <c r="AP253" s="125"/>
      <c r="AQ253" s="125"/>
      <c r="AR253" s="125"/>
      <c r="AS253" s="125"/>
      <c r="AT253" s="125"/>
      <c r="AU253" s="125"/>
      <c r="AV253" s="125"/>
      <c r="AW253" s="125"/>
      <c r="AX253" s="125"/>
      <c r="AY253" s="125"/>
      <c r="AZ253" s="125"/>
      <c r="BA253" s="125"/>
      <c r="BB253" s="125"/>
      <c r="BC253" s="125"/>
      <c r="BD253" s="125"/>
      <c r="BE253" s="125"/>
      <c r="BF253" s="125"/>
    </row>
  </sheetData>
  <autoFilter ref="$A$1:$I$252"/>
  <conditionalFormatting sqref="H1:H164 G32 H166:H171 H173:H253 D234:D252">
    <cfRule type="expression" dxfId="0" priority="1">
      <formula>countif(H:H,H:H)&gt;1</formula>
    </cfRule>
  </conditionalFormatting>
  <hyperlinks>
    <hyperlink r:id="rId2" ref="C9"/>
    <hyperlink r:id="rId3" ref="H14"/>
    <hyperlink r:id="rId4" ref="H15"/>
    <hyperlink r:id="rId5" ref="H38"/>
    <hyperlink r:id="rId6" ref="H52"/>
    <hyperlink r:id="rId7" ref="I52"/>
    <hyperlink r:id="rId8" ref="H54"/>
    <hyperlink r:id="rId9" ref="H107"/>
    <hyperlink r:id="rId10" ref="H118"/>
    <hyperlink r:id="rId11" ref="H132"/>
    <hyperlink r:id="rId12" ref="H135"/>
    <hyperlink r:id="rId13" ref="H138"/>
    <hyperlink r:id="rId14" ref="H145"/>
    <hyperlink r:id="rId15" ref="H147"/>
    <hyperlink r:id="rId16" ref="H148"/>
    <hyperlink r:id="rId17" ref="H149"/>
    <hyperlink r:id="rId18" ref="H150"/>
    <hyperlink r:id="rId19" ref="H152"/>
    <hyperlink r:id="rId20" ref="H153"/>
    <hyperlink r:id="rId21" ref="H156"/>
    <hyperlink r:id="rId22" ref="H157"/>
    <hyperlink r:id="rId23" ref="H159"/>
    <hyperlink r:id="rId24" ref="H160"/>
    <hyperlink r:id="rId25" ref="H162"/>
    <hyperlink r:id="rId26" ref="H163"/>
    <hyperlink r:id="rId27" ref="H164"/>
    <hyperlink r:id="rId28" ref="H166"/>
    <hyperlink r:id="rId29" ref="H167"/>
    <hyperlink r:id="rId30" ref="H168"/>
    <hyperlink r:id="rId31" ref="H169"/>
    <hyperlink r:id="rId32" ref="H176"/>
    <hyperlink r:id="rId33" ref="H177"/>
    <hyperlink r:id="rId34" ref="H179"/>
    <hyperlink r:id="rId35" ref="H181"/>
    <hyperlink r:id="rId36" ref="H184"/>
    <hyperlink r:id="rId37" ref="H190"/>
    <hyperlink r:id="rId38" ref="H194"/>
    <hyperlink r:id="rId39" ref="H199"/>
    <hyperlink r:id="rId40" ref="H200"/>
    <hyperlink r:id="rId41" ref="H202"/>
    <hyperlink r:id="rId42" ref="H203"/>
    <hyperlink r:id="rId43" ref="H204"/>
    <hyperlink r:id="rId44" ref="H205"/>
    <hyperlink r:id="rId45" ref="H206"/>
    <hyperlink r:id="rId46" ref="H207"/>
  </hyperlinks>
  <drawing r:id="rId47"/>
  <legacyDrawing r:id="rId4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38"/>
    <col customWidth="1" min="2" max="2" width="14.38"/>
    <col customWidth="1" min="3" max="3" width="22.63"/>
    <col customWidth="1" min="4" max="4" width="29.63"/>
  </cols>
  <sheetData>
    <row r="1">
      <c r="A1" s="46" t="s">
        <v>1481</v>
      </c>
      <c r="B1" s="46" t="s">
        <v>1482</v>
      </c>
      <c r="C1" s="192" t="s">
        <v>1483</v>
      </c>
      <c r="D1" s="46" t="s">
        <v>3</v>
      </c>
      <c r="E1" s="46" t="s">
        <v>4</v>
      </c>
      <c r="F1" s="46" t="s">
        <v>1484</v>
      </c>
    </row>
    <row r="2">
      <c r="A2" s="46">
        <v>7500.0</v>
      </c>
      <c r="B2" s="46" t="s">
        <v>1485</v>
      </c>
      <c r="C2" s="193" t="s">
        <v>1486</v>
      </c>
      <c r="D2" s="46" t="s">
        <v>243</v>
      </c>
      <c r="E2" s="46" t="e">
        <v>#N/A</v>
      </c>
      <c r="F2" s="46" t="s">
        <v>1487</v>
      </c>
    </row>
    <row r="3">
      <c r="A3" s="46">
        <v>7501.0</v>
      </c>
      <c r="B3" s="46" t="s">
        <v>1488</v>
      </c>
      <c r="C3" s="193" t="s">
        <v>1489</v>
      </c>
      <c r="D3" s="46" t="s">
        <v>250</v>
      </c>
      <c r="E3" s="46" t="e">
        <v>#N/A</v>
      </c>
    </row>
    <row r="4">
      <c r="A4" s="46">
        <v>7502.0</v>
      </c>
      <c r="B4" s="46" t="s">
        <v>1490</v>
      </c>
      <c r="C4" s="193" t="s">
        <v>1491</v>
      </c>
      <c r="D4" s="46" t="s">
        <v>489</v>
      </c>
      <c r="E4" s="46" t="e">
        <v>#N/A</v>
      </c>
    </row>
    <row r="5">
      <c r="A5" s="46">
        <v>7503.0</v>
      </c>
      <c r="B5" s="46" t="s">
        <v>1492</v>
      </c>
      <c r="C5" s="193" t="s">
        <v>1493</v>
      </c>
      <c r="D5" s="46" t="s">
        <v>1494</v>
      </c>
      <c r="E5" s="46" t="e">
        <v>#N/A</v>
      </c>
    </row>
    <row r="6">
      <c r="A6" s="46">
        <v>7504.0</v>
      </c>
      <c r="B6" s="46" t="s">
        <v>1495</v>
      </c>
      <c r="C6" s="193" t="s">
        <v>1496</v>
      </c>
      <c r="D6" s="46" t="s">
        <v>1497</v>
      </c>
      <c r="E6" s="46" t="e">
        <v>#N/A</v>
      </c>
    </row>
    <row r="7">
      <c r="A7" s="46">
        <v>7505.0</v>
      </c>
      <c r="B7" s="46" t="s">
        <v>1498</v>
      </c>
      <c r="C7" s="193" t="s">
        <v>1499</v>
      </c>
      <c r="D7" s="46" t="s">
        <v>1500</v>
      </c>
      <c r="E7" s="46" t="e">
        <v>#N/A</v>
      </c>
    </row>
    <row r="8">
      <c r="A8" s="46">
        <v>7506.0</v>
      </c>
      <c r="B8" s="46" t="s">
        <v>1501</v>
      </c>
      <c r="C8" s="193" t="s">
        <v>1502</v>
      </c>
      <c r="D8" s="46" t="s">
        <v>1503</v>
      </c>
      <c r="E8" s="46" t="e">
        <v>#N/A</v>
      </c>
    </row>
    <row r="9">
      <c r="A9" s="46">
        <v>7507.0</v>
      </c>
      <c r="B9" s="46" t="s">
        <v>1504</v>
      </c>
      <c r="C9" s="193" t="s">
        <v>1505</v>
      </c>
      <c r="D9" s="46" t="s">
        <v>1506</v>
      </c>
      <c r="E9" s="46" t="e">
        <v>#N/A</v>
      </c>
    </row>
    <row r="10">
      <c r="A10" s="46">
        <v>7508.0</v>
      </c>
      <c r="B10" s="46" t="s">
        <v>1507</v>
      </c>
      <c r="C10" s="193" t="s">
        <v>1508</v>
      </c>
      <c r="D10" s="46" t="s">
        <v>1509</v>
      </c>
      <c r="E10" s="46" t="e">
        <v>#N/A</v>
      </c>
    </row>
    <row r="11">
      <c r="A11" s="46">
        <v>7509.0</v>
      </c>
      <c r="B11" s="46" t="s">
        <v>1510</v>
      </c>
      <c r="C11" s="193" t="s">
        <v>1511</v>
      </c>
      <c r="D11" s="46" t="s">
        <v>1512</v>
      </c>
      <c r="E11" s="46" t="e">
        <v>#N/A</v>
      </c>
    </row>
    <row r="12">
      <c r="A12" s="46">
        <v>7510.0</v>
      </c>
      <c r="B12" s="46" t="s">
        <v>1513</v>
      </c>
      <c r="C12" s="193" t="s">
        <v>1514</v>
      </c>
      <c r="D12" s="46" t="s">
        <v>1515</v>
      </c>
      <c r="E12" s="46" t="e">
        <v>#N/A</v>
      </c>
    </row>
    <row r="13">
      <c r="A13" s="46">
        <v>7511.0</v>
      </c>
      <c r="B13" s="46" t="s">
        <v>1516</v>
      </c>
      <c r="C13" s="193" t="s">
        <v>1517</v>
      </c>
      <c r="D13" s="46" t="s">
        <v>714</v>
      </c>
      <c r="E13" s="46" t="e">
        <v>#N/A</v>
      </c>
    </row>
    <row r="14">
      <c r="A14" s="46">
        <v>7512.0</v>
      </c>
      <c r="B14" s="46" t="s">
        <v>1518</v>
      </c>
      <c r="C14" s="193" t="s">
        <v>1519</v>
      </c>
      <c r="D14" s="46" t="s">
        <v>32</v>
      </c>
      <c r="E14" s="46" t="e">
        <v>#N/A</v>
      </c>
    </row>
    <row r="15">
      <c r="A15" s="46">
        <v>7513.0</v>
      </c>
      <c r="B15" s="46" t="s">
        <v>1520</v>
      </c>
      <c r="C15" s="193" t="s">
        <v>1521</v>
      </c>
      <c r="D15" s="46" t="s">
        <v>80</v>
      </c>
      <c r="E15" s="46" t="e">
        <v>#N/A</v>
      </c>
    </row>
    <row r="16">
      <c r="A16" s="46">
        <v>7514.0</v>
      </c>
      <c r="B16" s="46" t="s">
        <v>1522</v>
      </c>
      <c r="C16" s="193" t="s">
        <v>1523</v>
      </c>
      <c r="D16" s="46" t="s">
        <v>1524</v>
      </c>
      <c r="E16" s="46" t="e">
        <v>#N/A</v>
      </c>
    </row>
    <row r="17">
      <c r="A17" s="46">
        <v>7515.0</v>
      </c>
      <c r="B17" s="46" t="s">
        <v>1525</v>
      </c>
      <c r="C17" s="193" t="s">
        <v>1526</v>
      </c>
      <c r="D17" s="46" t="s">
        <v>605</v>
      </c>
      <c r="E17" s="46" t="e">
        <v>#N/A</v>
      </c>
    </row>
    <row r="18">
      <c r="A18" s="46">
        <v>7516.0</v>
      </c>
      <c r="B18" s="46" t="s">
        <v>1527</v>
      </c>
      <c r="C18" s="193" t="s">
        <v>1528</v>
      </c>
      <c r="E18" s="46" t="e">
        <v>#N/A</v>
      </c>
      <c r="F18" s="46" t="s">
        <v>1529</v>
      </c>
    </row>
    <row r="19">
      <c r="A19" s="46">
        <v>7517.0</v>
      </c>
      <c r="B19" s="46" t="s">
        <v>1530</v>
      </c>
      <c r="C19" s="193" t="s">
        <v>1531</v>
      </c>
      <c r="D19" s="46" t="s">
        <v>132</v>
      </c>
      <c r="E19" s="46" t="e">
        <v>#N/A</v>
      </c>
    </row>
    <row r="20">
      <c r="A20" s="46">
        <v>7518.0</v>
      </c>
      <c r="B20" s="46" t="s">
        <v>1532</v>
      </c>
      <c r="C20" s="193" t="s">
        <v>1533</v>
      </c>
      <c r="D20" s="46" t="s">
        <v>1534</v>
      </c>
      <c r="E20" s="46" t="e">
        <v>#N/A</v>
      </c>
      <c r="F20" s="46" t="s">
        <v>1535</v>
      </c>
    </row>
    <row r="21">
      <c r="A21" s="46">
        <v>7519.0</v>
      </c>
      <c r="B21" s="46" t="s">
        <v>1536</v>
      </c>
      <c r="C21" s="193" t="s">
        <v>1537</v>
      </c>
      <c r="D21" s="46" t="s">
        <v>60</v>
      </c>
      <c r="E21" s="46" t="e">
        <v>#N/A</v>
      </c>
    </row>
    <row r="22">
      <c r="A22" s="46">
        <v>7520.0</v>
      </c>
      <c r="B22" s="46" t="s">
        <v>1538</v>
      </c>
      <c r="C22" s="193" t="s">
        <v>1539</v>
      </c>
      <c r="D22" s="46" t="s">
        <v>632</v>
      </c>
      <c r="E22" s="46" t="e">
        <v>#N/A</v>
      </c>
    </row>
    <row r="23">
      <c r="A23" s="46">
        <v>7521.0</v>
      </c>
      <c r="B23" s="46" t="s">
        <v>1540</v>
      </c>
      <c r="C23" s="193" t="s">
        <v>1541</v>
      </c>
      <c r="D23" s="46" t="s">
        <v>455</v>
      </c>
      <c r="E23" s="46" t="e">
        <v>#N/A</v>
      </c>
    </row>
    <row r="24">
      <c r="A24" s="46">
        <v>7522.0</v>
      </c>
      <c r="B24" s="46" t="s">
        <v>1542</v>
      </c>
      <c r="C24" s="193" t="s">
        <v>1543</v>
      </c>
      <c r="D24" s="46" t="s">
        <v>638</v>
      </c>
      <c r="E24" s="46" t="e">
        <v>#N/A</v>
      </c>
    </row>
    <row r="25">
      <c r="A25" s="46">
        <v>7523.0</v>
      </c>
      <c r="B25" s="46" t="s">
        <v>1544</v>
      </c>
      <c r="C25" s="193" t="s">
        <v>1545</v>
      </c>
      <c r="D25" s="46" t="s">
        <v>823</v>
      </c>
      <c r="E25" s="46" t="e">
        <v>#N/A</v>
      </c>
    </row>
    <row r="26">
      <c r="A26" s="46">
        <v>7524.0</v>
      </c>
      <c r="B26" s="46" t="s">
        <v>1546</v>
      </c>
      <c r="C26" s="193" t="s">
        <v>1547</v>
      </c>
      <c r="D26" s="46" t="s">
        <v>1548</v>
      </c>
      <c r="E26" s="46" t="e">
        <v>#N/A</v>
      </c>
    </row>
    <row r="27">
      <c r="A27" s="46">
        <v>7525.0</v>
      </c>
      <c r="B27" s="46" t="s">
        <v>1549</v>
      </c>
      <c r="C27" s="193" t="s">
        <v>1550</v>
      </c>
      <c r="D27" s="46" t="s">
        <v>120</v>
      </c>
      <c r="E27" s="46" t="e">
        <v>#N/A</v>
      </c>
    </row>
    <row r="28">
      <c r="A28" s="46">
        <v>7526.0</v>
      </c>
      <c r="B28" s="46" t="s">
        <v>1551</v>
      </c>
      <c r="C28" s="193" t="s">
        <v>1552</v>
      </c>
      <c r="D28" s="46" t="s">
        <v>1121</v>
      </c>
      <c r="E28" s="46" t="e">
        <v>#N/A</v>
      </c>
    </row>
    <row r="29">
      <c r="A29" s="46">
        <v>7527.0</v>
      </c>
      <c r="B29" s="46" t="s">
        <v>1553</v>
      </c>
      <c r="C29" s="193" t="s">
        <v>1554</v>
      </c>
      <c r="D29" s="46" t="s">
        <v>233</v>
      </c>
      <c r="E29" s="46" t="e">
        <v>#N/A</v>
      </c>
    </row>
    <row r="30">
      <c r="A30" s="46">
        <v>7528.0</v>
      </c>
      <c r="B30" s="46" t="s">
        <v>1555</v>
      </c>
      <c r="C30" s="193" t="s">
        <v>1556</v>
      </c>
      <c r="D30" s="46" t="s">
        <v>646</v>
      </c>
      <c r="E30" s="46" t="e">
        <v>#N/A</v>
      </c>
    </row>
    <row r="31">
      <c r="A31" s="46">
        <v>7529.0</v>
      </c>
      <c r="B31" s="46" t="s">
        <v>1557</v>
      </c>
      <c r="C31" s="193" t="s">
        <v>1558</v>
      </c>
      <c r="D31" s="46" t="s">
        <v>376</v>
      </c>
      <c r="E31" s="46" t="e">
        <v>#N/A</v>
      </c>
    </row>
    <row r="32">
      <c r="A32" s="46">
        <v>7530.0</v>
      </c>
      <c r="B32" s="46" t="s">
        <v>1559</v>
      </c>
      <c r="C32" s="193" t="s">
        <v>1560</v>
      </c>
      <c r="D32" s="46" t="s">
        <v>311</v>
      </c>
      <c r="E32" s="46" t="e">
        <v>#N/A</v>
      </c>
    </row>
    <row r="33">
      <c r="A33" s="46">
        <v>7531.0</v>
      </c>
      <c r="B33" s="46" t="s">
        <v>1561</v>
      </c>
      <c r="C33" s="193" t="s">
        <v>1562</v>
      </c>
      <c r="D33" s="46" t="s">
        <v>459</v>
      </c>
      <c r="E33" s="46" t="e">
        <v>#N/A</v>
      </c>
    </row>
    <row r="34">
      <c r="A34" s="46">
        <v>7532.0</v>
      </c>
      <c r="B34" s="46" t="s">
        <v>1563</v>
      </c>
      <c r="C34" s="193" t="s">
        <v>1564</v>
      </c>
      <c r="D34" s="46" t="s">
        <v>524</v>
      </c>
      <c r="E34" s="46" t="e">
        <v>#N/A</v>
      </c>
    </row>
    <row r="35">
      <c r="A35" s="46">
        <v>7533.0</v>
      </c>
      <c r="B35" s="46" t="s">
        <v>1565</v>
      </c>
      <c r="C35" s="193" t="s">
        <v>1566</v>
      </c>
      <c r="D35" s="46" t="s">
        <v>1567</v>
      </c>
      <c r="E35" s="46" t="e">
        <v>#N/A</v>
      </c>
    </row>
    <row r="36">
      <c r="A36" s="46">
        <v>7534.0</v>
      </c>
      <c r="B36" s="46" t="s">
        <v>1568</v>
      </c>
      <c r="C36" s="193" t="s">
        <v>1569</v>
      </c>
      <c r="D36" s="46" t="s">
        <v>865</v>
      </c>
      <c r="E36" s="46" t="s">
        <v>1570</v>
      </c>
      <c r="G36" s="46" t="s">
        <v>1571</v>
      </c>
    </row>
    <row r="37">
      <c r="A37" s="46">
        <v>7535.0</v>
      </c>
      <c r="B37" s="46" t="s">
        <v>1572</v>
      </c>
      <c r="C37" s="193" t="s">
        <v>1573</v>
      </c>
      <c r="D37" s="46" t="s">
        <v>222</v>
      </c>
      <c r="E37" s="46" t="e">
        <v>#N/A</v>
      </c>
    </row>
    <row r="38">
      <c r="A38" s="46">
        <v>7536.0</v>
      </c>
      <c r="B38" s="46" t="s">
        <v>1574</v>
      </c>
      <c r="C38" s="193" t="s">
        <v>1575</v>
      </c>
      <c r="D38" s="46" t="s">
        <v>369</v>
      </c>
      <c r="E38" s="46" t="e">
        <v>#N/A</v>
      </c>
    </row>
    <row r="39">
      <c r="A39" s="46">
        <v>7537.0</v>
      </c>
      <c r="B39" s="46" t="s">
        <v>1576</v>
      </c>
      <c r="C39" s="193" t="s">
        <v>1577</v>
      </c>
      <c r="D39" s="46" t="s">
        <v>705</v>
      </c>
      <c r="E39" s="46" t="e">
        <v>#N/A</v>
      </c>
    </row>
    <row r="40">
      <c r="A40" s="46">
        <v>7538.0</v>
      </c>
      <c r="B40" s="46" t="s">
        <v>1578</v>
      </c>
      <c r="C40" s="193" t="s">
        <v>1579</v>
      </c>
      <c r="E40" s="46" t="s">
        <v>1580</v>
      </c>
    </row>
    <row r="41">
      <c r="A41" s="46">
        <v>7539.0</v>
      </c>
      <c r="B41" s="46" t="s">
        <v>1581</v>
      </c>
      <c r="C41" s="193" t="s">
        <v>1582</v>
      </c>
      <c r="E41" s="46" t="s">
        <v>1583</v>
      </c>
    </row>
    <row r="42">
      <c r="A42" s="46">
        <v>7540.0</v>
      </c>
      <c r="B42" s="46" t="s">
        <v>1584</v>
      </c>
      <c r="C42" s="193" t="s">
        <v>1585</v>
      </c>
      <c r="D42" s="46" t="s">
        <v>323</v>
      </c>
      <c r="E42" s="46" t="e">
        <v>#N/A</v>
      </c>
    </row>
    <row r="43">
      <c r="A43" s="46">
        <v>7541.0</v>
      </c>
      <c r="B43" s="46" t="s">
        <v>1586</v>
      </c>
      <c r="C43" s="193" t="s">
        <v>1587</v>
      </c>
      <c r="D43" s="46" t="s">
        <v>642</v>
      </c>
      <c r="E43" s="46" t="e">
        <v>#N/A</v>
      </c>
    </row>
    <row r="44">
      <c r="A44" s="46">
        <v>7542.0</v>
      </c>
      <c r="B44" s="46" t="s">
        <v>1588</v>
      </c>
      <c r="C44" s="193" t="s">
        <v>1589</v>
      </c>
      <c r="D44" s="46" t="s">
        <v>681</v>
      </c>
      <c r="E44" s="46" t="e">
        <v>#N/A</v>
      </c>
    </row>
    <row r="45">
      <c r="A45" s="46">
        <v>7543.0</v>
      </c>
      <c r="B45" s="46" t="s">
        <v>1590</v>
      </c>
      <c r="C45" s="193" t="s">
        <v>1591</v>
      </c>
      <c r="D45" s="46" t="s">
        <v>293</v>
      </c>
      <c r="E45" s="46" t="e">
        <v>#N/A</v>
      </c>
    </row>
    <row r="46">
      <c r="A46" s="46">
        <v>7544.0</v>
      </c>
      <c r="B46" s="46" t="s">
        <v>1592</v>
      </c>
      <c r="C46" s="193" t="s">
        <v>1593</v>
      </c>
      <c r="D46" s="46" t="s">
        <v>574</v>
      </c>
      <c r="E46" s="46" t="e">
        <v>#N/A</v>
      </c>
    </row>
    <row r="47">
      <c r="A47" s="46">
        <v>7545.0</v>
      </c>
      <c r="B47" s="46" t="s">
        <v>1594</v>
      </c>
      <c r="C47" s="193" t="s">
        <v>1595</v>
      </c>
      <c r="D47" s="46" t="s">
        <v>527</v>
      </c>
      <c r="E47" s="46" t="e">
        <v>#N/A</v>
      </c>
    </row>
    <row r="48">
      <c r="A48" s="46">
        <v>7546.0</v>
      </c>
      <c r="B48" s="46" t="s">
        <v>1596</v>
      </c>
      <c r="C48" s="193" t="s">
        <v>1597</v>
      </c>
      <c r="D48" s="46" t="s">
        <v>172</v>
      </c>
      <c r="E48" s="46" t="e">
        <v>#N/A</v>
      </c>
    </row>
    <row r="49">
      <c r="A49" s="46">
        <v>7547.0</v>
      </c>
      <c r="B49" s="46" t="s">
        <v>1598</v>
      </c>
      <c r="C49" s="193" t="s">
        <v>1599</v>
      </c>
      <c r="D49" s="46" t="s">
        <v>1600</v>
      </c>
      <c r="E49" s="46" t="e">
        <v>#N/A</v>
      </c>
    </row>
    <row r="50">
      <c r="A50" s="46">
        <v>7548.0</v>
      </c>
      <c r="B50" s="46" t="s">
        <v>1601</v>
      </c>
      <c r="C50" s="193" t="s">
        <v>1602</v>
      </c>
      <c r="D50" s="46" t="s">
        <v>1603</v>
      </c>
      <c r="E50" s="46" t="e">
        <v>#N/A</v>
      </c>
    </row>
    <row r="51">
      <c r="A51" s="46">
        <v>7549.0</v>
      </c>
      <c r="B51" s="46" t="s">
        <v>1604</v>
      </c>
      <c r="C51" s="193" t="s">
        <v>1605</v>
      </c>
      <c r="D51" s="46" t="s">
        <v>1606</v>
      </c>
      <c r="E51" s="46" t="e">
        <v>#N/A</v>
      </c>
    </row>
    <row r="52">
      <c r="A52" s="46">
        <v>7550.0</v>
      </c>
      <c r="B52" s="46" t="s">
        <v>1607</v>
      </c>
      <c r="C52" s="193" t="s">
        <v>1608</v>
      </c>
      <c r="D52" s="46" t="s">
        <v>289</v>
      </c>
      <c r="E52" s="46" t="e">
        <v>#N/A</v>
      </c>
    </row>
    <row r="53">
      <c r="A53" s="46">
        <v>7551.0</v>
      </c>
      <c r="B53" s="46" t="s">
        <v>1609</v>
      </c>
      <c r="C53" s="193" t="s">
        <v>1610</v>
      </c>
      <c r="D53" s="46" t="s">
        <v>718</v>
      </c>
      <c r="E53" s="46" t="e">
        <v>#N/A</v>
      </c>
    </row>
    <row r="54">
      <c r="A54" s="46">
        <v>7552.0</v>
      </c>
      <c r="B54" s="46" t="s">
        <v>1611</v>
      </c>
      <c r="C54" s="193" t="s">
        <v>1612</v>
      </c>
      <c r="D54" s="46" t="s">
        <v>200</v>
      </c>
      <c r="E54" s="46" t="e">
        <v>#N/A</v>
      </c>
    </row>
    <row r="55">
      <c r="A55" s="46">
        <v>7553.0</v>
      </c>
      <c r="B55" s="46" t="s">
        <v>1613</v>
      </c>
      <c r="C55" s="193" t="s">
        <v>1614</v>
      </c>
      <c r="D55" s="46" t="s">
        <v>195</v>
      </c>
      <c r="E55" s="46" t="e">
        <v>#N/A</v>
      </c>
    </row>
    <row r="56">
      <c r="A56" s="46">
        <v>7554.0</v>
      </c>
      <c r="B56" s="46" t="s">
        <v>1615</v>
      </c>
      <c r="C56" s="193" t="s">
        <v>1616</v>
      </c>
      <c r="E56" s="46" t="s">
        <v>1617</v>
      </c>
    </row>
    <row r="57">
      <c r="A57" s="46">
        <v>7555.0</v>
      </c>
      <c r="B57" s="46" t="s">
        <v>1618</v>
      </c>
      <c r="C57" s="193" t="s">
        <v>1619</v>
      </c>
      <c r="D57" s="46" t="s">
        <v>372</v>
      </c>
      <c r="E57" s="46" t="e">
        <v>#N/A</v>
      </c>
    </row>
    <row r="58">
      <c r="A58" s="46">
        <v>7556.0</v>
      </c>
      <c r="B58" s="46" t="s">
        <v>1620</v>
      </c>
      <c r="C58" s="193" t="s">
        <v>1621</v>
      </c>
      <c r="D58" s="46" t="s">
        <v>740</v>
      </c>
      <c r="E58" s="46" t="e">
        <v>#N/A</v>
      </c>
    </row>
    <row r="59">
      <c r="A59" s="46">
        <v>7557.0</v>
      </c>
      <c r="B59" s="46" t="s">
        <v>1622</v>
      </c>
      <c r="C59" s="193" t="s">
        <v>1623</v>
      </c>
      <c r="D59" s="46" t="s">
        <v>1624</v>
      </c>
      <c r="E59" s="46" t="e">
        <v>#N/A</v>
      </c>
    </row>
    <row r="60">
      <c r="A60" s="46">
        <v>7558.0</v>
      </c>
      <c r="B60" s="46" t="s">
        <v>1625</v>
      </c>
      <c r="C60" s="193" t="s">
        <v>1626</v>
      </c>
      <c r="D60" s="46" t="s">
        <v>1627</v>
      </c>
      <c r="E60" s="46" t="e">
        <v>#N/A</v>
      </c>
    </row>
    <row r="61">
      <c r="A61" s="46">
        <v>7559.0</v>
      </c>
      <c r="B61" s="46" t="s">
        <v>1628</v>
      </c>
      <c r="C61" s="193" t="s">
        <v>1629</v>
      </c>
      <c r="D61" s="46" t="s">
        <v>124</v>
      </c>
      <c r="E61" s="46" t="e">
        <v>#N/A</v>
      </c>
    </row>
    <row r="62">
      <c r="A62" s="46">
        <v>7560.0</v>
      </c>
      <c r="B62" s="46" t="s">
        <v>1630</v>
      </c>
      <c r="C62" s="193" t="s">
        <v>1631</v>
      </c>
      <c r="D62" s="46" t="s">
        <v>348</v>
      </c>
      <c r="E62" s="46" t="e">
        <v>#N/A</v>
      </c>
    </row>
    <row r="63">
      <c r="A63" s="46">
        <v>7561.0</v>
      </c>
      <c r="B63" s="46" t="s">
        <v>1632</v>
      </c>
      <c r="C63" s="193" t="s">
        <v>1633</v>
      </c>
      <c r="D63" s="46" t="s">
        <v>1634</v>
      </c>
      <c r="E63" s="46" t="e">
        <v>#N/A</v>
      </c>
    </row>
    <row r="64">
      <c r="A64" s="46">
        <v>7562.0</v>
      </c>
      <c r="B64" s="46" t="s">
        <v>1635</v>
      </c>
      <c r="C64" s="193" t="s">
        <v>1636</v>
      </c>
      <c r="D64" s="46" t="s">
        <v>466</v>
      </c>
      <c r="E64" s="46" t="e">
        <v>#N/A</v>
      </c>
    </row>
    <row r="65">
      <c r="A65" s="46">
        <v>7563.0</v>
      </c>
      <c r="B65" s="46" t="s">
        <v>1637</v>
      </c>
      <c r="C65" s="193" t="s">
        <v>1638</v>
      </c>
      <c r="D65" s="46" t="s">
        <v>476</v>
      </c>
      <c r="E65" s="46" t="e">
        <v>#N/A</v>
      </c>
    </row>
    <row r="66">
      <c r="A66" s="46">
        <v>7564.0</v>
      </c>
      <c r="B66" s="46" t="s">
        <v>1639</v>
      </c>
      <c r="C66" s="193" t="s">
        <v>1640</v>
      </c>
      <c r="D66" s="46" t="s">
        <v>541</v>
      </c>
      <c r="E66" s="46" t="e">
        <v>#N/A</v>
      </c>
    </row>
    <row r="67">
      <c r="A67" s="46">
        <v>7565.0</v>
      </c>
      <c r="B67" s="46" t="s">
        <v>1641</v>
      </c>
      <c r="C67" s="193" t="s">
        <v>1642</v>
      </c>
      <c r="E67" s="46" t="s">
        <v>1643</v>
      </c>
    </row>
    <row r="68">
      <c r="A68" s="46">
        <v>7566.0</v>
      </c>
      <c r="B68" s="46" t="s">
        <v>1644</v>
      </c>
      <c r="C68" s="193" t="s">
        <v>1645</v>
      </c>
      <c r="D68" s="46" t="s">
        <v>25</v>
      </c>
      <c r="E68" s="46" t="e">
        <v>#N/A</v>
      </c>
    </row>
    <row r="69">
      <c r="A69" s="46">
        <v>7567.0</v>
      </c>
      <c r="B69" s="46" t="s">
        <v>1646</v>
      </c>
      <c r="C69" s="193" t="s">
        <v>1647</v>
      </c>
      <c r="D69" s="46" t="s">
        <v>117</v>
      </c>
      <c r="E69" s="46" t="e">
        <v>#N/A</v>
      </c>
    </row>
    <row r="70">
      <c r="A70" s="46">
        <v>7568.0</v>
      </c>
      <c r="B70" s="46" t="s">
        <v>1648</v>
      </c>
      <c r="C70" s="193" t="s">
        <v>1649</v>
      </c>
      <c r="D70" s="46" t="s">
        <v>71</v>
      </c>
      <c r="E70" s="46" t="e">
        <v>#N/A</v>
      </c>
    </row>
    <row r="71">
      <c r="A71" s="46">
        <v>7569.0</v>
      </c>
      <c r="B71" s="46" t="s">
        <v>1650</v>
      </c>
      <c r="C71" s="193" t="s">
        <v>1651</v>
      </c>
      <c r="D71" s="46" t="s">
        <v>271</v>
      </c>
      <c r="E71" s="46" t="e">
        <v>#N/A</v>
      </c>
    </row>
    <row r="72">
      <c r="A72" s="46">
        <v>7570.0</v>
      </c>
      <c r="B72" s="46" t="s">
        <v>1652</v>
      </c>
      <c r="C72" s="193" t="s">
        <v>1653</v>
      </c>
      <c r="E72" s="46" t="s">
        <v>1654</v>
      </c>
    </row>
    <row r="73">
      <c r="A73" s="46">
        <v>7571.0</v>
      </c>
      <c r="B73" s="46" t="s">
        <v>1655</v>
      </c>
      <c r="C73" s="193" t="s">
        <v>1656</v>
      </c>
      <c r="D73" s="46" t="s">
        <v>582</v>
      </c>
      <c r="E73" s="46" t="e">
        <v>#N/A</v>
      </c>
    </row>
    <row r="74">
      <c r="A74" s="46">
        <v>7572.0</v>
      </c>
      <c r="B74" s="46" t="s">
        <v>1657</v>
      </c>
      <c r="C74" s="193" t="s">
        <v>1658</v>
      </c>
      <c r="D74" s="46" t="s">
        <v>684</v>
      </c>
      <c r="E74" s="46" t="e">
        <v>#N/A</v>
      </c>
    </row>
    <row r="75">
      <c r="A75" s="46">
        <v>7573.0</v>
      </c>
      <c r="B75" s="46" t="s">
        <v>1659</v>
      </c>
      <c r="C75" s="193" t="s">
        <v>1660</v>
      </c>
      <c r="D75" s="46" t="s">
        <v>828</v>
      </c>
      <c r="E75" s="46" t="e">
        <v>#N/A</v>
      </c>
    </row>
    <row r="76">
      <c r="A76" s="46">
        <v>7574.0</v>
      </c>
      <c r="B76" s="46" t="s">
        <v>1661</v>
      </c>
      <c r="C76" s="193" t="s">
        <v>1662</v>
      </c>
      <c r="D76" s="46"/>
      <c r="E76" s="46" t="s">
        <v>1663</v>
      </c>
    </row>
    <row r="77">
      <c r="A77" s="46">
        <v>7575.0</v>
      </c>
      <c r="B77" s="46" t="s">
        <v>1664</v>
      </c>
      <c r="C77" s="193" t="s">
        <v>1665</v>
      </c>
      <c r="D77" s="46" t="s">
        <v>439</v>
      </c>
      <c r="E77" s="46" t="e">
        <v>#N/A</v>
      </c>
    </row>
    <row r="78">
      <c r="A78" s="46">
        <v>7576.0</v>
      </c>
      <c r="B78" s="46" t="s">
        <v>1666</v>
      </c>
      <c r="C78" s="193" t="s">
        <v>1667</v>
      </c>
      <c r="D78" s="46" t="s">
        <v>508</v>
      </c>
      <c r="E78" s="46" t="e">
        <v>#N/A</v>
      </c>
    </row>
    <row r="79">
      <c r="A79" s="46">
        <v>7577.0</v>
      </c>
      <c r="B79" s="46" t="s">
        <v>1668</v>
      </c>
      <c r="C79" s="193" t="s">
        <v>1669</v>
      </c>
      <c r="D79" s="46" t="s">
        <v>660</v>
      </c>
      <c r="E79" s="46" t="e">
        <v>#N/A</v>
      </c>
    </row>
    <row r="80">
      <c r="A80" s="46">
        <v>7578.0</v>
      </c>
      <c r="B80" s="46" t="s">
        <v>1670</v>
      </c>
      <c r="C80" s="193" t="s">
        <v>1671</v>
      </c>
      <c r="D80" s="46" t="s">
        <v>568</v>
      </c>
      <c r="E80" s="46" t="e">
        <v>#N/A</v>
      </c>
    </row>
    <row r="81">
      <c r="A81" s="46">
        <v>7579.0</v>
      </c>
      <c r="B81" s="46" t="s">
        <v>1672</v>
      </c>
      <c r="C81" s="193" t="s">
        <v>1673</v>
      </c>
      <c r="D81" s="46" t="s">
        <v>463</v>
      </c>
      <c r="E81" s="46" t="e">
        <v>#N/A</v>
      </c>
    </row>
    <row r="82">
      <c r="A82" s="46">
        <v>7580.0</v>
      </c>
      <c r="B82" s="46" t="s">
        <v>1674</v>
      </c>
      <c r="C82" s="193" t="s">
        <v>1675</v>
      </c>
      <c r="D82" s="46" t="s">
        <v>818</v>
      </c>
      <c r="E82" s="46" t="e">
        <v>#N/A</v>
      </c>
    </row>
    <row r="83">
      <c r="A83" s="46">
        <v>7581.0</v>
      </c>
      <c r="B83" s="46" t="s">
        <v>1676</v>
      </c>
      <c r="C83" s="193" t="s">
        <v>1677</v>
      </c>
      <c r="D83" s="46" t="s">
        <v>187</v>
      </c>
      <c r="E83" s="46" t="e">
        <v>#N/A</v>
      </c>
    </row>
    <row r="84">
      <c r="A84" s="46">
        <v>7582.0</v>
      </c>
      <c r="B84" s="46" t="s">
        <v>1678</v>
      </c>
      <c r="C84" s="193" t="s">
        <v>1679</v>
      </c>
      <c r="D84" s="46" t="s">
        <v>366</v>
      </c>
      <c r="E84" s="46" t="e">
        <v>#N/A</v>
      </c>
    </row>
    <row r="85">
      <c r="A85" s="46">
        <v>7583.0</v>
      </c>
      <c r="B85" s="46" t="s">
        <v>1680</v>
      </c>
      <c r="C85" s="193" t="s">
        <v>1681</v>
      </c>
      <c r="D85" s="46" t="s">
        <v>687</v>
      </c>
      <c r="E85" s="46" t="e">
        <v>#N/A</v>
      </c>
    </row>
    <row r="86">
      <c r="A86" s="46">
        <v>7584.0</v>
      </c>
      <c r="B86" s="46" t="s">
        <v>1682</v>
      </c>
      <c r="C86" s="193" t="s">
        <v>1683</v>
      </c>
      <c r="D86" s="46" t="s">
        <v>278</v>
      </c>
      <c r="E86" s="46" t="e">
        <v>#N/A</v>
      </c>
    </row>
    <row r="87">
      <c r="A87" s="46">
        <v>7585.0</v>
      </c>
      <c r="B87" s="46" t="s">
        <v>1684</v>
      </c>
      <c r="C87" s="193" t="s">
        <v>1685</v>
      </c>
      <c r="D87" s="46" t="s">
        <v>500</v>
      </c>
      <c r="E87" s="46" t="e">
        <v>#N/A</v>
      </c>
    </row>
    <row r="88">
      <c r="A88" s="46">
        <v>7586.0</v>
      </c>
      <c r="B88" s="46" t="s">
        <v>1686</v>
      </c>
      <c r="C88" s="193" t="s">
        <v>1687</v>
      </c>
      <c r="D88" s="46" t="s">
        <v>710</v>
      </c>
      <c r="E88" s="46" t="e">
        <v>#N/A</v>
      </c>
    </row>
    <row r="89">
      <c r="A89" s="46">
        <v>7587.0</v>
      </c>
      <c r="B89" s="46" t="s">
        <v>1688</v>
      </c>
      <c r="C89" s="193" t="s">
        <v>1689</v>
      </c>
      <c r="D89" s="46" t="s">
        <v>427</v>
      </c>
      <c r="E89" s="46" t="e">
        <v>#N/A</v>
      </c>
    </row>
    <row r="90">
      <c r="A90" s="46">
        <v>7588.0</v>
      </c>
      <c r="B90" s="46" t="s">
        <v>1690</v>
      </c>
      <c r="C90" s="193" t="s">
        <v>1691</v>
      </c>
      <c r="D90" s="46" t="s">
        <v>169</v>
      </c>
      <c r="E90" s="46" t="e">
        <v>#N/A</v>
      </c>
    </row>
    <row r="91">
      <c r="A91" s="46">
        <v>7589.0</v>
      </c>
      <c r="B91" s="46" t="s">
        <v>1692</v>
      </c>
      <c r="C91" s="193" t="s">
        <v>1693</v>
      </c>
      <c r="D91" s="46" t="s">
        <v>236</v>
      </c>
      <c r="E91" s="46" t="e">
        <v>#N/A</v>
      </c>
    </row>
    <row r="92">
      <c r="A92" s="46">
        <v>7590.0</v>
      </c>
      <c r="B92" s="46" t="s">
        <v>1694</v>
      </c>
      <c r="C92" s="193" t="s">
        <v>1695</v>
      </c>
      <c r="D92" s="46" t="s">
        <v>402</v>
      </c>
      <c r="E92" s="46" t="e">
        <v>#N/A</v>
      </c>
    </row>
    <row r="93">
      <c r="A93" s="46">
        <v>7591.0</v>
      </c>
      <c r="B93" s="46" t="s">
        <v>1696</v>
      </c>
      <c r="C93" s="193" t="s">
        <v>1697</v>
      </c>
      <c r="D93" s="46" t="s">
        <v>75</v>
      </c>
      <c r="E93" s="46" t="e">
        <v>#N/A</v>
      </c>
    </row>
    <row r="94">
      <c r="A94" s="46">
        <v>7592.0</v>
      </c>
      <c r="B94" s="46" t="s">
        <v>1698</v>
      </c>
      <c r="C94" s="193" t="s">
        <v>1699</v>
      </c>
      <c r="D94" s="46" t="s">
        <v>1700</v>
      </c>
      <c r="E94" s="46" t="e">
        <v>#N/A</v>
      </c>
    </row>
    <row r="95">
      <c r="A95" s="46">
        <v>7593.0</v>
      </c>
      <c r="B95" s="46" t="s">
        <v>1701</v>
      </c>
      <c r="C95" s="193" t="s">
        <v>1702</v>
      </c>
      <c r="D95" s="46" t="s">
        <v>412</v>
      </c>
      <c r="E95" s="46" t="e">
        <v>#N/A</v>
      </c>
    </row>
    <row r="96">
      <c r="A96" s="46">
        <v>7594.0</v>
      </c>
      <c r="B96" s="46" t="s">
        <v>1703</v>
      </c>
      <c r="C96" s="193" t="s">
        <v>1704</v>
      </c>
      <c r="D96" s="46" t="s">
        <v>39</v>
      </c>
      <c r="E96" s="46" t="e">
        <v>#N/A</v>
      </c>
    </row>
    <row r="97">
      <c r="A97" s="46">
        <v>7595.0</v>
      </c>
      <c r="B97" s="46" t="s">
        <v>1705</v>
      </c>
      <c r="C97" s="193" t="s">
        <v>1706</v>
      </c>
      <c r="D97" s="46" t="s">
        <v>503</v>
      </c>
      <c r="E97" s="46" t="e">
        <v>#N/A</v>
      </c>
    </row>
    <row r="98">
      <c r="A98" s="46">
        <v>7596.0</v>
      </c>
      <c r="B98" s="46" t="s">
        <v>1707</v>
      </c>
      <c r="C98" s="193" t="s">
        <v>1708</v>
      </c>
      <c r="D98" s="46" t="s">
        <v>337</v>
      </c>
      <c r="E98" s="46" t="e">
        <v>#N/A</v>
      </c>
    </row>
    <row r="99">
      <c r="A99" s="46">
        <v>7597.0</v>
      </c>
      <c r="B99" s="46" t="s">
        <v>1709</v>
      </c>
      <c r="C99" s="193" t="s">
        <v>1710</v>
      </c>
      <c r="D99" s="46" t="s">
        <v>341</v>
      </c>
      <c r="E99" s="46" t="e">
        <v>#N/A</v>
      </c>
    </row>
    <row r="100">
      <c r="A100" s="46">
        <v>7598.0</v>
      </c>
      <c r="B100" s="46" t="s">
        <v>1711</v>
      </c>
      <c r="C100" s="193" t="s">
        <v>1712</v>
      </c>
      <c r="D100" s="46" t="s">
        <v>1713</v>
      </c>
      <c r="E100" s="46" t="e">
        <v>#N/A</v>
      </c>
    </row>
    <row r="101">
      <c r="A101" s="46">
        <v>7599.0</v>
      </c>
      <c r="B101" s="46" t="s">
        <v>1714</v>
      </c>
      <c r="C101" s="193" t="s">
        <v>1715</v>
      </c>
      <c r="E101" s="46" t="s">
        <v>1716</v>
      </c>
    </row>
    <row r="102">
      <c r="A102" s="46">
        <v>7600.0</v>
      </c>
      <c r="B102" s="46" t="s">
        <v>1717</v>
      </c>
      <c r="C102" s="193" t="s">
        <v>1718</v>
      </c>
      <c r="D102" s="46" t="s">
        <v>160</v>
      </c>
      <c r="E102" s="46" t="e">
        <v>#N/A</v>
      </c>
    </row>
    <row r="103">
      <c r="A103" s="46">
        <v>7601.0</v>
      </c>
      <c r="B103" s="46" t="s">
        <v>1719</v>
      </c>
      <c r="C103" s="193" t="s">
        <v>1720</v>
      </c>
      <c r="D103" s="46" t="s">
        <v>382</v>
      </c>
      <c r="E103" s="46" t="e">
        <v>#N/A</v>
      </c>
    </row>
    <row r="104">
      <c r="A104" s="46">
        <v>7602.0</v>
      </c>
      <c r="B104" s="46" t="s">
        <v>1721</v>
      </c>
      <c r="C104" s="193" t="s">
        <v>1722</v>
      </c>
      <c r="D104" s="46" t="s">
        <v>856</v>
      </c>
      <c r="E104" s="46" t="s">
        <v>1723</v>
      </c>
    </row>
    <row r="105">
      <c r="A105" s="46">
        <v>7603.0</v>
      </c>
      <c r="B105" s="46" t="s">
        <v>1724</v>
      </c>
      <c r="C105" s="193" t="s">
        <v>1725</v>
      </c>
      <c r="D105" s="46" t="s">
        <v>260</v>
      </c>
      <c r="E105" s="46" t="e">
        <v>#N/A</v>
      </c>
    </row>
    <row r="106">
      <c r="A106" s="46">
        <v>7604.0</v>
      </c>
      <c r="B106" s="46" t="s">
        <v>1726</v>
      </c>
      <c r="C106" s="193" t="s">
        <v>1727</v>
      </c>
      <c r="D106" s="46" t="s">
        <v>230</v>
      </c>
      <c r="E106" s="46" t="e">
        <v>#N/A</v>
      </c>
    </row>
    <row r="107">
      <c r="A107" s="46">
        <v>7605.0</v>
      </c>
      <c r="B107" s="46" t="s">
        <v>1728</v>
      </c>
      <c r="C107" s="193" t="s">
        <v>1729</v>
      </c>
      <c r="D107" s="46" t="s">
        <v>1730</v>
      </c>
      <c r="E107" s="46" t="e">
        <v>#N/A</v>
      </c>
    </row>
    <row r="108">
      <c r="A108" s="46">
        <v>7606.0</v>
      </c>
      <c r="B108" s="46" t="s">
        <v>1731</v>
      </c>
      <c r="C108" s="193" t="s">
        <v>1732</v>
      </c>
      <c r="D108" s="46" t="s">
        <v>473</v>
      </c>
      <c r="E108" s="46" t="e">
        <v>#N/A</v>
      </c>
    </row>
    <row r="109">
      <c r="A109" s="46">
        <v>7607.0</v>
      </c>
      <c r="B109" s="46" t="s">
        <v>1733</v>
      </c>
      <c r="C109" s="193" t="s">
        <v>1734</v>
      </c>
      <c r="E109" s="46" t="e">
        <v>#N/A</v>
      </c>
    </row>
    <row r="110">
      <c r="A110" s="46">
        <v>7608.0</v>
      </c>
      <c r="B110" s="46" t="s">
        <v>1735</v>
      </c>
      <c r="C110" s="193" t="s">
        <v>1736</v>
      </c>
      <c r="D110" s="46" t="s">
        <v>578</v>
      </c>
      <c r="E110" s="46" t="e">
        <v>#N/A</v>
      </c>
    </row>
    <row r="111">
      <c r="A111" s="46">
        <v>7609.0</v>
      </c>
      <c r="B111" s="46" t="s">
        <v>1737</v>
      </c>
      <c r="C111" s="193" t="s">
        <v>1738</v>
      </c>
      <c r="D111" s="46" t="s">
        <v>545</v>
      </c>
      <c r="E111" s="46" t="e">
        <v>#N/A</v>
      </c>
    </row>
    <row r="112">
      <c r="A112" s="46">
        <v>7610.0</v>
      </c>
      <c r="B112" s="46" t="s">
        <v>1739</v>
      </c>
      <c r="C112" s="193" t="s">
        <v>1740</v>
      </c>
      <c r="D112" s="46" t="s">
        <v>153</v>
      </c>
      <c r="E112" s="46" t="e">
        <v>#N/A</v>
      </c>
    </row>
    <row r="113">
      <c r="A113" s="46">
        <v>7611.0</v>
      </c>
      <c r="B113" s="46" t="s">
        <v>1741</v>
      </c>
      <c r="C113" s="193" t="s">
        <v>1742</v>
      </c>
      <c r="D113" s="46" t="s">
        <v>1743</v>
      </c>
      <c r="E113" s="46" t="e">
        <v>#N/A</v>
      </c>
    </row>
    <row r="114">
      <c r="A114" s="46">
        <v>7612.0</v>
      </c>
      <c r="B114" s="46" t="s">
        <v>1744</v>
      </c>
      <c r="C114" s="193" t="s">
        <v>1745</v>
      </c>
      <c r="D114" s="46" t="s">
        <v>521</v>
      </c>
      <c r="E114" s="46" t="e">
        <v>#N/A</v>
      </c>
    </row>
    <row r="115">
      <c r="A115" s="46">
        <v>7613.0</v>
      </c>
      <c r="B115" s="46" t="s">
        <v>1746</v>
      </c>
      <c r="C115" s="193" t="s">
        <v>1747</v>
      </c>
      <c r="D115" s="46" t="s">
        <v>447</v>
      </c>
      <c r="E115" s="46" t="e">
        <v>#N/A</v>
      </c>
    </row>
    <row r="116">
      <c r="A116" s="46">
        <v>7614.0</v>
      </c>
      <c r="B116" s="46" t="s">
        <v>1748</v>
      </c>
      <c r="C116" s="193" t="s">
        <v>1749</v>
      </c>
      <c r="D116" s="46" t="s">
        <v>430</v>
      </c>
      <c r="E116" s="46" t="e">
        <v>#N/A</v>
      </c>
    </row>
    <row r="117">
      <c r="A117" s="46">
        <v>7615.0</v>
      </c>
      <c r="B117" s="46" t="s">
        <v>1750</v>
      </c>
      <c r="C117" s="193" t="s">
        <v>1751</v>
      </c>
      <c r="D117" s="46" t="s">
        <v>391</v>
      </c>
      <c r="E117" s="46" t="e">
        <v>#N/A</v>
      </c>
    </row>
    <row r="118">
      <c r="A118" s="46">
        <v>7616.0</v>
      </c>
      <c r="B118" s="46" t="s">
        <v>1752</v>
      </c>
      <c r="C118" s="193" t="s">
        <v>1753</v>
      </c>
      <c r="D118" s="46" t="s">
        <v>592</v>
      </c>
      <c r="E118" s="46" t="e">
        <v>#N/A</v>
      </c>
    </row>
    <row r="119">
      <c r="A119" s="46">
        <v>7617.0</v>
      </c>
      <c r="B119" s="46" t="s">
        <v>1754</v>
      </c>
      <c r="C119" s="193" t="s">
        <v>1755</v>
      </c>
      <c r="D119" s="46" t="s">
        <v>517</v>
      </c>
      <c r="E119" s="46" t="e">
        <v>#N/A</v>
      </c>
    </row>
    <row r="120">
      <c r="A120" s="46">
        <v>7618.0</v>
      </c>
      <c r="B120" s="46" t="s">
        <v>1756</v>
      </c>
      <c r="C120" s="193" t="s">
        <v>1757</v>
      </c>
      <c r="D120" s="46" t="s">
        <v>135</v>
      </c>
      <c r="E120" s="46" t="e">
        <v>#N/A</v>
      </c>
    </row>
    <row r="121">
      <c r="A121" s="46">
        <v>7619.0</v>
      </c>
      <c r="B121" s="46" t="s">
        <v>1758</v>
      </c>
      <c r="C121" s="193" t="s">
        <v>1759</v>
      </c>
      <c r="D121" s="46" t="s">
        <v>626</v>
      </c>
      <c r="E121" s="46" t="e">
        <v>#N/A</v>
      </c>
    </row>
    <row r="122">
      <c r="A122" s="46">
        <v>7620.0</v>
      </c>
      <c r="B122" s="46" t="s">
        <v>1760</v>
      </c>
      <c r="C122" s="193" t="s">
        <v>1761</v>
      </c>
      <c r="D122" s="46" t="s">
        <v>395</v>
      </c>
      <c r="E122" s="46" t="e">
        <v>#N/A</v>
      </c>
    </row>
    <row r="123">
      <c r="A123" s="46">
        <v>7621.0</v>
      </c>
      <c r="B123" s="46" t="s">
        <v>1762</v>
      </c>
      <c r="C123" s="193" t="s">
        <v>1763</v>
      </c>
      <c r="E123" s="46" t="s">
        <v>1764</v>
      </c>
    </row>
    <row r="124">
      <c r="A124" s="46">
        <v>7622.0</v>
      </c>
      <c r="B124" s="46" t="s">
        <v>1765</v>
      </c>
      <c r="C124" s="193" t="s">
        <v>1766</v>
      </c>
      <c r="D124" s="46" t="s">
        <v>597</v>
      </c>
      <c r="E124" s="46" t="e">
        <v>#N/A</v>
      </c>
    </row>
    <row r="125">
      <c r="A125" s="46">
        <v>7623.0</v>
      </c>
      <c r="B125" s="46" t="s">
        <v>1767</v>
      </c>
      <c r="C125" s="193" t="s">
        <v>1768</v>
      </c>
      <c r="D125" s="46" t="s">
        <v>128</v>
      </c>
      <c r="E125" s="46" t="e">
        <v>#N/A</v>
      </c>
    </row>
    <row r="126">
      <c r="A126" s="46">
        <v>7624.0</v>
      </c>
      <c r="B126" s="46" t="s">
        <v>1769</v>
      </c>
      <c r="C126" s="193" t="s">
        <v>1770</v>
      </c>
      <c r="D126" s="46" t="s">
        <v>531</v>
      </c>
      <c r="E126" s="46" t="e">
        <v>#N/A</v>
      </c>
    </row>
    <row r="127">
      <c r="A127" s="46">
        <v>7625.0</v>
      </c>
      <c r="B127" s="46" t="s">
        <v>1771</v>
      </c>
      <c r="C127" s="193" t="s">
        <v>1772</v>
      </c>
      <c r="D127" s="46" t="s">
        <v>492</v>
      </c>
      <c r="E127" s="46" t="e">
        <v>#N/A</v>
      </c>
    </row>
    <row r="128">
      <c r="A128" s="46">
        <v>7626.0</v>
      </c>
      <c r="B128" s="46" t="s">
        <v>1773</v>
      </c>
      <c r="C128" s="193" t="s">
        <v>1774</v>
      </c>
      <c r="D128" s="46" t="s">
        <v>1775</v>
      </c>
      <c r="E128" s="46" t="e">
        <v>#N/A</v>
      </c>
    </row>
    <row r="129">
      <c r="A129" s="46">
        <v>7627.0</v>
      </c>
      <c r="B129" s="46" t="s">
        <v>1776</v>
      </c>
      <c r="C129" s="193" t="s">
        <v>1777</v>
      </c>
      <c r="D129" s="46" t="s">
        <v>246</v>
      </c>
      <c r="E129" s="46" t="e">
        <v>#N/A</v>
      </c>
    </row>
    <row r="130">
      <c r="A130" s="46">
        <v>7628.0</v>
      </c>
      <c r="B130" s="46" t="s">
        <v>1778</v>
      </c>
      <c r="C130" s="193" t="s">
        <v>1779</v>
      </c>
      <c r="D130" s="46" t="s">
        <v>1780</v>
      </c>
      <c r="E130" s="46" t="e">
        <v>#N/A</v>
      </c>
    </row>
    <row r="131">
      <c r="A131" s="46">
        <v>7629.0</v>
      </c>
      <c r="B131" s="46" t="s">
        <v>1781</v>
      </c>
      <c r="C131" s="193" t="s">
        <v>1782</v>
      </c>
      <c r="D131" s="46" t="s">
        <v>584</v>
      </c>
      <c r="E131" s="46" t="s">
        <v>1783</v>
      </c>
    </row>
    <row r="132">
      <c r="A132" s="46">
        <v>7630.0</v>
      </c>
      <c r="B132" s="46" t="s">
        <v>1784</v>
      </c>
      <c r="C132" s="193" t="s">
        <v>1785</v>
      </c>
      <c r="D132" s="46" t="s">
        <v>190</v>
      </c>
      <c r="E132" s="46" t="e">
        <v>#N/A</v>
      </c>
    </row>
    <row r="133">
      <c r="A133" s="46">
        <v>7631.0</v>
      </c>
      <c r="B133" s="46" t="s">
        <v>1786</v>
      </c>
      <c r="C133" s="193" t="s">
        <v>1787</v>
      </c>
      <c r="D133" s="46" t="s">
        <v>722</v>
      </c>
      <c r="E133" s="46" t="e">
        <v>#N/A</v>
      </c>
    </row>
    <row r="134">
      <c r="A134" s="46">
        <v>7632.0</v>
      </c>
      <c r="B134" s="46" t="s">
        <v>1788</v>
      </c>
      <c r="C134" s="193" t="s">
        <v>1789</v>
      </c>
      <c r="D134" s="46" t="s">
        <v>255</v>
      </c>
      <c r="E134" s="46" t="e">
        <v>#N/A</v>
      </c>
    </row>
    <row r="135">
      <c r="A135" s="46">
        <v>7633.0</v>
      </c>
      <c r="B135" s="46" t="s">
        <v>1790</v>
      </c>
      <c r="C135" s="193" t="s">
        <v>1791</v>
      </c>
      <c r="D135" s="46" t="s">
        <v>327</v>
      </c>
      <c r="E135" s="46" t="e">
        <v>#N/A</v>
      </c>
    </row>
    <row r="136">
      <c r="A136" s="46">
        <v>7634.0</v>
      </c>
      <c r="B136" s="46" t="s">
        <v>1792</v>
      </c>
      <c r="C136" s="193" t="s">
        <v>1793</v>
      </c>
      <c r="D136" s="46" t="s">
        <v>178</v>
      </c>
      <c r="E136" s="46" t="e">
        <v>#N/A</v>
      </c>
    </row>
    <row r="137">
      <c r="A137" s="46">
        <v>7635.0</v>
      </c>
      <c r="B137" s="46" t="s">
        <v>1794</v>
      </c>
      <c r="C137" s="193" t="s">
        <v>1795</v>
      </c>
      <c r="D137" s="46" t="s">
        <v>267</v>
      </c>
      <c r="E137" s="46" t="e">
        <v>#N/A</v>
      </c>
    </row>
    <row r="138">
      <c r="A138" s="46">
        <v>7636.0</v>
      </c>
      <c r="B138" s="46" t="s">
        <v>1796</v>
      </c>
      <c r="C138" s="193" t="s">
        <v>1797</v>
      </c>
      <c r="D138" s="46" t="s">
        <v>281</v>
      </c>
      <c r="E138" s="46" t="e">
        <v>#N/A</v>
      </c>
    </row>
    <row r="139">
      <c r="A139" s="46">
        <v>7637.0</v>
      </c>
      <c r="B139" s="46" t="s">
        <v>1798</v>
      </c>
      <c r="C139" s="193" t="s">
        <v>1799</v>
      </c>
      <c r="D139" s="46" t="s">
        <v>65</v>
      </c>
      <c r="E139" s="46" t="e">
        <v>#N/A</v>
      </c>
    </row>
    <row r="140">
      <c r="A140" s="46">
        <v>7638.0</v>
      </c>
      <c r="B140" s="46" t="s">
        <v>1800</v>
      </c>
      <c r="C140" s="193" t="s">
        <v>1801</v>
      </c>
      <c r="D140" s="46" t="s">
        <v>361</v>
      </c>
      <c r="E140" s="46" t="e">
        <v>#N/A</v>
      </c>
    </row>
    <row r="141">
      <c r="A141" s="46">
        <v>7639.0</v>
      </c>
      <c r="B141" s="46" t="s">
        <v>1802</v>
      </c>
      <c r="C141" s="193" t="s">
        <v>1803</v>
      </c>
      <c r="D141" s="46" t="s">
        <v>165</v>
      </c>
      <c r="E141" s="46" t="e">
        <v>#N/A</v>
      </c>
    </row>
    <row r="142">
      <c r="A142" s="46">
        <v>7640.0</v>
      </c>
      <c r="B142" s="46" t="s">
        <v>1804</v>
      </c>
      <c r="C142" s="193" t="s">
        <v>1805</v>
      </c>
      <c r="D142" s="46" t="s">
        <v>674</v>
      </c>
      <c r="E142" s="46" t="e">
        <v>#N/A</v>
      </c>
    </row>
    <row r="143">
      <c r="A143" s="46">
        <v>7641.0</v>
      </c>
      <c r="B143" s="46" t="s">
        <v>1806</v>
      </c>
      <c r="C143" s="193" t="s">
        <v>1807</v>
      </c>
      <c r="E143" s="46" t="s">
        <v>1808</v>
      </c>
    </row>
    <row r="144">
      <c r="A144" s="46">
        <v>7642.0</v>
      </c>
      <c r="B144" s="46" t="s">
        <v>1809</v>
      </c>
      <c r="C144" s="193" t="s">
        <v>1810</v>
      </c>
      <c r="D144" s="46" t="s">
        <v>240</v>
      </c>
      <c r="E144" s="46" t="e">
        <v>#N/A</v>
      </c>
    </row>
    <row r="145">
      <c r="A145" s="46">
        <v>7643.0</v>
      </c>
      <c r="B145" s="46" t="s">
        <v>1811</v>
      </c>
      <c r="C145" s="193" t="s">
        <v>1812</v>
      </c>
      <c r="D145" s="46" t="s">
        <v>183</v>
      </c>
      <c r="E145" s="46" t="e">
        <v>#N/A</v>
      </c>
    </row>
    <row r="146">
      <c r="A146" s="46">
        <v>7644.0</v>
      </c>
      <c r="B146" s="46" t="s">
        <v>1813</v>
      </c>
      <c r="C146" s="193" t="s">
        <v>1814</v>
      </c>
      <c r="D146" s="46" t="s">
        <v>102</v>
      </c>
      <c r="E146" s="46" t="e">
        <v>#N/A</v>
      </c>
    </row>
    <row r="147">
      <c r="A147" s="46">
        <v>7645.0</v>
      </c>
      <c r="B147" s="46" t="s">
        <v>1815</v>
      </c>
      <c r="C147" s="193" t="s">
        <v>1816</v>
      </c>
      <c r="D147" s="46" t="s">
        <v>484</v>
      </c>
      <c r="E147" s="46" t="e">
        <v>#N/A</v>
      </c>
    </row>
    <row r="148">
      <c r="A148" s="46">
        <v>7646.0</v>
      </c>
      <c r="B148" s="46" t="s">
        <v>1817</v>
      </c>
      <c r="C148" s="193" t="s">
        <v>1818</v>
      </c>
      <c r="D148" s="46" t="s">
        <v>352</v>
      </c>
      <c r="E148" s="46" t="e">
        <v>#N/A</v>
      </c>
    </row>
    <row r="149">
      <c r="A149" s="46">
        <v>7647.0</v>
      </c>
      <c r="B149" s="46" t="s">
        <v>1819</v>
      </c>
      <c r="C149" s="193" t="s">
        <v>1820</v>
      </c>
      <c r="D149" s="46" t="s">
        <v>357</v>
      </c>
      <c r="E149" s="46" t="e">
        <v>#N/A</v>
      </c>
    </row>
    <row r="150">
      <c r="A150" s="46">
        <v>7648.0</v>
      </c>
      <c r="B150" s="46" t="s">
        <v>1821</v>
      </c>
      <c r="C150" s="193" t="s">
        <v>1822</v>
      </c>
      <c r="D150" s="46" t="s">
        <v>140</v>
      </c>
      <c r="E150" s="46" t="e">
        <v>#N/A</v>
      </c>
    </row>
    <row r="151">
      <c r="A151" s="46">
        <v>7649.0</v>
      </c>
      <c r="B151" s="46" t="s">
        <v>1823</v>
      </c>
      <c r="C151" s="193" t="s">
        <v>1824</v>
      </c>
      <c r="D151" s="46" t="s">
        <v>602</v>
      </c>
      <c r="E151" s="46" t="e">
        <v>#N/A</v>
      </c>
    </row>
    <row r="152">
      <c r="A152" s="46">
        <v>7650.0</v>
      </c>
      <c r="B152" s="46" t="s">
        <v>1825</v>
      </c>
      <c r="C152" s="193" t="s">
        <v>1826</v>
      </c>
      <c r="D152" s="46" t="s">
        <v>587</v>
      </c>
      <c r="E152" s="46" t="e">
        <v>#N/A</v>
      </c>
    </row>
    <row r="153">
      <c r="A153" s="46">
        <v>7651.0</v>
      </c>
      <c r="B153" s="46" t="s">
        <v>1827</v>
      </c>
      <c r="C153" s="193" t="s">
        <v>1828</v>
      </c>
      <c r="D153" s="46" t="s">
        <v>450</v>
      </c>
      <c r="E153" s="46" t="e">
        <v>#N/A</v>
      </c>
    </row>
    <row r="154">
      <c r="A154" s="46">
        <v>7652.0</v>
      </c>
      <c r="B154" s="46" t="s">
        <v>1829</v>
      </c>
      <c r="C154" s="193" t="s">
        <v>1830</v>
      </c>
      <c r="D154" s="46" t="s">
        <v>496</v>
      </c>
      <c r="E154" s="46" t="s">
        <v>485</v>
      </c>
      <c r="F154" s="46" t="s">
        <v>1831</v>
      </c>
    </row>
    <row r="155">
      <c r="A155" s="46">
        <v>7653.0</v>
      </c>
      <c r="B155" s="46" t="s">
        <v>1832</v>
      </c>
      <c r="C155" s="193" t="s">
        <v>1833</v>
      </c>
      <c r="D155" s="46" t="s">
        <v>612</v>
      </c>
      <c r="E155" s="46" t="e">
        <v>#N/A</v>
      </c>
    </row>
    <row r="156">
      <c r="A156" s="46">
        <v>7654.0</v>
      </c>
      <c r="B156" s="46" t="s">
        <v>1834</v>
      </c>
      <c r="C156" s="193" t="s">
        <v>1835</v>
      </c>
      <c r="D156" s="46" t="s">
        <v>145</v>
      </c>
      <c r="E156" s="46" t="e">
        <v>#N/A</v>
      </c>
    </row>
    <row r="157">
      <c r="A157" s="46">
        <v>7655.0</v>
      </c>
      <c r="B157" s="46" t="s">
        <v>1836</v>
      </c>
      <c r="C157" s="193" t="s">
        <v>1837</v>
      </c>
      <c r="D157" s="46" t="s">
        <v>264</v>
      </c>
      <c r="E157" s="46" t="e">
        <v>#N/A</v>
      </c>
    </row>
    <row r="158">
      <c r="A158" s="46">
        <v>7656.0</v>
      </c>
      <c r="B158" s="46" t="s">
        <v>1838</v>
      </c>
      <c r="C158" s="193" t="s">
        <v>1839</v>
      </c>
      <c r="D158" s="46" t="s">
        <v>243</v>
      </c>
      <c r="E158" s="46" t="e">
        <v>#N/A</v>
      </c>
    </row>
    <row r="159">
      <c r="A159" s="46">
        <v>7657.0</v>
      </c>
      <c r="B159" s="46" t="s">
        <v>1840</v>
      </c>
      <c r="C159" s="193" t="s">
        <v>1841</v>
      </c>
      <c r="D159" s="46" t="s">
        <v>700</v>
      </c>
      <c r="E159" s="46" t="e">
        <v>#N/A</v>
      </c>
    </row>
    <row r="160">
      <c r="A160" s="46">
        <v>7658.0</v>
      </c>
      <c r="B160" s="46" t="s">
        <v>1842</v>
      </c>
      <c r="C160" s="193" t="s">
        <v>1843</v>
      </c>
      <c r="D160" s="46" t="s">
        <v>113</v>
      </c>
      <c r="E160" s="46" t="e">
        <v>#N/A</v>
      </c>
    </row>
    <row r="161">
      <c r="A161" s="46">
        <v>7659.0</v>
      </c>
      <c r="B161" s="46" t="s">
        <v>1844</v>
      </c>
      <c r="C161" s="193" t="s">
        <v>1845</v>
      </c>
      <c r="D161" s="46" t="s">
        <v>85</v>
      </c>
      <c r="E161" s="46" t="e">
        <v>#N/A</v>
      </c>
    </row>
    <row r="162">
      <c r="A162" s="46">
        <v>7660.0</v>
      </c>
      <c r="B162" s="46" t="s">
        <v>1846</v>
      </c>
      <c r="C162" s="193" t="s">
        <v>1847</v>
      </c>
      <c r="D162" s="46" t="s">
        <v>732</v>
      </c>
      <c r="E162" s="46" t="e">
        <v>#N/A</v>
      </c>
    </row>
    <row r="163">
      <c r="A163" s="46">
        <v>7661.0</v>
      </c>
      <c r="B163" s="46" t="s">
        <v>1848</v>
      </c>
      <c r="C163" s="193" t="s">
        <v>1849</v>
      </c>
      <c r="D163" s="46" t="s">
        <v>50</v>
      </c>
      <c r="E163" s="46" t="e">
        <v>#N/A</v>
      </c>
    </row>
    <row r="164">
      <c r="A164" s="46">
        <v>7662.0</v>
      </c>
      <c r="B164" s="46" t="s">
        <v>1850</v>
      </c>
      <c r="C164" s="193" t="s">
        <v>1851</v>
      </c>
      <c r="D164" s="46" t="s">
        <v>45</v>
      </c>
      <c r="E164" s="46" t="e">
        <v>#N/A</v>
      </c>
    </row>
    <row r="165">
      <c r="A165" s="46">
        <v>7663.0</v>
      </c>
      <c r="B165" s="46" t="s">
        <v>1852</v>
      </c>
      <c r="C165" s="193" t="s">
        <v>1853</v>
      </c>
      <c r="D165" s="46" t="s">
        <v>563</v>
      </c>
      <c r="E165" s="46" t="e">
        <v>#N/A</v>
      </c>
    </row>
    <row r="166">
      <c r="A166" s="46">
        <v>7664.0</v>
      </c>
      <c r="B166" s="46" t="s">
        <v>1854</v>
      </c>
      <c r="C166" s="193" t="s">
        <v>1855</v>
      </c>
      <c r="D166" s="46" t="s">
        <v>512</v>
      </c>
      <c r="E166" s="46" t="e">
        <v>#N/A</v>
      </c>
    </row>
    <row r="167">
      <c r="A167" s="46">
        <v>7665.0</v>
      </c>
      <c r="B167" s="46" t="s">
        <v>1856</v>
      </c>
      <c r="C167" s="193" t="s">
        <v>1857</v>
      </c>
      <c r="D167" s="46" t="s">
        <v>226</v>
      </c>
      <c r="E167" s="46" t="e">
        <v>#N/A</v>
      </c>
    </row>
    <row r="168">
      <c r="A168" s="46">
        <v>7666.0</v>
      </c>
      <c r="B168" s="46" t="s">
        <v>1858</v>
      </c>
      <c r="C168" s="193" t="s">
        <v>1859</v>
      </c>
      <c r="D168" s="46" t="s">
        <v>219</v>
      </c>
      <c r="E168" s="46" t="e">
        <v>#N/A</v>
      </c>
    </row>
    <row r="169">
      <c r="A169" s="46">
        <v>7667.0</v>
      </c>
      <c r="B169" s="46" t="s">
        <v>1860</v>
      </c>
      <c r="C169" s="193" t="s">
        <v>1861</v>
      </c>
      <c r="D169" s="46" t="s">
        <v>1862</v>
      </c>
      <c r="E169" s="46" t="e">
        <v>#N/A</v>
      </c>
    </row>
    <row r="170">
      <c r="A170" s="46">
        <v>7668.0</v>
      </c>
      <c r="B170" s="46" t="s">
        <v>1863</v>
      </c>
      <c r="C170" s="193" t="s">
        <v>1864</v>
      </c>
      <c r="D170" s="46" t="s">
        <v>92</v>
      </c>
      <c r="E170" s="46" t="e">
        <v>#N/A</v>
      </c>
    </row>
    <row r="171">
      <c r="A171" s="46">
        <v>7669.0</v>
      </c>
      <c r="B171" s="46" t="s">
        <v>1865</v>
      </c>
      <c r="C171" s="193" t="s">
        <v>1866</v>
      </c>
      <c r="D171" s="46" t="s">
        <v>677</v>
      </c>
      <c r="E171" s="46" t="e">
        <v>#N/A</v>
      </c>
    </row>
    <row r="172">
      <c r="A172" s="46">
        <v>7670.0</v>
      </c>
      <c r="B172" s="46" t="s">
        <v>1867</v>
      </c>
      <c r="C172" s="193" t="s">
        <v>1868</v>
      </c>
      <c r="D172" s="46" t="s">
        <v>1869</v>
      </c>
      <c r="E172" s="46" t="e">
        <v>#N/A</v>
      </c>
    </row>
    <row r="173">
      <c r="A173" s="46">
        <v>7671.0</v>
      </c>
      <c r="B173" s="46" t="s">
        <v>1870</v>
      </c>
      <c r="C173" s="193" t="s">
        <v>1871</v>
      </c>
      <c r="D173" s="46" t="s">
        <v>206</v>
      </c>
      <c r="E173" s="46" t="e">
        <v>#N/A</v>
      </c>
    </row>
    <row r="174">
      <c r="A174" s="46">
        <v>7672.0</v>
      </c>
      <c r="B174" s="46" t="s">
        <v>1872</v>
      </c>
      <c r="C174" s="193" t="s">
        <v>1873</v>
      </c>
      <c r="D174" s="46" t="s">
        <v>571</v>
      </c>
      <c r="E174" s="46" t="e">
        <v>#N/A</v>
      </c>
    </row>
    <row r="175">
      <c r="A175" s="46">
        <v>7673.0</v>
      </c>
      <c r="B175" s="46" t="s">
        <v>1874</v>
      </c>
      <c r="C175" s="193" t="s">
        <v>1875</v>
      </c>
      <c r="D175" s="46" t="s">
        <v>559</v>
      </c>
      <c r="E175" s="46" t="e">
        <v>#N/A</v>
      </c>
    </row>
    <row r="176">
      <c r="A176" s="46">
        <v>7674.0</v>
      </c>
      <c r="B176" s="46" t="s">
        <v>1876</v>
      </c>
      <c r="C176" s="193" t="s">
        <v>1877</v>
      </c>
      <c r="D176" s="46" t="s">
        <v>690</v>
      </c>
      <c r="E176" s="46" t="e">
        <v>#N/A</v>
      </c>
    </row>
    <row r="177">
      <c r="A177" s="46">
        <v>7675.0</v>
      </c>
      <c r="B177" s="46" t="s">
        <v>1878</v>
      </c>
      <c r="C177" s="193" t="s">
        <v>1879</v>
      </c>
      <c r="D177" s="46" t="s">
        <v>1880</v>
      </c>
      <c r="E177" s="46" t="e">
        <v>#N/A</v>
      </c>
    </row>
    <row r="178">
      <c r="A178" s="46">
        <v>7676.0</v>
      </c>
      <c r="B178" s="46" t="s">
        <v>1881</v>
      </c>
      <c r="C178" s="193" t="s">
        <v>1882</v>
      </c>
      <c r="D178" s="46" t="s">
        <v>1883</v>
      </c>
      <c r="E178" s="46" t="e">
        <v>#N/A</v>
      </c>
    </row>
    <row r="179">
      <c r="A179" s="46">
        <v>7677.0</v>
      </c>
      <c r="B179" s="46" t="s">
        <v>1884</v>
      </c>
      <c r="C179" s="193" t="s">
        <v>1885</v>
      </c>
      <c r="D179" s="46" t="s">
        <v>763</v>
      </c>
      <c r="E179" s="46" t="s">
        <v>1886</v>
      </c>
    </row>
    <row r="180">
      <c r="A180" s="46">
        <v>7678.0</v>
      </c>
      <c r="B180" s="46" t="s">
        <v>1887</v>
      </c>
      <c r="C180" s="193" t="s">
        <v>1888</v>
      </c>
      <c r="D180" s="46" t="s">
        <v>664</v>
      </c>
      <c r="E180" s="46" t="e">
        <v>#N/A</v>
      </c>
    </row>
    <row r="181">
      <c r="A181" s="46">
        <v>7679.0</v>
      </c>
      <c r="B181" s="46" t="s">
        <v>1889</v>
      </c>
      <c r="C181" s="193" t="s">
        <v>1890</v>
      </c>
      <c r="D181" s="46" t="s">
        <v>555</v>
      </c>
      <c r="E181" s="46" t="e">
        <v>#N/A</v>
      </c>
    </row>
    <row r="182">
      <c r="A182" s="46">
        <v>7680.0</v>
      </c>
      <c r="B182" s="46" t="s">
        <v>1891</v>
      </c>
      <c r="C182" s="193" t="s">
        <v>1892</v>
      </c>
      <c r="D182" s="46" t="s">
        <v>1893</v>
      </c>
      <c r="E182" s="46" t="e">
        <v>#N/A</v>
      </c>
    </row>
    <row r="183">
      <c r="A183" s="46">
        <v>7681.0</v>
      </c>
      <c r="B183" s="46" t="s">
        <v>1894</v>
      </c>
      <c r="C183" s="193" t="s">
        <v>1895</v>
      </c>
      <c r="D183" s="46" t="s">
        <v>744</v>
      </c>
      <c r="E183" s="46" t="s">
        <v>1886</v>
      </c>
    </row>
    <row r="184">
      <c r="A184" s="46">
        <v>7682.0</v>
      </c>
      <c r="B184" s="46" t="s">
        <v>1896</v>
      </c>
      <c r="C184" s="193" t="s">
        <v>1897</v>
      </c>
      <c r="D184" s="46" t="s">
        <v>18</v>
      </c>
      <c r="E184" s="46" t="e">
        <v>#N/A</v>
      </c>
    </row>
    <row r="185">
      <c r="A185" s="46">
        <v>7683.0</v>
      </c>
      <c r="B185" s="46" t="s">
        <v>1898</v>
      </c>
      <c r="C185" s="193" t="s">
        <v>1899</v>
      </c>
      <c r="D185" s="46" t="s">
        <v>536</v>
      </c>
      <c r="E185" s="46" t="e">
        <v>#N/A</v>
      </c>
    </row>
    <row r="186">
      <c r="A186" s="46">
        <v>7684.0</v>
      </c>
      <c r="B186" s="46" t="s">
        <v>1900</v>
      </c>
      <c r="C186" s="193" t="s">
        <v>1901</v>
      </c>
      <c r="D186" s="46" t="s">
        <v>550</v>
      </c>
      <c r="E186" s="46" t="e">
        <v>#N/A</v>
      </c>
    </row>
    <row r="187">
      <c r="A187" s="46">
        <v>7685.0</v>
      </c>
      <c r="B187" s="46" t="s">
        <v>1902</v>
      </c>
      <c r="C187" s="193" t="s">
        <v>1903</v>
      </c>
      <c r="D187" s="46" t="s">
        <v>332</v>
      </c>
      <c r="E187" s="46" t="e">
        <v>#N/A</v>
      </c>
    </row>
    <row r="188">
      <c r="A188" s="46">
        <v>7686.0</v>
      </c>
      <c r="B188" s="46" t="s">
        <v>1904</v>
      </c>
      <c r="C188" s="193" t="s">
        <v>1905</v>
      </c>
      <c r="D188" s="46" t="s">
        <v>215</v>
      </c>
      <c r="E188" s="46" t="e">
        <v>#N/A</v>
      </c>
    </row>
    <row r="189">
      <c r="A189" s="46">
        <v>7687.0</v>
      </c>
      <c r="B189" s="46" t="s">
        <v>1906</v>
      </c>
      <c r="C189" s="193" t="s">
        <v>1907</v>
      </c>
      <c r="D189" s="46" t="s">
        <v>345</v>
      </c>
      <c r="E189" s="46" t="e">
        <v>#N/A</v>
      </c>
    </row>
    <row r="190">
      <c r="A190" s="46">
        <v>7688.0</v>
      </c>
      <c r="B190" s="46" t="s">
        <v>1908</v>
      </c>
      <c r="C190" s="193" t="s">
        <v>1909</v>
      </c>
      <c r="D190" s="46" t="s">
        <v>210</v>
      </c>
      <c r="E190" s="46" t="e">
        <v>#N/A</v>
      </c>
    </row>
    <row r="191">
      <c r="A191" s="46">
        <v>7689.0</v>
      </c>
      <c r="B191" s="46" t="s">
        <v>1910</v>
      </c>
      <c r="C191" s="193" t="s">
        <v>1911</v>
      </c>
      <c r="D191" s="46" t="s">
        <v>737</v>
      </c>
      <c r="E191" s="46" t="e">
        <v>#N/A</v>
      </c>
    </row>
    <row r="192">
      <c r="A192" s="46">
        <v>7690.0</v>
      </c>
      <c r="B192" s="46" t="s">
        <v>1912</v>
      </c>
      <c r="C192" s="193" t="s">
        <v>1913</v>
      </c>
      <c r="D192" s="46" t="s">
        <v>423</v>
      </c>
      <c r="E192" s="46" t="e">
        <v>#N/A</v>
      </c>
    </row>
    <row r="193">
      <c r="A193" s="46">
        <v>7691.0</v>
      </c>
      <c r="B193" s="46" t="s">
        <v>1914</v>
      </c>
      <c r="C193" s="193" t="s">
        <v>1915</v>
      </c>
      <c r="D193" s="46" t="s">
        <v>469</v>
      </c>
      <c r="E193" s="46" t="e">
        <v>#N/A</v>
      </c>
    </row>
    <row r="194">
      <c r="A194" s="46">
        <v>7692.0</v>
      </c>
      <c r="B194" s="46" t="s">
        <v>1916</v>
      </c>
      <c r="C194" s="193" t="s">
        <v>1917</v>
      </c>
      <c r="D194" s="46" t="s">
        <v>387</v>
      </c>
      <c r="E194" s="46" t="e">
        <v>#N/A</v>
      </c>
    </row>
    <row r="195">
      <c r="A195" s="46">
        <v>7693.0</v>
      </c>
      <c r="B195" s="46" t="s">
        <v>1918</v>
      </c>
      <c r="C195" s="193" t="s">
        <v>1919</v>
      </c>
      <c r="E195" s="46" t="s">
        <v>1920</v>
      </c>
    </row>
    <row r="196">
      <c r="A196" s="46">
        <v>7694.0</v>
      </c>
      <c r="B196" s="46" t="s">
        <v>1921</v>
      </c>
      <c r="C196" s="193" t="s">
        <v>1922</v>
      </c>
      <c r="D196" s="46" t="s">
        <v>285</v>
      </c>
      <c r="E196" s="46" t="e">
        <v>#N/A</v>
      </c>
    </row>
    <row r="197">
      <c r="A197" s="46">
        <v>7695.0</v>
      </c>
      <c r="B197" s="46" t="s">
        <v>1923</v>
      </c>
      <c r="C197" s="193" t="s">
        <v>1924</v>
      </c>
      <c r="D197" s="46" t="s">
        <v>729</v>
      </c>
      <c r="E197" s="46" t="e">
        <v>#N/A</v>
      </c>
    </row>
    <row r="198">
      <c r="A198" s="46">
        <v>7696.0</v>
      </c>
      <c r="B198" s="46" t="s">
        <v>1925</v>
      </c>
      <c r="C198" s="193" t="s">
        <v>1926</v>
      </c>
      <c r="D198" s="46" t="s">
        <v>405</v>
      </c>
      <c r="E198" s="46" t="e">
        <v>#N/A</v>
      </c>
    </row>
    <row r="199">
      <c r="A199" s="46">
        <v>7697.0</v>
      </c>
      <c r="B199" s="46" t="s">
        <v>1927</v>
      </c>
      <c r="C199" s="193" t="s">
        <v>1928</v>
      </c>
      <c r="D199" s="46" t="s">
        <v>399</v>
      </c>
      <c r="E199" s="46" t="e">
        <v>#N/A</v>
      </c>
    </row>
    <row r="200">
      <c r="A200" s="46">
        <v>7698.0</v>
      </c>
      <c r="B200" s="46" t="s">
        <v>1929</v>
      </c>
      <c r="C200" s="193" t="s">
        <v>1930</v>
      </c>
      <c r="D200" s="46" t="s">
        <v>622</v>
      </c>
      <c r="E200" s="46" t="e">
        <v>#N/A</v>
      </c>
    </row>
    <row r="201">
      <c r="A201" s="46">
        <v>7699.0</v>
      </c>
      <c r="B201" s="46" t="s">
        <v>1931</v>
      </c>
      <c r="C201" s="193" t="s">
        <v>1932</v>
      </c>
      <c r="D201" s="46" t="s">
        <v>108</v>
      </c>
      <c r="E201" s="46" t="e">
        <v>#N/A</v>
      </c>
    </row>
    <row r="202">
      <c r="C202" s="194"/>
    </row>
    <row r="203">
      <c r="C203" s="194"/>
    </row>
    <row r="204">
      <c r="C204" s="194"/>
    </row>
    <row r="205">
      <c r="C205" s="194"/>
    </row>
    <row r="206">
      <c r="C206" s="194"/>
    </row>
    <row r="207">
      <c r="C207" s="194"/>
    </row>
    <row r="208">
      <c r="C208" s="194"/>
    </row>
    <row r="209">
      <c r="C209" s="194"/>
    </row>
    <row r="210">
      <c r="C210" s="194"/>
    </row>
    <row r="211">
      <c r="C211" s="194"/>
    </row>
    <row r="212">
      <c r="C212" s="194"/>
    </row>
    <row r="213">
      <c r="C213" s="194"/>
    </row>
    <row r="214">
      <c r="C214" s="194"/>
    </row>
    <row r="215">
      <c r="C215" s="194"/>
    </row>
    <row r="216">
      <c r="C216" s="194"/>
    </row>
    <row r="217">
      <c r="C217" s="194"/>
    </row>
    <row r="218">
      <c r="C218" s="194"/>
    </row>
    <row r="219">
      <c r="C219" s="194"/>
    </row>
    <row r="220">
      <c r="C220" s="194"/>
    </row>
    <row r="221">
      <c r="C221" s="194"/>
    </row>
    <row r="222">
      <c r="C222" s="194"/>
    </row>
    <row r="223">
      <c r="C223" s="194"/>
    </row>
    <row r="224">
      <c r="C224" s="194"/>
    </row>
    <row r="225">
      <c r="C225" s="194"/>
    </row>
    <row r="226">
      <c r="C226" s="194"/>
    </row>
    <row r="227">
      <c r="C227" s="194"/>
    </row>
    <row r="228">
      <c r="C228" s="194"/>
    </row>
    <row r="229">
      <c r="C229" s="194"/>
    </row>
    <row r="230">
      <c r="C230" s="194"/>
    </row>
    <row r="231">
      <c r="C231" s="194"/>
    </row>
    <row r="232">
      <c r="C232" s="194"/>
    </row>
    <row r="233">
      <c r="C233" s="194"/>
    </row>
    <row r="234">
      <c r="C234" s="194"/>
    </row>
    <row r="235">
      <c r="C235" s="194"/>
    </row>
    <row r="236">
      <c r="C236" s="194"/>
    </row>
    <row r="237">
      <c r="C237" s="194"/>
    </row>
    <row r="238">
      <c r="C238" s="194"/>
    </row>
    <row r="239">
      <c r="C239" s="194"/>
    </row>
    <row r="240">
      <c r="C240" s="194"/>
    </row>
    <row r="241">
      <c r="C241" s="194"/>
    </row>
    <row r="242">
      <c r="C242" s="194"/>
    </row>
    <row r="243">
      <c r="C243" s="194"/>
    </row>
    <row r="244">
      <c r="C244" s="194"/>
    </row>
    <row r="245">
      <c r="C245" s="194"/>
    </row>
    <row r="246">
      <c r="C246" s="194"/>
    </row>
    <row r="247">
      <c r="C247" s="194"/>
    </row>
    <row r="248">
      <c r="C248" s="194"/>
    </row>
    <row r="249">
      <c r="C249" s="194"/>
    </row>
    <row r="250">
      <c r="C250" s="194"/>
    </row>
    <row r="251">
      <c r="C251" s="194"/>
    </row>
    <row r="252">
      <c r="C252" s="194"/>
    </row>
    <row r="253">
      <c r="C253" s="194"/>
    </row>
    <row r="254">
      <c r="C254" s="194"/>
    </row>
    <row r="255">
      <c r="C255" s="194"/>
    </row>
    <row r="256">
      <c r="C256" s="194"/>
    </row>
    <row r="257">
      <c r="C257" s="194"/>
    </row>
    <row r="258">
      <c r="C258" s="194"/>
    </row>
    <row r="259">
      <c r="C259" s="194"/>
    </row>
    <row r="260">
      <c r="C260" s="194"/>
    </row>
    <row r="261">
      <c r="C261" s="194"/>
    </row>
    <row r="262">
      <c r="C262" s="194"/>
    </row>
    <row r="263">
      <c r="C263" s="194"/>
    </row>
    <row r="264">
      <c r="C264" s="194"/>
    </row>
    <row r="265">
      <c r="C265" s="194"/>
    </row>
    <row r="266">
      <c r="C266" s="194"/>
    </row>
    <row r="267">
      <c r="C267" s="194"/>
    </row>
    <row r="268">
      <c r="C268" s="194"/>
    </row>
    <row r="269">
      <c r="C269" s="194"/>
    </row>
    <row r="270">
      <c r="C270" s="194"/>
    </row>
    <row r="271">
      <c r="C271" s="194"/>
    </row>
    <row r="272">
      <c r="C272" s="194"/>
    </row>
    <row r="273">
      <c r="C273" s="194"/>
    </row>
    <row r="274">
      <c r="C274" s="194"/>
    </row>
    <row r="275">
      <c r="C275" s="194"/>
    </row>
    <row r="276">
      <c r="C276" s="194"/>
    </row>
    <row r="277">
      <c r="C277" s="194"/>
    </row>
    <row r="278">
      <c r="C278" s="194"/>
    </row>
    <row r="279">
      <c r="C279" s="194"/>
    </row>
    <row r="280">
      <c r="C280" s="194"/>
    </row>
    <row r="281">
      <c r="C281" s="194"/>
    </row>
    <row r="282">
      <c r="C282" s="194"/>
    </row>
    <row r="283">
      <c r="C283" s="194"/>
    </row>
    <row r="284">
      <c r="C284" s="194"/>
    </row>
    <row r="285">
      <c r="C285" s="194"/>
    </row>
    <row r="286">
      <c r="C286" s="194"/>
    </row>
    <row r="287">
      <c r="C287" s="194"/>
    </row>
    <row r="288">
      <c r="C288" s="194"/>
    </row>
    <row r="289">
      <c r="C289" s="194"/>
    </row>
    <row r="290">
      <c r="C290" s="194"/>
    </row>
    <row r="291">
      <c r="C291" s="194"/>
    </row>
    <row r="292">
      <c r="C292" s="194"/>
    </row>
    <row r="293">
      <c r="C293" s="194"/>
    </row>
    <row r="294">
      <c r="C294" s="194"/>
    </row>
    <row r="295">
      <c r="C295" s="194"/>
    </row>
    <row r="296">
      <c r="C296" s="194"/>
    </row>
    <row r="297">
      <c r="C297" s="194"/>
    </row>
    <row r="298">
      <c r="C298" s="194"/>
    </row>
    <row r="299">
      <c r="C299" s="194"/>
    </row>
    <row r="300">
      <c r="C300" s="194"/>
    </row>
    <row r="301">
      <c r="C301" s="194"/>
    </row>
    <row r="302">
      <c r="C302" s="194"/>
    </row>
    <row r="303">
      <c r="C303" s="194"/>
    </row>
    <row r="304">
      <c r="C304" s="194"/>
    </row>
    <row r="305">
      <c r="C305" s="194"/>
    </row>
    <row r="306">
      <c r="C306" s="194"/>
    </row>
    <row r="307">
      <c r="C307" s="194"/>
    </row>
    <row r="308">
      <c r="C308" s="194"/>
    </row>
    <row r="309">
      <c r="C309" s="194"/>
    </row>
    <row r="310">
      <c r="C310" s="194"/>
    </row>
    <row r="311">
      <c r="C311" s="194"/>
    </row>
    <row r="312">
      <c r="C312" s="194"/>
    </row>
    <row r="313">
      <c r="C313" s="194"/>
    </row>
    <row r="314">
      <c r="C314" s="194"/>
    </row>
    <row r="315">
      <c r="C315" s="194"/>
    </row>
    <row r="316">
      <c r="C316" s="194"/>
    </row>
    <row r="317">
      <c r="C317" s="194"/>
    </row>
    <row r="318">
      <c r="C318" s="194"/>
    </row>
    <row r="319">
      <c r="C319" s="194"/>
    </row>
    <row r="320">
      <c r="C320" s="194"/>
    </row>
    <row r="321">
      <c r="C321" s="194"/>
    </row>
    <row r="322">
      <c r="C322" s="194"/>
    </row>
    <row r="323">
      <c r="C323" s="194"/>
    </row>
    <row r="324">
      <c r="C324" s="194"/>
    </row>
    <row r="325">
      <c r="C325" s="194"/>
    </row>
    <row r="326">
      <c r="C326" s="194"/>
    </row>
    <row r="327">
      <c r="C327" s="194"/>
    </row>
    <row r="328">
      <c r="C328" s="194"/>
    </row>
    <row r="329">
      <c r="C329" s="194"/>
    </row>
    <row r="330">
      <c r="C330" s="194"/>
    </row>
    <row r="331">
      <c r="C331" s="194"/>
    </row>
    <row r="332">
      <c r="C332" s="194"/>
    </row>
    <row r="333">
      <c r="C333" s="194"/>
    </row>
    <row r="334">
      <c r="C334" s="194"/>
    </row>
    <row r="335">
      <c r="C335" s="194"/>
    </row>
    <row r="336">
      <c r="C336" s="194"/>
    </row>
    <row r="337">
      <c r="C337" s="194"/>
    </row>
    <row r="338">
      <c r="C338" s="194"/>
    </row>
    <row r="339">
      <c r="C339" s="194"/>
    </row>
    <row r="340">
      <c r="C340" s="194"/>
    </row>
    <row r="341">
      <c r="C341" s="194"/>
    </row>
    <row r="342">
      <c r="C342" s="194"/>
    </row>
    <row r="343">
      <c r="C343" s="194"/>
    </row>
    <row r="344">
      <c r="C344" s="194"/>
    </row>
    <row r="345">
      <c r="C345" s="194"/>
    </row>
    <row r="346">
      <c r="C346" s="194"/>
    </row>
    <row r="347">
      <c r="C347" s="194"/>
    </row>
    <row r="348">
      <c r="C348" s="194"/>
    </row>
    <row r="349">
      <c r="C349" s="194"/>
    </row>
    <row r="350">
      <c r="C350" s="194"/>
    </row>
    <row r="351">
      <c r="C351" s="194"/>
    </row>
    <row r="352">
      <c r="C352" s="194"/>
    </row>
    <row r="353">
      <c r="C353" s="194"/>
    </row>
    <row r="354">
      <c r="C354" s="194"/>
    </row>
    <row r="355">
      <c r="C355" s="194"/>
    </row>
    <row r="356">
      <c r="C356" s="194"/>
    </row>
    <row r="357">
      <c r="C357" s="194"/>
    </row>
    <row r="358">
      <c r="C358" s="194"/>
    </row>
    <row r="359">
      <c r="C359" s="194"/>
    </row>
    <row r="360">
      <c r="C360" s="194"/>
    </row>
    <row r="361">
      <c r="C361" s="194"/>
    </row>
    <row r="362">
      <c r="C362" s="194"/>
    </row>
    <row r="363">
      <c r="C363" s="194"/>
    </row>
    <row r="364">
      <c r="C364" s="194"/>
    </row>
    <row r="365">
      <c r="C365" s="194"/>
    </row>
    <row r="366">
      <c r="C366" s="194"/>
    </row>
    <row r="367">
      <c r="C367" s="194"/>
    </row>
    <row r="368">
      <c r="C368" s="194"/>
    </row>
    <row r="369">
      <c r="C369" s="194"/>
    </row>
    <row r="370">
      <c r="C370" s="194"/>
    </row>
    <row r="371">
      <c r="C371" s="194"/>
    </row>
    <row r="372">
      <c r="C372" s="194"/>
    </row>
    <row r="373">
      <c r="C373" s="194"/>
    </row>
    <row r="374">
      <c r="C374" s="194"/>
    </row>
    <row r="375">
      <c r="C375" s="194"/>
    </row>
    <row r="376">
      <c r="C376" s="194"/>
    </row>
    <row r="377">
      <c r="C377" s="194"/>
    </row>
    <row r="378">
      <c r="C378" s="194"/>
    </row>
    <row r="379">
      <c r="C379" s="194"/>
    </row>
    <row r="380">
      <c r="C380" s="194"/>
    </row>
    <row r="381">
      <c r="C381" s="194"/>
    </row>
    <row r="382">
      <c r="C382" s="194"/>
    </row>
    <row r="383">
      <c r="C383" s="194"/>
    </row>
    <row r="384">
      <c r="C384" s="194"/>
    </row>
    <row r="385">
      <c r="C385" s="194"/>
    </row>
    <row r="386">
      <c r="C386" s="194"/>
    </row>
    <row r="387">
      <c r="C387" s="194"/>
    </row>
    <row r="388">
      <c r="C388" s="194"/>
    </row>
    <row r="389">
      <c r="C389" s="194"/>
    </row>
    <row r="390">
      <c r="C390" s="194"/>
    </row>
    <row r="391">
      <c r="C391" s="194"/>
    </row>
    <row r="392">
      <c r="C392" s="194"/>
    </row>
    <row r="393">
      <c r="C393" s="194"/>
    </row>
    <row r="394">
      <c r="C394" s="194"/>
    </row>
    <row r="395">
      <c r="C395" s="194"/>
    </row>
    <row r="396">
      <c r="C396" s="194"/>
    </row>
    <row r="397">
      <c r="C397" s="194"/>
    </row>
    <row r="398">
      <c r="C398" s="194"/>
    </row>
    <row r="399">
      <c r="C399" s="194"/>
    </row>
    <row r="400">
      <c r="C400" s="194"/>
    </row>
    <row r="401">
      <c r="C401" s="194"/>
    </row>
    <row r="402">
      <c r="C402" s="194"/>
    </row>
    <row r="403">
      <c r="C403" s="194"/>
    </row>
    <row r="404">
      <c r="C404" s="194"/>
    </row>
    <row r="405">
      <c r="C405" s="194"/>
    </row>
    <row r="406">
      <c r="C406" s="194"/>
    </row>
    <row r="407">
      <c r="C407" s="194"/>
    </row>
    <row r="408">
      <c r="C408" s="194"/>
    </row>
    <row r="409">
      <c r="C409" s="194"/>
    </row>
    <row r="410">
      <c r="C410" s="194"/>
    </row>
    <row r="411">
      <c r="C411" s="194"/>
    </row>
    <row r="412">
      <c r="C412" s="194"/>
    </row>
    <row r="413">
      <c r="C413" s="194"/>
    </row>
    <row r="414">
      <c r="C414" s="194"/>
    </row>
    <row r="415">
      <c r="C415" s="194"/>
    </row>
    <row r="416">
      <c r="C416" s="194"/>
    </row>
    <row r="417">
      <c r="C417" s="194"/>
    </row>
    <row r="418">
      <c r="C418" s="194"/>
    </row>
    <row r="419">
      <c r="C419" s="194"/>
    </row>
    <row r="420">
      <c r="C420" s="194"/>
    </row>
    <row r="421">
      <c r="C421" s="194"/>
    </row>
    <row r="422">
      <c r="C422" s="194"/>
    </row>
    <row r="423">
      <c r="C423" s="194"/>
    </row>
    <row r="424">
      <c r="C424" s="194"/>
    </row>
    <row r="425">
      <c r="C425" s="194"/>
    </row>
    <row r="426">
      <c r="C426" s="194"/>
    </row>
    <row r="427">
      <c r="C427" s="194"/>
    </row>
    <row r="428">
      <c r="C428" s="194"/>
    </row>
    <row r="429">
      <c r="C429" s="194"/>
    </row>
    <row r="430">
      <c r="C430" s="194"/>
    </row>
    <row r="431">
      <c r="C431" s="194"/>
    </row>
    <row r="432">
      <c r="C432" s="194"/>
    </row>
    <row r="433">
      <c r="C433" s="194"/>
    </row>
    <row r="434">
      <c r="C434" s="194"/>
    </row>
    <row r="435">
      <c r="C435" s="194"/>
    </row>
    <row r="436">
      <c r="C436" s="194"/>
    </row>
    <row r="437">
      <c r="C437" s="194"/>
    </row>
    <row r="438">
      <c r="C438" s="194"/>
    </row>
    <row r="439">
      <c r="C439" s="194"/>
    </row>
    <row r="440">
      <c r="C440" s="194"/>
    </row>
    <row r="441">
      <c r="C441" s="194"/>
    </row>
    <row r="442">
      <c r="C442" s="194"/>
    </row>
    <row r="443">
      <c r="C443" s="194"/>
    </row>
    <row r="444">
      <c r="C444" s="194"/>
    </row>
    <row r="445">
      <c r="C445" s="194"/>
    </row>
    <row r="446">
      <c r="C446" s="194"/>
    </row>
    <row r="447">
      <c r="C447" s="194"/>
    </row>
    <row r="448">
      <c r="C448" s="194"/>
    </row>
    <row r="449">
      <c r="C449" s="194"/>
    </row>
    <row r="450">
      <c r="C450" s="194"/>
    </row>
    <row r="451">
      <c r="C451" s="194"/>
    </row>
    <row r="452">
      <c r="C452" s="194"/>
    </row>
    <row r="453">
      <c r="C453" s="194"/>
    </row>
    <row r="454">
      <c r="C454" s="194"/>
    </row>
    <row r="455">
      <c r="C455" s="194"/>
    </row>
    <row r="456">
      <c r="C456" s="194"/>
    </row>
    <row r="457">
      <c r="C457" s="194"/>
    </row>
    <row r="458">
      <c r="C458" s="194"/>
    </row>
    <row r="459">
      <c r="C459" s="194"/>
    </row>
    <row r="460">
      <c r="C460" s="194"/>
    </row>
    <row r="461">
      <c r="C461" s="194"/>
    </row>
    <row r="462">
      <c r="C462" s="194"/>
    </row>
    <row r="463">
      <c r="C463" s="194"/>
    </row>
    <row r="464">
      <c r="C464" s="194"/>
    </row>
    <row r="465">
      <c r="C465" s="194"/>
    </row>
    <row r="466">
      <c r="C466" s="194"/>
    </row>
    <row r="467">
      <c r="C467" s="194"/>
    </row>
    <row r="468">
      <c r="C468" s="194"/>
    </row>
    <row r="469">
      <c r="C469" s="194"/>
    </row>
    <row r="470">
      <c r="C470" s="194"/>
    </row>
    <row r="471">
      <c r="C471" s="194"/>
    </row>
    <row r="472">
      <c r="C472" s="194"/>
    </row>
    <row r="473">
      <c r="C473" s="194"/>
    </row>
    <row r="474">
      <c r="C474" s="194"/>
    </row>
    <row r="475">
      <c r="C475" s="194"/>
    </row>
    <row r="476">
      <c r="C476" s="194"/>
    </row>
    <row r="477">
      <c r="C477" s="194"/>
    </row>
    <row r="478">
      <c r="C478" s="194"/>
    </row>
    <row r="479">
      <c r="C479" s="194"/>
    </row>
    <row r="480">
      <c r="C480" s="194"/>
    </row>
    <row r="481">
      <c r="C481" s="194"/>
    </row>
    <row r="482">
      <c r="C482" s="194"/>
    </row>
    <row r="483">
      <c r="C483" s="194"/>
    </row>
    <row r="484">
      <c r="C484" s="194"/>
    </row>
    <row r="485">
      <c r="C485" s="194"/>
    </row>
    <row r="486">
      <c r="C486" s="194"/>
    </row>
    <row r="487">
      <c r="C487" s="194"/>
    </row>
    <row r="488">
      <c r="C488" s="194"/>
    </row>
    <row r="489">
      <c r="C489" s="194"/>
    </row>
    <row r="490">
      <c r="C490" s="194"/>
    </row>
    <row r="491">
      <c r="C491" s="194"/>
    </row>
    <row r="492">
      <c r="C492" s="194"/>
    </row>
    <row r="493">
      <c r="C493" s="194"/>
    </row>
    <row r="494">
      <c r="C494" s="194"/>
    </row>
    <row r="495">
      <c r="C495" s="194"/>
    </row>
    <row r="496">
      <c r="C496" s="194"/>
    </row>
    <row r="497">
      <c r="C497" s="194"/>
    </row>
    <row r="498">
      <c r="C498" s="194"/>
    </row>
    <row r="499">
      <c r="C499" s="194"/>
    </row>
    <row r="500">
      <c r="C500" s="194"/>
    </row>
    <row r="501">
      <c r="C501" s="194"/>
    </row>
    <row r="502">
      <c r="C502" s="194"/>
    </row>
    <row r="503">
      <c r="C503" s="194"/>
    </row>
    <row r="504">
      <c r="C504" s="194"/>
    </row>
    <row r="505">
      <c r="C505" s="194"/>
    </row>
    <row r="506">
      <c r="C506" s="194"/>
    </row>
    <row r="507">
      <c r="C507" s="194"/>
    </row>
    <row r="508">
      <c r="C508" s="194"/>
    </row>
    <row r="509">
      <c r="C509" s="194"/>
    </row>
    <row r="510">
      <c r="C510" s="194"/>
    </row>
    <row r="511">
      <c r="C511" s="194"/>
    </row>
    <row r="512">
      <c r="C512" s="194"/>
    </row>
    <row r="513">
      <c r="C513" s="194"/>
    </row>
    <row r="514">
      <c r="C514" s="194"/>
    </row>
    <row r="515">
      <c r="C515" s="194"/>
    </row>
    <row r="516">
      <c r="C516" s="194"/>
    </row>
    <row r="517">
      <c r="C517" s="194"/>
    </row>
    <row r="518">
      <c r="C518" s="194"/>
    </row>
    <row r="519">
      <c r="C519" s="194"/>
    </row>
    <row r="520">
      <c r="C520" s="194"/>
    </row>
    <row r="521">
      <c r="C521" s="194"/>
    </row>
    <row r="522">
      <c r="C522" s="194"/>
    </row>
    <row r="523">
      <c r="C523" s="194"/>
    </row>
    <row r="524">
      <c r="C524" s="194"/>
    </row>
    <row r="525">
      <c r="C525" s="194"/>
    </row>
    <row r="526">
      <c r="C526" s="194"/>
    </row>
    <row r="527">
      <c r="C527" s="194"/>
    </row>
    <row r="528">
      <c r="C528" s="194"/>
    </row>
    <row r="529">
      <c r="C529" s="194"/>
    </row>
    <row r="530">
      <c r="C530" s="194"/>
    </row>
    <row r="531">
      <c r="C531" s="194"/>
    </row>
    <row r="532">
      <c r="C532" s="194"/>
    </row>
    <row r="533">
      <c r="C533" s="194"/>
    </row>
    <row r="534">
      <c r="C534" s="194"/>
    </row>
    <row r="535">
      <c r="C535" s="194"/>
    </row>
    <row r="536">
      <c r="C536" s="194"/>
    </row>
    <row r="537">
      <c r="C537" s="194"/>
    </row>
    <row r="538">
      <c r="C538" s="194"/>
    </row>
    <row r="539">
      <c r="C539" s="194"/>
    </row>
    <row r="540">
      <c r="C540" s="194"/>
    </row>
    <row r="541">
      <c r="C541" s="194"/>
    </row>
    <row r="542">
      <c r="C542" s="194"/>
    </row>
    <row r="543">
      <c r="C543" s="194"/>
    </row>
    <row r="544">
      <c r="C544" s="194"/>
    </row>
    <row r="545">
      <c r="C545" s="194"/>
    </row>
    <row r="546">
      <c r="C546" s="194"/>
    </row>
    <row r="547">
      <c r="C547" s="194"/>
    </row>
    <row r="548">
      <c r="C548" s="194"/>
    </row>
    <row r="549">
      <c r="C549" s="194"/>
    </row>
    <row r="550">
      <c r="C550" s="194"/>
    </row>
    <row r="551">
      <c r="C551" s="194"/>
    </row>
    <row r="552">
      <c r="C552" s="194"/>
    </row>
    <row r="553">
      <c r="C553" s="194"/>
    </row>
    <row r="554">
      <c r="C554" s="194"/>
    </row>
    <row r="555">
      <c r="C555" s="194"/>
    </row>
    <row r="556">
      <c r="C556" s="194"/>
    </row>
    <row r="557">
      <c r="C557" s="194"/>
    </row>
    <row r="558">
      <c r="C558" s="194"/>
    </row>
    <row r="559">
      <c r="C559" s="194"/>
    </row>
    <row r="560">
      <c r="C560" s="194"/>
    </row>
    <row r="561">
      <c r="C561" s="194"/>
    </row>
    <row r="562">
      <c r="C562" s="194"/>
    </row>
    <row r="563">
      <c r="C563" s="194"/>
    </row>
    <row r="564">
      <c r="C564" s="194"/>
    </row>
    <row r="565">
      <c r="C565" s="194"/>
    </row>
    <row r="566">
      <c r="C566" s="194"/>
    </row>
    <row r="567">
      <c r="C567" s="194"/>
    </row>
    <row r="568">
      <c r="C568" s="194"/>
    </row>
    <row r="569">
      <c r="C569" s="194"/>
    </row>
    <row r="570">
      <c r="C570" s="194"/>
    </row>
    <row r="571">
      <c r="C571" s="194"/>
    </row>
    <row r="572">
      <c r="C572" s="194"/>
    </row>
    <row r="573">
      <c r="C573" s="194"/>
    </row>
    <row r="574">
      <c r="C574" s="194"/>
    </row>
    <row r="575">
      <c r="C575" s="194"/>
    </row>
    <row r="576">
      <c r="C576" s="194"/>
    </row>
    <row r="577">
      <c r="C577" s="194"/>
    </row>
    <row r="578">
      <c r="C578" s="194"/>
    </row>
    <row r="579">
      <c r="C579" s="194"/>
    </row>
    <row r="580">
      <c r="C580" s="194"/>
    </row>
    <row r="581">
      <c r="C581" s="194"/>
    </row>
    <row r="582">
      <c r="C582" s="194"/>
    </row>
    <row r="583">
      <c r="C583" s="194"/>
    </row>
    <row r="584">
      <c r="C584" s="194"/>
    </row>
    <row r="585">
      <c r="C585" s="194"/>
    </row>
    <row r="586">
      <c r="C586" s="194"/>
    </row>
    <row r="587">
      <c r="C587" s="194"/>
    </row>
    <row r="588">
      <c r="C588" s="194"/>
    </row>
    <row r="589">
      <c r="C589" s="194"/>
    </row>
    <row r="590">
      <c r="C590" s="194"/>
    </row>
    <row r="591">
      <c r="C591" s="194"/>
    </row>
    <row r="592">
      <c r="C592" s="194"/>
    </row>
    <row r="593">
      <c r="C593" s="194"/>
    </row>
    <row r="594">
      <c r="C594" s="194"/>
    </row>
    <row r="595">
      <c r="C595" s="194"/>
    </row>
    <row r="596">
      <c r="C596" s="194"/>
    </row>
    <row r="597">
      <c r="C597" s="194"/>
    </row>
    <row r="598">
      <c r="C598" s="194"/>
    </row>
    <row r="599">
      <c r="C599" s="194"/>
    </row>
    <row r="600">
      <c r="C600" s="194"/>
    </row>
    <row r="601">
      <c r="C601" s="194"/>
    </row>
    <row r="602">
      <c r="C602" s="194"/>
    </row>
    <row r="603">
      <c r="C603" s="194"/>
    </row>
    <row r="604">
      <c r="C604" s="194"/>
    </row>
    <row r="605">
      <c r="C605" s="194"/>
    </row>
    <row r="606">
      <c r="C606" s="194"/>
    </row>
    <row r="607">
      <c r="C607" s="194"/>
    </row>
    <row r="608">
      <c r="C608" s="194"/>
    </row>
    <row r="609">
      <c r="C609" s="194"/>
    </row>
    <row r="610">
      <c r="C610" s="194"/>
    </row>
    <row r="611">
      <c r="C611" s="194"/>
    </row>
    <row r="612">
      <c r="C612" s="194"/>
    </row>
    <row r="613">
      <c r="C613" s="194"/>
    </row>
    <row r="614">
      <c r="C614" s="194"/>
    </row>
    <row r="615">
      <c r="C615" s="194"/>
    </row>
    <row r="616">
      <c r="C616" s="194"/>
    </row>
    <row r="617">
      <c r="C617" s="194"/>
    </row>
    <row r="618">
      <c r="C618" s="194"/>
    </row>
    <row r="619">
      <c r="C619" s="194"/>
    </row>
    <row r="620">
      <c r="C620" s="194"/>
    </row>
    <row r="621">
      <c r="C621" s="194"/>
    </row>
    <row r="622">
      <c r="C622" s="194"/>
    </row>
    <row r="623">
      <c r="C623" s="194"/>
    </row>
    <row r="624">
      <c r="C624" s="194"/>
    </row>
    <row r="625">
      <c r="C625" s="194"/>
    </row>
    <row r="626">
      <c r="C626" s="194"/>
    </row>
    <row r="627">
      <c r="C627" s="194"/>
    </row>
    <row r="628">
      <c r="C628" s="194"/>
    </row>
    <row r="629">
      <c r="C629" s="194"/>
    </row>
    <row r="630">
      <c r="C630" s="194"/>
    </row>
    <row r="631">
      <c r="C631" s="194"/>
    </row>
    <row r="632">
      <c r="C632" s="194"/>
    </row>
    <row r="633">
      <c r="C633" s="194"/>
    </row>
    <row r="634">
      <c r="C634" s="194"/>
    </row>
    <row r="635">
      <c r="C635" s="194"/>
    </row>
    <row r="636">
      <c r="C636" s="194"/>
    </row>
    <row r="637">
      <c r="C637" s="194"/>
    </row>
    <row r="638">
      <c r="C638" s="194"/>
    </row>
    <row r="639">
      <c r="C639" s="194"/>
    </row>
    <row r="640">
      <c r="C640" s="194"/>
    </row>
    <row r="641">
      <c r="C641" s="194"/>
    </row>
    <row r="642">
      <c r="C642" s="194"/>
    </row>
    <row r="643">
      <c r="C643" s="194"/>
    </row>
    <row r="644">
      <c r="C644" s="194"/>
    </row>
    <row r="645">
      <c r="C645" s="194"/>
    </row>
    <row r="646">
      <c r="C646" s="194"/>
    </row>
    <row r="647">
      <c r="C647" s="194"/>
    </row>
    <row r="648">
      <c r="C648" s="194"/>
    </row>
    <row r="649">
      <c r="C649" s="194"/>
    </row>
    <row r="650">
      <c r="C650" s="194"/>
    </row>
    <row r="651">
      <c r="C651" s="194"/>
    </row>
    <row r="652">
      <c r="C652" s="194"/>
    </row>
    <row r="653">
      <c r="C653" s="194"/>
    </row>
    <row r="654">
      <c r="C654" s="194"/>
    </row>
    <row r="655">
      <c r="C655" s="194"/>
    </row>
    <row r="656">
      <c r="C656" s="194"/>
    </row>
    <row r="657">
      <c r="C657" s="194"/>
    </row>
    <row r="658">
      <c r="C658" s="194"/>
    </row>
    <row r="659">
      <c r="C659" s="194"/>
    </row>
    <row r="660">
      <c r="C660" s="194"/>
    </row>
    <row r="661">
      <c r="C661" s="194"/>
    </row>
    <row r="662">
      <c r="C662" s="194"/>
    </row>
    <row r="663">
      <c r="C663" s="194"/>
    </row>
    <row r="664">
      <c r="C664" s="194"/>
    </row>
    <row r="665">
      <c r="C665" s="194"/>
    </row>
    <row r="666">
      <c r="C666" s="194"/>
    </row>
    <row r="667">
      <c r="C667" s="194"/>
    </row>
    <row r="668">
      <c r="C668" s="194"/>
    </row>
    <row r="669">
      <c r="C669" s="194"/>
    </row>
    <row r="670">
      <c r="C670" s="194"/>
    </row>
    <row r="671">
      <c r="C671" s="194"/>
    </row>
    <row r="672">
      <c r="C672" s="194"/>
    </row>
    <row r="673">
      <c r="C673" s="194"/>
    </row>
    <row r="674">
      <c r="C674" s="194"/>
    </row>
    <row r="675">
      <c r="C675" s="194"/>
    </row>
    <row r="676">
      <c r="C676" s="194"/>
    </row>
    <row r="677">
      <c r="C677" s="194"/>
    </row>
    <row r="678">
      <c r="C678" s="194"/>
    </row>
    <row r="679">
      <c r="C679" s="194"/>
    </row>
    <row r="680">
      <c r="C680" s="194"/>
    </row>
    <row r="681">
      <c r="C681" s="194"/>
    </row>
    <row r="682">
      <c r="C682" s="194"/>
    </row>
    <row r="683">
      <c r="C683" s="194"/>
    </row>
    <row r="684">
      <c r="C684" s="194"/>
    </row>
    <row r="685">
      <c r="C685" s="194"/>
    </row>
    <row r="686">
      <c r="C686" s="194"/>
    </row>
    <row r="687">
      <c r="C687" s="194"/>
    </row>
    <row r="688">
      <c r="C688" s="194"/>
    </row>
    <row r="689">
      <c r="C689" s="194"/>
    </row>
    <row r="690">
      <c r="C690" s="194"/>
    </row>
    <row r="691">
      <c r="C691" s="194"/>
    </row>
    <row r="692">
      <c r="C692" s="194"/>
    </row>
    <row r="693">
      <c r="C693" s="194"/>
    </row>
    <row r="694">
      <c r="C694" s="194"/>
    </row>
    <row r="695">
      <c r="C695" s="194"/>
    </row>
    <row r="696">
      <c r="C696" s="194"/>
    </row>
    <row r="697">
      <c r="C697" s="194"/>
    </row>
    <row r="698">
      <c r="C698" s="194"/>
    </row>
    <row r="699">
      <c r="C699" s="194"/>
    </row>
    <row r="700">
      <c r="C700" s="194"/>
    </row>
    <row r="701">
      <c r="C701" s="194"/>
    </row>
    <row r="702">
      <c r="C702" s="194"/>
    </row>
    <row r="703">
      <c r="C703" s="194"/>
    </row>
    <row r="704">
      <c r="C704" s="194"/>
    </row>
    <row r="705">
      <c r="C705" s="194"/>
    </row>
    <row r="706">
      <c r="C706" s="194"/>
    </row>
    <row r="707">
      <c r="C707" s="194"/>
    </row>
    <row r="708">
      <c r="C708" s="194"/>
    </row>
    <row r="709">
      <c r="C709" s="194"/>
    </row>
    <row r="710">
      <c r="C710" s="194"/>
    </row>
    <row r="711">
      <c r="C711" s="194"/>
    </row>
    <row r="712">
      <c r="C712" s="194"/>
    </row>
    <row r="713">
      <c r="C713" s="194"/>
    </row>
    <row r="714">
      <c r="C714" s="194"/>
    </row>
    <row r="715">
      <c r="C715" s="194"/>
    </row>
    <row r="716">
      <c r="C716" s="194"/>
    </row>
    <row r="717">
      <c r="C717" s="194"/>
    </row>
    <row r="718">
      <c r="C718" s="194"/>
    </row>
    <row r="719">
      <c r="C719" s="194"/>
    </row>
    <row r="720">
      <c r="C720" s="194"/>
    </row>
    <row r="721">
      <c r="C721" s="194"/>
    </row>
    <row r="722">
      <c r="C722" s="194"/>
    </row>
    <row r="723">
      <c r="C723" s="194"/>
    </row>
    <row r="724">
      <c r="C724" s="194"/>
    </row>
    <row r="725">
      <c r="C725" s="194"/>
    </row>
    <row r="726">
      <c r="C726" s="194"/>
    </row>
    <row r="727">
      <c r="C727" s="194"/>
    </row>
    <row r="728">
      <c r="C728" s="194"/>
    </row>
    <row r="729">
      <c r="C729" s="194"/>
    </row>
    <row r="730">
      <c r="C730" s="194"/>
    </row>
    <row r="731">
      <c r="C731" s="194"/>
    </row>
    <row r="732">
      <c r="C732" s="194"/>
    </row>
    <row r="733">
      <c r="C733" s="194"/>
    </row>
    <row r="734">
      <c r="C734" s="194"/>
    </row>
    <row r="735">
      <c r="C735" s="194"/>
    </row>
    <row r="736">
      <c r="C736" s="194"/>
    </row>
    <row r="737">
      <c r="C737" s="194"/>
    </row>
    <row r="738">
      <c r="C738" s="194"/>
    </row>
    <row r="739">
      <c r="C739" s="194"/>
    </row>
    <row r="740">
      <c r="C740" s="194"/>
    </row>
    <row r="741">
      <c r="C741" s="194"/>
    </row>
    <row r="742">
      <c r="C742" s="194"/>
    </row>
    <row r="743">
      <c r="C743" s="194"/>
    </row>
    <row r="744">
      <c r="C744" s="194"/>
    </row>
    <row r="745">
      <c r="C745" s="194"/>
    </row>
    <row r="746">
      <c r="C746" s="194"/>
    </row>
    <row r="747">
      <c r="C747" s="194"/>
    </row>
    <row r="748">
      <c r="C748" s="194"/>
    </row>
    <row r="749">
      <c r="C749" s="194"/>
    </row>
    <row r="750">
      <c r="C750" s="194"/>
    </row>
    <row r="751">
      <c r="C751" s="194"/>
    </row>
    <row r="752">
      <c r="C752" s="194"/>
    </row>
    <row r="753">
      <c r="C753" s="194"/>
    </row>
    <row r="754">
      <c r="C754" s="194"/>
    </row>
    <row r="755">
      <c r="C755" s="194"/>
    </row>
    <row r="756">
      <c r="C756" s="194"/>
    </row>
    <row r="757">
      <c r="C757" s="194"/>
    </row>
    <row r="758">
      <c r="C758" s="194"/>
    </row>
    <row r="759">
      <c r="C759" s="194"/>
    </row>
    <row r="760">
      <c r="C760" s="194"/>
    </row>
    <row r="761">
      <c r="C761" s="194"/>
    </row>
    <row r="762">
      <c r="C762" s="194"/>
    </row>
    <row r="763">
      <c r="C763" s="194"/>
    </row>
    <row r="764">
      <c r="C764" s="194"/>
    </row>
    <row r="765">
      <c r="C765" s="194"/>
    </row>
    <row r="766">
      <c r="C766" s="194"/>
    </row>
    <row r="767">
      <c r="C767" s="194"/>
    </row>
    <row r="768">
      <c r="C768" s="194"/>
    </row>
    <row r="769">
      <c r="C769" s="194"/>
    </row>
    <row r="770">
      <c r="C770" s="194"/>
    </row>
    <row r="771">
      <c r="C771" s="194"/>
    </row>
    <row r="772">
      <c r="C772" s="194"/>
    </row>
    <row r="773">
      <c r="C773" s="194"/>
    </row>
    <row r="774">
      <c r="C774" s="194"/>
    </row>
    <row r="775">
      <c r="C775" s="194"/>
    </row>
    <row r="776">
      <c r="C776" s="194"/>
    </row>
    <row r="777">
      <c r="C777" s="194"/>
    </row>
    <row r="778">
      <c r="C778" s="194"/>
    </row>
    <row r="779">
      <c r="C779" s="194"/>
    </row>
    <row r="780">
      <c r="C780" s="194"/>
    </row>
    <row r="781">
      <c r="C781" s="194"/>
    </row>
    <row r="782">
      <c r="C782" s="194"/>
    </row>
    <row r="783">
      <c r="C783" s="194"/>
    </row>
    <row r="784">
      <c r="C784" s="194"/>
    </row>
    <row r="785">
      <c r="C785" s="194"/>
    </row>
    <row r="786">
      <c r="C786" s="194"/>
    </row>
    <row r="787">
      <c r="C787" s="194"/>
    </row>
    <row r="788">
      <c r="C788" s="194"/>
    </row>
    <row r="789">
      <c r="C789" s="194"/>
    </row>
    <row r="790">
      <c r="C790" s="194"/>
    </row>
    <row r="791">
      <c r="C791" s="194"/>
    </row>
    <row r="792">
      <c r="C792" s="194"/>
    </row>
    <row r="793">
      <c r="C793" s="194"/>
    </row>
    <row r="794">
      <c r="C794" s="194"/>
    </row>
    <row r="795">
      <c r="C795" s="194"/>
    </row>
    <row r="796">
      <c r="C796" s="194"/>
    </row>
    <row r="797">
      <c r="C797" s="194"/>
    </row>
    <row r="798">
      <c r="C798" s="194"/>
    </row>
    <row r="799">
      <c r="C799" s="194"/>
    </row>
    <row r="800">
      <c r="C800" s="194"/>
    </row>
    <row r="801">
      <c r="C801" s="194"/>
    </row>
    <row r="802">
      <c r="C802" s="194"/>
    </row>
    <row r="803">
      <c r="C803" s="194"/>
    </row>
    <row r="804">
      <c r="C804" s="194"/>
    </row>
    <row r="805">
      <c r="C805" s="194"/>
    </row>
    <row r="806">
      <c r="C806" s="194"/>
    </row>
    <row r="807">
      <c r="C807" s="194"/>
    </row>
    <row r="808">
      <c r="C808" s="194"/>
    </row>
    <row r="809">
      <c r="C809" s="194"/>
    </row>
    <row r="810">
      <c r="C810" s="194"/>
    </row>
    <row r="811">
      <c r="C811" s="194"/>
    </row>
    <row r="812">
      <c r="C812" s="194"/>
    </row>
    <row r="813">
      <c r="C813" s="194"/>
    </row>
    <row r="814">
      <c r="C814" s="194"/>
    </row>
    <row r="815">
      <c r="C815" s="194"/>
    </row>
    <row r="816">
      <c r="C816" s="194"/>
    </row>
    <row r="817">
      <c r="C817" s="194"/>
    </row>
    <row r="818">
      <c r="C818" s="194"/>
    </row>
    <row r="819">
      <c r="C819" s="194"/>
    </row>
    <row r="820">
      <c r="C820" s="194"/>
    </row>
    <row r="821">
      <c r="C821" s="194"/>
    </row>
    <row r="822">
      <c r="C822" s="194"/>
    </row>
    <row r="823">
      <c r="C823" s="194"/>
    </row>
    <row r="824">
      <c r="C824" s="194"/>
    </row>
    <row r="825">
      <c r="C825" s="194"/>
    </row>
    <row r="826">
      <c r="C826" s="194"/>
    </row>
    <row r="827">
      <c r="C827" s="194"/>
    </row>
    <row r="828">
      <c r="C828" s="194"/>
    </row>
    <row r="829">
      <c r="C829" s="194"/>
    </row>
    <row r="830">
      <c r="C830" s="194"/>
    </row>
    <row r="831">
      <c r="C831" s="194"/>
    </row>
    <row r="832">
      <c r="C832" s="194"/>
    </row>
    <row r="833">
      <c r="C833" s="194"/>
    </row>
    <row r="834">
      <c r="C834" s="194"/>
    </row>
    <row r="835">
      <c r="C835" s="194"/>
    </row>
    <row r="836">
      <c r="C836" s="194"/>
    </row>
    <row r="837">
      <c r="C837" s="194"/>
    </row>
    <row r="838">
      <c r="C838" s="194"/>
    </row>
    <row r="839">
      <c r="C839" s="194"/>
    </row>
    <row r="840">
      <c r="C840" s="194"/>
    </row>
    <row r="841">
      <c r="C841" s="194"/>
    </row>
    <row r="842">
      <c r="C842" s="194"/>
    </row>
    <row r="843">
      <c r="C843" s="194"/>
    </row>
    <row r="844">
      <c r="C844" s="194"/>
    </row>
    <row r="845">
      <c r="C845" s="194"/>
    </row>
    <row r="846">
      <c r="C846" s="194"/>
    </row>
    <row r="847">
      <c r="C847" s="194"/>
    </row>
    <row r="848">
      <c r="C848" s="194"/>
    </row>
    <row r="849">
      <c r="C849" s="194"/>
    </row>
    <row r="850">
      <c r="C850" s="194"/>
    </row>
    <row r="851">
      <c r="C851" s="194"/>
    </row>
    <row r="852">
      <c r="C852" s="194"/>
    </row>
    <row r="853">
      <c r="C853" s="194"/>
    </row>
    <row r="854">
      <c r="C854" s="194"/>
    </row>
    <row r="855">
      <c r="C855" s="194"/>
    </row>
    <row r="856">
      <c r="C856" s="194"/>
    </row>
    <row r="857">
      <c r="C857" s="194"/>
    </row>
    <row r="858">
      <c r="C858" s="194"/>
    </row>
    <row r="859">
      <c r="C859" s="194"/>
    </row>
    <row r="860">
      <c r="C860" s="194"/>
    </row>
    <row r="861">
      <c r="C861" s="194"/>
    </row>
    <row r="862">
      <c r="C862" s="194"/>
    </row>
    <row r="863">
      <c r="C863" s="194"/>
    </row>
    <row r="864">
      <c r="C864" s="194"/>
    </row>
    <row r="865">
      <c r="C865" s="194"/>
    </row>
    <row r="866">
      <c r="C866" s="194"/>
    </row>
    <row r="867">
      <c r="C867" s="194"/>
    </row>
    <row r="868">
      <c r="C868" s="194"/>
    </row>
    <row r="869">
      <c r="C869" s="194"/>
    </row>
    <row r="870">
      <c r="C870" s="194"/>
    </row>
    <row r="871">
      <c r="C871" s="194"/>
    </row>
    <row r="872">
      <c r="C872" s="194"/>
    </row>
    <row r="873">
      <c r="C873" s="194"/>
    </row>
    <row r="874">
      <c r="C874" s="194"/>
    </row>
    <row r="875">
      <c r="C875" s="194"/>
    </row>
    <row r="876">
      <c r="C876" s="194"/>
    </row>
    <row r="877">
      <c r="C877" s="194"/>
    </row>
    <row r="878">
      <c r="C878" s="194"/>
    </row>
    <row r="879">
      <c r="C879" s="194"/>
    </row>
    <row r="880">
      <c r="C880" s="194"/>
    </row>
    <row r="881">
      <c r="C881" s="194"/>
    </row>
    <row r="882">
      <c r="C882" s="194"/>
    </row>
    <row r="883">
      <c r="C883" s="194"/>
    </row>
    <row r="884">
      <c r="C884" s="194"/>
    </row>
    <row r="885">
      <c r="C885" s="194"/>
    </row>
    <row r="886">
      <c r="C886" s="194"/>
    </row>
    <row r="887">
      <c r="C887" s="194"/>
    </row>
    <row r="888">
      <c r="C888" s="194"/>
    </row>
    <row r="889">
      <c r="C889" s="194"/>
    </row>
    <row r="890">
      <c r="C890" s="194"/>
    </row>
    <row r="891">
      <c r="C891" s="194"/>
    </row>
    <row r="892">
      <c r="C892" s="194"/>
    </row>
    <row r="893">
      <c r="C893" s="194"/>
    </row>
    <row r="894">
      <c r="C894" s="194"/>
    </row>
    <row r="895">
      <c r="C895" s="194"/>
    </row>
    <row r="896">
      <c r="C896" s="194"/>
    </row>
    <row r="897">
      <c r="C897" s="194"/>
    </row>
    <row r="898">
      <c r="C898" s="194"/>
    </row>
    <row r="899">
      <c r="C899" s="194"/>
    </row>
    <row r="900">
      <c r="C900" s="194"/>
    </row>
    <row r="901">
      <c r="C901" s="194"/>
    </row>
    <row r="902">
      <c r="C902" s="194"/>
    </row>
    <row r="903">
      <c r="C903" s="194"/>
    </row>
    <row r="904">
      <c r="C904" s="194"/>
    </row>
    <row r="905">
      <c r="C905" s="194"/>
    </row>
    <row r="906">
      <c r="C906" s="194"/>
    </row>
    <row r="907">
      <c r="C907" s="194"/>
    </row>
    <row r="908">
      <c r="C908" s="194"/>
    </row>
    <row r="909">
      <c r="C909" s="194"/>
    </row>
    <row r="910">
      <c r="C910" s="194"/>
    </row>
    <row r="911">
      <c r="C911" s="194"/>
    </row>
    <row r="912">
      <c r="C912" s="194"/>
    </row>
    <row r="913">
      <c r="C913" s="194"/>
    </row>
    <row r="914">
      <c r="C914" s="194"/>
    </row>
    <row r="915">
      <c r="C915" s="194"/>
    </row>
    <row r="916">
      <c r="C916" s="194"/>
    </row>
    <row r="917">
      <c r="C917" s="194"/>
    </row>
    <row r="918">
      <c r="C918" s="194"/>
    </row>
    <row r="919">
      <c r="C919" s="194"/>
    </row>
    <row r="920">
      <c r="C920" s="194"/>
    </row>
    <row r="921">
      <c r="C921" s="194"/>
    </row>
    <row r="922">
      <c r="C922" s="194"/>
    </row>
    <row r="923">
      <c r="C923" s="194"/>
    </row>
    <row r="924">
      <c r="C924" s="194"/>
    </row>
    <row r="925">
      <c r="C925" s="194"/>
    </row>
    <row r="926">
      <c r="C926" s="194"/>
    </row>
    <row r="927">
      <c r="C927" s="194"/>
    </row>
    <row r="928">
      <c r="C928" s="194"/>
    </row>
    <row r="929">
      <c r="C929" s="194"/>
    </row>
    <row r="930">
      <c r="C930" s="194"/>
    </row>
    <row r="931">
      <c r="C931" s="194"/>
    </row>
    <row r="932">
      <c r="C932" s="194"/>
    </row>
    <row r="933">
      <c r="C933" s="194"/>
    </row>
    <row r="934">
      <c r="C934" s="194"/>
    </row>
    <row r="935">
      <c r="C935" s="194"/>
    </row>
    <row r="936">
      <c r="C936" s="194"/>
    </row>
    <row r="937">
      <c r="C937" s="194"/>
    </row>
    <row r="938">
      <c r="C938" s="194"/>
    </row>
    <row r="939">
      <c r="C939" s="194"/>
    </row>
    <row r="940">
      <c r="C940" s="194"/>
    </row>
    <row r="941">
      <c r="C941" s="194"/>
    </row>
    <row r="942">
      <c r="C942" s="194"/>
    </row>
    <row r="943">
      <c r="C943" s="194"/>
    </row>
    <row r="944">
      <c r="C944" s="194"/>
    </row>
    <row r="945">
      <c r="C945" s="194"/>
    </row>
    <row r="946">
      <c r="C946" s="194"/>
    </row>
    <row r="947">
      <c r="C947" s="194"/>
    </row>
    <row r="948">
      <c r="C948" s="194"/>
    </row>
    <row r="949">
      <c r="C949" s="194"/>
    </row>
    <row r="950">
      <c r="C950" s="194"/>
    </row>
    <row r="951">
      <c r="C951" s="194"/>
    </row>
    <row r="952">
      <c r="C952" s="194"/>
    </row>
    <row r="953">
      <c r="C953" s="194"/>
    </row>
    <row r="954">
      <c r="C954" s="194"/>
    </row>
    <row r="955">
      <c r="C955" s="194"/>
    </row>
    <row r="956">
      <c r="C956" s="194"/>
    </row>
    <row r="957">
      <c r="C957" s="194"/>
    </row>
    <row r="958">
      <c r="C958" s="194"/>
    </row>
    <row r="959">
      <c r="C959" s="194"/>
    </row>
    <row r="960">
      <c r="C960" s="194"/>
    </row>
    <row r="961">
      <c r="C961" s="194"/>
    </row>
    <row r="962">
      <c r="C962" s="194"/>
    </row>
    <row r="963">
      <c r="C963" s="194"/>
    </row>
    <row r="964">
      <c r="C964" s="194"/>
    </row>
    <row r="965">
      <c r="C965" s="194"/>
    </row>
    <row r="966">
      <c r="C966" s="194"/>
    </row>
    <row r="967">
      <c r="C967" s="194"/>
    </row>
    <row r="968">
      <c r="C968" s="194"/>
    </row>
    <row r="969">
      <c r="C969" s="194"/>
    </row>
    <row r="970">
      <c r="C970" s="194"/>
    </row>
    <row r="971">
      <c r="C971" s="194"/>
    </row>
    <row r="972">
      <c r="C972" s="194"/>
    </row>
    <row r="973">
      <c r="C973" s="194"/>
    </row>
    <row r="974">
      <c r="C974" s="194"/>
    </row>
    <row r="975">
      <c r="C975" s="194"/>
    </row>
    <row r="976">
      <c r="C976" s="194"/>
    </row>
    <row r="977">
      <c r="C977" s="194"/>
    </row>
    <row r="978">
      <c r="C978" s="194"/>
    </row>
    <row r="979">
      <c r="C979" s="194"/>
    </row>
    <row r="980">
      <c r="C980" s="194"/>
    </row>
    <row r="981">
      <c r="C981" s="194"/>
    </row>
    <row r="982">
      <c r="C982" s="194"/>
    </row>
    <row r="983">
      <c r="C983" s="194"/>
    </row>
    <row r="984">
      <c r="C984" s="194"/>
    </row>
    <row r="985">
      <c r="C985" s="194"/>
    </row>
    <row r="986">
      <c r="C986" s="194"/>
    </row>
    <row r="987">
      <c r="C987" s="194"/>
    </row>
    <row r="988">
      <c r="C988" s="194"/>
    </row>
    <row r="989">
      <c r="C989" s="194"/>
    </row>
    <row r="990">
      <c r="C990" s="194"/>
    </row>
    <row r="991">
      <c r="C991" s="194"/>
    </row>
    <row r="992">
      <c r="C992" s="194"/>
    </row>
    <row r="993">
      <c r="C993" s="194"/>
    </row>
    <row r="994">
      <c r="C994" s="194"/>
    </row>
    <row r="995">
      <c r="C995" s="194"/>
    </row>
    <row r="996">
      <c r="C996" s="194"/>
    </row>
    <row r="997">
      <c r="C997" s="194"/>
    </row>
    <row r="998">
      <c r="C998" s="194"/>
    </row>
    <row r="999">
      <c r="C999" s="194"/>
    </row>
    <row r="1000">
      <c r="C1000" s="194"/>
    </row>
  </sheetData>
  <autoFilter ref="$A$1:$Z$10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38"/>
    <col customWidth="1" min="2" max="2" width="20.13"/>
    <col customWidth="1" min="3" max="3" width="14.0"/>
    <col customWidth="1" min="10" max="10" width="24.88"/>
    <col customWidth="1" min="11" max="11" width="29.75"/>
    <col customWidth="1" min="12" max="12" width="15.75"/>
    <col customWidth="1" min="13" max="13" width="26.25"/>
  </cols>
  <sheetData>
    <row r="1">
      <c r="A1" s="131" t="s">
        <v>1933</v>
      </c>
      <c r="B1" s="121" t="s">
        <v>905</v>
      </c>
      <c r="C1" s="195" t="s">
        <v>908</v>
      </c>
      <c r="D1" s="196" t="s">
        <v>1934</v>
      </c>
      <c r="E1" s="197" t="s">
        <v>1935</v>
      </c>
      <c r="F1" s="195" t="s">
        <v>1936</v>
      </c>
      <c r="G1" s="195" t="s">
        <v>5</v>
      </c>
      <c r="H1" s="195" t="s">
        <v>1937</v>
      </c>
      <c r="I1" s="195" t="s">
        <v>910</v>
      </c>
      <c r="J1" s="121" t="s">
        <v>3</v>
      </c>
      <c r="K1" s="121" t="s">
        <v>911</v>
      </c>
      <c r="L1" s="198" t="s">
        <v>1938</v>
      </c>
      <c r="M1" s="124" t="s">
        <v>1939</v>
      </c>
    </row>
    <row r="2">
      <c r="A2" s="199"/>
      <c r="B2" s="200"/>
      <c r="C2" s="201"/>
      <c r="D2" s="201"/>
      <c r="E2" s="201"/>
      <c r="F2" s="202"/>
      <c r="G2" s="203"/>
      <c r="H2" s="203"/>
      <c r="I2" s="201"/>
      <c r="J2" s="203"/>
      <c r="K2" s="204"/>
      <c r="L2" s="205"/>
      <c r="M2" s="206"/>
    </row>
    <row r="3" hidden="1">
      <c r="A3" s="131">
        <v>1.0</v>
      </c>
      <c r="B3" s="207" t="s">
        <v>1940</v>
      </c>
      <c r="C3" s="207" t="s">
        <v>1941</v>
      </c>
      <c r="D3" s="208">
        <v>44121.0</v>
      </c>
      <c r="E3" s="209" t="s">
        <v>1942</v>
      </c>
      <c r="F3" s="131">
        <v>1.0</v>
      </c>
      <c r="G3" s="210" t="s">
        <v>671</v>
      </c>
      <c r="H3" s="210" t="s">
        <v>671</v>
      </c>
      <c r="I3" s="207"/>
      <c r="J3" s="211"/>
      <c r="K3" s="207" t="s">
        <v>1943</v>
      </c>
      <c r="L3" s="212" t="s">
        <v>1944</v>
      </c>
      <c r="M3" s="210" t="s">
        <v>1945</v>
      </c>
    </row>
    <row r="4">
      <c r="A4" s="131">
        <v>2.0</v>
      </c>
      <c r="B4" s="207" t="s">
        <v>1946</v>
      </c>
      <c r="C4" s="213" t="s">
        <v>1947</v>
      </c>
      <c r="D4" s="214">
        <v>44711.0</v>
      </c>
      <c r="E4" s="215" t="s">
        <v>1948</v>
      </c>
      <c r="F4" s="131"/>
      <c r="G4" s="210" t="s">
        <v>27</v>
      </c>
      <c r="H4" s="210" t="s">
        <v>28</v>
      </c>
      <c r="I4" s="131" t="s">
        <v>1949</v>
      </c>
      <c r="J4" s="211" t="s">
        <v>584</v>
      </c>
      <c r="K4" s="210" t="s">
        <v>1950</v>
      </c>
      <c r="L4" s="216"/>
      <c r="M4" s="210" t="s">
        <v>1951</v>
      </c>
    </row>
    <row r="5">
      <c r="A5" s="131">
        <v>3.0</v>
      </c>
      <c r="B5" s="207" t="s">
        <v>1940</v>
      </c>
      <c r="C5" s="207" t="s">
        <v>1952</v>
      </c>
      <c r="D5" s="208">
        <v>44121.0</v>
      </c>
      <c r="E5" s="207" t="s">
        <v>1953</v>
      </c>
      <c r="F5" s="131">
        <v>1.0</v>
      </c>
      <c r="G5" s="210" t="s">
        <v>1041</v>
      </c>
      <c r="H5" s="210" t="s">
        <v>105</v>
      </c>
      <c r="I5" s="217" t="s">
        <v>630</v>
      </c>
      <c r="J5" s="211" t="s">
        <v>632</v>
      </c>
      <c r="K5" s="218"/>
      <c r="L5" s="219"/>
      <c r="M5" s="218"/>
    </row>
    <row r="6" hidden="1">
      <c r="A6" s="131">
        <v>4.0</v>
      </c>
      <c r="B6" s="207" t="s">
        <v>1940</v>
      </c>
      <c r="C6" s="220" t="s">
        <v>1954</v>
      </c>
      <c r="D6" s="208">
        <v>44121.0</v>
      </c>
      <c r="E6" s="220" t="s">
        <v>1955</v>
      </c>
      <c r="F6" s="199"/>
      <c r="G6" s="221" t="s">
        <v>104</v>
      </c>
      <c r="H6" s="221" t="s">
        <v>105</v>
      </c>
      <c r="I6" s="217" t="s">
        <v>100</v>
      </c>
      <c r="J6" s="131" t="s">
        <v>102</v>
      </c>
      <c r="K6" s="218"/>
      <c r="L6" s="212" t="s">
        <v>1944</v>
      </c>
      <c r="M6" s="218"/>
    </row>
    <row r="7">
      <c r="A7" s="131">
        <v>5.0</v>
      </c>
      <c r="B7" s="207" t="s">
        <v>1956</v>
      </c>
      <c r="C7" s="207" t="s">
        <v>1957</v>
      </c>
      <c r="D7" s="208">
        <v>44995.0</v>
      </c>
      <c r="E7" s="207" t="s">
        <v>1958</v>
      </c>
      <c r="F7" s="131">
        <v>1.0</v>
      </c>
      <c r="G7" s="210" t="s">
        <v>1959</v>
      </c>
      <c r="H7" s="210" t="s">
        <v>105</v>
      </c>
      <c r="I7" s="217" t="s">
        <v>1960</v>
      </c>
      <c r="J7" s="218"/>
      <c r="K7" s="222"/>
      <c r="L7" s="223"/>
      <c r="M7" s="222"/>
    </row>
    <row r="8">
      <c r="A8" s="131">
        <v>6.0</v>
      </c>
      <c r="B8" s="207" t="s">
        <v>1956</v>
      </c>
      <c r="C8" s="207" t="s">
        <v>1961</v>
      </c>
      <c r="D8" s="208">
        <v>44995.0</v>
      </c>
      <c r="E8" s="224" t="s">
        <v>1962</v>
      </c>
      <c r="F8" s="131">
        <v>1.0</v>
      </c>
      <c r="G8" s="210" t="s">
        <v>27</v>
      </c>
      <c r="H8" s="210" t="s">
        <v>28</v>
      </c>
      <c r="I8" s="217" t="s">
        <v>1963</v>
      </c>
      <c r="J8" s="225" t="s">
        <v>1964</v>
      </c>
      <c r="K8" s="222"/>
      <c r="L8" s="223"/>
      <c r="M8" s="222"/>
    </row>
    <row r="9" hidden="1">
      <c r="A9" s="131">
        <v>7.0</v>
      </c>
      <c r="B9" s="207" t="s">
        <v>1956</v>
      </c>
      <c r="C9" s="207" t="s">
        <v>1965</v>
      </c>
      <c r="D9" s="208">
        <v>44995.0</v>
      </c>
      <c r="E9" s="224" t="s">
        <v>1955</v>
      </c>
      <c r="F9" s="199"/>
      <c r="G9" s="210" t="s">
        <v>671</v>
      </c>
      <c r="H9" s="210" t="s">
        <v>671</v>
      </c>
      <c r="I9" s="217" t="s">
        <v>1966</v>
      </c>
      <c r="J9" s="225" t="s">
        <v>1967</v>
      </c>
      <c r="K9" s="222"/>
      <c r="L9" s="212" t="s">
        <v>1944</v>
      </c>
      <c r="M9" s="222"/>
    </row>
    <row r="10">
      <c r="A10" s="226">
        <v>8.0</v>
      </c>
      <c r="B10" s="227" t="s">
        <v>1956</v>
      </c>
      <c r="C10" s="227" t="s">
        <v>1968</v>
      </c>
      <c r="D10" s="228">
        <v>44995.0</v>
      </c>
      <c r="E10" s="229" t="s">
        <v>1969</v>
      </c>
      <c r="F10" s="230"/>
      <c r="G10" s="231" t="s">
        <v>77</v>
      </c>
      <c r="H10" s="231" t="s">
        <v>137</v>
      </c>
      <c r="I10" s="146" t="s">
        <v>1970</v>
      </c>
      <c r="J10" s="232" t="s">
        <v>399</v>
      </c>
      <c r="K10" s="233"/>
      <c r="L10" s="234"/>
      <c r="M10" s="226" t="s">
        <v>1971</v>
      </c>
    </row>
    <row r="11">
      <c r="A11" s="131">
        <v>9.0</v>
      </c>
      <c r="B11" s="207" t="s">
        <v>1956</v>
      </c>
      <c r="C11" s="207" t="s">
        <v>1972</v>
      </c>
      <c r="D11" s="208">
        <v>44995.0</v>
      </c>
      <c r="E11" s="224" t="s">
        <v>1973</v>
      </c>
      <c r="F11" s="199"/>
      <c r="G11" s="210" t="s">
        <v>41</v>
      </c>
      <c r="H11" s="210" t="s">
        <v>105</v>
      </c>
      <c r="I11" s="213" t="s">
        <v>708</v>
      </c>
      <c r="J11" s="235" t="s">
        <v>710</v>
      </c>
      <c r="K11" s="222"/>
      <c r="L11" s="223"/>
      <c r="M11" s="218"/>
    </row>
    <row r="12">
      <c r="A12" s="131">
        <v>10.0</v>
      </c>
      <c r="B12" s="207" t="s">
        <v>1956</v>
      </c>
      <c r="C12" s="207" t="s">
        <v>1974</v>
      </c>
      <c r="D12" s="208">
        <v>44995.0</v>
      </c>
      <c r="E12" s="224" t="s">
        <v>1975</v>
      </c>
      <c r="F12" s="131">
        <v>1.0</v>
      </c>
      <c r="G12" s="210" t="s">
        <v>27</v>
      </c>
      <c r="H12" s="210" t="s">
        <v>28</v>
      </c>
      <c r="I12" s="217" t="s">
        <v>1976</v>
      </c>
      <c r="J12" s="225" t="s">
        <v>1977</v>
      </c>
      <c r="K12" s="222"/>
      <c r="L12" s="223"/>
      <c r="M12" s="218"/>
    </row>
    <row r="13" hidden="1">
      <c r="A13" s="131">
        <v>11.0</v>
      </c>
      <c r="B13" s="207" t="s">
        <v>1956</v>
      </c>
      <c r="C13" s="207" t="s">
        <v>1978</v>
      </c>
      <c r="D13" s="208">
        <v>44995.0</v>
      </c>
      <c r="E13" s="224" t="s">
        <v>1979</v>
      </c>
      <c r="F13" s="199"/>
      <c r="G13" s="210" t="s">
        <v>671</v>
      </c>
      <c r="H13" s="210" t="s">
        <v>671</v>
      </c>
      <c r="I13" s="131" t="s">
        <v>1949</v>
      </c>
      <c r="J13" s="236"/>
      <c r="K13" s="237" t="s">
        <v>1980</v>
      </c>
      <c r="L13" s="212" t="s">
        <v>1944</v>
      </c>
      <c r="M13" s="218"/>
    </row>
    <row r="14">
      <c r="A14" s="131">
        <v>12.0</v>
      </c>
      <c r="B14" s="207" t="s">
        <v>1956</v>
      </c>
      <c r="C14" s="207" t="s">
        <v>1981</v>
      </c>
      <c r="D14" s="208">
        <v>45079.0</v>
      </c>
      <c r="E14" s="224" t="s">
        <v>1982</v>
      </c>
      <c r="F14" s="131">
        <v>1.0</v>
      </c>
      <c r="G14" s="210" t="s">
        <v>77</v>
      </c>
      <c r="H14" s="210" t="s">
        <v>105</v>
      </c>
      <c r="I14" s="213" t="s">
        <v>525</v>
      </c>
      <c r="J14" s="210" t="s">
        <v>527</v>
      </c>
      <c r="K14" s="218"/>
      <c r="L14" s="219"/>
      <c r="M14" s="218"/>
    </row>
    <row r="15">
      <c r="A15" s="131">
        <v>13.0</v>
      </c>
      <c r="B15" s="207" t="s">
        <v>1956</v>
      </c>
      <c r="C15" s="238" t="s">
        <v>1983</v>
      </c>
      <c r="D15" s="208">
        <v>45079.0</v>
      </c>
      <c r="E15" s="224" t="s">
        <v>1984</v>
      </c>
      <c r="F15" s="131">
        <v>1.0</v>
      </c>
      <c r="G15" s="210" t="s">
        <v>77</v>
      </c>
      <c r="H15" s="210" t="s">
        <v>53</v>
      </c>
      <c r="I15" s="217" t="s">
        <v>335</v>
      </c>
      <c r="J15" s="210" t="s">
        <v>337</v>
      </c>
      <c r="K15" s="218"/>
      <c r="L15" s="219"/>
      <c r="M15" s="218" t="str">
        <f t="array" ref="M15">IFERROR(INDEX(sales!C:C,MATCH(J15,sales!C:C,0)),"LIST없음")</f>
        <v>genie.kim@stryker.com</v>
      </c>
    </row>
    <row r="16">
      <c r="A16" s="131">
        <v>14.0</v>
      </c>
      <c r="B16" s="207" t="s">
        <v>1956</v>
      </c>
      <c r="C16" s="238" t="s">
        <v>1985</v>
      </c>
      <c r="D16" s="208">
        <v>45079.0</v>
      </c>
      <c r="E16" s="224" t="s">
        <v>1986</v>
      </c>
      <c r="F16" s="199"/>
      <c r="G16" s="210" t="s">
        <v>52</v>
      </c>
      <c r="H16" s="210" t="s">
        <v>137</v>
      </c>
      <c r="I16" s="217" t="s">
        <v>724</v>
      </c>
      <c r="J16" s="210" t="s">
        <v>726</v>
      </c>
      <c r="K16" s="218"/>
      <c r="L16" s="219"/>
      <c r="M16" s="218" t="str">
        <f t="array" ref="M16">IFERROR(INDEX(Printer!H:H,MATCH(J16,Printer!H:H,0)),"PRINTER LIST없음")</f>
        <v>PRINTER LIST없음</v>
      </c>
    </row>
    <row r="17">
      <c r="A17" s="131">
        <v>15.0</v>
      </c>
      <c r="B17" s="207" t="s">
        <v>1956</v>
      </c>
      <c r="C17" s="238" t="s">
        <v>1987</v>
      </c>
      <c r="D17" s="208">
        <v>45079.0</v>
      </c>
      <c r="E17" s="224" t="s">
        <v>1988</v>
      </c>
      <c r="F17" s="131">
        <v>1.0</v>
      </c>
      <c r="G17" s="210" t="s">
        <v>27</v>
      </c>
      <c r="H17" s="210" t="s">
        <v>53</v>
      </c>
      <c r="I17" s="217" t="s">
        <v>1989</v>
      </c>
      <c r="J17" s="225" t="s">
        <v>1990</v>
      </c>
      <c r="K17" s="218"/>
      <c r="L17" s="219"/>
      <c r="M17" s="218" t="str">
        <f t="array" ref="M17">IFERROR(INDEX(sales!C:C,MATCH(J17,sales!C:C,0)),"LIST없음")</f>
        <v>david.oh@stryker.com</v>
      </c>
    </row>
    <row r="18">
      <c r="A18" s="131">
        <v>16.0</v>
      </c>
      <c r="B18" s="207" t="s">
        <v>1956</v>
      </c>
      <c r="C18" s="238" t="s">
        <v>1991</v>
      </c>
      <c r="D18" s="208">
        <v>45079.0</v>
      </c>
      <c r="E18" s="224" t="s">
        <v>1992</v>
      </c>
      <c r="F18" s="199"/>
      <c r="G18" s="210" t="s">
        <v>27</v>
      </c>
      <c r="H18" s="210" t="s">
        <v>28</v>
      </c>
      <c r="I18" s="217" t="s">
        <v>1993</v>
      </c>
      <c r="J18" s="210" t="s">
        <v>285</v>
      </c>
      <c r="K18" s="218"/>
      <c r="L18" s="219"/>
      <c r="M18" s="218"/>
    </row>
    <row r="19">
      <c r="A19" s="131">
        <v>17.0</v>
      </c>
      <c r="B19" s="207" t="s">
        <v>1956</v>
      </c>
      <c r="C19" s="238" t="s">
        <v>1994</v>
      </c>
      <c r="D19" s="208">
        <v>45079.0</v>
      </c>
      <c r="E19" s="224" t="s">
        <v>1995</v>
      </c>
      <c r="F19" s="131">
        <v>1.0</v>
      </c>
      <c r="G19" s="210" t="s">
        <v>904</v>
      </c>
      <c r="H19" s="210" t="s">
        <v>53</v>
      </c>
      <c r="I19" s="217" t="s">
        <v>580</v>
      </c>
      <c r="J19" s="210" t="s">
        <v>582</v>
      </c>
      <c r="K19" s="218"/>
      <c r="L19" s="219"/>
      <c r="M19" s="218" t="str">
        <f t="array" ref="M19">IFERROR(INDEX(sales!C:C,MATCH(J19,sales!C:C,0)),"LIST없음")</f>
        <v>michelle.park@stryker.com</v>
      </c>
    </row>
    <row r="20">
      <c r="A20" s="131">
        <v>18.0</v>
      </c>
      <c r="B20" s="207" t="s">
        <v>1956</v>
      </c>
      <c r="C20" s="238" t="s">
        <v>1996</v>
      </c>
      <c r="D20" s="208">
        <v>45079.0</v>
      </c>
      <c r="E20" s="224" t="s">
        <v>1997</v>
      </c>
      <c r="F20" s="239"/>
      <c r="G20" s="210" t="s">
        <v>295</v>
      </c>
      <c r="H20" s="210" t="s">
        <v>105</v>
      </c>
      <c r="I20" s="217" t="s">
        <v>321</v>
      </c>
      <c r="J20" s="210" t="s">
        <v>323</v>
      </c>
      <c r="K20" s="218"/>
      <c r="L20" s="219"/>
      <c r="M20" s="218"/>
    </row>
    <row r="21">
      <c r="A21" s="131">
        <v>19.0</v>
      </c>
      <c r="B21" s="207" t="s">
        <v>1956</v>
      </c>
      <c r="C21" s="238" t="s">
        <v>1998</v>
      </c>
      <c r="D21" s="208">
        <v>45079.0</v>
      </c>
      <c r="E21" s="224" t="s">
        <v>1999</v>
      </c>
      <c r="F21" s="239"/>
      <c r="G21" s="210" t="s">
        <v>67</v>
      </c>
      <c r="H21" s="210" t="s">
        <v>105</v>
      </c>
      <c r="I21" s="217" t="s">
        <v>297</v>
      </c>
      <c r="J21" s="210" t="s">
        <v>299</v>
      </c>
      <c r="K21" s="218"/>
      <c r="L21" s="219"/>
      <c r="M21" s="218"/>
    </row>
    <row r="22">
      <c r="A22" s="131">
        <v>20.0</v>
      </c>
      <c r="B22" s="207" t="s">
        <v>1956</v>
      </c>
      <c r="C22" s="238" t="s">
        <v>2000</v>
      </c>
      <c r="D22" s="208">
        <v>45079.0</v>
      </c>
      <c r="E22" s="224" t="s">
        <v>2001</v>
      </c>
      <c r="F22" s="199"/>
      <c r="G22" s="210" t="s">
        <v>27</v>
      </c>
      <c r="H22" s="210" t="s">
        <v>28</v>
      </c>
      <c r="I22" s="217" t="s">
        <v>269</v>
      </c>
      <c r="J22" s="210" t="s">
        <v>271</v>
      </c>
      <c r="K22" s="218"/>
      <c r="L22" s="219"/>
      <c r="M22" s="218"/>
    </row>
    <row r="23">
      <c r="A23" s="131">
        <v>21.0</v>
      </c>
      <c r="B23" s="207" t="s">
        <v>1956</v>
      </c>
      <c r="C23" s="238" t="s">
        <v>2002</v>
      </c>
      <c r="D23" s="208">
        <v>45079.0</v>
      </c>
      <c r="E23" s="224" t="s">
        <v>2003</v>
      </c>
      <c r="F23" s="131">
        <v>1.0</v>
      </c>
      <c r="G23" s="210" t="s">
        <v>20</v>
      </c>
      <c r="H23" s="240" t="s">
        <v>53</v>
      </c>
      <c r="I23" s="217" t="s">
        <v>615</v>
      </c>
      <c r="J23" s="210" t="s">
        <v>617</v>
      </c>
      <c r="K23" s="218"/>
      <c r="L23" s="219"/>
      <c r="M23" s="218" t="str">
        <f t="array" ref="M23">IFERROR(INDEX(Printer!H:H,MATCH(J23,Printer!H:H,0)),"PRINTER LIST없음")</f>
        <v>Gregory.Seo@stryker.com</v>
      </c>
    </row>
    <row r="24" hidden="1">
      <c r="A24" s="131">
        <v>22.0</v>
      </c>
      <c r="B24" s="207" t="s">
        <v>1956</v>
      </c>
      <c r="C24" s="238" t="s">
        <v>2004</v>
      </c>
      <c r="D24" s="208">
        <v>45079.0</v>
      </c>
      <c r="E24" s="224" t="s">
        <v>2005</v>
      </c>
      <c r="F24" s="239"/>
      <c r="G24" s="210" t="s">
        <v>2006</v>
      </c>
      <c r="H24" s="210" t="s">
        <v>105</v>
      </c>
      <c r="I24" s="217" t="s">
        <v>253</v>
      </c>
      <c r="J24" s="210" t="s">
        <v>255</v>
      </c>
      <c r="K24" s="218"/>
      <c r="L24" s="212" t="s">
        <v>1944</v>
      </c>
      <c r="M24" s="218"/>
    </row>
    <row r="25">
      <c r="A25" s="131">
        <v>23.0</v>
      </c>
      <c r="B25" s="207" t="s">
        <v>1956</v>
      </c>
      <c r="C25" s="238" t="s">
        <v>2007</v>
      </c>
      <c r="D25" s="208">
        <v>45079.0</v>
      </c>
      <c r="E25" s="224" t="s">
        <v>2008</v>
      </c>
      <c r="F25" s="131">
        <v>1.0</v>
      </c>
      <c r="G25" s="210" t="s">
        <v>2009</v>
      </c>
      <c r="H25" s="210" t="s">
        <v>53</v>
      </c>
      <c r="I25" s="217" t="s">
        <v>445</v>
      </c>
      <c r="J25" s="210" t="s">
        <v>447</v>
      </c>
      <c r="K25" s="218"/>
      <c r="L25" s="219"/>
      <c r="M25" s="218" t="str">
        <f t="array" ref="M25">IFERROR(INDEX(sales!C:C,MATCH(J25,sales!C:C,0)),"LIST없음")</f>
        <v>joy.lee@stryker.com</v>
      </c>
    </row>
    <row r="26" hidden="1">
      <c r="A26" s="131">
        <v>24.0</v>
      </c>
      <c r="B26" s="207" t="s">
        <v>1956</v>
      </c>
      <c r="C26" s="238" t="s">
        <v>2010</v>
      </c>
      <c r="D26" s="208">
        <v>45079.0</v>
      </c>
      <c r="E26" s="224" t="s">
        <v>2011</v>
      </c>
      <c r="F26" s="131">
        <v>1.0</v>
      </c>
      <c r="G26" s="210" t="s">
        <v>52</v>
      </c>
      <c r="H26" s="210" t="s">
        <v>53</v>
      </c>
      <c r="I26" s="217" t="s">
        <v>400</v>
      </c>
      <c r="J26" s="210" t="s">
        <v>402</v>
      </c>
      <c r="K26" s="218"/>
      <c r="L26" s="212" t="s">
        <v>1944</v>
      </c>
      <c r="M26" s="218" t="str">
        <f t="array" ref="M26">IFERROR(INDEX(sales!C:C,MATCH(J26,sales!C:C,0)),"LIST없음")</f>
        <v>david.kim3@stryker.com</v>
      </c>
    </row>
    <row r="27" hidden="1">
      <c r="A27" s="131">
        <v>25.0</v>
      </c>
      <c r="B27" s="207" t="s">
        <v>1956</v>
      </c>
      <c r="C27" s="238" t="s">
        <v>2012</v>
      </c>
      <c r="D27" s="208">
        <v>45079.0</v>
      </c>
      <c r="E27" s="224" t="s">
        <v>2013</v>
      </c>
      <c r="F27" s="131">
        <v>1.0</v>
      </c>
      <c r="G27" s="210" t="s">
        <v>142</v>
      </c>
      <c r="H27" s="210" t="s">
        <v>137</v>
      </c>
      <c r="I27" s="217" t="s">
        <v>272</v>
      </c>
      <c r="J27" s="210" t="s">
        <v>274</v>
      </c>
      <c r="K27" s="218"/>
      <c r="L27" s="212" t="s">
        <v>1944</v>
      </c>
      <c r="M27" s="218" t="str">
        <f t="array" ref="M27">IFERROR(INDEX(Printer!H:H,MATCH(J27,Printer!H:H,0)),"PRINTER LIST없음")</f>
        <v>PRINTER LIST없음</v>
      </c>
    </row>
    <row r="28">
      <c r="A28" s="131">
        <v>26.0</v>
      </c>
      <c r="B28" s="207" t="s">
        <v>1956</v>
      </c>
      <c r="C28" s="238" t="s">
        <v>2014</v>
      </c>
      <c r="D28" s="208">
        <v>45079.0</v>
      </c>
      <c r="E28" s="224" t="s">
        <v>2015</v>
      </c>
      <c r="F28" s="131">
        <v>1.0</v>
      </c>
      <c r="G28" s="210" t="s">
        <v>27</v>
      </c>
      <c r="H28" s="210" t="s">
        <v>28</v>
      </c>
      <c r="I28" s="131" t="s">
        <v>867</v>
      </c>
      <c r="J28" s="241" t="s">
        <v>869</v>
      </c>
      <c r="K28" s="210" t="s">
        <v>2016</v>
      </c>
      <c r="L28" s="219"/>
      <c r="M28" s="218"/>
    </row>
    <row r="29">
      <c r="A29" s="131">
        <v>27.0</v>
      </c>
      <c r="B29" s="207" t="s">
        <v>1956</v>
      </c>
      <c r="C29" s="238" t="s">
        <v>2017</v>
      </c>
      <c r="D29" s="208">
        <v>45079.0</v>
      </c>
      <c r="E29" s="224" t="s">
        <v>2018</v>
      </c>
      <c r="F29" s="131">
        <v>1.0</v>
      </c>
      <c r="G29" s="210" t="s">
        <v>27</v>
      </c>
      <c r="H29" s="210" t="s">
        <v>28</v>
      </c>
      <c r="I29" s="131" t="s">
        <v>835</v>
      </c>
      <c r="J29" s="225" t="s">
        <v>837</v>
      </c>
      <c r="K29" s="210" t="s">
        <v>2019</v>
      </c>
      <c r="L29" s="219"/>
      <c r="M29" s="218"/>
    </row>
    <row r="30">
      <c r="A30" s="131">
        <v>28.0</v>
      </c>
      <c r="B30" s="207" t="s">
        <v>1956</v>
      </c>
      <c r="C30" s="238" t="s">
        <v>2020</v>
      </c>
      <c r="D30" s="208">
        <v>45079.0</v>
      </c>
      <c r="E30" s="224" t="s">
        <v>2021</v>
      </c>
      <c r="F30" s="131">
        <v>1.0</v>
      </c>
      <c r="G30" s="210" t="s">
        <v>52</v>
      </c>
      <c r="H30" s="210" t="s">
        <v>53</v>
      </c>
      <c r="I30" s="213" t="s">
        <v>471</v>
      </c>
      <c r="J30" s="210" t="s">
        <v>473</v>
      </c>
      <c r="K30" s="218"/>
      <c r="L30" s="219"/>
      <c r="M30" s="218" t="str">
        <f t="array" ref="M30">IFERROR(INDEX(sales!C:C,MATCH(J30,sales!C:C,0)),"LIST없음")</f>
        <v>henry.lee@stryker.com</v>
      </c>
    </row>
    <row r="31">
      <c r="A31" s="131">
        <v>29.0</v>
      </c>
      <c r="B31" s="207" t="s">
        <v>1956</v>
      </c>
      <c r="C31" s="238" t="s">
        <v>2022</v>
      </c>
      <c r="D31" s="208">
        <v>45079.0</v>
      </c>
      <c r="E31" s="224" t="s">
        <v>2023</v>
      </c>
      <c r="F31" s="131">
        <v>1.0</v>
      </c>
      <c r="G31" s="210" t="s">
        <v>20</v>
      </c>
      <c r="H31" s="210" t="s">
        <v>53</v>
      </c>
      <c r="I31" s="217" t="s">
        <v>662</v>
      </c>
      <c r="J31" s="210" t="s">
        <v>664</v>
      </c>
      <c r="K31" s="218"/>
      <c r="L31" s="219"/>
      <c r="M31" s="218" t="str">
        <f t="array" ref="M31">IFERROR(INDEX(sales!C:C,MATCH(J31,sales!C:C,0)),"LIST없음")</f>
        <v>mina.song@stryker.com</v>
      </c>
    </row>
    <row r="32">
      <c r="A32" s="131">
        <v>30.0</v>
      </c>
      <c r="B32" s="207" t="s">
        <v>1956</v>
      </c>
      <c r="C32" s="207" t="s">
        <v>2024</v>
      </c>
      <c r="D32" s="208">
        <v>45131.0</v>
      </c>
      <c r="E32" s="224" t="s">
        <v>2025</v>
      </c>
      <c r="F32" s="199"/>
      <c r="G32" s="210" t="s">
        <v>35</v>
      </c>
      <c r="H32" s="210" t="s">
        <v>35</v>
      </c>
      <c r="I32" s="217" t="s">
        <v>569</v>
      </c>
      <c r="J32" s="210" t="s">
        <v>571</v>
      </c>
      <c r="K32" s="218"/>
      <c r="L32" s="219"/>
      <c r="M32" s="218" t="str">
        <f t="array" ref="M32">IFERROR(INDEX(Printer!H:H,MATCH(J32,Printer!H:H,0)),"PRINTER LIST없음")</f>
        <v>PRINTER LIST없음</v>
      </c>
    </row>
    <row r="33" hidden="1">
      <c r="A33" s="131">
        <v>31.0</v>
      </c>
      <c r="B33" s="207" t="s">
        <v>1956</v>
      </c>
      <c r="C33" s="207" t="s">
        <v>2026</v>
      </c>
      <c r="D33" s="208">
        <v>45131.0</v>
      </c>
      <c r="E33" s="224" t="s">
        <v>2027</v>
      </c>
      <c r="F33" s="131">
        <v>1.0</v>
      </c>
      <c r="G33" s="210" t="s">
        <v>27</v>
      </c>
      <c r="H33" s="210" t="s">
        <v>137</v>
      </c>
      <c r="I33" s="217" t="s">
        <v>464</v>
      </c>
      <c r="J33" s="210" t="s">
        <v>466</v>
      </c>
      <c r="K33" s="218"/>
      <c r="L33" s="212" t="s">
        <v>1944</v>
      </c>
      <c r="M33" s="218" t="str">
        <f t="array" ref="M33">IFERROR(INDEX(Printer!H:H,MATCH(J33,Printer!H:H,0)),"PRINTER LIST없음")</f>
        <v>PRINTER LIST없음</v>
      </c>
    </row>
    <row r="34" hidden="1">
      <c r="A34" s="131">
        <v>32.0</v>
      </c>
      <c r="B34" s="207" t="s">
        <v>1956</v>
      </c>
      <c r="C34" s="207" t="s">
        <v>2028</v>
      </c>
      <c r="D34" s="208">
        <v>45131.0</v>
      </c>
      <c r="E34" s="224" t="s">
        <v>2029</v>
      </c>
      <c r="F34" s="199"/>
      <c r="G34" s="210" t="s">
        <v>77</v>
      </c>
      <c r="H34" s="210" t="s">
        <v>137</v>
      </c>
      <c r="I34" s="217" t="s">
        <v>738</v>
      </c>
      <c r="J34" s="210" t="s">
        <v>740</v>
      </c>
      <c r="K34" s="218"/>
      <c r="L34" s="212" t="s">
        <v>1944</v>
      </c>
      <c r="M34" s="218" t="str">
        <f t="array" ref="M34">IFERROR(INDEX(Printer!H:H,MATCH(J34,Printer!H:H,0)),"PRINTER LIST없음")</f>
        <v>PRINTER LIST없음</v>
      </c>
    </row>
    <row r="35" hidden="1">
      <c r="A35" s="131">
        <v>33.0</v>
      </c>
      <c r="B35" s="207" t="s">
        <v>1956</v>
      </c>
      <c r="C35" s="207" t="s">
        <v>2030</v>
      </c>
      <c r="D35" s="208">
        <v>45131.0</v>
      </c>
      <c r="E35" s="224" t="s">
        <v>2031</v>
      </c>
      <c r="F35" s="199"/>
      <c r="G35" s="210" t="s">
        <v>671</v>
      </c>
      <c r="H35" s="210" t="s">
        <v>671</v>
      </c>
      <c r="I35" s="131" t="s">
        <v>1949</v>
      </c>
      <c r="J35" s="131" t="s">
        <v>584</v>
      </c>
      <c r="K35" s="210" t="s">
        <v>2032</v>
      </c>
      <c r="L35" s="212" t="s">
        <v>1944</v>
      </c>
      <c r="M35" s="218"/>
    </row>
    <row r="36">
      <c r="A36" s="131">
        <v>34.0</v>
      </c>
      <c r="B36" s="207" t="s">
        <v>1956</v>
      </c>
      <c r="C36" s="207" t="s">
        <v>2033</v>
      </c>
      <c r="D36" s="208">
        <v>45131.0</v>
      </c>
      <c r="E36" s="224" t="s">
        <v>2034</v>
      </c>
      <c r="F36" s="131">
        <v>1.0</v>
      </c>
      <c r="G36" s="210" t="s">
        <v>27</v>
      </c>
      <c r="H36" s="210" t="s">
        <v>28</v>
      </c>
      <c r="I36" s="213" t="s">
        <v>607</v>
      </c>
      <c r="J36" s="225" t="s">
        <v>2035</v>
      </c>
      <c r="K36" s="222"/>
      <c r="L36" s="223"/>
      <c r="M36" s="218"/>
    </row>
    <row r="37">
      <c r="A37" s="131">
        <v>35.0</v>
      </c>
      <c r="B37" s="207" t="s">
        <v>1956</v>
      </c>
      <c r="C37" s="207" t="s">
        <v>2036</v>
      </c>
      <c r="D37" s="208">
        <v>45131.0</v>
      </c>
      <c r="E37" s="224" t="s">
        <v>2037</v>
      </c>
      <c r="F37" s="131">
        <v>1.0</v>
      </c>
      <c r="G37" s="210" t="s">
        <v>142</v>
      </c>
      <c r="H37" s="210" t="s">
        <v>53</v>
      </c>
      <c r="I37" s="217" t="s">
        <v>167</v>
      </c>
      <c r="J37" s="210" t="s">
        <v>169</v>
      </c>
      <c r="K37" s="218"/>
      <c r="L37" s="219"/>
      <c r="M37" s="218" t="str">
        <f t="array" ref="M37">IFERROR(INDEX(sales!C:C,MATCH(J37,sales!C:C,0)),"LIST없음")</f>
        <v>leo.han@stryker.com</v>
      </c>
    </row>
    <row r="38">
      <c r="A38" s="131">
        <v>36.0</v>
      </c>
      <c r="B38" s="207" t="s">
        <v>1956</v>
      </c>
      <c r="C38" s="207" t="s">
        <v>2038</v>
      </c>
      <c r="D38" s="208">
        <v>45131.0</v>
      </c>
      <c r="E38" s="224" t="s">
        <v>2039</v>
      </c>
      <c r="F38" s="131">
        <v>1.0</v>
      </c>
      <c r="G38" s="210" t="s">
        <v>142</v>
      </c>
      <c r="H38" s="210" t="s">
        <v>53</v>
      </c>
      <c r="I38" s="217" t="s">
        <v>364</v>
      </c>
      <c r="J38" s="210" t="s">
        <v>366</v>
      </c>
      <c r="K38" s="218"/>
      <c r="L38" s="219"/>
      <c r="M38" s="218" t="str">
        <f t="array" ref="M38">IFERROR(INDEX(sales!C:C,MATCH(J38,sales!C:C,0)),"LIST없음")</f>
        <v>jayden.kim@stryker.com</v>
      </c>
    </row>
    <row r="39">
      <c r="A39" s="131">
        <v>37.0</v>
      </c>
      <c r="B39" s="207" t="s">
        <v>1956</v>
      </c>
      <c r="C39" s="207" t="s">
        <v>2040</v>
      </c>
      <c r="D39" s="208">
        <v>45131.0</v>
      </c>
      <c r="E39" s="224" t="s">
        <v>2041</v>
      </c>
      <c r="F39" s="131">
        <v>1.0</v>
      </c>
      <c r="G39" s="210" t="s">
        <v>142</v>
      </c>
      <c r="H39" s="210" t="s">
        <v>53</v>
      </c>
      <c r="I39" s="217" t="s">
        <v>119</v>
      </c>
      <c r="J39" s="210" t="s">
        <v>120</v>
      </c>
      <c r="K39" s="218"/>
      <c r="L39" s="219"/>
      <c r="M39" s="218" t="str">
        <f t="array" ref="M39">IFERROR(INDEX(sales!C:C,MATCH(J39,sales!C:C,0)),"LIST없음")</f>
        <v>claire.choi@stryker.com</v>
      </c>
    </row>
    <row r="40" hidden="1">
      <c r="A40" s="131">
        <v>38.0</v>
      </c>
      <c r="B40" s="207" t="s">
        <v>1956</v>
      </c>
      <c r="C40" s="238" t="s">
        <v>2042</v>
      </c>
      <c r="D40" s="208">
        <v>45131.0</v>
      </c>
      <c r="E40" s="224" t="s">
        <v>2043</v>
      </c>
      <c r="F40" s="131">
        <v>1.0</v>
      </c>
      <c r="G40" s="210" t="s">
        <v>142</v>
      </c>
      <c r="H40" s="210" t="s">
        <v>53</v>
      </c>
      <c r="I40" s="217" t="s">
        <v>276</v>
      </c>
      <c r="J40" s="210" t="s">
        <v>278</v>
      </c>
      <c r="K40" s="218"/>
      <c r="L40" s="212" t="s">
        <v>1944</v>
      </c>
      <c r="M40" s="218" t="str">
        <f t="array" ref="M40">IFERROR(INDEX(sales!C:C,MATCH(J40,sales!C:C,0)),"LIST없음")</f>
        <v>suhwan.jung@stryker.com</v>
      </c>
    </row>
    <row r="41">
      <c r="A41" s="131">
        <v>39.0</v>
      </c>
      <c r="B41" s="207" t="s">
        <v>1956</v>
      </c>
      <c r="C41" s="238" t="s">
        <v>2044</v>
      </c>
      <c r="D41" s="208">
        <v>45131.0</v>
      </c>
      <c r="E41" s="224" t="s">
        <v>2045</v>
      </c>
      <c r="F41" s="131">
        <v>1.0</v>
      </c>
      <c r="G41" s="210" t="s">
        <v>142</v>
      </c>
      <c r="H41" s="210" t="s">
        <v>53</v>
      </c>
      <c r="I41" s="217" t="s">
        <v>636</v>
      </c>
      <c r="J41" s="210" t="s">
        <v>638</v>
      </c>
      <c r="K41" s="218"/>
      <c r="L41" s="219"/>
      <c r="M41" s="218" t="str">
        <f t="array" ref="M41">IFERROR(INDEX(sales!C:C,MATCH(J41,sales!C:C,0)),"LIST없음")</f>
        <v>chris.shin@stryker.com</v>
      </c>
    </row>
    <row r="42">
      <c r="A42" s="131">
        <v>40.0</v>
      </c>
      <c r="B42" s="207" t="s">
        <v>1956</v>
      </c>
      <c r="C42" s="238" t="s">
        <v>2046</v>
      </c>
      <c r="D42" s="208">
        <v>45131.0</v>
      </c>
      <c r="E42" s="224" t="s">
        <v>2047</v>
      </c>
      <c r="F42" s="239"/>
      <c r="G42" s="210" t="s">
        <v>41</v>
      </c>
      <c r="H42" s="210" t="s">
        <v>105</v>
      </c>
      <c r="I42" s="217" t="s">
        <v>610</v>
      </c>
      <c r="J42" s="210" t="s">
        <v>612</v>
      </c>
      <c r="K42" s="218"/>
      <c r="L42" s="219"/>
      <c r="M42" s="218"/>
    </row>
    <row r="43">
      <c r="A43" s="131">
        <v>41.0</v>
      </c>
      <c r="B43" s="207" t="s">
        <v>1956</v>
      </c>
      <c r="C43" s="238" t="s">
        <v>2048</v>
      </c>
      <c r="D43" s="208">
        <v>45131.0</v>
      </c>
      <c r="E43" s="224" t="s">
        <v>2049</v>
      </c>
      <c r="F43" s="131">
        <v>1.0</v>
      </c>
      <c r="G43" s="210" t="s">
        <v>142</v>
      </c>
      <c r="H43" s="210" t="s">
        <v>53</v>
      </c>
      <c r="I43" s="217" t="s">
        <v>685</v>
      </c>
      <c r="J43" s="210" t="s">
        <v>687</v>
      </c>
      <c r="K43" s="218"/>
      <c r="L43" s="219"/>
      <c r="M43" s="218" t="str">
        <f t="array" ref="M43">IFERROR(INDEX(sales!C:C,MATCH(J43,sales!C:C,0)),"LIST없음")</f>
        <v>hailey.song@stryker.com</v>
      </c>
    </row>
    <row r="44">
      <c r="A44" s="131">
        <v>42.0</v>
      </c>
      <c r="B44" s="207" t="s">
        <v>1956</v>
      </c>
      <c r="C44" s="238" t="s">
        <v>2050</v>
      </c>
      <c r="D44" s="208">
        <v>45131.0</v>
      </c>
      <c r="E44" s="224" t="s">
        <v>2051</v>
      </c>
      <c r="F44" s="131">
        <v>1.0</v>
      </c>
      <c r="G44" s="210" t="s">
        <v>77</v>
      </c>
      <c r="H44" s="210" t="s">
        <v>53</v>
      </c>
      <c r="I44" s="217" t="s">
        <v>339</v>
      </c>
      <c r="J44" s="210" t="s">
        <v>341</v>
      </c>
      <c r="K44" s="218"/>
      <c r="L44" s="219"/>
      <c r="M44" s="218" t="str">
        <f t="array" ref="M44">IFERROR(INDEX(sales!C:C,MATCH(J44,sales!C:C,0)),"LIST없음")</f>
        <v>jason.kim1@stryker.com</v>
      </c>
    </row>
    <row r="45">
      <c r="A45" s="131">
        <v>43.0</v>
      </c>
      <c r="B45" s="207" t="s">
        <v>1956</v>
      </c>
      <c r="C45" s="238" t="s">
        <v>2052</v>
      </c>
      <c r="D45" s="208">
        <v>45131.0</v>
      </c>
      <c r="E45" s="224" t="s">
        <v>2053</v>
      </c>
      <c r="F45" s="199"/>
      <c r="G45" s="210" t="s">
        <v>2009</v>
      </c>
      <c r="H45" s="210" t="s">
        <v>53</v>
      </c>
      <c r="I45" s="217" t="s">
        <v>309</v>
      </c>
      <c r="J45" s="210" t="s">
        <v>311</v>
      </c>
      <c r="K45" s="218"/>
      <c r="L45" s="219"/>
      <c r="M45" s="218" t="str">
        <f t="array" ref="M45">IFERROR(INDEX(sales!C:C,MATCH(J45,sales!C:C,0)),"LIST없음")</f>
        <v>danny.kim@stryker.com</v>
      </c>
    </row>
    <row r="46">
      <c r="A46" s="131">
        <v>44.0</v>
      </c>
      <c r="B46" s="207" t="s">
        <v>1956</v>
      </c>
      <c r="C46" s="238" t="s">
        <v>2054</v>
      </c>
      <c r="D46" s="208">
        <v>45131.0</v>
      </c>
      <c r="E46" s="224" t="s">
        <v>2055</v>
      </c>
      <c r="F46" s="131">
        <v>1.0</v>
      </c>
      <c r="G46" s="210" t="s">
        <v>142</v>
      </c>
      <c r="H46" s="210" t="s">
        <v>53</v>
      </c>
      <c r="I46" s="217" t="s">
        <v>287</v>
      </c>
      <c r="J46" s="210" t="s">
        <v>289</v>
      </c>
      <c r="K46" s="218"/>
      <c r="L46" s="219"/>
      <c r="M46" s="218" t="str">
        <f t="array" ref="M46">IFERROR(INDEX(sales!C:C,MATCH(J46,sales!C:C,0)),"LIST없음")</f>
        <v>louis.kang@stryker.com</v>
      </c>
    </row>
    <row r="47">
      <c r="A47" s="131">
        <v>45.0</v>
      </c>
      <c r="B47" s="207" t="s">
        <v>1956</v>
      </c>
      <c r="C47" s="207" t="s">
        <v>2056</v>
      </c>
      <c r="D47" s="208">
        <v>45131.0</v>
      </c>
      <c r="E47" s="224" t="s">
        <v>2057</v>
      </c>
      <c r="F47" s="131">
        <v>1.0</v>
      </c>
      <c r="G47" s="210" t="s">
        <v>142</v>
      </c>
      <c r="H47" s="210" t="s">
        <v>53</v>
      </c>
      <c r="I47" s="217" t="s">
        <v>185</v>
      </c>
      <c r="J47" s="210" t="s">
        <v>187</v>
      </c>
      <c r="K47" s="218"/>
      <c r="L47" s="219"/>
      <c r="M47" s="218" t="str">
        <f t="array" ref="M47">IFERROR(INDEX(sales!C:C,MATCH(J47,sales!C:C,0)),"LIST없음")</f>
        <v>ashley.hong@stryker.com</v>
      </c>
    </row>
    <row r="48">
      <c r="A48" s="131">
        <v>46.0</v>
      </c>
      <c r="B48" s="207" t="s">
        <v>1956</v>
      </c>
      <c r="C48" s="238" t="s">
        <v>2058</v>
      </c>
      <c r="D48" s="208">
        <v>45131.0</v>
      </c>
      <c r="E48" s="224" t="s">
        <v>2059</v>
      </c>
      <c r="F48" s="131">
        <v>1.0</v>
      </c>
      <c r="G48" s="210" t="s">
        <v>142</v>
      </c>
      <c r="H48" s="210" t="s">
        <v>53</v>
      </c>
      <c r="I48" s="217" t="s">
        <v>716</v>
      </c>
      <c r="J48" s="210" t="s">
        <v>718</v>
      </c>
      <c r="K48" s="210" t="s">
        <v>2060</v>
      </c>
      <c r="L48" s="219"/>
      <c r="M48" s="218" t="str">
        <f t="array" ref="M48">IFERROR(INDEX(sales!C:C,MATCH(J48,sales!C:C,0)),"LIST없음")</f>
        <v>jiho.yoo@stryker.com</v>
      </c>
    </row>
    <row r="49">
      <c r="A49" s="131">
        <v>47.0</v>
      </c>
      <c r="B49" s="207" t="s">
        <v>1956</v>
      </c>
      <c r="C49" s="238" t="s">
        <v>2061</v>
      </c>
      <c r="D49" s="208">
        <v>45131.0</v>
      </c>
      <c r="E49" s="224" t="s">
        <v>2062</v>
      </c>
      <c r="F49" s="131">
        <v>1.0</v>
      </c>
      <c r="G49" s="210" t="s">
        <v>142</v>
      </c>
      <c r="H49" s="210" t="s">
        <v>53</v>
      </c>
      <c r="I49" s="217" t="s">
        <v>234</v>
      </c>
      <c r="J49" s="210" t="s">
        <v>236</v>
      </c>
      <c r="K49" s="218"/>
      <c r="L49" s="219"/>
      <c r="M49" s="218" t="str">
        <f t="array" ref="M49">IFERROR(INDEX(Printer!H:H,MATCH(J49,Printer!H:H,0)),"PRINTER LIST없음")</f>
        <v>yoonbee.jeong@stryker.com</v>
      </c>
    </row>
    <row r="50">
      <c r="A50" s="131">
        <v>48.0</v>
      </c>
      <c r="B50" s="207" t="s">
        <v>1956</v>
      </c>
      <c r="C50" s="238" t="s">
        <v>2063</v>
      </c>
      <c r="D50" s="208">
        <v>45131.0</v>
      </c>
      <c r="E50" s="224" t="s">
        <v>2064</v>
      </c>
      <c r="F50" s="131">
        <v>1.0</v>
      </c>
      <c r="G50" s="210" t="s">
        <v>142</v>
      </c>
      <c r="H50" s="210" t="s">
        <v>53</v>
      </c>
      <c r="I50" s="217" t="s">
        <v>425</v>
      </c>
      <c r="J50" s="210" t="s">
        <v>427</v>
      </c>
      <c r="K50" s="218"/>
      <c r="L50" s="219"/>
      <c r="M50" s="218" t="str">
        <f t="array" ref="M50">IFERROR(INDEX(sales!C:C,MATCH(J50,sales!C:C,0)),"LIST없음")</f>
        <v>ara.ko@stryker.com</v>
      </c>
    </row>
    <row r="51">
      <c r="A51" s="131">
        <v>49.0</v>
      </c>
      <c r="B51" s="207" t="s">
        <v>1956</v>
      </c>
      <c r="C51" s="238" t="s">
        <v>2065</v>
      </c>
      <c r="D51" s="208">
        <v>45131.0</v>
      </c>
      <c r="E51" s="224" t="s">
        <v>2066</v>
      </c>
      <c r="F51" s="131">
        <v>1.0</v>
      </c>
      <c r="G51" s="242" t="s">
        <v>142</v>
      </c>
      <c r="H51" s="242" t="s">
        <v>53</v>
      </c>
      <c r="I51" s="217" t="s">
        <v>262</v>
      </c>
      <c r="J51" s="210" t="s">
        <v>264</v>
      </c>
      <c r="K51" s="218"/>
      <c r="L51" s="219"/>
      <c r="M51" s="218" t="str">
        <f t="array" ref="M51">IFERROR(INDEX(sales!C:C,MATCH(J51,sales!C:C,0)),"LIST없음")</f>
        <v>scott.jo@stryker.com</v>
      </c>
    </row>
    <row r="52">
      <c r="A52" s="131">
        <v>50.0</v>
      </c>
      <c r="B52" s="207" t="s">
        <v>1956</v>
      </c>
      <c r="C52" s="238" t="s">
        <v>2067</v>
      </c>
      <c r="D52" s="208">
        <v>45131.0</v>
      </c>
      <c r="E52" s="224" t="s">
        <v>2068</v>
      </c>
      <c r="F52" s="131">
        <v>1.0</v>
      </c>
      <c r="G52" s="210" t="s">
        <v>20</v>
      </c>
      <c r="H52" s="210" t="s">
        <v>53</v>
      </c>
      <c r="I52" s="217" t="s">
        <v>330</v>
      </c>
      <c r="J52" s="210" t="s">
        <v>332</v>
      </c>
      <c r="K52" s="218"/>
      <c r="L52" s="219"/>
      <c r="M52" s="218" t="str">
        <f t="array" ref="M52">IFERROR(INDEX(Printer!H:H,MATCH(J52,Printer!H:H,0)),"PRINTER LIST없음")</f>
        <v>jackson.kim@stryker.com</v>
      </c>
    </row>
    <row r="53">
      <c r="A53" s="131">
        <v>51.0</v>
      </c>
      <c r="B53" s="207" t="s">
        <v>1956</v>
      </c>
      <c r="C53" s="238" t="s">
        <v>2069</v>
      </c>
      <c r="D53" s="208">
        <v>45131.0</v>
      </c>
      <c r="E53" s="224" t="s">
        <v>2070</v>
      </c>
      <c r="F53" s="199"/>
      <c r="G53" s="210" t="s">
        <v>77</v>
      </c>
      <c r="H53" s="210" t="s">
        <v>53</v>
      </c>
      <c r="I53" s="217" t="s">
        <v>576</v>
      </c>
      <c r="J53" s="210" t="s">
        <v>578</v>
      </c>
      <c r="K53" s="218"/>
      <c r="L53" s="219"/>
      <c r="M53" s="218" t="str">
        <f t="array" ref="M53">IFERROR(INDEX(sales!C:C,MATCH(J53,sales!C:C,0)),"LIST없음")</f>
        <v>peter.park@stryker.com</v>
      </c>
    </row>
    <row r="54">
      <c r="A54" s="131">
        <v>52.0</v>
      </c>
      <c r="B54" s="207" t="s">
        <v>1956</v>
      </c>
      <c r="C54" s="238" t="s">
        <v>2071</v>
      </c>
      <c r="D54" s="208">
        <v>45131.0</v>
      </c>
      <c r="E54" s="224" t="s">
        <v>2072</v>
      </c>
      <c r="F54" s="131">
        <v>1.0</v>
      </c>
      <c r="G54" s="210" t="s">
        <v>27</v>
      </c>
      <c r="H54" s="210" t="s">
        <v>53</v>
      </c>
      <c r="I54" s="217" t="s">
        <v>367</v>
      </c>
      <c r="J54" s="210" t="s">
        <v>369</v>
      </c>
      <c r="K54" s="218"/>
      <c r="L54" s="219"/>
      <c r="M54" s="218" t="str">
        <f t="array" ref="M54">IFERROR(INDEX(sales!C:C,MATCH(J54,sales!C:C,0)),"LIST없음")</f>
        <v>dongkyu.kim@stryker.com</v>
      </c>
    </row>
    <row r="55">
      <c r="A55" s="131">
        <v>53.0</v>
      </c>
      <c r="B55" s="207" t="s">
        <v>1956</v>
      </c>
      <c r="C55" s="238" t="s">
        <v>2073</v>
      </c>
      <c r="D55" s="208">
        <v>45131.0</v>
      </c>
      <c r="E55" s="224" t="s">
        <v>2074</v>
      </c>
      <c r="F55" s="131">
        <v>1.0</v>
      </c>
      <c r="G55" s="210" t="s">
        <v>671</v>
      </c>
      <c r="H55" s="210" t="s">
        <v>105</v>
      </c>
      <c r="I55" s="217" t="s">
        <v>667</v>
      </c>
      <c r="J55" s="210" t="s">
        <v>669</v>
      </c>
      <c r="K55" s="218"/>
      <c r="L55" s="219"/>
      <c r="M55" s="218"/>
    </row>
    <row r="56">
      <c r="A56" s="131">
        <v>54.0</v>
      </c>
      <c r="B56" s="207" t="s">
        <v>1956</v>
      </c>
      <c r="C56" s="238" t="s">
        <v>2075</v>
      </c>
      <c r="D56" s="208">
        <v>45131.0</v>
      </c>
      <c r="E56" s="224" t="s">
        <v>2076</v>
      </c>
      <c r="F56" s="131">
        <v>1.0</v>
      </c>
      <c r="G56" s="210" t="s">
        <v>52</v>
      </c>
      <c r="H56" s="210" t="s">
        <v>53</v>
      </c>
      <c r="I56" s="217" t="s">
        <v>600</v>
      </c>
      <c r="J56" s="210" t="s">
        <v>602</v>
      </c>
      <c r="K56" s="218"/>
      <c r="L56" s="219"/>
      <c r="M56" s="218" t="str">
        <f t="array" ref="M56">IFERROR(INDEX(sales!C:C,MATCH(J56,sales!C:C,0)),"LIST없음")</f>
        <v>hyoseon.park@stryker.com</v>
      </c>
    </row>
    <row r="57">
      <c r="A57" s="131">
        <v>55.0</v>
      </c>
      <c r="B57" s="207" t="s">
        <v>1956</v>
      </c>
      <c r="C57" s="238" t="s">
        <v>2077</v>
      </c>
      <c r="D57" s="208">
        <v>45204.0</v>
      </c>
      <c r="E57" s="224" t="s">
        <v>2078</v>
      </c>
      <c r="F57" s="131">
        <v>1.0</v>
      </c>
      <c r="G57" s="210" t="s">
        <v>27</v>
      </c>
      <c r="H57" s="210" t="s">
        <v>28</v>
      </c>
      <c r="I57" s="217" t="s">
        <v>393</v>
      </c>
      <c r="J57" s="210" t="s">
        <v>395</v>
      </c>
      <c r="K57" s="218"/>
      <c r="L57" s="219"/>
      <c r="M57" s="218"/>
    </row>
    <row r="58">
      <c r="A58" s="131">
        <v>56.0</v>
      </c>
      <c r="B58" s="207" t="s">
        <v>1956</v>
      </c>
      <c r="C58" s="238" t="s">
        <v>2079</v>
      </c>
      <c r="D58" s="208">
        <v>45204.0</v>
      </c>
      <c r="E58" s="224" t="s">
        <v>2080</v>
      </c>
      <c r="F58" s="131">
        <v>1.0</v>
      </c>
      <c r="G58" s="210" t="s">
        <v>27</v>
      </c>
      <c r="H58" s="210" t="s">
        <v>28</v>
      </c>
      <c r="I58" s="217" t="s">
        <v>238</v>
      </c>
      <c r="J58" s="210" t="s">
        <v>240</v>
      </c>
      <c r="K58" s="218"/>
      <c r="L58" s="219"/>
      <c r="M58" s="218"/>
    </row>
    <row r="59">
      <c r="A59" s="131">
        <v>57.0</v>
      </c>
      <c r="B59" s="207" t="s">
        <v>1956</v>
      </c>
      <c r="C59" s="238" t="s">
        <v>2081</v>
      </c>
      <c r="D59" s="208">
        <v>45204.0</v>
      </c>
      <c r="E59" s="224" t="s">
        <v>2082</v>
      </c>
      <c r="F59" s="131">
        <v>1.0</v>
      </c>
      <c r="G59" s="210" t="s">
        <v>27</v>
      </c>
      <c r="H59" s="210" t="s">
        <v>28</v>
      </c>
      <c r="I59" s="131" t="s">
        <v>870</v>
      </c>
      <c r="J59" s="131" t="s">
        <v>872</v>
      </c>
      <c r="K59" s="243" t="s">
        <v>2083</v>
      </c>
      <c r="L59" s="219"/>
      <c r="M59" s="218"/>
    </row>
    <row r="60">
      <c r="A60" s="131">
        <v>58.0</v>
      </c>
      <c r="B60" s="207" t="s">
        <v>1956</v>
      </c>
      <c r="C60" s="238" t="s">
        <v>2084</v>
      </c>
      <c r="D60" s="208">
        <v>45204.0</v>
      </c>
      <c r="E60" s="224" t="s">
        <v>2085</v>
      </c>
      <c r="F60" s="131">
        <v>1.0</v>
      </c>
      <c r="G60" s="210" t="s">
        <v>27</v>
      </c>
      <c r="H60" s="210" t="s">
        <v>28</v>
      </c>
      <c r="I60" s="217" t="s">
        <v>389</v>
      </c>
      <c r="J60" s="210" t="s">
        <v>391</v>
      </c>
      <c r="K60" s="218"/>
      <c r="L60" s="219"/>
      <c r="M60" s="218"/>
    </row>
    <row r="61">
      <c r="A61" s="131">
        <v>59.0</v>
      </c>
      <c r="B61" s="207" t="s">
        <v>1956</v>
      </c>
      <c r="C61" s="238" t="s">
        <v>2086</v>
      </c>
      <c r="D61" s="208">
        <v>45204.0</v>
      </c>
      <c r="E61" s="224" t="s">
        <v>2087</v>
      </c>
      <c r="F61" s="131">
        <v>1.0</v>
      </c>
      <c r="G61" s="210" t="s">
        <v>20</v>
      </c>
      <c r="H61" s="210" t="s">
        <v>53</v>
      </c>
      <c r="I61" s="217" t="s">
        <v>181</v>
      </c>
      <c r="J61" s="210" t="s">
        <v>183</v>
      </c>
      <c r="K61" s="218"/>
      <c r="L61" s="219"/>
      <c r="M61" s="218" t="str">
        <f t="array" ref="M61">IFERROR(INDEX(sales!C:C,MATCH(J61,sales!C:C,0)),"LIST없음")</f>
        <v>yejin.heo@stryker.com</v>
      </c>
    </row>
    <row r="62">
      <c r="A62" s="131">
        <v>60.0</v>
      </c>
      <c r="B62" s="207" t="s">
        <v>1956</v>
      </c>
      <c r="C62" s="238" t="s">
        <v>2088</v>
      </c>
      <c r="D62" s="208">
        <v>45246.0</v>
      </c>
      <c r="E62" s="224" t="s">
        <v>2089</v>
      </c>
      <c r="F62" s="199"/>
      <c r="G62" s="210" t="s">
        <v>20</v>
      </c>
      <c r="H62" s="210" t="s">
        <v>137</v>
      </c>
      <c r="I62" s="217" t="s">
        <v>312</v>
      </c>
      <c r="J62" s="210" t="s">
        <v>313</v>
      </c>
      <c r="K62" s="218"/>
      <c r="L62" s="219"/>
      <c r="M62" s="218" t="str">
        <f t="array" ref="M62">IFERROR(INDEX(Printer!H:H,MATCH(J62,Printer!H:H,0)),"PRINTER LIST없음")</f>
        <v>PRINTER LIST없음</v>
      </c>
    </row>
    <row r="63">
      <c r="A63" s="131">
        <v>61.0</v>
      </c>
      <c r="B63" s="207" t="s">
        <v>1956</v>
      </c>
      <c r="C63" s="238" t="s">
        <v>2090</v>
      </c>
      <c r="D63" s="208">
        <v>45246.0</v>
      </c>
      <c r="E63" s="224" t="s">
        <v>2091</v>
      </c>
      <c r="F63" s="129">
        <v>1.0</v>
      </c>
      <c r="G63" s="210" t="s">
        <v>52</v>
      </c>
      <c r="H63" s="210" t="s">
        <v>105</v>
      </c>
      <c r="I63" s="217" t="s">
        <v>501</v>
      </c>
      <c r="J63" s="210" t="s">
        <v>503</v>
      </c>
      <c r="K63" s="218"/>
      <c r="L63" s="219"/>
      <c r="M63" s="218"/>
    </row>
    <row r="64">
      <c r="A64" s="131">
        <v>62.0</v>
      </c>
      <c r="B64" s="207" t="s">
        <v>1956</v>
      </c>
      <c r="C64" s="238" t="s">
        <v>2092</v>
      </c>
      <c r="D64" s="208">
        <v>45246.0</v>
      </c>
      <c r="E64" s="224" t="s">
        <v>2093</v>
      </c>
      <c r="F64" s="131">
        <v>1.0</v>
      </c>
      <c r="G64" s="210" t="s">
        <v>1348</v>
      </c>
      <c r="H64" s="210" t="s">
        <v>53</v>
      </c>
      <c r="I64" s="217" t="s">
        <v>529</v>
      </c>
      <c r="J64" s="210" t="s">
        <v>531</v>
      </c>
      <c r="K64" s="218"/>
      <c r="L64" s="219"/>
      <c r="M64" s="218" t="str">
        <f t="array" ref="M64">IFERROR(INDEX(sales!C:C,MATCH(J64,sales!C:C,0)),"LIST없음")</f>
        <v>mason.oh@stryker.com</v>
      </c>
    </row>
    <row r="65">
      <c r="A65" s="131">
        <v>63.0</v>
      </c>
      <c r="B65" s="207" t="s">
        <v>1956</v>
      </c>
      <c r="C65" s="238" t="s">
        <v>2094</v>
      </c>
      <c r="D65" s="208">
        <v>45246.0</v>
      </c>
      <c r="E65" s="224" t="s">
        <v>2095</v>
      </c>
      <c r="F65" s="131">
        <v>1.0</v>
      </c>
      <c r="G65" s="210" t="s">
        <v>27</v>
      </c>
      <c r="H65" s="210" t="s">
        <v>28</v>
      </c>
      <c r="I65" s="217" t="s">
        <v>727</v>
      </c>
      <c r="J65" s="210" t="s">
        <v>729</v>
      </c>
      <c r="K65" s="218"/>
      <c r="L65" s="219"/>
      <c r="M65" s="218"/>
    </row>
    <row r="66">
      <c r="A66" s="131">
        <v>64.0</v>
      </c>
      <c r="B66" s="238" t="s">
        <v>1956</v>
      </c>
      <c r="C66" s="238" t="s">
        <v>2096</v>
      </c>
      <c r="D66" s="244">
        <v>45246.0</v>
      </c>
      <c r="E66" s="245" t="s">
        <v>2097</v>
      </c>
      <c r="F66" s="131">
        <v>1.0</v>
      </c>
      <c r="G66" s="210" t="s">
        <v>1348</v>
      </c>
      <c r="H66" s="210" t="s">
        <v>53</v>
      </c>
      <c r="I66" s="217" t="s">
        <v>258</v>
      </c>
      <c r="J66" s="210" t="s">
        <v>260</v>
      </c>
      <c r="K66" s="218"/>
      <c r="L66" s="219"/>
      <c r="M66" s="218" t="str">
        <f t="array" ref="M66">IFERROR(INDEX(Printer!H:H,MATCH(J66,Printer!H:H,0)),"PRINTER LIST없음")</f>
        <v>PRINTER LIST없음</v>
      </c>
    </row>
    <row r="67">
      <c r="A67" s="131">
        <v>65.0</v>
      </c>
      <c r="B67" s="207" t="s">
        <v>1956</v>
      </c>
      <c r="C67" s="238" t="s">
        <v>2098</v>
      </c>
      <c r="D67" s="208">
        <v>45246.0</v>
      </c>
      <c r="E67" s="224" t="s">
        <v>2099</v>
      </c>
      <c r="F67" s="131">
        <v>1.0</v>
      </c>
      <c r="G67" s="210" t="s">
        <v>35</v>
      </c>
      <c r="H67" s="210" t="s">
        <v>35</v>
      </c>
      <c r="I67" s="217" t="s">
        <v>30</v>
      </c>
      <c r="J67" s="210" t="s">
        <v>32</v>
      </c>
      <c r="K67" s="218"/>
      <c r="L67" s="219"/>
      <c r="M67" s="218" t="str">
        <f t="array" ref="M67">IFERROR(INDEX(Printer!H:H,MATCH(J67,Printer!H:H,0)),"PRINTER LIST없음")</f>
        <v>PRINTER LIST없음</v>
      </c>
    </row>
    <row r="68">
      <c r="A68" s="131">
        <v>66.0</v>
      </c>
      <c r="B68" s="207" t="s">
        <v>1956</v>
      </c>
      <c r="C68" s="238" t="s">
        <v>2100</v>
      </c>
      <c r="D68" s="208">
        <v>45246.0</v>
      </c>
      <c r="E68" s="224" t="s">
        <v>2101</v>
      </c>
      <c r="F68" s="131">
        <v>1.0</v>
      </c>
      <c r="G68" s="210" t="s">
        <v>77</v>
      </c>
      <c r="H68" s="210" t="s">
        <v>53</v>
      </c>
      <c r="I68" s="217" t="s">
        <v>474</v>
      </c>
      <c r="J68" s="210" t="s">
        <v>476</v>
      </c>
      <c r="K68" s="218"/>
      <c r="L68" s="219"/>
      <c r="M68" s="218" t="str">
        <f t="array" ref="M68">IFERROR(INDEX(sales!C:C,MATCH(J68,sales!C:C,0)),"LIST없음")</f>
        <v>ayaan.lee@stryker.com</v>
      </c>
    </row>
    <row r="69">
      <c r="A69" s="131">
        <v>67.0</v>
      </c>
      <c r="B69" s="207" t="s">
        <v>1956</v>
      </c>
      <c r="C69" s="238" t="s">
        <v>2102</v>
      </c>
      <c r="D69" s="208">
        <v>45246.0</v>
      </c>
      <c r="E69" s="224" t="s">
        <v>2103</v>
      </c>
      <c r="F69" s="131">
        <v>1.0</v>
      </c>
      <c r="G69" s="210" t="s">
        <v>27</v>
      </c>
      <c r="H69" s="210" t="s">
        <v>137</v>
      </c>
      <c r="I69" s="217" t="s">
        <v>346</v>
      </c>
      <c r="J69" s="210" t="s">
        <v>348</v>
      </c>
      <c r="K69" s="218"/>
      <c r="L69" s="219"/>
      <c r="M69" s="218" t="str">
        <f t="array" ref="M69">IFERROR(INDEX(Printer!H:H,MATCH(J69,Printer!H:H,0)),"PRINTER LIST없음")</f>
        <v>yeonjoo.kim@stryker.com</v>
      </c>
    </row>
    <row r="70">
      <c r="A70" s="131">
        <v>68.0</v>
      </c>
      <c r="B70" s="207" t="s">
        <v>2104</v>
      </c>
      <c r="C70" s="238" t="s">
        <v>2105</v>
      </c>
      <c r="D70" s="208">
        <v>45321.0</v>
      </c>
      <c r="E70" s="224" t="s">
        <v>2106</v>
      </c>
      <c r="F70" s="199"/>
      <c r="G70" s="210" t="s">
        <v>52</v>
      </c>
      <c r="H70" s="210" t="s">
        <v>53</v>
      </c>
      <c r="I70" s="217" t="s">
        <v>213</v>
      </c>
      <c r="J70" s="210" t="s">
        <v>215</v>
      </c>
      <c r="K70" s="218"/>
      <c r="L70" s="219"/>
      <c r="M70" s="218" t="str">
        <f t="array" ref="M70">IFERROR(INDEX(sales!C:C,MATCH(J70,sales!C:C,0)),"LIST없음")</f>
        <v>theo.hwang@stryker.com</v>
      </c>
    </row>
    <row r="71">
      <c r="A71" s="131">
        <v>69.0</v>
      </c>
      <c r="B71" s="207" t="s">
        <v>2104</v>
      </c>
      <c r="C71" s="238" t="s">
        <v>2107</v>
      </c>
      <c r="D71" s="208">
        <v>45321.0</v>
      </c>
      <c r="E71" s="224" t="s">
        <v>2108</v>
      </c>
      <c r="F71" s="131">
        <v>1.0</v>
      </c>
      <c r="G71" s="210" t="s">
        <v>52</v>
      </c>
      <c r="H71" s="210" t="s">
        <v>53</v>
      </c>
      <c r="I71" s="217" t="s">
        <v>122</v>
      </c>
      <c r="J71" s="210" t="s">
        <v>124</v>
      </c>
      <c r="K71" s="218"/>
      <c r="L71" s="219"/>
      <c r="M71" s="218" t="str">
        <f t="array" ref="M71">IFERROR(INDEX(sales!C:C,MATCH(J71,sales!C:C,0)),"LIST없음")</f>
        <v>brad.choi@stryker.com</v>
      </c>
    </row>
    <row r="72">
      <c r="A72" s="131">
        <v>70.0</v>
      </c>
      <c r="B72" s="207" t="s">
        <v>2104</v>
      </c>
      <c r="C72" s="238" t="s">
        <v>2109</v>
      </c>
      <c r="D72" s="208">
        <v>45330.0</v>
      </c>
      <c r="E72" s="224" t="s">
        <v>2110</v>
      </c>
      <c r="F72" s="199"/>
      <c r="G72" s="210" t="s">
        <v>35</v>
      </c>
      <c r="H72" s="210" t="s">
        <v>35</v>
      </c>
      <c r="I72" s="217" t="s">
        <v>90</v>
      </c>
      <c r="J72" s="210" t="s">
        <v>92</v>
      </c>
      <c r="K72" s="218"/>
      <c r="L72" s="219"/>
      <c r="M72" s="218" t="str">
        <f t="array" ref="M72">IFERROR(INDEX(Printer!H:H,MATCH(J72,Printer!H:H,0)),"PRINTER LIST없음")</f>
        <v>PRINTER LIST없음</v>
      </c>
    </row>
    <row r="73">
      <c r="A73" s="131">
        <v>71.0</v>
      </c>
      <c r="B73" s="207" t="s">
        <v>2111</v>
      </c>
      <c r="C73" s="238" t="s">
        <v>2112</v>
      </c>
      <c r="D73" s="208">
        <v>45474.0</v>
      </c>
      <c r="E73" s="224" t="s">
        <v>2113</v>
      </c>
      <c r="F73" s="199"/>
      <c r="G73" s="210" t="s">
        <v>35</v>
      </c>
      <c r="H73" s="210" t="s">
        <v>35</v>
      </c>
      <c r="I73" s="217" t="s">
        <v>204</v>
      </c>
      <c r="J73" s="210" t="s">
        <v>206</v>
      </c>
      <c r="K73" s="218"/>
      <c r="L73" s="219"/>
      <c r="M73" s="218" t="str">
        <f t="array" ref="M73">IFERROR(INDEX(Printer!H:H,MATCH(J73,Printer!H:H,0)),"PRINTER LIST없음")</f>
        <v>oscar.hwang@stryker.com</v>
      </c>
    </row>
    <row r="74">
      <c r="A74" s="131">
        <v>72.0</v>
      </c>
      <c r="B74" s="207" t="s">
        <v>2111</v>
      </c>
      <c r="C74" s="238" t="s">
        <v>2114</v>
      </c>
      <c r="D74" s="208">
        <v>45474.0</v>
      </c>
      <c r="E74" s="224" t="s">
        <v>2115</v>
      </c>
      <c r="F74" s="131">
        <v>1.0</v>
      </c>
      <c r="G74" s="210" t="s">
        <v>1348</v>
      </c>
      <c r="H74" s="210" t="s">
        <v>53</v>
      </c>
      <c r="I74" s="217" t="s">
        <v>403</v>
      </c>
      <c r="J74" s="210" t="s">
        <v>405</v>
      </c>
      <c r="K74" s="218"/>
      <c r="L74" s="219"/>
      <c r="M74" s="218" t="str">
        <f t="array" ref="M74">IFERROR(INDEX(sales!C:C,MATCH(J74,sales!C:C,0)),"LIST없음")</f>
        <v>james.kim@stryker.com</v>
      </c>
    </row>
    <row r="75">
      <c r="A75" s="131">
        <v>73.0</v>
      </c>
      <c r="B75" s="207" t="s">
        <v>2111</v>
      </c>
      <c r="C75" s="238" t="s">
        <v>2116</v>
      </c>
      <c r="D75" s="208">
        <v>45474.0</v>
      </c>
      <c r="E75" s="224" t="s">
        <v>2117</v>
      </c>
      <c r="F75" s="131">
        <v>1.0</v>
      </c>
      <c r="G75" s="210" t="s">
        <v>52</v>
      </c>
      <c r="H75" s="210" t="s">
        <v>53</v>
      </c>
      <c r="I75" s="217" t="s">
        <v>147</v>
      </c>
      <c r="J75" s="210" t="s">
        <v>149</v>
      </c>
      <c r="K75" s="218"/>
      <c r="L75" s="219"/>
      <c r="M75" s="218" t="str">
        <f t="array" ref="M75">IFERROR(INDEX(sales!C:C,MATCH(J75,sales!C:C,0)),"LIST없음")</f>
        <v>Nathan.Eom@stryker.com</v>
      </c>
    </row>
    <row r="76">
      <c r="A76" s="131">
        <v>74.0</v>
      </c>
      <c r="B76" s="207" t="s">
        <v>2111</v>
      </c>
      <c r="C76" s="207" t="s">
        <v>2118</v>
      </c>
      <c r="D76" s="208">
        <v>45474.0</v>
      </c>
      <c r="E76" s="224" t="s">
        <v>2119</v>
      </c>
      <c r="F76" s="131">
        <v>1.0</v>
      </c>
      <c r="G76" s="210" t="s">
        <v>27</v>
      </c>
      <c r="H76" s="210" t="s">
        <v>28</v>
      </c>
      <c r="I76" s="207" t="s">
        <v>2120</v>
      </c>
      <c r="J76" s="225" t="s">
        <v>2121</v>
      </c>
      <c r="K76" s="222"/>
      <c r="L76" s="219"/>
      <c r="M76" s="218"/>
    </row>
    <row r="77">
      <c r="A77" s="131">
        <v>75.0</v>
      </c>
      <c r="B77" s="207" t="s">
        <v>2111</v>
      </c>
      <c r="C77" s="238" t="s">
        <v>2122</v>
      </c>
      <c r="D77" s="208">
        <v>45474.0</v>
      </c>
      <c r="E77" s="224" t="s">
        <v>2123</v>
      </c>
      <c r="F77" s="131">
        <v>1.0</v>
      </c>
      <c r="G77" s="210" t="s">
        <v>52</v>
      </c>
      <c r="H77" s="210" t="s">
        <v>53</v>
      </c>
      <c r="I77" s="213" t="s">
        <v>585</v>
      </c>
      <c r="J77" s="210" t="s">
        <v>587</v>
      </c>
      <c r="K77" s="218"/>
      <c r="L77" s="219"/>
      <c r="M77" s="218" t="str">
        <f t="array" ref="M77">IFERROR(INDEX(sales!C:C,MATCH(J77,sales!C:C,0)),"LIST없음")</f>
        <v>jin.park@stryker.com</v>
      </c>
    </row>
    <row r="78">
      <c r="A78" s="131">
        <v>76.0</v>
      </c>
      <c r="B78" s="207" t="s">
        <v>2111</v>
      </c>
      <c r="C78" s="238" t="s">
        <v>2124</v>
      </c>
      <c r="D78" s="208">
        <v>45474.0</v>
      </c>
      <c r="E78" s="224" t="s">
        <v>2125</v>
      </c>
      <c r="F78" s="131">
        <v>1.0</v>
      </c>
      <c r="G78" s="210" t="s">
        <v>20</v>
      </c>
      <c r="H78" s="210" t="s">
        <v>53</v>
      </c>
      <c r="I78" s="217" t="s">
        <v>228</v>
      </c>
      <c r="J78" s="210" t="s">
        <v>230</v>
      </c>
      <c r="K78" s="218"/>
      <c r="L78" s="219"/>
      <c r="M78" s="218" t="str">
        <f t="array" ref="M78">IFERROR(INDEX(sales!C:C,MATCH(J78,sales!C:C,0)),"LIST없음")</f>
        <v>lucas.jeon@stryker.com</v>
      </c>
    </row>
    <row r="79">
      <c r="A79" s="131">
        <v>77.0</v>
      </c>
      <c r="B79" s="207" t="s">
        <v>2111</v>
      </c>
      <c r="C79" s="238" t="s">
        <v>2126</v>
      </c>
      <c r="D79" s="208">
        <v>45474.0</v>
      </c>
      <c r="E79" s="224" t="s">
        <v>2127</v>
      </c>
      <c r="F79" s="131">
        <v>1.0</v>
      </c>
      <c r="G79" s="210" t="s">
        <v>27</v>
      </c>
      <c r="H79" s="210" t="s">
        <v>28</v>
      </c>
      <c r="I79" s="238" t="s">
        <v>115</v>
      </c>
      <c r="J79" s="210" t="s">
        <v>117</v>
      </c>
      <c r="K79" s="218"/>
      <c r="L79" s="219"/>
      <c r="M79" s="218"/>
    </row>
    <row r="80">
      <c r="A80" s="131">
        <v>78.0</v>
      </c>
      <c r="B80" s="207" t="s">
        <v>2111</v>
      </c>
      <c r="C80" s="238" t="s">
        <v>2128</v>
      </c>
      <c r="D80" s="208">
        <v>45474.0</v>
      </c>
      <c r="E80" s="224" t="s">
        <v>2129</v>
      </c>
      <c r="F80" s="131">
        <v>1.0</v>
      </c>
      <c r="G80" s="210" t="s">
        <v>628</v>
      </c>
      <c r="H80" s="210" t="s">
        <v>105</v>
      </c>
      <c r="I80" s="238" t="s">
        <v>374</v>
      </c>
      <c r="J80" s="210" t="s">
        <v>376</v>
      </c>
      <c r="K80" s="218"/>
      <c r="L80" s="219"/>
      <c r="M80" s="218"/>
    </row>
    <row r="81">
      <c r="A81" s="131">
        <v>79.0</v>
      </c>
      <c r="B81" s="207" t="s">
        <v>2111</v>
      </c>
      <c r="C81" s="238" t="s">
        <v>2130</v>
      </c>
      <c r="D81" s="208">
        <v>45474.0</v>
      </c>
      <c r="E81" s="224" t="s">
        <v>2131</v>
      </c>
      <c r="F81" s="131">
        <v>1.0</v>
      </c>
      <c r="G81" s="210" t="s">
        <v>27</v>
      </c>
      <c r="H81" s="210" t="s">
        <v>28</v>
      </c>
      <c r="I81" s="238" t="s">
        <v>385</v>
      </c>
      <c r="J81" s="210" t="s">
        <v>387</v>
      </c>
      <c r="K81" s="218"/>
      <c r="L81" s="219"/>
      <c r="M81" s="218"/>
    </row>
    <row r="82">
      <c r="A82" s="131">
        <v>80.0</v>
      </c>
      <c r="B82" s="207" t="s">
        <v>2111</v>
      </c>
      <c r="C82" s="238" t="s">
        <v>2132</v>
      </c>
      <c r="D82" s="208">
        <v>45565.0</v>
      </c>
      <c r="E82" s="224" t="s">
        <v>2133</v>
      </c>
      <c r="F82" s="199"/>
      <c r="G82" s="210" t="s">
        <v>52</v>
      </c>
      <c r="H82" s="210" t="s">
        <v>53</v>
      </c>
      <c r="I82" s="238" t="s">
        <v>644</v>
      </c>
      <c r="J82" s="210" t="s">
        <v>646</v>
      </c>
      <c r="K82" s="218"/>
      <c r="L82" s="219"/>
      <c r="M82" s="218" t="str">
        <f t="array" ref="M82">IFERROR(INDEX(sales!C:C,MATCH(J82,sales!C:C,0)),"LIST없음")</f>
        <v>dana.shin@stryker.com</v>
      </c>
    </row>
    <row r="83">
      <c r="A83" s="131">
        <v>81.0</v>
      </c>
      <c r="B83" s="207" t="s">
        <v>2111</v>
      </c>
      <c r="C83" s="238" t="s">
        <v>2134</v>
      </c>
      <c r="D83" s="208">
        <v>45565.0</v>
      </c>
      <c r="E83" s="224" t="s">
        <v>2135</v>
      </c>
      <c r="F83" s="131">
        <v>1.0</v>
      </c>
      <c r="G83" s="210" t="s">
        <v>52</v>
      </c>
      <c r="H83" s="210" t="s">
        <v>53</v>
      </c>
      <c r="I83" s="238" t="s">
        <v>106</v>
      </c>
      <c r="J83" s="210" t="s">
        <v>108</v>
      </c>
      <c r="K83" s="218"/>
      <c r="L83" s="219"/>
      <c r="M83" s="218" t="str">
        <f t="array" ref="M83">IFERROR(INDEX(sales!C:C,MATCH(J83,sales!C:C,0)),"LIST없음")</f>
        <v>martin.cho@stryker.com</v>
      </c>
    </row>
    <row r="84">
      <c r="A84" s="131">
        <v>82.0</v>
      </c>
      <c r="B84" s="207" t="s">
        <v>2111</v>
      </c>
      <c r="C84" s="238" t="s">
        <v>2136</v>
      </c>
      <c r="D84" s="208">
        <v>45565.0</v>
      </c>
      <c r="E84" s="224" t="s">
        <v>2137</v>
      </c>
      <c r="F84" s="131">
        <v>1.0</v>
      </c>
      <c r="G84" s="210" t="s">
        <v>142</v>
      </c>
      <c r="H84" s="210" t="s">
        <v>53</v>
      </c>
      <c r="I84" s="131" t="s">
        <v>2138</v>
      </c>
      <c r="J84" s="210" t="s">
        <v>75</v>
      </c>
      <c r="K84" s="218"/>
      <c r="L84" s="219"/>
      <c r="M84" s="218" t="str">
        <f t="array" ref="M84">IFERROR(INDEX(sales!C:C,MATCH(J84,sales!C:C,0)),"LIST없음")</f>
        <v>sunghoon.bang@stryker.com</v>
      </c>
    </row>
    <row r="85">
      <c r="A85" s="131">
        <v>83.0</v>
      </c>
      <c r="B85" s="207" t="s">
        <v>2111</v>
      </c>
      <c r="C85" s="207" t="s">
        <v>2139</v>
      </c>
      <c r="D85" s="208">
        <v>45600.0</v>
      </c>
      <c r="E85" s="224" t="s">
        <v>2140</v>
      </c>
      <c r="F85" s="131">
        <v>1.0</v>
      </c>
      <c r="G85" s="210" t="s">
        <v>1348</v>
      </c>
      <c r="H85" s="210" t="s">
        <v>53</v>
      </c>
      <c r="I85" s="131" t="s">
        <v>2141</v>
      </c>
      <c r="J85" s="210" t="s">
        <v>219</v>
      </c>
      <c r="K85" s="218"/>
      <c r="L85" s="219"/>
      <c r="M85" s="218" t="str">
        <f t="array" ref="M85">IFERROR(INDEX(sales!C:C,MATCH(J85,sales!C:C,0)),"LIST없음")</f>
        <v>daniel.jang@stryker.com</v>
      </c>
    </row>
    <row r="86">
      <c r="A86" s="131">
        <v>84.0</v>
      </c>
      <c r="B86" s="207" t="s">
        <v>2111</v>
      </c>
      <c r="C86" s="238" t="s">
        <v>2142</v>
      </c>
      <c r="D86" s="208">
        <v>45600.0</v>
      </c>
      <c r="E86" s="224" t="s">
        <v>2143</v>
      </c>
      <c r="F86" s="131">
        <v>1.0</v>
      </c>
      <c r="G86" s="210" t="s">
        <v>52</v>
      </c>
      <c r="H86" s="210" t="s">
        <v>53</v>
      </c>
      <c r="I86" s="207" t="s">
        <v>519</v>
      </c>
      <c r="J86" s="210" t="s">
        <v>521</v>
      </c>
      <c r="K86" s="218"/>
      <c r="L86" s="219"/>
      <c r="M86" s="218" t="str">
        <f t="array" ref="M86">IFERROR(INDEX(sales!C:C,MATCH(J86,sales!C:C,0)),"LIST없음")</f>
        <v>ethan.na@stryker.com</v>
      </c>
    </row>
    <row r="87">
      <c r="A87" s="131">
        <v>85.0</v>
      </c>
      <c r="B87" s="207" t="s">
        <v>2111</v>
      </c>
      <c r="C87" s="238" t="s">
        <v>2144</v>
      </c>
      <c r="D87" s="208">
        <v>45600.0</v>
      </c>
      <c r="E87" s="224" t="s">
        <v>2145</v>
      </c>
      <c r="F87" s="131">
        <v>1.0</v>
      </c>
      <c r="G87" s="210" t="s">
        <v>27</v>
      </c>
      <c r="H87" s="210" t="s">
        <v>105</v>
      </c>
      <c r="I87" s="207" t="s">
        <v>441</v>
      </c>
      <c r="J87" s="210" t="s">
        <v>443</v>
      </c>
      <c r="K87" s="218"/>
      <c r="L87" s="219"/>
      <c r="M87" s="218"/>
    </row>
    <row r="88">
      <c r="A88" s="131">
        <v>86.0</v>
      </c>
      <c r="B88" s="207" t="s">
        <v>2111</v>
      </c>
      <c r="C88" s="246" t="s">
        <v>2146</v>
      </c>
      <c r="D88" s="214">
        <v>45600.0</v>
      </c>
      <c r="E88" s="215" t="s">
        <v>2147</v>
      </c>
      <c r="F88" s="131">
        <v>1.0</v>
      </c>
      <c r="G88" s="240" t="s">
        <v>77</v>
      </c>
      <c r="H88" s="240" t="s">
        <v>137</v>
      </c>
      <c r="I88" s="213" t="s">
        <v>370</v>
      </c>
      <c r="J88" s="210" t="s">
        <v>372</v>
      </c>
      <c r="K88" s="218"/>
      <c r="L88" s="219"/>
      <c r="M88" s="218" t="str">
        <f t="array" ref="M88">IFERROR(INDEX(Printer!H:H,MATCH(J88,Printer!H:H,0)),"PRINTER LIST없음")</f>
        <v>PRINTER LIST없음</v>
      </c>
    </row>
    <row r="89">
      <c r="A89" s="131">
        <v>87.0</v>
      </c>
      <c r="B89" s="207" t="s">
        <v>2111</v>
      </c>
      <c r="C89" s="247" t="s">
        <v>2148</v>
      </c>
      <c r="D89" s="248">
        <v>45600.0</v>
      </c>
      <c r="E89" s="249" t="s">
        <v>2149</v>
      </c>
      <c r="F89" s="129">
        <v>1.0</v>
      </c>
      <c r="G89" s="210" t="s">
        <v>27</v>
      </c>
      <c r="H89" s="210" t="s">
        <v>28</v>
      </c>
      <c r="I89" s="131" t="s">
        <v>1124</v>
      </c>
      <c r="J89" s="211" t="s">
        <v>875</v>
      </c>
      <c r="K89" s="210" t="s">
        <v>2150</v>
      </c>
      <c r="L89" s="219"/>
      <c r="M89" s="218"/>
    </row>
    <row r="90">
      <c r="A90" s="131">
        <v>88.0</v>
      </c>
      <c r="B90" s="207" t="s">
        <v>2111</v>
      </c>
      <c r="C90" s="247" t="s">
        <v>2151</v>
      </c>
      <c r="D90" s="248">
        <v>45600.0</v>
      </c>
      <c r="E90" s="249" t="s">
        <v>2152</v>
      </c>
      <c r="F90" s="131">
        <v>1.0</v>
      </c>
      <c r="G90" s="250" t="s">
        <v>35</v>
      </c>
      <c r="H90" s="250" t="s">
        <v>35</v>
      </c>
      <c r="I90" s="217" t="s">
        <v>675</v>
      </c>
      <c r="J90" s="210" t="s">
        <v>677</v>
      </c>
      <c r="K90" s="218"/>
      <c r="L90" s="219"/>
      <c r="M90" s="218" t="str">
        <f t="array" ref="M90">IFERROR(INDEX(Printer!H:H,MATCH(J90,Printer!H:H,0)),"PRINTER LIST없음")</f>
        <v>PRINTER LIST없음</v>
      </c>
    </row>
    <row r="91">
      <c r="A91" s="131">
        <v>89.0</v>
      </c>
      <c r="B91" s="207" t="s">
        <v>2111</v>
      </c>
      <c r="C91" s="238" t="s">
        <v>2153</v>
      </c>
      <c r="D91" s="208">
        <v>45600.0</v>
      </c>
      <c r="E91" s="224" t="s">
        <v>2154</v>
      </c>
      <c r="F91" s="131">
        <v>1.0</v>
      </c>
      <c r="G91" s="210" t="s">
        <v>77</v>
      </c>
      <c r="H91" s="210" t="s">
        <v>53</v>
      </c>
      <c r="I91" s="207" t="s">
        <v>317</v>
      </c>
      <c r="J91" s="210" t="s">
        <v>319</v>
      </c>
      <c r="K91" s="218"/>
      <c r="L91" s="219"/>
      <c r="M91" s="218" t="str">
        <f t="array" ref="M91">IFERROR(INDEX(sales!C:C,MATCH(J91,sales!C:C,0)),"LIST없음")</f>
        <v>Suhyun.Kim@stryker.com</v>
      </c>
    </row>
    <row r="92">
      <c r="A92" s="169">
        <v>90.0</v>
      </c>
      <c r="B92" s="251" t="s">
        <v>2111</v>
      </c>
      <c r="C92" s="251" t="s">
        <v>2155</v>
      </c>
      <c r="D92" s="252">
        <v>45600.0</v>
      </c>
      <c r="E92" s="253" t="s">
        <v>2156</v>
      </c>
      <c r="F92" s="129">
        <v>1.0</v>
      </c>
      <c r="G92" s="242" t="s">
        <v>20</v>
      </c>
      <c r="H92" s="242" t="s">
        <v>53</v>
      </c>
      <c r="I92" s="129" t="s">
        <v>826</v>
      </c>
      <c r="J92" s="254" t="s">
        <v>828</v>
      </c>
      <c r="K92" s="207" t="s">
        <v>2157</v>
      </c>
      <c r="L92" s="219"/>
      <c r="M92" s="218" t="str">
        <f t="array" ref="M92">IFERROR(INDEX(Printer!H:H,MATCH(J92,Printer!H:H,0)),"PRINTER LIST없음")</f>
        <v>ian.hwang@stryker.com</v>
      </c>
    </row>
    <row r="93">
      <c r="A93" s="131">
        <v>91.0</v>
      </c>
      <c r="B93" s="207" t="s">
        <v>2111</v>
      </c>
      <c r="C93" s="238" t="s">
        <v>2158</v>
      </c>
      <c r="D93" s="208">
        <v>45600.0</v>
      </c>
      <c r="E93" s="224" t="s">
        <v>2159</v>
      </c>
      <c r="F93" s="131">
        <v>1.0</v>
      </c>
      <c r="G93" s="210" t="s">
        <v>20</v>
      </c>
      <c r="H93" s="210" t="s">
        <v>53</v>
      </c>
      <c r="I93" s="207" t="s">
        <v>208</v>
      </c>
      <c r="J93" s="210" t="s">
        <v>210</v>
      </c>
      <c r="K93" s="218"/>
      <c r="L93" s="219"/>
      <c r="M93" s="218" t="str">
        <f t="array" ref="M93">IFERROR(INDEX(sales!C:C,MATCH(J93,sales!C:C,0)),"LIST없음")</f>
        <v>young.hwang@stryker.com</v>
      </c>
    </row>
    <row r="94">
      <c r="A94" s="131">
        <v>92.0</v>
      </c>
      <c r="B94" s="207" t="s">
        <v>2111</v>
      </c>
      <c r="C94" s="238" t="s">
        <v>2160</v>
      </c>
      <c r="D94" s="208">
        <v>45600.0</v>
      </c>
      <c r="E94" s="224" t="s">
        <v>2161</v>
      </c>
      <c r="F94" s="199"/>
      <c r="G94" s="210" t="s">
        <v>52</v>
      </c>
      <c r="H94" s="210" t="s">
        <v>53</v>
      </c>
      <c r="I94" s="207" t="s">
        <v>653</v>
      </c>
      <c r="J94" s="210" t="s">
        <v>655</v>
      </c>
      <c r="K94" s="218"/>
      <c r="L94" s="219"/>
      <c r="M94" s="218" t="str">
        <f t="array" ref="M94">IFERROR(INDEX(sales!C:C,MATCH(J94,sales!C:C,0)),"LIST없음")</f>
        <v>Simon.sin@stryker.com</v>
      </c>
    </row>
    <row r="95">
      <c r="A95" s="131">
        <v>93.0</v>
      </c>
      <c r="B95" s="207" t="s">
        <v>2111</v>
      </c>
      <c r="C95" s="238" t="s">
        <v>2162</v>
      </c>
      <c r="D95" s="208">
        <v>45600.0</v>
      </c>
      <c r="E95" s="224" t="s">
        <v>2163</v>
      </c>
      <c r="F95" s="131">
        <v>1.0</v>
      </c>
      <c r="G95" s="210" t="s">
        <v>35</v>
      </c>
      <c r="H95" s="210" t="s">
        <v>35</v>
      </c>
      <c r="I95" s="207" t="s">
        <v>467</v>
      </c>
      <c r="J95" s="210" t="s">
        <v>469</v>
      </c>
      <c r="K95" s="218"/>
      <c r="L95" s="219"/>
      <c r="M95" s="218" t="str">
        <f t="array" ref="M95">IFERROR(INDEX(Printer!H:H,MATCH(J95,Printer!H:H,0)),"PRINTER LIST없음")</f>
        <v>daniel.lee1@stryker.com</v>
      </c>
    </row>
    <row r="96">
      <c r="A96" s="131">
        <v>94.0</v>
      </c>
      <c r="B96" s="207" t="s">
        <v>2111</v>
      </c>
      <c r="C96" s="238" t="s">
        <v>2164</v>
      </c>
      <c r="D96" s="208">
        <v>45600.0</v>
      </c>
      <c r="E96" s="224" t="s">
        <v>2165</v>
      </c>
      <c r="F96" s="131">
        <v>1.0</v>
      </c>
      <c r="G96" s="210" t="s">
        <v>52</v>
      </c>
      <c r="H96" s="210" t="s">
        <v>53</v>
      </c>
      <c r="I96" s="207" t="s">
        <v>595</v>
      </c>
      <c r="J96" s="210" t="s">
        <v>597</v>
      </c>
      <c r="K96" s="218"/>
      <c r="L96" s="219"/>
      <c r="M96" s="218" t="str">
        <f t="array" ref="M96">IFERROR(INDEX(sales!C:C,MATCH(J96,sales!C:C,0)),"LIST없음")</f>
        <v>daniel.park@stryker.com</v>
      </c>
    </row>
    <row r="97">
      <c r="A97" s="131">
        <v>95.0</v>
      </c>
      <c r="B97" s="207" t="s">
        <v>2111</v>
      </c>
      <c r="C97" s="238" t="s">
        <v>2166</v>
      </c>
      <c r="D97" s="208">
        <v>45600.0</v>
      </c>
      <c r="E97" s="224" t="s">
        <v>2167</v>
      </c>
      <c r="F97" s="199"/>
      <c r="G97" s="210" t="s">
        <v>20</v>
      </c>
      <c r="H97" s="210" t="s">
        <v>53</v>
      </c>
      <c r="I97" s="238" t="s">
        <v>2168</v>
      </c>
      <c r="J97" s="210" t="s">
        <v>128</v>
      </c>
      <c r="K97" s="218"/>
      <c r="L97" s="219"/>
      <c r="M97" s="218" t="str">
        <f t="array" ref="M97">IFERROR(INDEX(sales!C:C,MATCH(J97,sales!C:C,0)),"LIST없음")</f>
        <v>kyu.choi@stryker.com</v>
      </c>
    </row>
    <row r="98">
      <c r="A98" s="131">
        <v>96.0</v>
      </c>
      <c r="B98" s="207" t="s">
        <v>2111</v>
      </c>
      <c r="C98" s="238" t="s">
        <v>2169</v>
      </c>
      <c r="D98" s="208">
        <v>45600.0</v>
      </c>
      <c r="E98" s="224" t="s">
        <v>2170</v>
      </c>
      <c r="F98" s="131">
        <v>1.0</v>
      </c>
      <c r="G98" s="210" t="s">
        <v>27</v>
      </c>
      <c r="H98" s="210" t="s">
        <v>53</v>
      </c>
      <c r="I98" s="207" t="s">
        <v>301</v>
      </c>
      <c r="J98" s="210" t="s">
        <v>303</v>
      </c>
      <c r="K98" s="218"/>
      <c r="L98" s="219"/>
      <c r="M98" s="218" t="str">
        <f t="array" ref="M98">IFERROR(INDEX(sales!C:C,MATCH(J98,sales!C:C,0)),"LIST없음")</f>
        <v>Justin.Kim@stryker.com</v>
      </c>
    </row>
    <row r="99">
      <c r="A99" s="131">
        <v>97.0</v>
      </c>
      <c r="B99" s="207" t="s">
        <v>2111</v>
      </c>
      <c r="C99" s="238" t="s">
        <v>2171</v>
      </c>
      <c r="D99" s="208">
        <v>45600.0</v>
      </c>
      <c r="E99" s="224" t="s">
        <v>2172</v>
      </c>
      <c r="F99" s="131">
        <v>1.0</v>
      </c>
      <c r="G99" s="210" t="s">
        <v>27</v>
      </c>
      <c r="H99" s="210" t="s">
        <v>28</v>
      </c>
      <c r="I99" s="131" t="s">
        <v>1357</v>
      </c>
      <c r="J99" s="225" t="s">
        <v>2173</v>
      </c>
      <c r="K99" s="210" t="s">
        <v>2174</v>
      </c>
      <c r="L99" s="219"/>
      <c r="M99" s="218"/>
    </row>
    <row r="100">
      <c r="A100" s="131">
        <v>98.0</v>
      </c>
      <c r="B100" s="207" t="s">
        <v>2111</v>
      </c>
      <c r="C100" s="238" t="s">
        <v>2175</v>
      </c>
      <c r="D100" s="208">
        <v>45600.0</v>
      </c>
      <c r="E100" s="224" t="s">
        <v>2176</v>
      </c>
      <c r="F100" s="199"/>
      <c r="G100" s="210" t="s">
        <v>27</v>
      </c>
      <c r="H100" s="210" t="s">
        <v>28</v>
      </c>
      <c r="I100" s="238" t="s">
        <v>1057</v>
      </c>
      <c r="J100" s="211" t="s">
        <v>25</v>
      </c>
      <c r="K100" s="218"/>
      <c r="L100" s="219"/>
      <c r="M100" s="218"/>
    </row>
    <row r="101">
      <c r="A101" s="131">
        <v>99.0</v>
      </c>
      <c r="B101" s="207" t="s">
        <v>2111</v>
      </c>
      <c r="C101" s="238" t="s">
        <v>2177</v>
      </c>
      <c r="D101" s="208">
        <v>45600.0</v>
      </c>
      <c r="E101" s="224" t="s">
        <v>2178</v>
      </c>
      <c r="F101" s="199"/>
      <c r="G101" s="210" t="s">
        <v>35</v>
      </c>
      <c r="H101" s="210" t="s">
        <v>35</v>
      </c>
      <c r="I101" s="238" t="s">
        <v>648</v>
      </c>
      <c r="J101" s="210" t="s">
        <v>650</v>
      </c>
      <c r="K101" s="218"/>
      <c r="L101" s="219"/>
      <c r="M101" s="218" t="str">
        <f t="array" ref="M101">IFERROR(INDEX(Printer!H:H,MATCH(J101,Printer!H:H,0)),"PRINTER LIST없음")</f>
        <v>Huey.Sim@stryker.com</v>
      </c>
    </row>
    <row r="102">
      <c r="A102" s="131">
        <v>100.0</v>
      </c>
      <c r="B102" s="207" t="s">
        <v>2111</v>
      </c>
      <c r="C102" s="238" t="s">
        <v>2179</v>
      </c>
      <c r="D102" s="208">
        <v>45600.0</v>
      </c>
      <c r="E102" s="224" t="s">
        <v>2180</v>
      </c>
      <c r="F102" s="131">
        <v>1.0</v>
      </c>
      <c r="G102" s="210" t="s">
        <v>52</v>
      </c>
      <c r="H102" s="210" t="s">
        <v>137</v>
      </c>
      <c r="I102" s="238" t="s">
        <v>133</v>
      </c>
      <c r="J102" s="210" t="s">
        <v>135</v>
      </c>
      <c r="K102" s="218"/>
      <c r="L102" s="219"/>
      <c r="M102" s="218" t="str">
        <f t="array" ref="M102">IFERROR(INDEX(Printer!H:H,MATCH(J102,Printer!H:H,0)),"PRINTER LIST없음")</f>
        <v>jae.chung@stryker.com</v>
      </c>
    </row>
    <row r="103">
      <c r="A103" s="131">
        <v>101.0</v>
      </c>
      <c r="B103" s="207" t="s">
        <v>2111</v>
      </c>
      <c r="C103" s="238" t="s">
        <v>2181</v>
      </c>
      <c r="D103" s="208">
        <v>45600.0</v>
      </c>
      <c r="E103" s="224" t="s">
        <v>2182</v>
      </c>
      <c r="F103" s="199"/>
      <c r="G103" s="210" t="s">
        <v>142</v>
      </c>
      <c r="H103" s="210" t="s">
        <v>53</v>
      </c>
      <c r="I103" s="238" t="s">
        <v>730</v>
      </c>
      <c r="J103" s="210" t="s">
        <v>732</v>
      </c>
      <c r="K103" s="218"/>
      <c r="L103" s="219"/>
      <c r="M103" s="218" t="str">
        <f t="array" ref="M103">IFERROR(INDEX(sales!C:C,MATCH(J103,sales!C:C,0)),"LIST없음")</f>
        <v>jw.yoon@stryker.com</v>
      </c>
    </row>
    <row r="104">
      <c r="A104" s="131">
        <v>102.0</v>
      </c>
      <c r="B104" s="207" t="s">
        <v>2111</v>
      </c>
      <c r="C104" s="238" t="s">
        <v>2183</v>
      </c>
      <c r="D104" s="208">
        <v>45600.0</v>
      </c>
      <c r="E104" s="224" t="s">
        <v>2184</v>
      </c>
      <c r="F104" s="131">
        <v>1.0</v>
      </c>
      <c r="G104" s="210" t="s">
        <v>20</v>
      </c>
      <c r="H104" s="210" t="s">
        <v>53</v>
      </c>
      <c r="I104" s="238" t="s">
        <v>548</v>
      </c>
      <c r="J104" s="210" t="s">
        <v>550</v>
      </c>
      <c r="K104" s="218"/>
      <c r="L104" s="219"/>
      <c r="M104" s="218" t="str">
        <f t="array" ref="M104">IFERROR(INDEX(sales!C:C,MATCH(J104,sales!C:C,0)),"LIST없음")</f>
        <v>tyler.park@stryker.com</v>
      </c>
    </row>
    <row r="105">
      <c r="A105" s="131">
        <v>103.0</v>
      </c>
      <c r="B105" s="207" t="s">
        <v>2111</v>
      </c>
      <c r="C105" s="238" t="s">
        <v>2185</v>
      </c>
      <c r="D105" s="208">
        <v>45600.0</v>
      </c>
      <c r="E105" s="224" t="s">
        <v>2186</v>
      </c>
      <c r="F105" s="239"/>
      <c r="G105" s="210" t="s">
        <v>20</v>
      </c>
      <c r="H105" s="210" t="s">
        <v>105</v>
      </c>
      <c r="I105" s="238" t="s">
        <v>305</v>
      </c>
      <c r="J105" s="210" t="s">
        <v>307</v>
      </c>
      <c r="K105" s="218"/>
      <c r="L105" s="219"/>
      <c r="M105" s="218"/>
    </row>
    <row r="106">
      <c r="A106" s="131">
        <v>104.0</v>
      </c>
      <c r="B106" s="255" t="s">
        <v>2111</v>
      </c>
      <c r="C106" s="255" t="s">
        <v>2187</v>
      </c>
      <c r="D106" s="256">
        <v>45600.0</v>
      </c>
      <c r="E106" s="257" t="s">
        <v>2188</v>
      </c>
      <c r="F106" s="258"/>
      <c r="G106" s="259" t="s">
        <v>142</v>
      </c>
      <c r="H106" s="259" t="s">
        <v>53</v>
      </c>
      <c r="I106" s="255" t="s">
        <v>151</v>
      </c>
      <c r="J106" s="259" t="s">
        <v>153</v>
      </c>
      <c r="K106" s="260" t="s">
        <v>2189</v>
      </c>
      <c r="L106" s="261"/>
      <c r="M106" s="218" t="str">
        <f t="array" ref="M106">IFERROR(INDEX(sales!C:C,MATCH(J106,sales!C:C,0)),"LIST없음")</f>
        <v>jack.eum@stryker.com</v>
      </c>
    </row>
    <row r="107">
      <c r="A107" s="131">
        <v>105.0</v>
      </c>
      <c r="B107" s="207" t="s">
        <v>2111</v>
      </c>
      <c r="C107" s="238" t="s">
        <v>2190</v>
      </c>
      <c r="D107" s="208">
        <v>45600.0</v>
      </c>
      <c r="E107" s="224" t="s">
        <v>2191</v>
      </c>
      <c r="F107" s="131">
        <v>1.0</v>
      </c>
      <c r="G107" s="210" t="s">
        <v>27</v>
      </c>
      <c r="H107" s="210" t="s">
        <v>28</v>
      </c>
      <c r="I107" s="238" t="s">
        <v>2192</v>
      </c>
      <c r="J107" s="210" t="s">
        <v>243</v>
      </c>
      <c r="K107" s="218"/>
      <c r="L107" s="219"/>
      <c r="M107" s="218"/>
    </row>
    <row r="108">
      <c r="A108" s="131">
        <v>106.0</v>
      </c>
      <c r="B108" s="207" t="s">
        <v>2111</v>
      </c>
      <c r="C108" s="246" t="s">
        <v>2193</v>
      </c>
      <c r="D108" s="214">
        <v>45600.0</v>
      </c>
      <c r="E108" s="215" t="s">
        <v>2194</v>
      </c>
      <c r="F108" s="131">
        <v>1.0</v>
      </c>
      <c r="G108" s="240" t="s">
        <v>20</v>
      </c>
      <c r="H108" s="240" t="s">
        <v>53</v>
      </c>
      <c r="I108" s="238" t="s">
        <v>343</v>
      </c>
      <c r="J108" s="210" t="s">
        <v>345</v>
      </c>
      <c r="K108" s="218"/>
      <c r="L108" s="219"/>
      <c r="M108" s="218" t="str">
        <f t="array" ref="M108">IFERROR(INDEX(sales!C:C,MATCH(J108,sales!C:C,0)),"LIST없음")</f>
        <v>henry.kim1@stryker.com</v>
      </c>
    </row>
    <row r="109">
      <c r="A109" s="131">
        <v>107.0</v>
      </c>
      <c r="B109" s="207" t="s">
        <v>2111</v>
      </c>
      <c r="C109" s="207" t="s">
        <v>2195</v>
      </c>
      <c r="D109" s="208">
        <v>45726.0</v>
      </c>
      <c r="E109" s="207" t="s">
        <v>2196</v>
      </c>
      <c r="F109" s="131">
        <v>1.0</v>
      </c>
      <c r="G109" s="210" t="s">
        <v>27</v>
      </c>
      <c r="H109" s="210" t="s">
        <v>28</v>
      </c>
      <c r="I109" s="238" t="s">
        <v>2197</v>
      </c>
      <c r="J109" s="225" t="s">
        <v>2198</v>
      </c>
      <c r="K109" s="218"/>
      <c r="L109" s="219"/>
      <c r="M109" s="218"/>
    </row>
    <row r="110">
      <c r="A110" s="131">
        <v>108.0</v>
      </c>
      <c r="B110" s="207" t="s">
        <v>2111</v>
      </c>
      <c r="C110" s="207" t="s">
        <v>2199</v>
      </c>
      <c r="D110" s="208">
        <v>45726.0</v>
      </c>
      <c r="E110" s="207" t="s">
        <v>2200</v>
      </c>
      <c r="F110" s="131">
        <v>1.0</v>
      </c>
      <c r="G110" s="210" t="s">
        <v>27</v>
      </c>
      <c r="H110" s="210" t="s">
        <v>28</v>
      </c>
      <c r="I110" s="238" t="s">
        <v>682</v>
      </c>
      <c r="J110" s="225" t="s">
        <v>2201</v>
      </c>
      <c r="K110" s="218"/>
      <c r="L110" s="219"/>
      <c r="M110" s="218"/>
    </row>
    <row r="111">
      <c r="A111" s="131">
        <v>109.0</v>
      </c>
      <c r="B111" s="207" t="s">
        <v>2111</v>
      </c>
      <c r="C111" s="207" t="s">
        <v>2202</v>
      </c>
      <c r="D111" s="208">
        <v>45726.0</v>
      </c>
      <c r="E111" s="207" t="s">
        <v>2203</v>
      </c>
      <c r="F111" s="131">
        <v>1.0</v>
      </c>
      <c r="G111" s="210" t="s">
        <v>27</v>
      </c>
      <c r="H111" s="210" t="s">
        <v>53</v>
      </c>
      <c r="I111" s="238" t="s">
        <v>2204</v>
      </c>
      <c r="J111" s="210" t="s">
        <v>98</v>
      </c>
      <c r="K111" s="218"/>
      <c r="L111" s="219"/>
      <c r="M111" s="218" t="str">
        <f t="array" ref="M111">IFERROR(INDEX(sales!C:C,MATCH(J111,sales!C:C,0)),"LIST없음")</f>
        <v>Willy.Chang@stryker.com</v>
      </c>
    </row>
    <row r="112">
      <c r="A112" s="131">
        <v>110.0</v>
      </c>
      <c r="B112" s="207" t="s">
        <v>2111</v>
      </c>
      <c r="C112" s="207" t="s">
        <v>2205</v>
      </c>
      <c r="D112" s="208">
        <v>45726.0</v>
      </c>
      <c r="E112" s="207" t="s">
        <v>2206</v>
      </c>
      <c r="F112" s="131">
        <v>1.0</v>
      </c>
      <c r="G112" s="210" t="s">
        <v>27</v>
      </c>
      <c r="H112" s="210" t="s">
        <v>53</v>
      </c>
      <c r="I112" s="238" t="s">
        <v>693</v>
      </c>
      <c r="J112" s="210" t="s">
        <v>695</v>
      </c>
      <c r="K112" s="218"/>
      <c r="L112" s="219"/>
      <c r="M112" s="218" t="str">
        <f t="array" ref="M112">IFERROR(INDEX(sales!C:C,MATCH(J112,sales!C:C,0)),"LIST없음")</f>
        <v>David.Yang@stryker.com</v>
      </c>
    </row>
    <row r="113">
      <c r="A113" s="131">
        <v>111.0</v>
      </c>
      <c r="B113" s="207" t="s">
        <v>2111</v>
      </c>
      <c r="C113" s="207" t="s">
        <v>2207</v>
      </c>
      <c r="D113" s="208">
        <v>45726.0</v>
      </c>
      <c r="E113" s="207" t="s">
        <v>2208</v>
      </c>
      <c r="F113" s="131">
        <v>1.0</v>
      </c>
      <c r="G113" s="210" t="s">
        <v>27</v>
      </c>
      <c r="H113" s="210" t="s">
        <v>28</v>
      </c>
      <c r="I113" s="238" t="s">
        <v>2209</v>
      </c>
      <c r="J113" s="210" t="s">
        <v>18</v>
      </c>
      <c r="K113" s="218"/>
      <c r="L113" s="219"/>
      <c r="M113" s="218"/>
    </row>
    <row r="114">
      <c r="A114" s="131">
        <v>112.0</v>
      </c>
      <c r="B114" s="207" t="s">
        <v>2111</v>
      </c>
      <c r="C114" s="207" t="s">
        <v>2210</v>
      </c>
      <c r="D114" s="208">
        <v>45726.0</v>
      </c>
      <c r="E114" s="207" t="s">
        <v>2211</v>
      </c>
      <c r="F114" s="131">
        <v>1.0</v>
      </c>
      <c r="G114" s="210" t="s">
        <v>20</v>
      </c>
      <c r="H114" s="210" t="s">
        <v>137</v>
      </c>
      <c r="I114" s="238" t="s">
        <v>553</v>
      </c>
      <c r="J114" s="210" t="s">
        <v>555</v>
      </c>
      <c r="K114" s="218"/>
      <c r="L114" s="219"/>
      <c r="M114" s="218" t="str">
        <f t="array" ref="M114">IFERROR(INDEX(Printer!H:H,MATCH(J114,Printer!H:H,0)),"PRINTER LIST없음")</f>
        <v>PRINTER LIST없음</v>
      </c>
    </row>
    <row r="115">
      <c r="A115" s="131">
        <v>113.0</v>
      </c>
      <c r="B115" s="207" t="s">
        <v>2111</v>
      </c>
      <c r="C115" s="207" t="s">
        <v>2212</v>
      </c>
      <c r="D115" s="208">
        <v>45726.0</v>
      </c>
      <c r="E115" s="207" t="s">
        <v>2213</v>
      </c>
      <c r="F115" s="131">
        <v>1.0</v>
      </c>
      <c r="G115" s="210" t="s">
        <v>27</v>
      </c>
      <c r="H115" s="210" t="s">
        <v>53</v>
      </c>
      <c r="I115" s="238" t="s">
        <v>86</v>
      </c>
      <c r="J115" s="210" t="s">
        <v>88</v>
      </c>
      <c r="K115" s="218"/>
      <c r="L115" s="219"/>
      <c r="M115" s="218" t="str">
        <f t="array" ref="M115">IFERROR(INDEX(sales!C:C,MATCH(J115,sales!C:C,0)),"LIST없음")</f>
        <v>Bruce.Cha@stryker.com</v>
      </c>
    </row>
    <row r="116">
      <c r="A116" s="131">
        <v>114.0</v>
      </c>
      <c r="B116" s="207" t="s">
        <v>2111</v>
      </c>
      <c r="C116" s="207" t="s">
        <v>2214</v>
      </c>
      <c r="D116" s="208">
        <v>45726.0</v>
      </c>
      <c r="E116" s="207" t="s">
        <v>2215</v>
      </c>
      <c r="F116" s="131">
        <v>1.0</v>
      </c>
      <c r="G116" s="210" t="s">
        <v>27</v>
      </c>
      <c r="H116" s="210" t="s">
        <v>28</v>
      </c>
      <c r="I116" s="207" t="s">
        <v>566</v>
      </c>
      <c r="J116" s="210" t="s">
        <v>568</v>
      </c>
      <c r="K116" s="218"/>
      <c r="L116" s="219"/>
      <c r="M116" s="218"/>
    </row>
    <row r="117">
      <c r="A117" s="131">
        <v>115.0</v>
      </c>
      <c r="B117" s="207" t="s">
        <v>2111</v>
      </c>
      <c r="C117" s="207" t="s">
        <v>2216</v>
      </c>
      <c r="D117" s="208">
        <v>45726.0</v>
      </c>
      <c r="E117" s="207" t="s">
        <v>2217</v>
      </c>
      <c r="F117" s="131">
        <v>1.0</v>
      </c>
      <c r="G117" s="210" t="s">
        <v>27</v>
      </c>
      <c r="H117" s="210" t="s">
        <v>28</v>
      </c>
      <c r="I117" s="207" t="s">
        <v>69</v>
      </c>
      <c r="J117" s="210" t="s">
        <v>71</v>
      </c>
      <c r="K117" s="218"/>
      <c r="L117" s="219"/>
      <c r="M117" s="218"/>
    </row>
    <row r="118">
      <c r="A118" s="131">
        <v>116.0</v>
      </c>
      <c r="B118" s="207" t="s">
        <v>2111</v>
      </c>
      <c r="C118" s="207" t="s">
        <v>2218</v>
      </c>
      <c r="D118" s="208">
        <v>45726.0</v>
      </c>
      <c r="E118" s="207" t="s">
        <v>2219</v>
      </c>
      <c r="F118" s="131">
        <v>1.0</v>
      </c>
      <c r="G118" s="210" t="s">
        <v>27</v>
      </c>
      <c r="H118" s="210" t="s">
        <v>28</v>
      </c>
      <c r="I118" s="207" t="s">
        <v>679</v>
      </c>
      <c r="J118" s="210" t="s">
        <v>681</v>
      </c>
      <c r="K118" s="218"/>
      <c r="L118" s="219"/>
      <c r="M118" s="218"/>
    </row>
    <row r="119">
      <c r="A119" s="131">
        <v>117.0</v>
      </c>
      <c r="B119" s="207" t="s">
        <v>2111</v>
      </c>
      <c r="C119" s="207" t="s">
        <v>2220</v>
      </c>
      <c r="D119" s="208">
        <v>45726.0</v>
      </c>
      <c r="E119" s="207" t="s">
        <v>2221</v>
      </c>
      <c r="F119" s="131">
        <v>1.0</v>
      </c>
      <c r="G119" s="210" t="s">
        <v>27</v>
      </c>
      <c r="H119" s="210" t="s">
        <v>28</v>
      </c>
      <c r="I119" s="207" t="s">
        <v>437</v>
      </c>
      <c r="J119" s="210" t="s">
        <v>439</v>
      </c>
      <c r="K119" s="218"/>
      <c r="L119" s="219"/>
      <c r="M119" s="218"/>
    </row>
    <row r="120">
      <c r="A120" s="131">
        <v>118.0</v>
      </c>
      <c r="B120" s="207" t="s">
        <v>2111</v>
      </c>
      <c r="C120" s="207" t="s">
        <v>2222</v>
      </c>
      <c r="D120" s="208">
        <v>45726.0</v>
      </c>
      <c r="E120" s="207" t="s">
        <v>2223</v>
      </c>
      <c r="F120" s="131">
        <v>1.0</v>
      </c>
      <c r="G120" s="210" t="s">
        <v>27</v>
      </c>
      <c r="H120" s="210" t="s">
        <v>28</v>
      </c>
      <c r="I120" s="207" t="s">
        <v>461</v>
      </c>
      <c r="J120" s="210" t="s">
        <v>463</v>
      </c>
      <c r="K120" s="218"/>
      <c r="L120" s="219"/>
      <c r="M120" s="218"/>
    </row>
    <row r="121">
      <c r="A121" s="131">
        <v>119.0</v>
      </c>
      <c r="B121" s="207" t="s">
        <v>2111</v>
      </c>
      <c r="C121" s="207" t="s">
        <v>2224</v>
      </c>
      <c r="D121" s="208">
        <v>45726.0</v>
      </c>
      <c r="E121" s="207" t="s">
        <v>2225</v>
      </c>
      <c r="F121" s="131">
        <v>1.0</v>
      </c>
      <c r="G121" s="210" t="s">
        <v>27</v>
      </c>
      <c r="H121" s="210" t="s">
        <v>28</v>
      </c>
      <c r="I121" s="207" t="s">
        <v>83</v>
      </c>
      <c r="J121" s="210" t="s">
        <v>85</v>
      </c>
      <c r="K121" s="218"/>
      <c r="L121" s="219"/>
      <c r="M121" s="218"/>
    </row>
    <row r="122">
      <c r="A122" s="131">
        <v>120.0</v>
      </c>
      <c r="B122" s="207" t="s">
        <v>2111</v>
      </c>
      <c r="C122" s="207" t="s">
        <v>2226</v>
      </c>
      <c r="D122" s="208">
        <v>45726.0</v>
      </c>
      <c r="E122" s="207" t="s">
        <v>2227</v>
      </c>
      <c r="F122" s="131">
        <v>1.0</v>
      </c>
      <c r="G122" s="210" t="s">
        <v>52</v>
      </c>
      <c r="H122" s="210" t="s">
        <v>53</v>
      </c>
      <c r="I122" s="207" t="s">
        <v>231</v>
      </c>
      <c r="J122" s="210" t="s">
        <v>233</v>
      </c>
      <c r="K122" s="218"/>
      <c r="L122" s="219"/>
      <c r="M122" s="218" t="str">
        <f t="array" ref="M122">IFERROR(INDEX(sales!C:C,MATCH(J122,sales!C:C,0)),"LIST없음")</f>
        <v>chan.jeon@stryker.com</v>
      </c>
    </row>
    <row r="123">
      <c r="A123" s="131">
        <v>121.0</v>
      </c>
      <c r="B123" s="207" t="s">
        <v>2111</v>
      </c>
      <c r="C123" s="207" t="s">
        <v>2228</v>
      </c>
      <c r="D123" s="208">
        <v>45726.0</v>
      </c>
      <c r="E123" s="207" t="s">
        <v>2229</v>
      </c>
      <c r="F123" s="131">
        <v>1.0</v>
      </c>
      <c r="G123" s="210" t="s">
        <v>27</v>
      </c>
      <c r="H123" s="210" t="s">
        <v>28</v>
      </c>
      <c r="I123" s="207" t="s">
        <v>768</v>
      </c>
      <c r="J123" s="225" t="s">
        <v>2230</v>
      </c>
      <c r="K123" s="218"/>
      <c r="L123" s="219"/>
      <c r="M123" s="218"/>
    </row>
    <row r="124">
      <c r="A124" s="131">
        <v>122.0</v>
      </c>
      <c r="B124" s="207" t="s">
        <v>2111</v>
      </c>
      <c r="C124" s="207" t="s">
        <v>2231</v>
      </c>
      <c r="D124" s="208">
        <v>45726.0</v>
      </c>
      <c r="E124" s="207" t="s">
        <v>2232</v>
      </c>
      <c r="F124" s="131">
        <v>1.0</v>
      </c>
      <c r="G124" s="210" t="s">
        <v>35</v>
      </c>
      <c r="H124" s="210" t="s">
        <v>35</v>
      </c>
      <c r="I124" s="207" t="s">
        <v>457</v>
      </c>
      <c r="J124" s="210" t="s">
        <v>459</v>
      </c>
      <c r="K124" s="218"/>
      <c r="L124" s="219"/>
      <c r="M124" s="218" t="str">
        <f t="array" ref="M124">IFERROR(INDEX(Printer!H:H,MATCH(J124,Printer!H:H,0)),"PRINTER LIST없음")</f>
        <v>david.lee4@stryker.com</v>
      </c>
    </row>
    <row r="125">
      <c r="A125" s="262">
        <v>123.0</v>
      </c>
      <c r="B125" s="263" t="s">
        <v>2111</v>
      </c>
      <c r="C125" s="263" t="s">
        <v>2233</v>
      </c>
      <c r="D125" s="264">
        <v>45726.0</v>
      </c>
      <c r="E125" s="263" t="s">
        <v>2234</v>
      </c>
      <c r="F125" s="262">
        <v>1.0</v>
      </c>
      <c r="G125" s="265" t="s">
        <v>671</v>
      </c>
      <c r="H125" s="265" t="s">
        <v>671</v>
      </c>
      <c r="I125" s="266" t="s">
        <v>1949</v>
      </c>
      <c r="J125" s="265" t="s">
        <v>2235</v>
      </c>
      <c r="K125" s="267"/>
      <c r="L125" s="219"/>
      <c r="M125" s="218"/>
    </row>
    <row r="126">
      <c r="A126" s="131">
        <v>124.0</v>
      </c>
      <c r="B126" s="207" t="s">
        <v>2111</v>
      </c>
      <c r="C126" s="207" t="s">
        <v>2236</v>
      </c>
      <c r="D126" s="208">
        <v>45726.0</v>
      </c>
      <c r="E126" s="207" t="s">
        <v>2237</v>
      </c>
      <c r="F126" s="131">
        <v>1.0</v>
      </c>
      <c r="G126" s="210" t="s">
        <v>27</v>
      </c>
      <c r="H126" s="210" t="s">
        <v>53</v>
      </c>
      <c r="I126" s="207" t="s">
        <v>735</v>
      </c>
      <c r="J126" s="210" t="s">
        <v>737</v>
      </c>
      <c r="K126" s="218"/>
      <c r="L126" s="219"/>
      <c r="M126" s="218" t="str">
        <f t="array" ref="M126">IFERROR(INDEX(sales!C:C,MATCH(J126,sales!C:C,0)),"LIST없음")</f>
        <v>aaron.yoon@stryker.com</v>
      </c>
    </row>
    <row r="127">
      <c r="A127" s="131">
        <v>125.0</v>
      </c>
      <c r="B127" s="207" t="s">
        <v>2111</v>
      </c>
      <c r="C127" s="207" t="s">
        <v>2238</v>
      </c>
      <c r="D127" s="208">
        <v>45726.0</v>
      </c>
      <c r="E127" s="207" t="s">
        <v>2239</v>
      </c>
      <c r="F127" s="131">
        <v>1.0</v>
      </c>
      <c r="G127" s="210" t="s">
        <v>35</v>
      </c>
      <c r="H127" s="210" t="s">
        <v>35</v>
      </c>
      <c r="I127" s="207" t="s">
        <v>220</v>
      </c>
      <c r="J127" s="210" t="s">
        <v>222</v>
      </c>
      <c r="K127" s="218"/>
      <c r="L127" s="219"/>
      <c r="M127" s="218" t="str">
        <f t="array" ref="M127">IFERROR(INDEX(Printer!H:H,MATCH(J127,Printer!H:H,0)),"PRINTER LIST없음")</f>
        <v>PRINTER LIST없음</v>
      </c>
    </row>
    <row r="128">
      <c r="A128" s="131">
        <v>126.0</v>
      </c>
      <c r="B128" s="207" t="s">
        <v>2111</v>
      </c>
      <c r="C128" s="207" t="s">
        <v>2240</v>
      </c>
      <c r="D128" s="208">
        <v>45726.0</v>
      </c>
      <c r="E128" s="207" t="s">
        <v>2241</v>
      </c>
      <c r="F128" s="131">
        <v>1.0</v>
      </c>
      <c r="G128" s="210" t="s">
        <v>27</v>
      </c>
      <c r="H128" s="210" t="s">
        <v>53</v>
      </c>
      <c r="I128" s="207" t="s">
        <v>789</v>
      </c>
      <c r="J128" s="225" t="s">
        <v>2242</v>
      </c>
      <c r="K128" s="218"/>
      <c r="L128" s="219"/>
      <c r="M128" s="218" t="str">
        <f t="array" ref="M128">IFERROR(INDEX(sales!C:C,MATCH(J128,sales!C:C,0)),"LIST없음")</f>
        <v>lucas.heo@stryker.com</v>
      </c>
    </row>
    <row r="129">
      <c r="A129" s="131">
        <v>127.0</v>
      </c>
      <c r="B129" s="207" t="s">
        <v>2111</v>
      </c>
      <c r="C129" s="207" t="s">
        <v>2243</v>
      </c>
      <c r="D129" s="208">
        <v>45726.0</v>
      </c>
      <c r="E129" s="207" t="s">
        <v>2244</v>
      </c>
      <c r="F129" s="131">
        <v>1.0</v>
      </c>
      <c r="G129" s="210" t="s">
        <v>27</v>
      </c>
      <c r="H129" s="210" t="s">
        <v>28</v>
      </c>
      <c r="I129" s="207" t="s">
        <v>138</v>
      </c>
      <c r="J129" s="225" t="s">
        <v>2245</v>
      </c>
      <c r="K129" s="218"/>
      <c r="L129" s="219"/>
      <c r="M129" s="218"/>
    </row>
    <row r="130">
      <c r="A130" s="129">
        <v>128.0</v>
      </c>
      <c r="B130" s="238" t="s">
        <v>2111</v>
      </c>
      <c r="C130" s="238" t="s">
        <v>2246</v>
      </c>
      <c r="D130" s="244">
        <v>45726.0</v>
      </c>
      <c r="E130" s="238" t="s">
        <v>2247</v>
      </c>
      <c r="F130" s="129">
        <v>1.0</v>
      </c>
      <c r="G130" s="268" t="s">
        <v>77</v>
      </c>
      <c r="H130" s="242" t="s">
        <v>105</v>
      </c>
      <c r="I130" s="269" t="s">
        <v>863</v>
      </c>
      <c r="J130" s="242" t="s">
        <v>865</v>
      </c>
      <c r="K130" s="267"/>
      <c r="L130" s="219"/>
      <c r="M130" s="218"/>
    </row>
    <row r="131">
      <c r="A131" s="150">
        <v>129.0</v>
      </c>
      <c r="B131" s="207" t="s">
        <v>2248</v>
      </c>
      <c r="C131" s="207" t="s">
        <v>2249</v>
      </c>
      <c r="D131" s="208"/>
      <c r="E131" s="207"/>
      <c r="F131" s="199"/>
      <c r="G131" s="210" t="s">
        <v>671</v>
      </c>
      <c r="H131" s="210" t="s">
        <v>671</v>
      </c>
      <c r="I131" s="207" t="s">
        <v>2250</v>
      </c>
      <c r="J131" s="270" t="s">
        <v>763</v>
      </c>
      <c r="K131" s="210" t="s">
        <v>2251</v>
      </c>
      <c r="L131" s="199"/>
      <c r="M131" s="218"/>
    </row>
  </sheetData>
  <autoFilter ref="$A$1:$M$131">
    <filterColumn colId="11">
      <filters blank="1"/>
    </filterColumn>
  </autoFilter>
  <hyperlinks>
    <hyperlink r:id="rId1" ref="J8"/>
    <hyperlink r:id="rId2" ref="J9"/>
    <hyperlink r:id="rId3" ref="J12"/>
    <hyperlink r:id="rId4" ref="J17"/>
    <hyperlink r:id="rId5" ref="J36"/>
    <hyperlink r:id="rId6" ref="J76"/>
    <hyperlink r:id="rId7" ref="J99"/>
    <hyperlink r:id="rId8" ref="J109"/>
    <hyperlink r:id="rId9" ref="J110"/>
    <hyperlink r:id="rId10" ref="J123"/>
    <hyperlink r:id="rId11" ref="J128"/>
    <hyperlink r:id="rId12" ref="J129"/>
    <hyperlink r:id="rId13" ref="J131"/>
  </hyperlinks>
  <drawing r:id="rId14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2.38"/>
  </cols>
  <sheetData>
    <row r="1">
      <c r="A1" s="197" t="s">
        <v>905</v>
      </c>
      <c r="B1" s="195" t="s">
        <v>1934</v>
      </c>
      <c r="C1" s="195" t="s">
        <v>910</v>
      </c>
      <c r="D1" s="195" t="s">
        <v>3</v>
      </c>
      <c r="E1" s="195" t="s">
        <v>911</v>
      </c>
    </row>
    <row r="2">
      <c r="A2" s="136" t="s">
        <v>2252</v>
      </c>
      <c r="B2" s="271"/>
      <c r="C2" s="136" t="s">
        <v>63</v>
      </c>
      <c r="D2" s="136" t="s">
        <v>65</v>
      </c>
      <c r="E2" s="271"/>
    </row>
    <row r="3">
      <c r="A3" s="136" t="s">
        <v>2252</v>
      </c>
      <c r="B3" s="271"/>
      <c r="C3" s="136" t="s">
        <v>163</v>
      </c>
      <c r="D3" s="136" t="s">
        <v>165</v>
      </c>
      <c r="E3" s="271"/>
    </row>
    <row r="4">
      <c r="A4" s="136" t="s">
        <v>2252</v>
      </c>
      <c r="B4" s="271"/>
      <c r="C4" s="136" t="s">
        <v>355</v>
      </c>
      <c r="D4" s="136" t="s">
        <v>357</v>
      </c>
      <c r="E4" s="271"/>
    </row>
    <row r="5">
      <c r="A5" s="136" t="s">
        <v>2252</v>
      </c>
      <c r="B5" s="271"/>
      <c r="C5" s="136" t="s">
        <v>543</v>
      </c>
      <c r="D5" s="136" t="s">
        <v>545</v>
      </c>
      <c r="E5" s="271"/>
    </row>
    <row r="6">
      <c r="A6" s="136" t="s">
        <v>2252</v>
      </c>
      <c r="B6" s="271"/>
      <c r="C6" s="136" t="s">
        <v>441</v>
      </c>
      <c r="D6" s="136" t="s">
        <v>443</v>
      </c>
      <c r="E6" s="271"/>
    </row>
    <row r="7">
      <c r="A7" s="136" t="s">
        <v>2252</v>
      </c>
      <c r="B7" s="271"/>
      <c r="C7" s="136" t="s">
        <v>561</v>
      </c>
      <c r="D7" s="136" t="s">
        <v>563</v>
      </c>
      <c r="E7" s="271"/>
    </row>
    <row r="8">
      <c r="A8" s="136" t="s">
        <v>2252</v>
      </c>
      <c r="B8" s="271"/>
      <c r="C8" s="136" t="s">
        <v>916</v>
      </c>
      <c r="D8" s="271"/>
      <c r="E8" s="136" t="s">
        <v>2253</v>
      </c>
    </row>
    <row r="9">
      <c r="A9" s="136" t="s">
        <v>2252</v>
      </c>
      <c r="B9" s="271"/>
      <c r="C9" s="136" t="s">
        <v>724</v>
      </c>
      <c r="D9" s="136" t="s">
        <v>726</v>
      </c>
      <c r="E9" s="271"/>
    </row>
    <row r="10">
      <c r="A10" s="136" t="s">
        <v>2252</v>
      </c>
      <c r="B10" s="271"/>
      <c r="C10" s="136" t="s">
        <v>291</v>
      </c>
      <c r="D10" s="136" t="s">
        <v>293</v>
      </c>
      <c r="E10" s="271"/>
    </row>
    <row r="11">
      <c r="A11" s="136" t="s">
        <v>2252</v>
      </c>
      <c r="B11" s="271"/>
      <c r="C11" s="136" t="s">
        <v>297</v>
      </c>
      <c r="D11" s="136" t="s">
        <v>299</v>
      </c>
      <c r="E11" s="271"/>
    </row>
    <row r="12">
      <c r="A12" s="136" t="s">
        <v>2252</v>
      </c>
      <c r="B12" s="271"/>
      <c r="C12" s="136" t="s">
        <v>2254</v>
      </c>
      <c r="D12" s="271"/>
      <c r="E12" s="136" t="s">
        <v>2255</v>
      </c>
    </row>
    <row r="13">
      <c r="A13" s="136" t="s">
        <v>2252</v>
      </c>
      <c r="B13" s="271"/>
      <c r="C13" s="136" t="s">
        <v>448</v>
      </c>
      <c r="D13" s="136" t="s">
        <v>450</v>
      </c>
      <c r="E13" s="271"/>
    </row>
    <row r="14">
      <c r="A14" s="136" t="s">
        <v>2252</v>
      </c>
      <c r="B14" s="271"/>
      <c r="C14" s="136" t="s">
        <v>272</v>
      </c>
      <c r="D14" s="136" t="s">
        <v>274</v>
      </c>
      <c r="E14" s="271"/>
    </row>
    <row r="15">
      <c r="A15" s="136" t="s">
        <v>2252</v>
      </c>
      <c r="B15" s="271"/>
      <c r="C15" s="136" t="s">
        <v>2256</v>
      </c>
      <c r="D15" s="271"/>
      <c r="E15" s="136" t="s">
        <v>2255</v>
      </c>
    </row>
    <row r="16">
      <c r="A16" s="136" t="s">
        <v>2252</v>
      </c>
      <c r="B16" s="271"/>
      <c r="C16" s="136" t="s">
        <v>453</v>
      </c>
      <c r="D16" s="136" t="s">
        <v>455</v>
      </c>
      <c r="E16" s="271"/>
    </row>
    <row r="17">
      <c r="A17" s="136" t="s">
        <v>2252</v>
      </c>
      <c r="B17" s="271"/>
      <c r="C17" s="136" t="s">
        <v>193</v>
      </c>
      <c r="D17" s="136" t="s">
        <v>195</v>
      </c>
      <c r="E17" s="271"/>
    </row>
    <row r="18">
      <c r="A18" s="136" t="s">
        <v>2252</v>
      </c>
      <c r="B18" s="271"/>
      <c r="C18" s="136" t="s">
        <v>572</v>
      </c>
      <c r="D18" s="136" t="s">
        <v>574</v>
      </c>
      <c r="E18" s="271"/>
    </row>
    <row r="19">
      <c r="A19" s="136" t="s">
        <v>2252</v>
      </c>
      <c r="B19" s="271"/>
      <c r="C19" s="136" t="s">
        <v>2257</v>
      </c>
      <c r="D19" s="136" t="s">
        <v>2258</v>
      </c>
      <c r="E19" s="136" t="s">
        <v>2255</v>
      </c>
    </row>
    <row r="20">
      <c r="A20" s="136" t="s">
        <v>2252</v>
      </c>
      <c r="B20" s="271"/>
      <c r="C20" s="136" t="s">
        <v>2259</v>
      </c>
      <c r="D20" s="271"/>
      <c r="E20" s="136" t="s">
        <v>2255</v>
      </c>
    </row>
    <row r="21">
      <c r="A21" s="136" t="s">
        <v>2252</v>
      </c>
      <c r="B21" s="271"/>
      <c r="C21" s="136" t="s">
        <v>355</v>
      </c>
      <c r="D21" s="136" t="s">
        <v>357</v>
      </c>
      <c r="E21" s="271"/>
    </row>
    <row r="22">
      <c r="A22" s="136" t="s">
        <v>2252</v>
      </c>
      <c r="B22" s="271"/>
      <c r="C22" s="136" t="s">
        <v>708</v>
      </c>
      <c r="D22" s="136" t="s">
        <v>710</v>
      </c>
      <c r="E22" s="271"/>
    </row>
    <row r="23">
      <c r="A23" s="136" t="s">
        <v>2260</v>
      </c>
      <c r="B23" s="271"/>
      <c r="C23" s="136" t="s">
        <v>671</v>
      </c>
      <c r="D23" s="136" t="s">
        <v>916</v>
      </c>
      <c r="E23" s="136"/>
    </row>
    <row r="24">
      <c r="A24" s="136" t="s">
        <v>2252</v>
      </c>
      <c r="B24" s="272">
        <v>45689.0</v>
      </c>
      <c r="C24" s="136" t="s">
        <v>2261</v>
      </c>
      <c r="D24" s="271"/>
      <c r="E24" s="271"/>
    </row>
    <row r="25">
      <c r="A25" s="136" t="s">
        <v>2252</v>
      </c>
      <c r="B25" s="272">
        <v>45323.0</v>
      </c>
      <c r="C25" s="136" t="s">
        <v>671</v>
      </c>
      <c r="D25" s="136" t="s">
        <v>916</v>
      </c>
      <c r="E25" s="136"/>
    </row>
    <row r="26">
      <c r="A26" s="136" t="s">
        <v>2252</v>
      </c>
      <c r="B26" s="272">
        <v>45352.0</v>
      </c>
      <c r="C26" s="136" t="s">
        <v>133</v>
      </c>
      <c r="D26" s="136" t="s">
        <v>135</v>
      </c>
      <c r="E26" s="271"/>
    </row>
    <row r="27">
      <c r="A27" s="136" t="s">
        <v>2252</v>
      </c>
      <c r="B27" s="272">
        <v>45413.0</v>
      </c>
      <c r="C27" s="136" t="s">
        <v>100</v>
      </c>
      <c r="D27" s="136" t="s">
        <v>102</v>
      </c>
      <c r="E27" s="271"/>
    </row>
    <row r="28">
      <c r="A28" s="136" t="s">
        <v>2252</v>
      </c>
      <c r="B28" s="272">
        <v>45474.0</v>
      </c>
      <c r="C28" s="136" t="s">
        <v>2261</v>
      </c>
      <c r="D28" s="271"/>
      <c r="E28" s="271"/>
    </row>
    <row r="29">
      <c r="A29" s="136" t="s">
        <v>2260</v>
      </c>
      <c r="B29" s="272">
        <v>45474.0</v>
      </c>
      <c r="C29" s="136" t="s">
        <v>671</v>
      </c>
      <c r="D29" s="136" t="s">
        <v>916</v>
      </c>
      <c r="E29" s="136"/>
    </row>
    <row r="30">
      <c r="A30" s="136" t="s">
        <v>2252</v>
      </c>
      <c r="B30" s="136">
        <v>45635.0</v>
      </c>
      <c r="C30" s="136" t="s">
        <v>1433</v>
      </c>
      <c r="D30" s="271"/>
      <c r="E30" s="271"/>
    </row>
    <row r="31">
      <c r="A31" s="136" t="s">
        <v>2252</v>
      </c>
      <c r="B31" s="272">
        <v>45717.0</v>
      </c>
      <c r="C31" s="136" t="s">
        <v>2262</v>
      </c>
      <c r="D31" s="136" t="s">
        <v>260</v>
      </c>
      <c r="E31" s="271"/>
    </row>
    <row r="32">
      <c r="A32" s="136" t="s">
        <v>2252</v>
      </c>
      <c r="B32" s="273">
        <v>45754.0</v>
      </c>
      <c r="C32" s="136" t="s">
        <v>2263</v>
      </c>
      <c r="D32" s="139" t="s">
        <v>2264</v>
      </c>
      <c r="E32" s="271"/>
    </row>
    <row r="33">
      <c r="A33" s="136" t="s">
        <v>2252</v>
      </c>
      <c r="B33" s="273">
        <v>45805.0</v>
      </c>
      <c r="C33" s="136" t="s">
        <v>2265</v>
      </c>
      <c r="D33" s="139" t="s">
        <v>2266</v>
      </c>
      <c r="E33" s="271"/>
    </row>
    <row r="34">
      <c r="A34" s="136" t="s">
        <v>2252</v>
      </c>
      <c r="B34" s="273">
        <v>45889.0</v>
      </c>
      <c r="C34" s="210" t="s">
        <v>2267</v>
      </c>
      <c r="D34" s="225" t="s">
        <v>2268</v>
      </c>
      <c r="E34" s="218"/>
    </row>
    <row r="35">
      <c r="A35" s="46" t="s">
        <v>2269</v>
      </c>
      <c r="B35" s="273">
        <v>45943.0</v>
      </c>
      <c r="C35" s="114" t="s">
        <v>2270</v>
      </c>
      <c r="D35" s="114" t="s">
        <v>776</v>
      </c>
      <c r="E35" s="114" t="s">
        <v>2271</v>
      </c>
    </row>
    <row r="36">
      <c r="A36" s="46" t="s">
        <v>2272</v>
      </c>
      <c r="B36" s="273">
        <v>45945.0</v>
      </c>
      <c r="C36" s="114" t="s">
        <v>2261</v>
      </c>
      <c r="D36" s="118"/>
      <c r="E36" s="118"/>
    </row>
    <row r="37">
      <c r="A37" s="46" t="s">
        <v>2272</v>
      </c>
      <c r="B37" s="273">
        <v>45945.0</v>
      </c>
      <c r="C37" s="114" t="s">
        <v>2261</v>
      </c>
      <c r="D37" s="118"/>
      <c r="E37" s="118"/>
    </row>
    <row r="38">
      <c r="A38" s="46" t="s">
        <v>2272</v>
      </c>
      <c r="B38" s="273">
        <v>45945.0</v>
      </c>
      <c r="C38" s="114" t="s">
        <v>2261</v>
      </c>
      <c r="D38" s="118"/>
      <c r="E38" s="118"/>
    </row>
    <row r="39">
      <c r="A39" s="46" t="s">
        <v>2272</v>
      </c>
      <c r="B39" s="273">
        <v>45952.0</v>
      </c>
      <c r="C39" s="114" t="s">
        <v>2273</v>
      </c>
      <c r="D39" s="114" t="s">
        <v>823</v>
      </c>
      <c r="E39" s="118"/>
    </row>
    <row r="40">
      <c r="A40" s="46" t="s">
        <v>2272</v>
      </c>
      <c r="B40" s="273">
        <v>45953.0</v>
      </c>
      <c r="C40" s="114" t="s">
        <v>2270</v>
      </c>
      <c r="D40" s="114" t="s">
        <v>776</v>
      </c>
      <c r="E40" s="114" t="s">
        <v>2274</v>
      </c>
    </row>
    <row r="41">
      <c r="A41" s="46" t="s">
        <v>2269</v>
      </c>
      <c r="B41" s="274">
        <v>45973.0</v>
      </c>
      <c r="C41" s="112" t="s">
        <v>2275</v>
      </c>
      <c r="D41" s="112" t="s">
        <v>2276</v>
      </c>
      <c r="E41" s="275"/>
    </row>
    <row r="42">
      <c r="A42" s="136" t="s">
        <v>2252</v>
      </c>
      <c r="B42" s="274">
        <v>45987.0</v>
      </c>
      <c r="C42" s="112" t="s">
        <v>2277</v>
      </c>
      <c r="D42" s="112" t="s">
        <v>605</v>
      </c>
      <c r="E42" s="275"/>
    </row>
  </sheetData>
  <hyperlinks>
    <hyperlink r:id="rId1" ref="D32"/>
    <hyperlink r:id="rId2" ref="D33"/>
    <hyperlink r:id="rId3" ref="D34"/>
  </hyperlinks>
  <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0.13"/>
    <col customWidth="1" min="3" max="3" width="17.63"/>
    <col customWidth="1" min="4" max="4" width="22.25"/>
    <col customWidth="1" min="7" max="7" width="6.75"/>
    <col customWidth="1" min="8" max="8" width="22.13"/>
    <col customWidth="1" min="9" max="9" width="16.5"/>
    <col customWidth="1" min="10" max="10" width="22.13"/>
  </cols>
  <sheetData>
    <row r="1">
      <c r="A1" s="276"/>
      <c r="B1" s="277" t="s">
        <v>905</v>
      </c>
      <c r="C1" s="278" t="s">
        <v>2278</v>
      </c>
      <c r="D1" s="279" t="s">
        <v>2279</v>
      </c>
      <c r="E1" s="280" t="s">
        <v>910</v>
      </c>
      <c r="F1" s="280" t="s">
        <v>5</v>
      </c>
      <c r="G1" s="281" t="s">
        <v>6</v>
      </c>
      <c r="H1" s="278" t="s">
        <v>3</v>
      </c>
      <c r="I1" s="278" t="s">
        <v>2280</v>
      </c>
    </row>
    <row r="2">
      <c r="A2" s="282">
        <v>1.0</v>
      </c>
      <c r="B2" s="207" t="s">
        <v>2281</v>
      </c>
      <c r="C2" s="283"/>
      <c r="D2" s="284" t="s">
        <v>2282</v>
      </c>
      <c r="E2" s="285" t="s">
        <v>2283</v>
      </c>
      <c r="F2" s="285" t="s">
        <v>2284</v>
      </c>
      <c r="G2" s="285" t="s">
        <v>2285</v>
      </c>
      <c r="H2" s="286"/>
    </row>
    <row r="3" hidden="1">
      <c r="A3" s="282">
        <v>2.0</v>
      </c>
      <c r="B3" s="207" t="s">
        <v>2281</v>
      </c>
      <c r="C3" s="283"/>
      <c r="D3" s="207" t="s">
        <v>2286</v>
      </c>
      <c r="E3" s="285" t="s">
        <v>339</v>
      </c>
      <c r="F3" s="285" t="s">
        <v>77</v>
      </c>
      <c r="G3" s="285" t="s">
        <v>53</v>
      </c>
      <c r="H3" s="287" t="s">
        <v>341</v>
      </c>
      <c r="J3" s="288" t="str">
        <f t="array" ref="J3">IFERROR(INDEX(All_User_backup!D:D,MATCH(H3,All_User_backup!D:D,0)),"없음")</f>
        <v>jason.kim1@stryker.com</v>
      </c>
      <c r="L3" s="288" t="str">
        <f t="array" ref="L3">IFERROR(INDEX(sales!G:G,MATCH(H3,sales!C:C,0)),"없음")</f>
        <v>2차 조사 정보 없음</v>
      </c>
    </row>
    <row r="4">
      <c r="A4" s="282">
        <v>3.0</v>
      </c>
      <c r="B4" s="207" t="s">
        <v>2282</v>
      </c>
      <c r="C4" s="289">
        <v>45597.0</v>
      </c>
      <c r="D4" s="284" t="s">
        <v>2282</v>
      </c>
      <c r="E4" s="285" t="s">
        <v>317</v>
      </c>
      <c r="F4" s="285" t="s">
        <v>77</v>
      </c>
      <c r="G4" s="285" t="s">
        <v>53</v>
      </c>
      <c r="H4" s="287" t="s">
        <v>319</v>
      </c>
      <c r="J4" s="288" t="str">
        <f t="array" ref="J4">IFERROR(INDEX(All_User_backup!D:D,MATCH(H4,All_User_backup!D:D,0)),"없음")</f>
        <v>Suhyun.Kim@stryker.com</v>
      </c>
      <c r="L4" s="288" t="str">
        <f t="array" ref="L4">IFERROR(INDEX(sales!G:G,MATCH(H4,sales!C:C,0)),"없음")</f>
        <v>SL-C486FW</v>
      </c>
    </row>
    <row r="5" hidden="1">
      <c r="A5" s="282">
        <v>4.0</v>
      </c>
      <c r="B5" s="207"/>
      <c r="C5" s="283"/>
      <c r="D5" s="207" t="s">
        <v>2287</v>
      </c>
      <c r="E5" s="285" t="s">
        <v>335</v>
      </c>
      <c r="F5" s="285" t="s">
        <v>77</v>
      </c>
      <c r="G5" s="285" t="s">
        <v>53</v>
      </c>
      <c r="H5" s="287" t="s">
        <v>337</v>
      </c>
      <c r="J5" s="288" t="str">
        <f t="array" ref="J5">IFERROR(INDEX(All_User_backup!D:D,MATCH(H5,All_User_backup!D:D,0)),"없음")</f>
        <v>genie.kim@stryker.com</v>
      </c>
      <c r="L5" s="288" t="str">
        <f t="array" ref="L5">IFERROR(INDEX(sales!G:G,MATCH(H5,sales!C:C,0)),"없음")</f>
        <v>반납</v>
      </c>
    </row>
    <row r="6">
      <c r="A6" s="282">
        <v>5.0</v>
      </c>
      <c r="B6" s="207" t="s">
        <v>2288</v>
      </c>
      <c r="C6" s="289">
        <v>45108.0</v>
      </c>
      <c r="D6" s="284" t="s">
        <v>2288</v>
      </c>
      <c r="E6" s="285" t="s">
        <v>474</v>
      </c>
      <c r="F6" s="285" t="s">
        <v>77</v>
      </c>
      <c r="G6" s="285" t="s">
        <v>53</v>
      </c>
      <c r="H6" s="287" t="s">
        <v>476</v>
      </c>
      <c r="J6" s="288" t="str">
        <f t="array" ref="J6">IFERROR(INDEX(All_User_backup!D:D,MATCH(H6,All_User_backup!D:D,0)),"없음")</f>
        <v>ayaan.lee@stryker.com</v>
      </c>
      <c r="L6" s="288" t="str">
        <f t="array" ref="L6">IFERROR(INDEX(sales!G:G,MATCH(H6,sales!C:C,0)),"없음")</f>
        <v>SL-C563W</v>
      </c>
    </row>
    <row r="7">
      <c r="A7" s="282">
        <v>6.0</v>
      </c>
      <c r="B7" s="207" t="s">
        <v>2288</v>
      </c>
      <c r="C7" s="289">
        <v>45108.0</v>
      </c>
      <c r="D7" s="284" t="s">
        <v>2288</v>
      </c>
      <c r="E7" s="285" t="s">
        <v>106</v>
      </c>
      <c r="F7" s="285" t="s">
        <v>77</v>
      </c>
      <c r="G7" s="285" t="s">
        <v>53</v>
      </c>
      <c r="H7" s="287" t="s">
        <v>108</v>
      </c>
      <c r="I7" s="46" t="s">
        <v>2289</v>
      </c>
      <c r="J7" s="288" t="str">
        <f t="array" ref="J7">IFERROR(INDEX(All_User_backup!D:D,MATCH(H7,All_User_backup!D:D,0)),"없음")</f>
        <v>martin.cho@stryker.com</v>
      </c>
      <c r="L7" s="288" t="str">
        <f t="array" ref="L7">IFERROR(INDEX(sales!G:G,MATCH(H7,sales!C:C,0)),"없음")</f>
        <v>SL-C563W</v>
      </c>
    </row>
    <row r="8">
      <c r="A8" s="282">
        <v>8.0</v>
      </c>
      <c r="B8" s="207" t="s">
        <v>2281</v>
      </c>
      <c r="C8" s="207" t="s">
        <v>2290</v>
      </c>
      <c r="D8" s="284" t="s">
        <v>2291</v>
      </c>
      <c r="E8" s="290" t="s">
        <v>576</v>
      </c>
      <c r="F8" s="290" t="s">
        <v>1348</v>
      </c>
      <c r="G8" s="285" t="s">
        <v>53</v>
      </c>
      <c r="H8" s="287" t="s">
        <v>578</v>
      </c>
      <c r="J8" s="288" t="str">
        <f t="array" ref="J8">IFERROR(INDEX(All_User_backup!D:D,MATCH(H8,All_User_backup!D:D,0)),"없음")</f>
        <v>peter.park@stryker.com</v>
      </c>
      <c r="L8" s="288" t="str">
        <f t="array" ref="L8">IFERROR(INDEX(sales!G:G,MATCH(H8,sales!C:C,0)),"없음")</f>
        <v>SL-C438W</v>
      </c>
    </row>
    <row r="9" hidden="1">
      <c r="A9" s="282">
        <v>9.0</v>
      </c>
      <c r="B9" s="207" t="s">
        <v>2281</v>
      </c>
      <c r="C9" s="291"/>
      <c r="D9" s="207" t="s">
        <v>2286</v>
      </c>
      <c r="E9" s="290" t="s">
        <v>529</v>
      </c>
      <c r="F9" s="290" t="s">
        <v>1348</v>
      </c>
      <c r="G9" s="285" t="s">
        <v>53</v>
      </c>
      <c r="H9" s="287" t="s">
        <v>531</v>
      </c>
      <c r="J9" s="288" t="str">
        <f t="array" ref="J9">IFERROR(INDEX(All_User_backup!D:D,MATCH(H9,All_User_backup!D:D,0)),"없음")</f>
        <v>mason.oh@stryker.com</v>
      </c>
      <c r="L9" s="288" t="str">
        <f t="array" ref="L9">IFERROR(INDEX(sales!G:G,MATCH(H9,sales!C:C,0)),"없음")</f>
        <v>2차 조사 정보 없음</v>
      </c>
    </row>
    <row r="10">
      <c r="A10" s="282">
        <v>10.0</v>
      </c>
      <c r="B10" s="291"/>
      <c r="C10" s="283"/>
      <c r="D10" s="284" t="s">
        <v>2282</v>
      </c>
      <c r="E10" s="290" t="s">
        <v>403</v>
      </c>
      <c r="F10" s="290" t="s">
        <v>1348</v>
      </c>
      <c r="G10" s="285" t="s">
        <v>53</v>
      </c>
      <c r="H10" s="225" t="s">
        <v>2292</v>
      </c>
      <c r="J10" s="288" t="str">
        <f t="array" ref="J10">IFERROR(INDEX(All_User_backup!D:D,MATCH(H10,All_User_backup!D:D,0)),"없음")</f>
        <v>james.kim@stryker.com</v>
      </c>
      <c r="L10" s="288" t="str">
        <f t="array" ref="L10">IFERROR(INDEX(sales!G:G,MATCH(H10,sales!C:C,0)),"없음")</f>
        <v>SL-C486FW</v>
      </c>
    </row>
    <row r="11" hidden="1">
      <c r="A11" s="282">
        <v>11.0</v>
      </c>
      <c r="B11" s="207" t="s">
        <v>2281</v>
      </c>
      <c r="C11" s="283"/>
      <c r="D11" s="207" t="s">
        <v>2286</v>
      </c>
      <c r="E11" s="292" t="s">
        <v>441</v>
      </c>
      <c r="F11" s="292" t="s">
        <v>27</v>
      </c>
      <c r="G11" s="285" t="s">
        <v>53</v>
      </c>
      <c r="H11" s="287" t="s">
        <v>443</v>
      </c>
      <c r="J11" s="288" t="str">
        <f t="array" ref="J11">IFERROR(INDEX(All_User_backup!D:D,MATCH(H11,All_User_backup!D:D,0)),"없음")</f>
        <v>Jeff.Lee@stryker.com</v>
      </c>
      <c r="L11" s="288" t="str">
        <f t="array" ref="L11">IFERROR(INDEX(sales!G:G,MATCH(H11,sales!C:C,0)),"없음")</f>
        <v>2차 조사 정보 없음</v>
      </c>
    </row>
    <row r="12">
      <c r="A12" s="282">
        <v>12.0</v>
      </c>
      <c r="B12" s="207" t="s">
        <v>2281</v>
      </c>
      <c r="C12" s="283"/>
      <c r="D12" s="284" t="s">
        <v>2293</v>
      </c>
      <c r="E12" s="292" t="s">
        <v>693</v>
      </c>
      <c r="F12" s="292" t="s">
        <v>27</v>
      </c>
      <c r="G12" s="285" t="s">
        <v>53</v>
      </c>
      <c r="H12" s="287" t="s">
        <v>695</v>
      </c>
      <c r="J12" s="288" t="str">
        <f t="array" ref="J12">IFERROR(INDEX(All_User_backup!D:D,MATCH(H12,All_User_backup!D:D,0)),"없음")</f>
        <v>David.Yang@stryker.com</v>
      </c>
      <c r="L12" s="288" t="str">
        <f t="array" ref="L12">IFERROR(INDEX(sales!G:G,MATCH(H12,sales!C:C,0)),"없음")</f>
        <v>SL-C483FW</v>
      </c>
    </row>
    <row r="13">
      <c r="A13" s="282">
        <v>13.0</v>
      </c>
      <c r="B13" s="207" t="s">
        <v>2281</v>
      </c>
      <c r="C13" s="207" t="s">
        <v>2294</v>
      </c>
      <c r="D13" s="284" t="s">
        <v>2295</v>
      </c>
      <c r="E13" s="292" t="s">
        <v>301</v>
      </c>
      <c r="F13" s="292" t="s">
        <v>27</v>
      </c>
      <c r="G13" s="285" t="s">
        <v>53</v>
      </c>
      <c r="H13" s="287" t="s">
        <v>303</v>
      </c>
      <c r="J13" s="288" t="str">
        <f t="array" ref="J13">IFERROR(INDEX(All_User_backup!D:D,MATCH(H13,All_User_backup!D:D,0)),"없음")</f>
        <v>Justin.Kim@stryker.com</v>
      </c>
      <c r="L13" s="288" t="str">
        <f t="array" ref="L13">IFERROR(INDEX(sales!G:G,MATCH(H13,sales!C:C,0)),"없음")</f>
        <v>SL-C565W / SL-C563W</v>
      </c>
      <c r="N13" s="46" t="s">
        <v>2296</v>
      </c>
    </row>
    <row r="14">
      <c r="A14" s="282">
        <v>14.0</v>
      </c>
      <c r="B14" s="207" t="s">
        <v>2281</v>
      </c>
      <c r="C14" s="283"/>
      <c r="D14" s="284" t="s">
        <v>2297</v>
      </c>
      <c r="E14" s="292" t="s">
        <v>96</v>
      </c>
      <c r="F14" s="292" t="s">
        <v>27</v>
      </c>
      <c r="G14" s="285" t="s">
        <v>53</v>
      </c>
      <c r="H14" s="287" t="s">
        <v>98</v>
      </c>
      <c r="J14" s="288" t="str">
        <f t="array" ref="J14">IFERROR(INDEX(All_User_backup!D:D,MATCH(H14,All_User_backup!D:D,0)),"없음")</f>
        <v>Willy.Chang@stryker.com</v>
      </c>
      <c r="L14" s="288" t="str">
        <f t="array" ref="L14">IFERROR(INDEX(sales!G:G,MATCH(H14,sales!C:C,0)),"없음")</f>
        <v>SL-C565FW</v>
      </c>
      <c r="M14" s="46" t="s">
        <v>2298</v>
      </c>
    </row>
    <row r="15">
      <c r="A15" s="282">
        <v>15.0</v>
      </c>
      <c r="B15" s="207" t="s">
        <v>2281</v>
      </c>
      <c r="C15" s="291"/>
      <c r="D15" s="284" t="s">
        <v>2282</v>
      </c>
      <c r="E15" s="292" t="s">
        <v>2299</v>
      </c>
      <c r="F15" s="292" t="s">
        <v>27</v>
      </c>
      <c r="G15" s="285" t="s">
        <v>53</v>
      </c>
      <c r="H15" s="225" t="s">
        <v>2300</v>
      </c>
      <c r="J15" s="288" t="str">
        <f t="array" ref="J15">IFERROR(INDEX(All_User_backup!D:D,MATCH(H15,All_User_backup!D:D,0)),"없음")</f>
        <v>david.oh@stryker.com</v>
      </c>
      <c r="L15" s="288" t="str">
        <f t="array" ref="L15">IFERROR(INDEX(sales!G:G,MATCH(H15,sales!C:C,0)),"없음")</f>
        <v>SL-C486FW</v>
      </c>
    </row>
    <row r="16">
      <c r="A16" s="282">
        <v>16.0</v>
      </c>
      <c r="B16" s="207" t="s">
        <v>2281</v>
      </c>
      <c r="C16" s="283"/>
      <c r="D16" s="284" t="s">
        <v>2288</v>
      </c>
      <c r="E16" s="292" t="s">
        <v>1057</v>
      </c>
      <c r="F16" s="292" t="s">
        <v>27</v>
      </c>
      <c r="G16" s="285" t="s">
        <v>53</v>
      </c>
      <c r="H16" s="225" t="s">
        <v>2301</v>
      </c>
      <c r="J16" s="288" t="str">
        <f t="array" ref="J16">IFERROR(INDEX(All_User_backup!D:D,MATCH(H16,All_User_backup!D:D,0)),"없음")</f>
        <v>gd.ahn@stryker.com</v>
      </c>
      <c r="L16" s="288" t="str">
        <f t="array" ref="L16">IFERROR(INDEX(sales!G:G,MATCH(H16,sales!C:C,0)),"없음")</f>
        <v>SL-C563W</v>
      </c>
    </row>
    <row r="17" hidden="1">
      <c r="A17" s="282">
        <v>17.0</v>
      </c>
      <c r="B17" s="207" t="s">
        <v>2281</v>
      </c>
      <c r="C17" s="283"/>
      <c r="D17" s="207" t="s">
        <v>2302</v>
      </c>
      <c r="E17" s="292" t="s">
        <v>115</v>
      </c>
      <c r="F17" s="292" t="s">
        <v>27</v>
      </c>
      <c r="G17" s="285" t="s">
        <v>53</v>
      </c>
      <c r="H17" s="287" t="s">
        <v>117</v>
      </c>
      <c r="J17" s="288" t="str">
        <f t="array" ref="J17">IFERROR(INDEX(All_User_backup!D:D,MATCH(H17,All_User_backup!D:D,0)),"없음")</f>
        <v>roy.choi@stryker.com</v>
      </c>
      <c r="L17" s="288" t="str">
        <f t="array" ref="L17">IFERROR(INDEX(sales!G:G,MATCH(H17,sales!C:C,0)),"없음")</f>
        <v>폐기</v>
      </c>
    </row>
    <row r="18">
      <c r="A18" s="282">
        <v>18.0</v>
      </c>
      <c r="B18" s="207" t="s">
        <v>2288</v>
      </c>
      <c r="C18" s="289">
        <v>45261.0</v>
      </c>
      <c r="D18" s="284" t="s">
        <v>2288</v>
      </c>
      <c r="E18" s="292" t="s">
        <v>346</v>
      </c>
      <c r="F18" s="292" t="s">
        <v>27</v>
      </c>
      <c r="G18" s="285" t="s">
        <v>53</v>
      </c>
      <c r="H18" s="287" t="s">
        <v>348</v>
      </c>
      <c r="J18" s="288" t="str">
        <f t="array" ref="J18">IFERROR(INDEX(All_User_backup!D:D,MATCH(H18,All_User_backup!D:D,0)),"없음")</f>
        <v>yeonjoo.kim@stryker.com</v>
      </c>
      <c r="L18" s="288" t="str">
        <f t="array" ref="L18">IFERROR(INDEX(sales!G:G,MATCH(H18,sales!C:C,0)),"없음")</f>
        <v>SL-C563W</v>
      </c>
      <c r="M18" s="46" t="s">
        <v>2303</v>
      </c>
    </row>
    <row r="19">
      <c r="A19" s="282">
        <v>19.0</v>
      </c>
      <c r="B19" s="207" t="s">
        <v>2288</v>
      </c>
      <c r="C19" s="289">
        <v>45292.0</v>
      </c>
      <c r="D19" s="284" t="s">
        <v>2288</v>
      </c>
      <c r="E19" s="292" t="s">
        <v>234</v>
      </c>
      <c r="F19" s="292" t="s">
        <v>27</v>
      </c>
      <c r="G19" s="285" t="s">
        <v>53</v>
      </c>
      <c r="H19" s="287" t="s">
        <v>236</v>
      </c>
      <c r="J19" s="288" t="str">
        <f t="array" ref="J19">IFERROR(INDEX(All_User_backup!D:D,MATCH(H19,All_User_backup!D:D,0)),"없음")</f>
        <v>yoonbee.jeong@stryker.com</v>
      </c>
      <c r="L19" s="288" t="str">
        <f t="array" ref="L19">IFERROR(INDEX(sales!G:G,MATCH(H19,sales!C:C,0)),"없음")</f>
        <v>SL-C563W</v>
      </c>
    </row>
    <row r="20">
      <c r="A20" s="282">
        <v>20.0</v>
      </c>
      <c r="B20" s="207" t="s">
        <v>2288</v>
      </c>
      <c r="C20" s="289">
        <v>45292.0</v>
      </c>
      <c r="D20" s="284" t="s">
        <v>2288</v>
      </c>
      <c r="E20" s="292" t="s">
        <v>167</v>
      </c>
      <c r="F20" s="292" t="s">
        <v>27</v>
      </c>
      <c r="G20" s="285" t="s">
        <v>53</v>
      </c>
      <c r="H20" s="287" t="s">
        <v>169</v>
      </c>
      <c r="J20" s="288" t="str">
        <f t="array" ref="J20">IFERROR(INDEX(All_User_backup!D:D,MATCH(H20,All_User_backup!D:D,0)),"없음")</f>
        <v>leo.han@stryker.com</v>
      </c>
      <c r="L20" s="288" t="str">
        <f t="array" ref="L20">IFERROR(INDEX(sales!G:G,MATCH(H20,sales!C:C,0)),"없음")</f>
        <v>SL-C563W</v>
      </c>
    </row>
    <row r="21">
      <c r="A21" s="282">
        <v>21.0</v>
      </c>
      <c r="B21" s="207" t="s">
        <v>2288</v>
      </c>
      <c r="C21" s="289">
        <v>45292.0</v>
      </c>
      <c r="D21" s="284" t="s">
        <v>2288</v>
      </c>
      <c r="E21" s="292" t="s">
        <v>119</v>
      </c>
      <c r="F21" s="292" t="s">
        <v>27</v>
      </c>
      <c r="G21" s="285" t="s">
        <v>53</v>
      </c>
      <c r="H21" s="287" t="s">
        <v>120</v>
      </c>
      <c r="J21" s="288" t="str">
        <f t="array" ref="J21">IFERROR(INDEX(All_User_backup!D:D,MATCH(H21,All_User_backup!D:D,0)),"없음")</f>
        <v>claire.choi@stryker.com</v>
      </c>
      <c r="L21" s="288" t="str">
        <f t="array" ref="L21">IFERROR(INDEX(sales!G:G,MATCH(H21,sales!C:C,0)),"없음")</f>
        <v>SL-C563W</v>
      </c>
    </row>
    <row r="22">
      <c r="A22" s="282">
        <v>22.0</v>
      </c>
      <c r="B22" s="207" t="s">
        <v>2288</v>
      </c>
      <c r="C22" s="289">
        <v>45689.0</v>
      </c>
      <c r="D22" s="284" t="s">
        <v>2288</v>
      </c>
      <c r="E22" s="292" t="s">
        <v>364</v>
      </c>
      <c r="F22" s="292" t="s">
        <v>27</v>
      </c>
      <c r="G22" s="285" t="s">
        <v>53</v>
      </c>
      <c r="H22" s="287" t="s">
        <v>366</v>
      </c>
      <c r="J22" s="288" t="str">
        <f t="array" ref="J22">IFERROR(INDEX(All_User_backup!D:D,MATCH(H22,All_User_backup!D:D,0)),"없음")</f>
        <v>jayden.kim@stryker.com</v>
      </c>
      <c r="L22" s="288" t="str">
        <f t="array" ref="L22">IFERROR(INDEX(sales!G:G,MATCH(H22,sales!C:C,0)),"없음")</f>
        <v>SL-C563W</v>
      </c>
    </row>
    <row r="23" hidden="1">
      <c r="A23" s="282">
        <v>23.0</v>
      </c>
      <c r="B23" s="207" t="s">
        <v>2281</v>
      </c>
      <c r="C23" s="293"/>
      <c r="D23" s="207" t="s">
        <v>2286</v>
      </c>
      <c r="E23" s="294" t="s">
        <v>730</v>
      </c>
      <c r="F23" s="294" t="s">
        <v>142</v>
      </c>
      <c r="G23" s="285" t="s">
        <v>53</v>
      </c>
      <c r="H23" s="287" t="s">
        <v>732</v>
      </c>
      <c r="J23" s="288" t="str">
        <f t="array" ref="J23">IFERROR(INDEX(All_User_backup!D:D,MATCH(H23,All_User_backup!D:D,0)),"없음")</f>
        <v>jw.yoon@stryker.com</v>
      </c>
      <c r="L23" s="288" t="str">
        <f t="array" ref="L23">IFERROR(INDEX(sales!G:G,MATCH(H23,sales!C:C,0)),"없음")</f>
        <v>2차 조사 정보 없음</v>
      </c>
    </row>
    <row r="24">
      <c r="A24" s="282">
        <v>24.0</v>
      </c>
      <c r="B24" s="207" t="s">
        <v>2281</v>
      </c>
      <c r="C24" s="293"/>
      <c r="D24" s="284" t="s">
        <v>2282</v>
      </c>
      <c r="E24" s="294" t="s">
        <v>716</v>
      </c>
      <c r="F24" s="294" t="s">
        <v>142</v>
      </c>
      <c r="G24" s="285" t="s">
        <v>53</v>
      </c>
      <c r="H24" s="287" t="s">
        <v>718</v>
      </c>
      <c r="J24" s="288" t="str">
        <f t="array" ref="J24">IFERROR(INDEX(All_User_backup!D:D,MATCH(H24,All_User_backup!D:D,0)),"없음")</f>
        <v>jiho.yoo@stryker.com</v>
      </c>
      <c r="L24" s="288" t="str">
        <f t="array" ref="L24">IFERROR(INDEX(sales!G:G,MATCH(H24,sales!C:C,0)),"없음")</f>
        <v>SL-C486FW</v>
      </c>
    </row>
    <row r="25">
      <c r="A25" s="282">
        <v>25.0</v>
      </c>
      <c r="B25" s="237" t="s">
        <v>2288</v>
      </c>
      <c r="C25" s="289">
        <v>45352.0</v>
      </c>
      <c r="D25" s="284" t="s">
        <v>2288</v>
      </c>
      <c r="E25" s="294" t="s">
        <v>287</v>
      </c>
      <c r="F25" s="294" t="s">
        <v>142</v>
      </c>
      <c r="G25" s="285" t="s">
        <v>53</v>
      </c>
      <c r="H25" s="287" t="s">
        <v>289</v>
      </c>
      <c r="J25" s="288" t="str">
        <f t="array" ref="J25">IFERROR(INDEX(All_User_backup!D:D,MATCH(H25,All_User_backup!D:D,0)),"없음")</f>
        <v>louis.kang@stryker.com</v>
      </c>
      <c r="L25" s="288" t="str">
        <f t="array" ref="L25">IFERROR(INDEX(sales!G:G,MATCH(H25,sales!C:C,0)),"없음")</f>
        <v>SL-C563W</v>
      </c>
    </row>
    <row r="26">
      <c r="A26" s="282">
        <v>26.0</v>
      </c>
      <c r="B26" s="207" t="s">
        <v>2281</v>
      </c>
      <c r="C26" s="289">
        <v>45474.0</v>
      </c>
      <c r="D26" s="284" t="s">
        <v>2288</v>
      </c>
      <c r="E26" s="294" t="s">
        <v>213</v>
      </c>
      <c r="F26" s="294" t="s">
        <v>142</v>
      </c>
      <c r="G26" s="285" t="s">
        <v>53</v>
      </c>
      <c r="H26" s="287" t="s">
        <v>215</v>
      </c>
      <c r="J26" s="288" t="str">
        <f t="array" ref="J26">IFERROR(INDEX(All_User_backup!D:D,MATCH(H26,All_User_backup!D:D,0)),"없음")</f>
        <v>theo.hwang@stryker.com</v>
      </c>
      <c r="L26" s="288" t="str">
        <f t="array" ref="L26">IFERROR(INDEX(sales!G:G,MATCH(H26,sales!C:C,0)),"없음")</f>
        <v>SL-C563W</v>
      </c>
    </row>
    <row r="27" hidden="1">
      <c r="A27" s="282">
        <v>27.0</v>
      </c>
      <c r="B27" s="207" t="s">
        <v>2281</v>
      </c>
      <c r="C27" s="283"/>
      <c r="D27" s="207" t="s">
        <v>2286</v>
      </c>
      <c r="E27" s="294" t="s">
        <v>151</v>
      </c>
      <c r="F27" s="294" t="s">
        <v>142</v>
      </c>
      <c r="G27" s="285" t="s">
        <v>53</v>
      </c>
      <c r="H27" s="287" t="s">
        <v>153</v>
      </c>
      <c r="J27" s="288" t="str">
        <f t="array" ref="J27">IFERROR(INDEX(All_User_backup!D:D,MATCH(H27,All_User_backup!D:D,0)),"없음")</f>
        <v>jack.eum@stryker.com</v>
      </c>
      <c r="L27" s="288" t="str">
        <f t="array" ref="L27">IFERROR(INDEX(sales!G:G,MATCH(H27,sales!C:C,0)),"없음")</f>
        <v>2차 조사 정보 없음</v>
      </c>
    </row>
    <row r="28" hidden="1">
      <c r="A28" s="282">
        <v>28.0</v>
      </c>
      <c r="B28" s="207" t="s">
        <v>2281</v>
      </c>
      <c r="C28" s="293"/>
      <c r="D28" s="207" t="s">
        <v>2286</v>
      </c>
      <c r="E28" s="295" t="s">
        <v>585</v>
      </c>
      <c r="F28" s="295" t="s">
        <v>1078</v>
      </c>
      <c r="G28" s="285" t="s">
        <v>53</v>
      </c>
      <c r="H28" s="287" t="s">
        <v>587</v>
      </c>
      <c r="J28" s="288" t="str">
        <f t="array" ref="J28">IFERROR(INDEX(All_User_backup!D:D,MATCH(H28,All_User_backup!D:D,0)),"없음")</f>
        <v>jin.park@stryker.com</v>
      </c>
      <c r="L28" s="288" t="str">
        <f t="array" ref="L28">IFERROR(INDEX(sales!G:G,MATCH(H28,sales!C:C,0)),"없음")</f>
        <v>2차 조사 정보 없음</v>
      </c>
    </row>
    <row r="29">
      <c r="A29" s="282">
        <v>29.0</v>
      </c>
      <c r="B29" s="207" t="s">
        <v>2281</v>
      </c>
      <c r="C29" s="293"/>
      <c r="D29" s="284" t="s">
        <v>2304</v>
      </c>
      <c r="E29" s="295" t="s">
        <v>133</v>
      </c>
      <c r="F29" s="295" t="s">
        <v>1078</v>
      </c>
      <c r="G29" s="285" t="s">
        <v>53</v>
      </c>
      <c r="H29" s="287" t="s">
        <v>135</v>
      </c>
      <c r="J29" s="288" t="str">
        <f t="array" ref="J29">IFERROR(INDEX(All_User_backup!D:D,MATCH(H29,All_User_backup!D:D,0)),"없음")</f>
        <v>jae.chung@stryker.com</v>
      </c>
      <c r="L29" s="288" t="str">
        <f t="array" ref="L29">IFERROR(INDEX(sales!G:G,MATCH(H29,sales!C:C,0)),"없음")</f>
        <v>SL-C483W</v>
      </c>
    </row>
    <row r="30">
      <c r="A30" s="282">
        <v>30.0</v>
      </c>
      <c r="B30" s="207" t="s">
        <v>2281</v>
      </c>
      <c r="C30" s="283"/>
      <c r="D30" s="284" t="s">
        <v>2282</v>
      </c>
      <c r="E30" s="295" t="s">
        <v>471</v>
      </c>
      <c r="F30" s="295" t="s">
        <v>1078</v>
      </c>
      <c r="G30" s="285" t="s">
        <v>53</v>
      </c>
      <c r="H30" s="287" t="s">
        <v>473</v>
      </c>
      <c r="J30" s="288" t="str">
        <f t="array" ref="J30">IFERROR(INDEX(All_User_backup!D:D,MATCH(H30,All_User_backup!D:D,0)),"없음")</f>
        <v>henry.lee@stryker.com</v>
      </c>
      <c r="L30" s="288" t="str">
        <f t="array" ref="L30">IFERROR(INDEX(sales!G:G,MATCH(H30,sales!C:C,0)),"없음")</f>
        <v>SL-C486FW</v>
      </c>
    </row>
    <row r="31">
      <c r="A31" s="282">
        <v>31.0</v>
      </c>
      <c r="B31" s="207" t="s">
        <v>2281</v>
      </c>
      <c r="C31" s="283"/>
      <c r="D31" s="284" t="s">
        <v>2282</v>
      </c>
      <c r="E31" s="295" t="s">
        <v>147</v>
      </c>
      <c r="F31" s="295" t="s">
        <v>1078</v>
      </c>
      <c r="G31" s="285" t="s">
        <v>53</v>
      </c>
      <c r="H31" s="287" t="s">
        <v>149</v>
      </c>
      <c r="J31" s="288" t="str">
        <f t="array" ref="J31">IFERROR(INDEX(All_User_backup!D:D,MATCH(H31,All_User_backup!D:D,0)),"없음")</f>
        <v>Nathan.Eom@stryker.com</v>
      </c>
      <c r="L31" s="288" t="str">
        <f t="array" ref="L31">IFERROR(INDEX(sales!G:G,MATCH(H31,sales!C:C,0)),"없음")</f>
        <v>SL-C486FW</v>
      </c>
    </row>
    <row r="32">
      <c r="A32" s="282">
        <v>32.0</v>
      </c>
      <c r="B32" s="237" t="s">
        <v>2288</v>
      </c>
      <c r="C32" s="289">
        <v>45413.0</v>
      </c>
      <c r="D32" s="284" t="s">
        <v>2288</v>
      </c>
      <c r="E32" s="295" t="s">
        <v>519</v>
      </c>
      <c r="F32" s="295" t="s">
        <v>1078</v>
      </c>
      <c r="G32" s="285" t="s">
        <v>53</v>
      </c>
      <c r="H32" s="287" t="s">
        <v>521</v>
      </c>
      <c r="I32" s="46" t="s">
        <v>2305</v>
      </c>
      <c r="J32" s="288" t="str">
        <f t="array" ref="J32">IFERROR(INDEX(All_User_backup!D:D,MATCH(H32,All_User_backup!D:D,0)),"없음")</f>
        <v>ethan.na@stryker.com</v>
      </c>
      <c r="L32" s="288" t="str">
        <f t="array" ref="L32">IFERROR(INDEX(sales!G:G,MATCH(H32,sales!C:C,0)),"없음")</f>
        <v>SL-C563W</v>
      </c>
    </row>
    <row r="33">
      <c r="A33" s="282">
        <v>33.0</v>
      </c>
      <c r="B33" s="237" t="s">
        <v>2288</v>
      </c>
      <c r="C33" s="289">
        <v>45444.0</v>
      </c>
      <c r="D33" s="284" t="s">
        <v>2288</v>
      </c>
      <c r="E33" s="295" t="s">
        <v>445</v>
      </c>
      <c r="F33" s="295" t="s">
        <v>1078</v>
      </c>
      <c r="G33" s="285" t="s">
        <v>53</v>
      </c>
      <c r="H33" s="287" t="s">
        <v>447</v>
      </c>
      <c r="J33" s="288" t="str">
        <f t="array" ref="J33">IFERROR(INDEX(All_User_backup!D:D,MATCH(H33,All_User_backup!D:D,0)),"없음")</f>
        <v>joy.lee@stryker.com</v>
      </c>
      <c r="L33" s="288" t="str">
        <f t="array" ref="L33">IFERROR(INDEX(sales!G:G,MATCH(H33,sales!C:C,0)),"없음")</f>
        <v>SL-C563W</v>
      </c>
    </row>
    <row r="34">
      <c r="A34" s="282">
        <v>34.0</v>
      </c>
      <c r="B34" s="237" t="s">
        <v>2288</v>
      </c>
      <c r="C34" s="289">
        <v>45139.0</v>
      </c>
      <c r="D34" s="284" t="s">
        <v>2288</v>
      </c>
      <c r="E34" s="295" t="s">
        <v>309</v>
      </c>
      <c r="F34" s="295" t="s">
        <v>1078</v>
      </c>
      <c r="G34" s="285" t="s">
        <v>53</v>
      </c>
      <c r="H34" s="287" t="s">
        <v>311</v>
      </c>
      <c r="J34" s="288" t="str">
        <f t="array" ref="J34">IFERROR(INDEX(All_User_backup!D:D,MATCH(H34,All_User_backup!D:D,0)),"없음")</f>
        <v>danny.kim@stryker.com</v>
      </c>
      <c r="L34" s="288" t="str">
        <f t="array" ref="L34">IFERROR(INDEX(sales!G:G,MATCH(H34,sales!C:C,0)),"없음")</f>
        <v>SL-C563W</v>
      </c>
    </row>
    <row r="35" hidden="1">
      <c r="A35" s="282">
        <v>35.0</v>
      </c>
      <c r="B35" s="209" t="s">
        <v>2281</v>
      </c>
      <c r="C35" s="296"/>
      <c r="D35" s="207" t="s">
        <v>2302</v>
      </c>
      <c r="E35" s="209" t="s">
        <v>2306</v>
      </c>
      <c r="F35" s="209" t="s">
        <v>1078</v>
      </c>
      <c r="G35" s="209" t="s">
        <v>53</v>
      </c>
      <c r="H35" s="297" t="s">
        <v>2307</v>
      </c>
      <c r="I35" s="298"/>
      <c r="J35" s="298" t="str">
        <f t="array" ref="J35">IFERROR(INDEX(All_User_backup!D:D,MATCH(H35,All_User_backup!D:D,0)),"없음")</f>
        <v>없음</v>
      </c>
      <c r="L35" s="288" t="str">
        <f t="array" ref="L35">IFERROR(INDEX(sales!G:G,MATCH(H35,sales!C:C,0)),"없음")</f>
        <v>없음</v>
      </c>
    </row>
    <row r="36">
      <c r="A36" s="282">
        <v>37.0</v>
      </c>
      <c r="B36" s="207" t="s">
        <v>2281</v>
      </c>
      <c r="C36" s="293"/>
      <c r="D36" s="284" t="s">
        <v>2282</v>
      </c>
      <c r="E36" s="295" t="s">
        <v>644</v>
      </c>
      <c r="F36" s="295" t="s">
        <v>1078</v>
      </c>
      <c r="G36" s="285" t="s">
        <v>53</v>
      </c>
      <c r="H36" s="287" t="s">
        <v>646</v>
      </c>
      <c r="J36" s="288" t="str">
        <f t="array" ref="J36">IFERROR(INDEX(All_User_backup!D:D,MATCH(H36,All_User_backup!D:D,0)),"없음")</f>
        <v>dana.shin@stryker.com</v>
      </c>
      <c r="L36" s="288" t="str">
        <f t="array" ref="L36">IFERROR(INDEX(sales!G:G,MATCH(H36,sales!C:C,0)),"없음")</f>
        <v>SL-C486FW</v>
      </c>
    </row>
    <row r="37">
      <c r="A37" s="282">
        <v>38.0</v>
      </c>
      <c r="B37" s="207" t="s">
        <v>2281</v>
      </c>
      <c r="C37" s="293"/>
      <c r="D37" s="284" t="s">
        <v>2282</v>
      </c>
      <c r="E37" s="295" t="s">
        <v>653</v>
      </c>
      <c r="F37" s="295" t="s">
        <v>1078</v>
      </c>
      <c r="G37" s="285" t="s">
        <v>53</v>
      </c>
      <c r="H37" s="287" t="s">
        <v>655</v>
      </c>
      <c r="J37" s="288" t="str">
        <f t="array" ref="J37">IFERROR(INDEX(All_User_backup!D:D,MATCH(H37,All_User_backup!D:D,0)),"없음")</f>
        <v>Simon.sin@stryker.com</v>
      </c>
      <c r="L37" s="288" t="str">
        <f t="array" ref="L37">IFERROR(INDEX(sales!G:G,MATCH(H37,sales!C:C,0)),"없음")</f>
        <v>SL-C486FW</v>
      </c>
    </row>
    <row r="38">
      <c r="A38" s="282">
        <v>39.0</v>
      </c>
      <c r="B38" s="207" t="s">
        <v>2308</v>
      </c>
      <c r="C38" s="283"/>
      <c r="D38" s="284" t="s">
        <v>2288</v>
      </c>
      <c r="E38" s="295" t="s">
        <v>600</v>
      </c>
      <c r="F38" s="295" t="s">
        <v>52</v>
      </c>
      <c r="G38" s="285" t="s">
        <v>53</v>
      </c>
      <c r="H38" s="287" t="s">
        <v>602</v>
      </c>
      <c r="J38" s="288" t="str">
        <f t="array" ref="J38">IFERROR(INDEX(All_User_backup!D:D,MATCH(H38,All_User_backup!D:D,0)),"없음")</f>
        <v>hyoseon.park@stryker.com</v>
      </c>
      <c r="L38" s="288" t="str">
        <f t="array" ref="L38">IFERROR(INDEX(sales!G:G,MATCH(H38,sales!C:C,0)),"없음")</f>
        <v>SL-C563W</v>
      </c>
    </row>
    <row r="39">
      <c r="A39" s="282">
        <v>41.0</v>
      </c>
      <c r="B39" s="207" t="s">
        <v>2288</v>
      </c>
      <c r="C39" s="289">
        <v>45108.0</v>
      </c>
      <c r="D39" s="284" t="s">
        <v>2288</v>
      </c>
      <c r="E39" s="295" t="s">
        <v>595</v>
      </c>
      <c r="F39" s="295" t="s">
        <v>1078</v>
      </c>
      <c r="G39" s="285" t="s">
        <v>53</v>
      </c>
      <c r="H39" s="287" t="s">
        <v>597</v>
      </c>
      <c r="J39" s="288" t="str">
        <f t="array" ref="J39">IFERROR(INDEX(All_User_backup!D:D,MATCH(H39,All_User_backup!D:D,0)),"없음")</f>
        <v>daniel.park@stryker.com</v>
      </c>
      <c r="L39" s="288" t="str">
        <f t="array" ref="L39">IFERROR(INDEX(sales!G:G,MATCH(H39,sales!C:C,0)),"없음")</f>
        <v>SL-C563W</v>
      </c>
    </row>
    <row r="40">
      <c r="A40" s="282">
        <v>42.0</v>
      </c>
      <c r="B40" s="207" t="s">
        <v>2288</v>
      </c>
      <c r="C40" s="289">
        <v>45627.0</v>
      </c>
      <c r="D40" s="284" t="s">
        <v>2288</v>
      </c>
      <c r="E40" s="295" t="s">
        <v>122</v>
      </c>
      <c r="F40" s="295" t="s">
        <v>1078</v>
      </c>
      <c r="G40" s="285" t="s">
        <v>53</v>
      </c>
      <c r="H40" s="287" t="s">
        <v>124</v>
      </c>
      <c r="J40" s="288" t="str">
        <f t="array" ref="J40">IFERROR(INDEX(All_User_backup!D:D,MATCH(H40,All_User_backup!D:D,0)),"없음")</f>
        <v>brad.choi@stryker.com</v>
      </c>
      <c r="L40" s="288" t="str">
        <f t="array" ref="L40">IFERROR(INDEX(sales!G:G,MATCH(H40,sales!C:C,0)),"없음")</f>
        <v>SL-C563W</v>
      </c>
    </row>
    <row r="41">
      <c r="A41" s="282">
        <v>43.0</v>
      </c>
      <c r="B41" s="207" t="s">
        <v>2288</v>
      </c>
      <c r="C41" s="289">
        <v>45383.0</v>
      </c>
      <c r="D41" s="284" t="s">
        <v>2309</v>
      </c>
      <c r="E41" s="295" t="s">
        <v>231</v>
      </c>
      <c r="F41" s="295" t="s">
        <v>1078</v>
      </c>
      <c r="G41" s="285" t="s">
        <v>53</v>
      </c>
      <c r="H41" s="287" t="s">
        <v>233</v>
      </c>
      <c r="J41" s="288" t="str">
        <f t="array" ref="J41">IFERROR(INDEX(All_User_backup!D:D,MATCH(H41,All_User_backup!D:D,0)),"없음")</f>
        <v>chan.jeon@stryker.com</v>
      </c>
      <c r="L41" s="288" t="str">
        <f t="array" ref="L41">IFERROR(INDEX(sales!G:G,MATCH(H41,sales!C:C,0)),"없음")</f>
        <v>SL-C565W</v>
      </c>
    </row>
    <row r="42">
      <c r="A42" s="282">
        <v>44.0</v>
      </c>
      <c r="B42" s="291"/>
      <c r="C42" s="283"/>
      <c r="D42" s="284" t="s">
        <v>2310</v>
      </c>
      <c r="E42" s="207" t="s">
        <v>305</v>
      </c>
      <c r="F42" s="207" t="s">
        <v>20</v>
      </c>
      <c r="G42" s="285" t="s">
        <v>53</v>
      </c>
      <c r="H42" s="287" t="s">
        <v>307</v>
      </c>
      <c r="J42" s="288" t="str">
        <f t="array" ref="J42">IFERROR(INDEX(All_User_backup!D:D,MATCH(H42,All_User_backup!D:D,0)),"없음")</f>
        <v>Sue.Kim@stryker.com</v>
      </c>
      <c r="L42" s="288" t="str">
        <f t="array" ref="L42">IFERROR(INDEX(sales!G:G,MATCH(H42,sales!C:C,0)),"없음")</f>
        <v>SL-M2035</v>
      </c>
    </row>
    <row r="43">
      <c r="A43" s="282">
        <v>45.0</v>
      </c>
      <c r="B43" s="207" t="s">
        <v>2281</v>
      </c>
      <c r="C43" s="293"/>
      <c r="D43" s="284" t="s">
        <v>2282</v>
      </c>
      <c r="E43" s="207" t="s">
        <v>330</v>
      </c>
      <c r="F43" s="207" t="s">
        <v>20</v>
      </c>
      <c r="G43" s="285" t="s">
        <v>53</v>
      </c>
      <c r="H43" s="287" t="s">
        <v>332</v>
      </c>
      <c r="J43" s="288" t="str">
        <f t="array" ref="J43">IFERROR(INDEX(All_User_backup!D:D,MATCH(H43,All_User_backup!D:D,0)),"없음")</f>
        <v>jackson.kim@stryker.com</v>
      </c>
      <c r="L43" s="288" t="str">
        <f t="array" ref="L43">IFERROR(INDEX(sales!G:G,MATCH(H43,sales!C:C,0)),"없음")</f>
        <v>SL-C486FW</v>
      </c>
    </row>
    <row r="44">
      <c r="A44" s="282">
        <v>46.0</v>
      </c>
      <c r="B44" s="207" t="s">
        <v>2281</v>
      </c>
      <c r="C44" s="293"/>
      <c r="D44" s="284" t="s">
        <v>2282</v>
      </c>
      <c r="E44" s="207" t="s">
        <v>343</v>
      </c>
      <c r="F44" s="207" t="s">
        <v>20</v>
      </c>
      <c r="G44" s="285" t="s">
        <v>53</v>
      </c>
      <c r="H44" s="287" t="s">
        <v>345</v>
      </c>
      <c r="J44" s="288" t="str">
        <f t="array" ref="J44">IFERROR(INDEX(All_User_backup!D:D,MATCH(H44,All_User_backup!D:D,0)),"없음")</f>
        <v>henry.kim1@stryker.com</v>
      </c>
      <c r="L44" s="288" t="str">
        <f t="array" ref="L44">IFERROR(INDEX(sales!G:G,MATCH(H44,sales!C:C,0)),"없음")</f>
        <v>SL-C486FW</v>
      </c>
    </row>
    <row r="45" hidden="1">
      <c r="A45" s="282">
        <v>47.0</v>
      </c>
      <c r="B45" s="207" t="s">
        <v>2281</v>
      </c>
      <c r="C45" s="293"/>
      <c r="D45" s="207" t="s">
        <v>2287</v>
      </c>
      <c r="E45" s="207" t="s">
        <v>548</v>
      </c>
      <c r="F45" s="207" t="s">
        <v>20</v>
      </c>
      <c r="G45" s="285" t="s">
        <v>53</v>
      </c>
      <c r="H45" s="287" t="s">
        <v>550</v>
      </c>
      <c r="J45" s="288" t="str">
        <f t="array" ref="J45">IFERROR(INDEX(All_User_backup!D:D,MATCH(H45,All_User_backup!D:D,0)),"없음")</f>
        <v>tyler.park@stryker.com</v>
      </c>
      <c r="L45" s="288" t="str">
        <f t="array" ref="L45">IFERROR(INDEX(sales!G:G,MATCH(H45,sales!C:C,0)),"없음")</f>
        <v>반납</v>
      </c>
    </row>
    <row r="46" hidden="1">
      <c r="A46" s="282">
        <v>48.0</v>
      </c>
      <c r="B46" s="207" t="s">
        <v>2281</v>
      </c>
      <c r="C46" s="293"/>
      <c r="D46" s="207" t="s">
        <v>2286</v>
      </c>
      <c r="E46" s="207" t="s">
        <v>181</v>
      </c>
      <c r="F46" s="207" t="s">
        <v>20</v>
      </c>
      <c r="G46" s="285" t="s">
        <v>53</v>
      </c>
      <c r="H46" s="287" t="s">
        <v>183</v>
      </c>
      <c r="J46" s="288" t="str">
        <f t="array" ref="J46">IFERROR(INDEX(All_User_backup!D:D,MATCH(H46,All_User_backup!D:D,0)),"없음")</f>
        <v>yejin.heo@stryker.com</v>
      </c>
      <c r="L46" s="288" t="str">
        <f t="array" ref="L46">IFERROR(INDEX(sales!G:G,MATCH(H46,sales!C:C,0)),"없음")</f>
        <v>2차 조사 정보 없음</v>
      </c>
    </row>
    <row r="47">
      <c r="A47" s="282">
        <v>49.0</v>
      </c>
      <c r="B47" s="207" t="s">
        <v>2288</v>
      </c>
      <c r="C47" s="289">
        <v>45597.0</v>
      </c>
      <c r="D47" s="284" t="s">
        <v>2288</v>
      </c>
      <c r="E47" s="207" t="s">
        <v>615</v>
      </c>
      <c r="F47" s="207" t="s">
        <v>20</v>
      </c>
      <c r="G47" s="285" t="s">
        <v>53</v>
      </c>
      <c r="H47" s="287" t="s">
        <v>617</v>
      </c>
      <c r="J47" s="288" t="str">
        <f t="array" ref="J47">IFERROR(INDEX(All_User_backup!D:D,MATCH(H47,All_User_backup!D:D,0)),"없음")</f>
        <v>Gregory.Seo@stryker.com</v>
      </c>
      <c r="L47" s="288" t="str">
        <f t="array" ref="L47">IFERROR(INDEX(sales!G:G,MATCH(H47,sales!C:C,0)),"없음")</f>
        <v>SL-C563W</v>
      </c>
    </row>
    <row r="48">
      <c r="A48" s="282">
        <v>50.0</v>
      </c>
      <c r="B48" s="207" t="s">
        <v>2288</v>
      </c>
      <c r="C48" s="289">
        <v>45597.0</v>
      </c>
      <c r="D48" s="284" t="s">
        <v>2288</v>
      </c>
      <c r="E48" s="207" t="s">
        <v>2311</v>
      </c>
      <c r="F48" s="207" t="s">
        <v>20</v>
      </c>
      <c r="G48" s="285" t="s">
        <v>53</v>
      </c>
      <c r="H48" s="287" t="s">
        <v>18</v>
      </c>
      <c r="J48" s="288" t="str">
        <f t="array" ref="J48">IFERROR(INDEX(All_User_backup!D:D,MATCH(H48,All_User_backup!D:D,0)),"없음")</f>
        <v>dj.ahn@stryker.com</v>
      </c>
      <c r="L48" s="288" t="str">
        <f t="array" ref="L48">IFERROR(INDEX(sales!G:G,MATCH(H48,sales!C:C,0)),"없음")</f>
        <v>SL-C563W</v>
      </c>
    </row>
    <row r="49" hidden="1">
      <c r="A49" s="282">
        <v>51.0</v>
      </c>
      <c r="B49" s="207" t="s">
        <v>2281</v>
      </c>
      <c r="C49" s="283"/>
      <c r="D49" s="207" t="s">
        <v>2286</v>
      </c>
      <c r="E49" s="207" t="s">
        <v>208</v>
      </c>
      <c r="F49" s="207" t="s">
        <v>20</v>
      </c>
      <c r="G49" s="285" t="s">
        <v>53</v>
      </c>
      <c r="H49" s="287" t="s">
        <v>210</v>
      </c>
      <c r="J49" s="288" t="str">
        <f t="array" ref="J49">IFERROR(INDEX(All_User_backup!D:D,MATCH(H49,All_User_backup!D:D,0)),"없음")</f>
        <v>young.hwang@stryker.com</v>
      </c>
      <c r="L49" s="288" t="str">
        <f t="array" ref="L49">IFERROR(INDEX(sales!G:G,MATCH(H49,sales!C:C,0)),"없음")</f>
        <v>2차 조사 정보 없음</v>
      </c>
    </row>
    <row r="50">
      <c r="A50" s="282">
        <v>52.0</v>
      </c>
      <c r="B50" s="207" t="s">
        <v>2297</v>
      </c>
      <c r="C50" s="207" t="s">
        <v>2312</v>
      </c>
      <c r="D50" s="284" t="s">
        <v>2297</v>
      </c>
      <c r="E50" s="207" t="s">
        <v>126</v>
      </c>
      <c r="F50" s="207" t="s">
        <v>20</v>
      </c>
      <c r="G50" s="285" t="s">
        <v>53</v>
      </c>
      <c r="H50" s="287" t="s">
        <v>128</v>
      </c>
      <c r="J50" s="288" t="str">
        <f t="array" ref="J50">IFERROR(INDEX(All_User_backup!D:D,MATCH(H50,All_User_backup!D:D,0)),"없음")</f>
        <v>kyu.choi@stryker.com</v>
      </c>
      <c r="L50" s="288" t="str">
        <f t="array" ref="L50">IFERROR(INDEX(sales!G:G,MATCH(H50,sales!C:C,0)),"없음")</f>
        <v>SL-C565FW</v>
      </c>
    </row>
    <row r="51">
      <c r="A51" s="282">
        <v>53.0</v>
      </c>
      <c r="B51" s="291"/>
      <c r="C51" s="207" t="s">
        <v>2313</v>
      </c>
      <c r="D51" s="284" t="s">
        <v>2282</v>
      </c>
      <c r="E51" s="207" t="s">
        <v>228</v>
      </c>
      <c r="F51" s="207" t="s">
        <v>20</v>
      </c>
      <c r="G51" s="285" t="s">
        <v>53</v>
      </c>
      <c r="H51" s="287" t="s">
        <v>230</v>
      </c>
      <c r="J51" s="288" t="str">
        <f t="array" ref="J51">IFERROR(INDEX(All_User_backup!D:D,MATCH(H51,All_User_backup!D:D,0)),"없음")</f>
        <v>lucas.jeon@stryker.com</v>
      </c>
      <c r="L51" s="288" t="str">
        <f t="array" ref="L51">IFERROR(INDEX(sales!G:G,MATCH(H51,sales!C:C,0)),"없음")</f>
        <v>SL-C486FW</v>
      </c>
    </row>
    <row r="52" hidden="1">
      <c r="A52" s="282">
        <v>54.0</v>
      </c>
      <c r="B52" s="299" t="s">
        <v>2281</v>
      </c>
      <c r="C52" s="293"/>
      <c r="D52" s="207" t="s">
        <v>29</v>
      </c>
      <c r="E52" s="299" t="s">
        <v>620</v>
      </c>
      <c r="F52" s="299" t="s">
        <v>2314</v>
      </c>
      <c r="G52" s="285" t="s">
        <v>882</v>
      </c>
      <c r="H52" s="287" t="s">
        <v>622</v>
      </c>
      <c r="J52" s="288" t="str">
        <f t="array" ref="J52">IFERROR(INDEX(All_User_backup!D:D,MATCH(H52,All_User_backup!D:D,0)),"없음")</f>
        <v>junghoon.seo@stryker.com</v>
      </c>
      <c r="L52" s="288" t="str">
        <f t="array" ref="L52">IFERROR(INDEX(sales!G:G,MATCH(H52,sales!C:C,0)),"없음")</f>
        <v>없음</v>
      </c>
    </row>
    <row r="53" hidden="1">
      <c r="A53" s="282">
        <v>55.0</v>
      </c>
      <c r="B53" s="299" t="s">
        <v>2281</v>
      </c>
      <c r="C53" s="293"/>
      <c r="D53" s="207" t="s">
        <v>2286</v>
      </c>
      <c r="E53" s="299" t="s">
        <v>580</v>
      </c>
      <c r="F53" s="299" t="s">
        <v>904</v>
      </c>
      <c r="G53" s="285" t="s">
        <v>904</v>
      </c>
      <c r="H53" s="287" t="s">
        <v>582</v>
      </c>
      <c r="J53" s="288" t="str">
        <f t="array" ref="J53">IFERROR(INDEX(All_User_backup!D:D,MATCH(H53,All_User_backup!D:D,0)),"없음")</f>
        <v>michelle.park@stryker.com</v>
      </c>
      <c r="L53" s="288" t="str">
        <f t="array" ref="L53">IFERROR(INDEX(sales!G:G,MATCH(H53,sales!C:C,0)),"없음")</f>
        <v>2차 조사 정보 없음</v>
      </c>
    </row>
    <row r="54">
      <c r="A54" s="282">
        <v>56.0</v>
      </c>
      <c r="B54" s="300" t="s">
        <v>2281</v>
      </c>
      <c r="C54" s="207" t="s">
        <v>2315</v>
      </c>
      <c r="D54" s="284" t="s">
        <v>2288</v>
      </c>
      <c r="E54" s="300" t="s">
        <v>648</v>
      </c>
      <c r="F54" s="300" t="s">
        <v>2316</v>
      </c>
      <c r="G54" s="285" t="s">
        <v>35</v>
      </c>
      <c r="H54" s="287" t="s">
        <v>650</v>
      </c>
      <c r="J54" s="288" t="str">
        <f t="array" ref="J54">IFERROR(INDEX(All_User_backup!D:D,MATCH(H54,All_User_backup!D:D,0)),"없음")</f>
        <v>Huey.Sim@stryker.com</v>
      </c>
      <c r="L54" s="288" t="str">
        <f t="array" ref="L54">IFERROR(INDEX(sales!G:G,MATCH(H54,sales!C:C,0)),"없음")</f>
        <v>SL-C563W</v>
      </c>
    </row>
    <row r="55">
      <c r="A55" s="282">
        <v>57.0</v>
      </c>
      <c r="B55" s="300" t="s">
        <v>2281</v>
      </c>
      <c r="C55" s="289">
        <v>45292.0</v>
      </c>
      <c r="D55" s="284" t="s">
        <v>2288</v>
      </c>
      <c r="E55" s="300" t="s">
        <v>467</v>
      </c>
      <c r="F55" s="300" t="s">
        <v>2316</v>
      </c>
      <c r="G55" s="285" t="s">
        <v>35</v>
      </c>
      <c r="H55" s="287" t="s">
        <v>469</v>
      </c>
      <c r="J55" s="288" t="str">
        <f t="array" ref="J55">IFERROR(INDEX(All_User_backup!D:D,MATCH(H55,All_User_backup!D:D,0)),"없음")</f>
        <v>daniel.lee1@stryker.com</v>
      </c>
      <c r="L55" s="288" t="str">
        <f t="array" ref="L55">IFERROR(INDEX(sales!G:G,MATCH(H55,sales!C:C,0)),"없음")</f>
        <v>SL-C563W</v>
      </c>
    </row>
    <row r="56">
      <c r="A56" s="282">
        <v>58.0</v>
      </c>
      <c r="B56" s="300" t="s">
        <v>2281</v>
      </c>
      <c r="C56" s="291"/>
      <c r="D56" s="284" t="s">
        <v>29</v>
      </c>
      <c r="E56" s="300" t="s">
        <v>204</v>
      </c>
      <c r="F56" s="300" t="s">
        <v>2316</v>
      </c>
      <c r="G56" s="285" t="s">
        <v>35</v>
      </c>
      <c r="H56" s="287" t="s">
        <v>206</v>
      </c>
      <c r="J56" s="288" t="str">
        <f t="array" ref="J56">IFERROR(INDEX(All_User_backup!D:D,MATCH(H56,All_User_backup!D:D,0)),"없음")</f>
        <v>oscar.hwang@stryker.com</v>
      </c>
      <c r="L56" s="288" t="str">
        <f t="array" ref="L56">IFERROR(INDEX(sales!G:G,MATCH(H56,sales!C:C,0)),"없음")</f>
        <v>없음</v>
      </c>
    </row>
    <row r="57">
      <c r="A57" s="282">
        <v>59.0</v>
      </c>
      <c r="B57" s="300" t="s">
        <v>2281</v>
      </c>
      <c r="C57" s="289">
        <v>45352.0</v>
      </c>
      <c r="D57" s="284" t="s">
        <v>2288</v>
      </c>
      <c r="E57" s="300" t="s">
        <v>457</v>
      </c>
      <c r="F57" s="300" t="s">
        <v>2316</v>
      </c>
      <c r="G57" s="285" t="s">
        <v>35</v>
      </c>
      <c r="H57" s="287" t="s">
        <v>459</v>
      </c>
      <c r="J57" s="288" t="str">
        <f t="array" ref="J57">IFERROR(INDEX(All_User_backup!D:D,MATCH(H57,All_User_backup!D:D,0)),"없음")</f>
        <v>david.lee4@stryker.com</v>
      </c>
      <c r="L57" s="288" t="str">
        <f t="array" ref="L57">IFERROR(INDEX(sales!G:G,MATCH(H57,sales!C:C,0)),"없음")</f>
        <v>SL-C563W</v>
      </c>
    </row>
    <row r="58">
      <c r="A58" s="282">
        <v>60.0</v>
      </c>
      <c r="B58" s="207" t="s">
        <v>2282</v>
      </c>
      <c r="C58" s="283"/>
      <c r="D58" s="284" t="s">
        <v>2288</v>
      </c>
      <c r="E58" s="207" t="s">
        <v>2317</v>
      </c>
      <c r="F58" s="207" t="s">
        <v>27</v>
      </c>
      <c r="G58" s="285" t="s">
        <v>53</v>
      </c>
      <c r="H58" s="225" t="s">
        <v>2318</v>
      </c>
      <c r="J58" s="288" t="str">
        <f t="array" ref="J58">IFERROR(INDEX(All_User_backup!D:D,MATCH(H58,All_User_backup!D:D,0)),"없음")</f>
        <v>rosey.song@stryker.com</v>
      </c>
      <c r="L58" s="288" t="str">
        <f t="array" ref="L58">IFERROR(INDEX(sales!G:G,MATCH(H58,sales!C:C,0)),"없음")</f>
        <v>SL-C563W</v>
      </c>
    </row>
    <row r="59">
      <c r="A59" s="282">
        <v>61.0</v>
      </c>
      <c r="B59" s="207" t="s">
        <v>2288</v>
      </c>
      <c r="C59" s="291"/>
      <c r="D59" s="284" t="s">
        <v>2288</v>
      </c>
      <c r="E59" s="207" t="s">
        <v>2319</v>
      </c>
      <c r="F59" s="207" t="s">
        <v>27</v>
      </c>
      <c r="G59" s="285" t="s">
        <v>53</v>
      </c>
      <c r="H59" s="225" t="s">
        <v>2320</v>
      </c>
      <c r="J59" s="288" t="str">
        <f t="array" ref="J59">IFERROR(INDEX(All_User_backup!D:D,MATCH(H59,All_User_backup!D:D,0)),"없음")</f>
        <v>Bruce.Cha@stryker.com</v>
      </c>
      <c r="L59" s="288" t="str">
        <f t="array" ref="L59">IFERROR(INDEX(sales!G:G,MATCH(H59,sales!C:C,0)),"없음")</f>
        <v>SL-C563W</v>
      </c>
    </row>
    <row r="60">
      <c r="A60" s="282">
        <v>62.0</v>
      </c>
      <c r="B60" s="207" t="s">
        <v>2288</v>
      </c>
      <c r="C60" s="293"/>
      <c r="D60" s="284" t="s">
        <v>2288</v>
      </c>
      <c r="E60" s="207" t="s">
        <v>2321</v>
      </c>
      <c r="F60" s="207" t="s">
        <v>27</v>
      </c>
      <c r="G60" s="285" t="s">
        <v>53</v>
      </c>
      <c r="H60" s="225" t="s">
        <v>2322</v>
      </c>
      <c r="J60" s="288" t="str">
        <f t="array" ref="J60">IFERROR(INDEX(All_User_backup!D:D,MATCH(H60,All_User_backup!D:D,0)),"없음")</f>
        <v>neal.kim@stryker.com</v>
      </c>
      <c r="L60" s="288" t="str">
        <f t="array" ref="L60">IFERROR(INDEX(sales!G:G,MATCH(H60,sales!C:C,0)),"없음")</f>
        <v>SL-C563W</v>
      </c>
    </row>
    <row r="61">
      <c r="A61" s="282">
        <v>63.0</v>
      </c>
      <c r="B61" s="207" t="s">
        <v>2282</v>
      </c>
      <c r="C61" s="289">
        <v>45839.0</v>
      </c>
      <c r="D61" s="284" t="s">
        <v>2282</v>
      </c>
      <c r="E61" s="207" t="s">
        <v>35</v>
      </c>
      <c r="F61" s="207" t="s">
        <v>2316</v>
      </c>
      <c r="G61" s="285" t="s">
        <v>35</v>
      </c>
      <c r="H61" s="287" t="s">
        <v>2323</v>
      </c>
      <c r="J61" s="288" t="str">
        <f t="array" ref="J61">IFERROR(INDEX(All_User_backup!D:D,MATCH(H61,All_User_backup!D:D,0)),"없음")</f>
        <v>없음</v>
      </c>
      <c r="L61" s="288" t="str">
        <f t="array" ref="L61">IFERROR(INDEX(sales!G:G,MATCH(H61,sales!C:C,0)),"없음")</f>
        <v>없음</v>
      </c>
    </row>
    <row r="62">
      <c r="A62" s="282">
        <v>64.0</v>
      </c>
      <c r="B62" s="283"/>
      <c r="C62" s="289">
        <v>45870.0</v>
      </c>
      <c r="D62" s="284" t="s">
        <v>2288</v>
      </c>
      <c r="E62" s="207" t="s">
        <v>35</v>
      </c>
      <c r="F62" s="207" t="s">
        <v>2316</v>
      </c>
      <c r="G62" s="285" t="s">
        <v>35</v>
      </c>
      <c r="H62" s="287" t="s">
        <v>2323</v>
      </c>
      <c r="J62" s="288" t="str">
        <f t="array" ref="J62">IFERROR(INDEX(All_User_backup!D:D,MATCH(H62,All_User_backup!D:D,0)),"없음")</f>
        <v>없음</v>
      </c>
      <c r="L62" s="288" t="str">
        <f t="array" ref="L62">IFERROR(INDEX(sales!G:G,MATCH(H62,sales!C:C,0)),"없음")</f>
        <v>없음</v>
      </c>
    </row>
    <row r="63">
      <c r="A63" s="282">
        <v>63.0</v>
      </c>
      <c r="B63" s="300" t="s">
        <v>2281</v>
      </c>
      <c r="C63" s="118"/>
      <c r="D63" s="284" t="s">
        <v>2282</v>
      </c>
      <c r="E63" s="118"/>
      <c r="F63" s="114" t="s">
        <v>2316</v>
      </c>
      <c r="G63" s="118"/>
      <c r="H63" s="114" t="s">
        <v>2324</v>
      </c>
      <c r="J63" s="288" t="str">
        <f t="array" ref="J63">IFERROR(INDEX(All_User_backup!D:D,MATCH(H63,All_User_backup!D:D,0)),"없음")</f>
        <v>없음</v>
      </c>
      <c r="L63" s="288" t="str">
        <f t="array" ref="L63">IFERROR(INDEX(sales!G:G,MATCH(H63,sales!C:C,0)),"없음")</f>
        <v>SL-C486FW</v>
      </c>
    </row>
    <row r="64">
      <c r="A64" s="282">
        <v>64.0</v>
      </c>
      <c r="B64" s="300" t="s">
        <v>2281</v>
      </c>
      <c r="C64" s="118"/>
      <c r="D64" s="284" t="s">
        <v>2288</v>
      </c>
      <c r="E64" s="118"/>
      <c r="F64" s="114" t="s">
        <v>2316</v>
      </c>
      <c r="G64" s="118"/>
      <c r="H64" s="114" t="s">
        <v>2325</v>
      </c>
      <c r="J64" s="288" t="str">
        <f t="array" ref="J64">IFERROR(INDEX(All_User_backup!D:D,MATCH(H64,All_User_backup!D:D,0)),"없음")</f>
        <v>없음</v>
      </c>
      <c r="L64" s="288" t="str">
        <f t="array" ref="L64">IFERROR(INDEX(sales!G:G,MATCH(H64,sales!C:C,0)),"없음")</f>
        <v>SL-C563W</v>
      </c>
    </row>
    <row r="65">
      <c r="A65" s="282">
        <v>65.0</v>
      </c>
      <c r="B65" s="300" t="s">
        <v>2281</v>
      </c>
      <c r="C65" s="114"/>
      <c r="D65" s="284" t="s">
        <v>2293</v>
      </c>
      <c r="E65" s="118"/>
      <c r="F65" s="114" t="s">
        <v>2316</v>
      </c>
      <c r="G65" s="118"/>
      <c r="H65" s="114" t="s">
        <v>2326</v>
      </c>
      <c r="J65" s="288" t="str">
        <f t="array" ref="J65">IFERROR(INDEX(All_User_backup!D:D,MATCH(H65,All_User_backup!D:D,0)),"없음")</f>
        <v>없음</v>
      </c>
      <c r="L65" s="288" t="str">
        <f t="array" ref="L65">IFERROR(INDEX(sales!G:G,MATCH(H65,sales!C:C,0)),"없음")</f>
        <v>SL-C483FW</v>
      </c>
    </row>
    <row r="66">
      <c r="A66" s="282">
        <v>66.0</v>
      </c>
      <c r="B66" s="251" t="s">
        <v>2281</v>
      </c>
      <c r="C66" s="118"/>
      <c r="D66" s="284" t="s">
        <v>2288</v>
      </c>
      <c r="E66" s="114" t="s">
        <v>1231</v>
      </c>
      <c r="F66" s="207" t="s">
        <v>20</v>
      </c>
      <c r="G66" s="285" t="s">
        <v>53</v>
      </c>
      <c r="H66" s="114" t="s">
        <v>828</v>
      </c>
      <c r="J66" s="288" t="str">
        <f t="array" ref="J66">IFERROR(INDEX(All_User_backup!D:D,MATCH(H66,All_User_backup!D:D,0)),"없음")</f>
        <v>ian.hwang@stryker.com</v>
      </c>
      <c r="L66" s="288" t="str">
        <f t="array" ref="L66">IFERROR(INDEX(sales!G:G,MATCH(H66,sales!C:C,0)),"없음")</f>
        <v>SL-C563W</v>
      </c>
    </row>
    <row r="67">
      <c r="B67" s="251" t="s">
        <v>2281</v>
      </c>
      <c r="C67" s="118"/>
      <c r="D67" s="284" t="s">
        <v>2288</v>
      </c>
      <c r="E67" s="46" t="s">
        <v>2327</v>
      </c>
    </row>
    <row r="68">
      <c r="B68" s="251" t="s">
        <v>2281</v>
      </c>
      <c r="C68" s="118"/>
      <c r="D68" s="284" t="s">
        <v>2288</v>
      </c>
      <c r="E68" s="46" t="s">
        <v>2328</v>
      </c>
    </row>
    <row r="69">
      <c r="B69" s="251" t="s">
        <v>2281</v>
      </c>
      <c r="C69" s="118"/>
      <c r="D69" s="284" t="s">
        <v>2288</v>
      </c>
      <c r="E69" s="46" t="s">
        <v>2270</v>
      </c>
    </row>
    <row r="70">
      <c r="B70" s="251" t="s">
        <v>2281</v>
      </c>
      <c r="C70" s="118"/>
      <c r="D70" s="284" t="s">
        <v>2288</v>
      </c>
      <c r="E70" s="46" t="s">
        <v>2270</v>
      </c>
    </row>
    <row r="71">
      <c r="B71" s="251" t="s">
        <v>2281</v>
      </c>
      <c r="C71" s="118"/>
      <c r="D71" s="284" t="s">
        <v>2288</v>
      </c>
      <c r="E71" s="46" t="s">
        <v>2329</v>
      </c>
    </row>
    <row r="72">
      <c r="B72" s="251" t="s">
        <v>2281</v>
      </c>
      <c r="C72" s="118"/>
      <c r="D72" s="284" t="s">
        <v>2288</v>
      </c>
      <c r="E72" s="46" t="s">
        <v>2330</v>
      </c>
    </row>
    <row r="73">
      <c r="D73" s="301"/>
    </row>
    <row r="74">
      <c r="D74" s="301"/>
    </row>
    <row r="75">
      <c r="D75" s="301"/>
    </row>
    <row r="76">
      <c r="D76" s="301"/>
    </row>
    <row r="77">
      <c r="D77" s="301"/>
    </row>
    <row r="78">
      <c r="D78" s="301"/>
    </row>
    <row r="79">
      <c r="D79" s="301"/>
    </row>
    <row r="80">
      <c r="D80" s="301"/>
    </row>
    <row r="81">
      <c r="D81" s="301"/>
    </row>
    <row r="82">
      <c r="D82" s="301"/>
    </row>
    <row r="83">
      <c r="D83" s="301"/>
    </row>
    <row r="84">
      <c r="D84" s="301"/>
    </row>
    <row r="85">
      <c r="D85" s="301"/>
    </row>
    <row r="86">
      <c r="D86" s="301"/>
    </row>
    <row r="87">
      <c r="D87" s="301"/>
    </row>
    <row r="88">
      <c r="D88" s="301"/>
    </row>
    <row r="89">
      <c r="D89" s="301"/>
    </row>
    <row r="90">
      <c r="D90" s="301"/>
    </row>
    <row r="91">
      <c r="D91" s="301"/>
    </row>
    <row r="92">
      <c r="D92" s="301"/>
    </row>
    <row r="93">
      <c r="D93" s="301"/>
    </row>
    <row r="94">
      <c r="D94" s="301"/>
    </row>
    <row r="95">
      <c r="D95" s="301"/>
    </row>
    <row r="96">
      <c r="D96" s="301"/>
    </row>
    <row r="97">
      <c r="D97" s="301"/>
    </row>
    <row r="98">
      <c r="D98" s="301"/>
    </row>
    <row r="99">
      <c r="D99" s="301"/>
    </row>
    <row r="100">
      <c r="D100" s="301"/>
    </row>
    <row r="101">
      <c r="D101" s="301"/>
    </row>
    <row r="102">
      <c r="D102" s="301"/>
    </row>
    <row r="103">
      <c r="D103" s="301"/>
    </row>
    <row r="104">
      <c r="D104" s="301"/>
    </row>
    <row r="105">
      <c r="D105" s="301"/>
    </row>
    <row r="106">
      <c r="D106" s="301"/>
    </row>
    <row r="107">
      <c r="D107" s="301"/>
    </row>
    <row r="108">
      <c r="D108" s="301"/>
    </row>
    <row r="109">
      <c r="D109" s="301"/>
    </row>
    <row r="110">
      <c r="D110" s="301"/>
    </row>
    <row r="111">
      <c r="D111" s="301"/>
    </row>
    <row r="112">
      <c r="D112" s="301"/>
    </row>
    <row r="113">
      <c r="D113" s="301"/>
    </row>
    <row r="114">
      <c r="D114" s="301"/>
    </row>
    <row r="115">
      <c r="D115" s="301"/>
    </row>
    <row r="116">
      <c r="D116" s="301"/>
    </row>
    <row r="117">
      <c r="D117" s="301"/>
    </row>
    <row r="118">
      <c r="D118" s="301"/>
    </row>
    <row r="119">
      <c r="D119" s="301"/>
    </row>
    <row r="120">
      <c r="D120" s="301"/>
    </row>
    <row r="121">
      <c r="D121" s="301"/>
    </row>
    <row r="122">
      <c r="D122" s="301"/>
    </row>
    <row r="123">
      <c r="D123" s="301"/>
    </row>
    <row r="124">
      <c r="D124" s="301"/>
    </row>
    <row r="125">
      <c r="D125" s="301"/>
    </row>
    <row r="126">
      <c r="D126" s="301"/>
    </row>
    <row r="127">
      <c r="D127" s="301"/>
    </row>
    <row r="128">
      <c r="D128" s="301"/>
    </row>
    <row r="129">
      <c r="D129" s="301"/>
    </row>
    <row r="130">
      <c r="D130" s="301"/>
    </row>
    <row r="131">
      <c r="D131" s="301"/>
    </row>
    <row r="132">
      <c r="D132" s="301"/>
    </row>
    <row r="133">
      <c r="D133" s="301"/>
    </row>
    <row r="134">
      <c r="D134" s="301"/>
    </row>
    <row r="135">
      <c r="D135" s="301"/>
    </row>
    <row r="136">
      <c r="D136" s="301"/>
    </row>
    <row r="137">
      <c r="D137" s="301"/>
    </row>
    <row r="138">
      <c r="D138" s="301"/>
    </row>
    <row r="139">
      <c r="D139" s="301"/>
    </row>
    <row r="140">
      <c r="D140" s="301"/>
    </row>
    <row r="141">
      <c r="D141" s="301"/>
    </row>
    <row r="142">
      <c r="D142" s="301"/>
    </row>
    <row r="143">
      <c r="D143" s="301"/>
    </row>
    <row r="144">
      <c r="D144" s="301"/>
    </row>
    <row r="145">
      <c r="D145" s="301"/>
    </row>
    <row r="146">
      <c r="D146" s="301"/>
    </row>
    <row r="147">
      <c r="D147" s="301"/>
    </row>
    <row r="148">
      <c r="D148" s="301"/>
    </row>
    <row r="149">
      <c r="D149" s="301"/>
    </row>
    <row r="150">
      <c r="D150" s="301"/>
    </row>
    <row r="151">
      <c r="D151" s="301"/>
    </row>
    <row r="152">
      <c r="D152" s="301"/>
    </row>
    <row r="153">
      <c r="D153" s="301"/>
    </row>
    <row r="154">
      <c r="D154" s="301"/>
    </row>
    <row r="155">
      <c r="D155" s="301"/>
    </row>
    <row r="156">
      <c r="D156" s="301"/>
    </row>
    <row r="157">
      <c r="D157" s="301"/>
    </row>
    <row r="158">
      <c r="D158" s="301"/>
    </row>
    <row r="159">
      <c r="D159" s="301"/>
    </row>
    <row r="160">
      <c r="D160" s="301"/>
    </row>
    <row r="161">
      <c r="D161" s="301"/>
    </row>
    <row r="162">
      <c r="D162" s="301"/>
    </row>
    <row r="163">
      <c r="D163" s="301"/>
    </row>
    <row r="164">
      <c r="D164" s="301"/>
    </row>
    <row r="165">
      <c r="D165" s="301"/>
    </row>
    <row r="166">
      <c r="D166" s="301"/>
    </row>
    <row r="167">
      <c r="D167" s="301"/>
    </row>
    <row r="168">
      <c r="D168" s="301"/>
    </row>
    <row r="169">
      <c r="D169" s="301"/>
    </row>
    <row r="170">
      <c r="D170" s="301"/>
    </row>
    <row r="171">
      <c r="D171" s="301"/>
    </row>
    <row r="172">
      <c r="D172" s="301"/>
    </row>
    <row r="173">
      <c r="D173" s="301"/>
    </row>
    <row r="174">
      <c r="D174" s="301"/>
    </row>
    <row r="175">
      <c r="D175" s="301"/>
    </row>
    <row r="176">
      <c r="D176" s="301"/>
    </row>
    <row r="177">
      <c r="D177" s="301"/>
    </row>
    <row r="178">
      <c r="D178" s="301"/>
    </row>
    <row r="179">
      <c r="D179" s="301"/>
    </row>
    <row r="180">
      <c r="D180" s="301"/>
    </row>
    <row r="181">
      <c r="D181" s="301"/>
    </row>
    <row r="182">
      <c r="D182" s="301"/>
    </row>
    <row r="183">
      <c r="D183" s="301"/>
    </row>
    <row r="184">
      <c r="D184" s="301"/>
    </row>
    <row r="185">
      <c r="D185" s="301"/>
    </row>
    <row r="186">
      <c r="D186" s="301"/>
    </row>
    <row r="187">
      <c r="D187" s="301"/>
    </row>
    <row r="188">
      <c r="D188" s="301"/>
    </row>
    <row r="189">
      <c r="D189" s="301"/>
    </row>
    <row r="190">
      <c r="D190" s="301"/>
    </row>
    <row r="191">
      <c r="D191" s="301"/>
    </row>
    <row r="192">
      <c r="D192" s="301"/>
    </row>
    <row r="193">
      <c r="D193" s="301"/>
    </row>
    <row r="194">
      <c r="D194" s="301"/>
    </row>
    <row r="195">
      <c r="D195" s="301"/>
    </row>
    <row r="196">
      <c r="D196" s="301"/>
    </row>
    <row r="197">
      <c r="D197" s="301"/>
    </row>
    <row r="198">
      <c r="D198" s="301"/>
    </row>
    <row r="199">
      <c r="D199" s="301"/>
    </row>
    <row r="200">
      <c r="D200" s="301"/>
    </row>
    <row r="201">
      <c r="D201" s="301"/>
    </row>
    <row r="202">
      <c r="D202" s="301"/>
    </row>
    <row r="203">
      <c r="D203" s="301"/>
    </row>
    <row r="204">
      <c r="D204" s="301"/>
    </row>
    <row r="205">
      <c r="D205" s="301"/>
    </row>
    <row r="206">
      <c r="D206" s="301"/>
    </row>
    <row r="207">
      <c r="D207" s="301"/>
    </row>
    <row r="208">
      <c r="D208" s="301"/>
    </row>
    <row r="209">
      <c r="D209" s="301"/>
    </row>
    <row r="210">
      <c r="D210" s="301"/>
    </row>
    <row r="211">
      <c r="D211" s="301"/>
    </row>
    <row r="212">
      <c r="D212" s="301"/>
    </row>
    <row r="213">
      <c r="D213" s="301"/>
    </row>
    <row r="214">
      <c r="D214" s="301"/>
    </row>
    <row r="215">
      <c r="D215" s="301"/>
    </row>
    <row r="216">
      <c r="D216" s="301"/>
    </row>
    <row r="217">
      <c r="D217" s="301"/>
    </row>
    <row r="218">
      <c r="D218" s="301"/>
    </row>
    <row r="219">
      <c r="D219" s="301"/>
    </row>
    <row r="220">
      <c r="D220" s="301"/>
    </row>
    <row r="221">
      <c r="D221" s="301"/>
    </row>
    <row r="222">
      <c r="D222" s="301"/>
    </row>
    <row r="223">
      <c r="D223" s="301"/>
    </row>
    <row r="224">
      <c r="D224" s="301"/>
    </row>
    <row r="225">
      <c r="D225" s="301"/>
    </row>
    <row r="226">
      <c r="D226" s="301"/>
    </row>
    <row r="227">
      <c r="D227" s="301"/>
    </row>
    <row r="228">
      <c r="D228" s="301"/>
    </row>
    <row r="229">
      <c r="D229" s="301"/>
    </row>
    <row r="230">
      <c r="D230" s="301"/>
    </row>
    <row r="231">
      <c r="D231" s="301"/>
    </row>
    <row r="232">
      <c r="D232" s="301"/>
    </row>
    <row r="233">
      <c r="D233" s="301"/>
    </row>
    <row r="234">
      <c r="D234" s="301"/>
    </row>
    <row r="235">
      <c r="D235" s="301"/>
    </row>
    <row r="236">
      <c r="D236" s="301"/>
    </row>
    <row r="237">
      <c r="D237" s="301"/>
    </row>
    <row r="238">
      <c r="D238" s="301"/>
    </row>
    <row r="239">
      <c r="D239" s="301"/>
    </row>
    <row r="240">
      <c r="D240" s="301"/>
    </row>
    <row r="241">
      <c r="D241" s="301"/>
    </row>
    <row r="242">
      <c r="D242" s="301"/>
    </row>
    <row r="243">
      <c r="D243" s="301"/>
    </row>
    <row r="244">
      <c r="D244" s="301"/>
    </row>
    <row r="245">
      <c r="D245" s="301"/>
    </row>
    <row r="246">
      <c r="D246" s="301"/>
    </row>
    <row r="247">
      <c r="D247" s="301"/>
    </row>
    <row r="248">
      <c r="D248" s="301"/>
    </row>
    <row r="249">
      <c r="D249" s="301"/>
    </row>
    <row r="250">
      <c r="D250" s="301"/>
    </row>
    <row r="251">
      <c r="D251" s="301"/>
    </row>
    <row r="252">
      <c r="D252" s="301"/>
    </row>
    <row r="253">
      <c r="D253" s="301"/>
    </row>
    <row r="254">
      <c r="D254" s="301"/>
    </row>
    <row r="255">
      <c r="D255" s="301"/>
    </row>
    <row r="256">
      <c r="D256" s="301"/>
    </row>
    <row r="257">
      <c r="D257" s="301"/>
    </row>
    <row r="258">
      <c r="D258" s="301"/>
    </row>
    <row r="259">
      <c r="D259" s="301"/>
    </row>
    <row r="260">
      <c r="D260" s="301"/>
    </row>
    <row r="261">
      <c r="D261" s="301"/>
    </row>
    <row r="262">
      <c r="D262" s="301"/>
    </row>
    <row r="263">
      <c r="D263" s="301"/>
    </row>
    <row r="264">
      <c r="D264" s="301"/>
    </row>
    <row r="265">
      <c r="D265" s="301"/>
    </row>
    <row r="266">
      <c r="D266" s="301"/>
    </row>
    <row r="267">
      <c r="D267" s="301"/>
    </row>
    <row r="268">
      <c r="D268" s="301"/>
    </row>
    <row r="269">
      <c r="D269" s="301"/>
    </row>
    <row r="270">
      <c r="D270" s="301"/>
    </row>
    <row r="271">
      <c r="D271" s="301"/>
    </row>
    <row r="272">
      <c r="D272" s="301"/>
    </row>
    <row r="273">
      <c r="D273" s="301"/>
    </row>
    <row r="274">
      <c r="D274" s="301"/>
    </row>
    <row r="275">
      <c r="D275" s="301"/>
    </row>
    <row r="276">
      <c r="D276" s="301"/>
    </row>
    <row r="277">
      <c r="D277" s="301"/>
    </row>
    <row r="278">
      <c r="D278" s="301"/>
    </row>
    <row r="279">
      <c r="D279" s="301"/>
    </row>
    <row r="280">
      <c r="D280" s="301"/>
    </row>
    <row r="281">
      <c r="D281" s="301"/>
    </row>
    <row r="282">
      <c r="D282" s="301"/>
    </row>
    <row r="283">
      <c r="D283" s="301"/>
    </row>
    <row r="284">
      <c r="D284" s="301"/>
    </row>
    <row r="285">
      <c r="D285" s="301"/>
    </row>
    <row r="286">
      <c r="D286" s="301"/>
    </row>
    <row r="287">
      <c r="D287" s="301"/>
    </row>
    <row r="288">
      <c r="D288" s="301"/>
    </row>
    <row r="289">
      <c r="D289" s="301"/>
    </row>
    <row r="290">
      <c r="D290" s="301"/>
    </row>
    <row r="291">
      <c r="D291" s="301"/>
    </row>
    <row r="292">
      <c r="D292" s="301"/>
    </row>
    <row r="293">
      <c r="D293" s="301"/>
    </row>
    <row r="294">
      <c r="D294" s="301"/>
    </row>
    <row r="295">
      <c r="D295" s="301"/>
    </row>
    <row r="296">
      <c r="D296" s="301"/>
    </row>
    <row r="297">
      <c r="D297" s="301"/>
    </row>
    <row r="298">
      <c r="D298" s="301"/>
    </row>
    <row r="299">
      <c r="D299" s="301"/>
    </row>
    <row r="300">
      <c r="D300" s="301"/>
    </row>
    <row r="301">
      <c r="D301" s="301"/>
    </row>
    <row r="302">
      <c r="D302" s="301"/>
    </row>
    <row r="303">
      <c r="D303" s="301"/>
    </row>
    <row r="304">
      <c r="D304" s="301"/>
    </row>
    <row r="305">
      <c r="D305" s="301"/>
    </row>
    <row r="306">
      <c r="D306" s="301"/>
    </row>
    <row r="307">
      <c r="D307" s="301"/>
    </row>
    <row r="308">
      <c r="D308" s="301"/>
    </row>
    <row r="309">
      <c r="D309" s="301"/>
    </row>
    <row r="310">
      <c r="D310" s="301"/>
    </row>
    <row r="311">
      <c r="D311" s="301"/>
    </row>
    <row r="312">
      <c r="D312" s="301"/>
    </row>
    <row r="313">
      <c r="D313" s="301"/>
    </row>
    <row r="314">
      <c r="D314" s="301"/>
    </row>
    <row r="315">
      <c r="D315" s="301"/>
    </row>
    <row r="316">
      <c r="D316" s="301"/>
    </row>
    <row r="317">
      <c r="D317" s="301"/>
    </row>
    <row r="318">
      <c r="D318" s="301"/>
    </row>
    <row r="319">
      <c r="D319" s="301"/>
    </row>
    <row r="320">
      <c r="D320" s="301"/>
    </row>
    <row r="321">
      <c r="D321" s="301"/>
    </row>
    <row r="322">
      <c r="D322" s="301"/>
    </row>
    <row r="323">
      <c r="D323" s="301"/>
    </row>
    <row r="324">
      <c r="D324" s="301"/>
    </row>
    <row r="325">
      <c r="D325" s="301"/>
    </row>
    <row r="326">
      <c r="D326" s="301"/>
    </row>
    <row r="327">
      <c r="D327" s="301"/>
    </row>
    <row r="328">
      <c r="D328" s="301"/>
    </row>
    <row r="329">
      <c r="D329" s="301"/>
    </row>
    <row r="330">
      <c r="D330" s="301"/>
    </row>
    <row r="331">
      <c r="D331" s="301"/>
    </row>
    <row r="332">
      <c r="D332" s="301"/>
    </row>
    <row r="333">
      <c r="D333" s="301"/>
    </row>
    <row r="334">
      <c r="D334" s="301"/>
    </row>
    <row r="335">
      <c r="D335" s="301"/>
    </row>
    <row r="336">
      <c r="D336" s="301"/>
    </row>
    <row r="337">
      <c r="D337" s="301"/>
    </row>
    <row r="338">
      <c r="D338" s="301"/>
    </row>
    <row r="339">
      <c r="D339" s="301"/>
    </row>
    <row r="340">
      <c r="D340" s="301"/>
    </row>
    <row r="341">
      <c r="D341" s="301"/>
    </row>
    <row r="342">
      <c r="D342" s="301"/>
    </row>
    <row r="343">
      <c r="D343" s="301"/>
    </row>
    <row r="344">
      <c r="D344" s="301"/>
    </row>
    <row r="345">
      <c r="D345" s="301"/>
    </row>
    <row r="346">
      <c r="D346" s="301"/>
    </row>
    <row r="347">
      <c r="D347" s="301"/>
    </row>
    <row r="348">
      <c r="D348" s="301"/>
    </row>
    <row r="349">
      <c r="D349" s="301"/>
    </row>
    <row r="350">
      <c r="D350" s="301"/>
    </row>
    <row r="351">
      <c r="D351" s="301"/>
    </row>
    <row r="352">
      <c r="D352" s="301"/>
    </row>
    <row r="353">
      <c r="D353" s="301"/>
    </row>
    <row r="354">
      <c r="D354" s="301"/>
    </row>
    <row r="355">
      <c r="D355" s="301"/>
    </row>
    <row r="356">
      <c r="D356" s="301"/>
    </row>
    <row r="357">
      <c r="D357" s="301"/>
    </row>
    <row r="358">
      <c r="D358" s="301"/>
    </row>
    <row r="359">
      <c r="D359" s="301"/>
    </row>
    <row r="360">
      <c r="D360" s="301"/>
    </row>
    <row r="361">
      <c r="D361" s="301"/>
    </row>
    <row r="362">
      <c r="D362" s="301"/>
    </row>
    <row r="363">
      <c r="D363" s="301"/>
    </row>
    <row r="364">
      <c r="D364" s="301"/>
    </row>
    <row r="365">
      <c r="D365" s="301"/>
    </row>
    <row r="366">
      <c r="D366" s="301"/>
    </row>
    <row r="367">
      <c r="D367" s="301"/>
    </row>
    <row r="368">
      <c r="D368" s="301"/>
    </row>
    <row r="369">
      <c r="D369" s="301"/>
    </row>
    <row r="370">
      <c r="D370" s="301"/>
    </row>
    <row r="371">
      <c r="D371" s="301"/>
    </row>
    <row r="372">
      <c r="D372" s="301"/>
    </row>
    <row r="373">
      <c r="D373" s="301"/>
    </row>
    <row r="374">
      <c r="D374" s="301"/>
    </row>
    <row r="375">
      <c r="D375" s="301"/>
    </row>
    <row r="376">
      <c r="D376" s="301"/>
    </row>
    <row r="377">
      <c r="D377" s="301"/>
    </row>
    <row r="378">
      <c r="D378" s="301"/>
    </row>
    <row r="379">
      <c r="D379" s="301"/>
    </row>
    <row r="380">
      <c r="D380" s="301"/>
    </row>
    <row r="381">
      <c r="D381" s="301"/>
    </row>
    <row r="382">
      <c r="D382" s="301"/>
    </row>
    <row r="383">
      <c r="D383" s="301"/>
    </row>
    <row r="384">
      <c r="D384" s="301"/>
    </row>
    <row r="385">
      <c r="D385" s="301"/>
    </row>
    <row r="386">
      <c r="D386" s="301"/>
    </row>
    <row r="387">
      <c r="D387" s="301"/>
    </row>
    <row r="388">
      <c r="D388" s="301"/>
    </row>
    <row r="389">
      <c r="D389" s="301"/>
    </row>
    <row r="390">
      <c r="D390" s="301"/>
    </row>
    <row r="391">
      <c r="D391" s="301"/>
    </row>
    <row r="392">
      <c r="D392" s="301"/>
    </row>
    <row r="393">
      <c r="D393" s="301"/>
    </row>
    <row r="394">
      <c r="D394" s="301"/>
    </row>
    <row r="395">
      <c r="D395" s="301"/>
    </row>
    <row r="396">
      <c r="D396" s="301"/>
    </row>
    <row r="397">
      <c r="D397" s="301"/>
    </row>
    <row r="398">
      <c r="D398" s="301"/>
    </row>
    <row r="399">
      <c r="D399" s="301"/>
    </row>
    <row r="400">
      <c r="D400" s="301"/>
    </row>
    <row r="401">
      <c r="D401" s="301"/>
    </row>
    <row r="402">
      <c r="D402" s="301"/>
    </row>
    <row r="403">
      <c r="D403" s="301"/>
    </row>
    <row r="404">
      <c r="D404" s="301"/>
    </row>
    <row r="405">
      <c r="D405" s="301"/>
    </row>
    <row r="406">
      <c r="D406" s="301"/>
    </row>
    <row r="407">
      <c r="D407" s="301"/>
    </row>
    <row r="408">
      <c r="D408" s="301"/>
    </row>
    <row r="409">
      <c r="D409" s="301"/>
    </row>
    <row r="410">
      <c r="D410" s="301"/>
    </row>
    <row r="411">
      <c r="D411" s="301"/>
    </row>
    <row r="412">
      <c r="D412" s="301"/>
    </row>
    <row r="413">
      <c r="D413" s="301"/>
    </row>
    <row r="414">
      <c r="D414" s="301"/>
    </row>
    <row r="415">
      <c r="D415" s="301"/>
    </row>
    <row r="416">
      <c r="D416" s="301"/>
    </row>
    <row r="417">
      <c r="D417" s="301"/>
    </row>
    <row r="418">
      <c r="D418" s="301"/>
    </row>
    <row r="419">
      <c r="D419" s="301"/>
    </row>
    <row r="420">
      <c r="D420" s="301"/>
    </row>
    <row r="421">
      <c r="D421" s="301"/>
    </row>
    <row r="422">
      <c r="D422" s="301"/>
    </row>
    <row r="423">
      <c r="D423" s="301"/>
    </row>
    <row r="424">
      <c r="D424" s="301"/>
    </row>
    <row r="425">
      <c r="D425" s="301"/>
    </row>
    <row r="426">
      <c r="D426" s="301"/>
    </row>
    <row r="427">
      <c r="D427" s="301"/>
    </row>
    <row r="428">
      <c r="D428" s="301"/>
    </row>
    <row r="429">
      <c r="D429" s="301"/>
    </row>
    <row r="430">
      <c r="D430" s="301"/>
    </row>
    <row r="431">
      <c r="D431" s="301"/>
    </row>
    <row r="432">
      <c r="D432" s="301"/>
    </row>
    <row r="433">
      <c r="D433" s="301"/>
    </row>
    <row r="434">
      <c r="D434" s="301"/>
    </row>
    <row r="435">
      <c r="D435" s="301"/>
    </row>
    <row r="436">
      <c r="D436" s="301"/>
    </row>
    <row r="437">
      <c r="D437" s="301"/>
    </row>
    <row r="438">
      <c r="D438" s="301"/>
    </row>
    <row r="439">
      <c r="D439" s="301"/>
    </row>
    <row r="440">
      <c r="D440" s="301"/>
    </row>
    <row r="441">
      <c r="D441" s="301"/>
    </row>
    <row r="442">
      <c r="D442" s="301"/>
    </row>
    <row r="443">
      <c r="D443" s="301"/>
    </row>
    <row r="444">
      <c r="D444" s="301"/>
    </row>
    <row r="445">
      <c r="D445" s="301"/>
    </row>
    <row r="446">
      <c r="D446" s="301"/>
    </row>
    <row r="447">
      <c r="D447" s="301"/>
    </row>
    <row r="448">
      <c r="D448" s="301"/>
    </row>
    <row r="449">
      <c r="D449" s="301"/>
    </row>
    <row r="450">
      <c r="D450" s="301"/>
    </row>
    <row r="451">
      <c r="D451" s="301"/>
    </row>
    <row r="452">
      <c r="D452" s="301"/>
    </row>
    <row r="453">
      <c r="D453" s="301"/>
    </row>
    <row r="454">
      <c r="D454" s="301"/>
    </row>
    <row r="455">
      <c r="D455" s="301"/>
    </row>
    <row r="456">
      <c r="D456" s="301"/>
    </row>
    <row r="457">
      <c r="D457" s="301"/>
    </row>
    <row r="458">
      <c r="D458" s="301"/>
    </row>
    <row r="459">
      <c r="D459" s="301"/>
    </row>
    <row r="460">
      <c r="D460" s="301"/>
    </row>
    <row r="461">
      <c r="D461" s="301"/>
    </row>
    <row r="462">
      <c r="D462" s="301"/>
    </row>
    <row r="463">
      <c r="D463" s="301"/>
    </row>
    <row r="464">
      <c r="D464" s="301"/>
    </row>
    <row r="465">
      <c r="D465" s="301"/>
    </row>
    <row r="466">
      <c r="D466" s="301"/>
    </row>
    <row r="467">
      <c r="D467" s="301"/>
    </row>
    <row r="468">
      <c r="D468" s="301"/>
    </row>
    <row r="469">
      <c r="D469" s="301"/>
    </row>
    <row r="470">
      <c r="D470" s="301"/>
    </row>
    <row r="471">
      <c r="D471" s="301"/>
    </row>
    <row r="472">
      <c r="D472" s="301"/>
    </row>
    <row r="473">
      <c r="D473" s="301"/>
    </row>
    <row r="474">
      <c r="D474" s="301"/>
    </row>
    <row r="475">
      <c r="D475" s="301"/>
    </row>
    <row r="476">
      <c r="D476" s="301"/>
    </row>
    <row r="477">
      <c r="D477" s="301"/>
    </row>
    <row r="478">
      <c r="D478" s="301"/>
    </row>
    <row r="479">
      <c r="D479" s="301"/>
    </row>
    <row r="480">
      <c r="D480" s="301"/>
    </row>
    <row r="481">
      <c r="D481" s="301"/>
    </row>
    <row r="482">
      <c r="D482" s="301"/>
    </row>
    <row r="483">
      <c r="D483" s="301"/>
    </row>
    <row r="484">
      <c r="D484" s="301"/>
    </row>
    <row r="485">
      <c r="D485" s="301"/>
    </row>
    <row r="486">
      <c r="D486" s="301"/>
    </row>
    <row r="487">
      <c r="D487" s="301"/>
    </row>
    <row r="488">
      <c r="D488" s="301"/>
    </row>
    <row r="489">
      <c r="D489" s="301"/>
    </row>
    <row r="490">
      <c r="D490" s="301"/>
    </row>
    <row r="491">
      <c r="D491" s="301"/>
    </row>
    <row r="492">
      <c r="D492" s="301"/>
    </row>
    <row r="493">
      <c r="D493" s="301"/>
    </row>
    <row r="494">
      <c r="D494" s="301"/>
    </row>
    <row r="495">
      <c r="D495" s="301"/>
    </row>
    <row r="496">
      <c r="D496" s="301"/>
    </row>
    <row r="497">
      <c r="D497" s="301"/>
    </row>
    <row r="498">
      <c r="D498" s="301"/>
    </row>
    <row r="499">
      <c r="D499" s="301"/>
    </row>
    <row r="500">
      <c r="D500" s="301"/>
    </row>
    <row r="501">
      <c r="D501" s="301"/>
    </row>
    <row r="502">
      <c r="D502" s="301"/>
    </row>
    <row r="503">
      <c r="D503" s="301"/>
    </row>
    <row r="504">
      <c r="D504" s="301"/>
    </row>
    <row r="505">
      <c r="D505" s="301"/>
    </row>
    <row r="506">
      <c r="D506" s="301"/>
    </row>
    <row r="507">
      <c r="D507" s="301"/>
    </row>
    <row r="508">
      <c r="D508" s="301"/>
    </row>
    <row r="509">
      <c r="D509" s="301"/>
    </row>
    <row r="510">
      <c r="D510" s="301"/>
    </row>
    <row r="511">
      <c r="D511" s="301"/>
    </row>
    <row r="512">
      <c r="D512" s="301"/>
    </row>
    <row r="513">
      <c r="D513" s="301"/>
    </row>
    <row r="514">
      <c r="D514" s="301"/>
    </row>
    <row r="515">
      <c r="D515" s="301"/>
    </row>
    <row r="516">
      <c r="D516" s="301"/>
    </row>
    <row r="517">
      <c r="D517" s="301"/>
    </row>
    <row r="518">
      <c r="D518" s="301"/>
    </row>
    <row r="519">
      <c r="D519" s="301"/>
    </row>
    <row r="520">
      <c r="D520" s="301"/>
    </row>
    <row r="521">
      <c r="D521" s="301"/>
    </row>
    <row r="522">
      <c r="D522" s="301"/>
    </row>
    <row r="523">
      <c r="D523" s="301"/>
    </row>
    <row r="524">
      <c r="D524" s="301"/>
    </row>
    <row r="525">
      <c r="D525" s="301"/>
    </row>
    <row r="526">
      <c r="D526" s="301"/>
    </row>
    <row r="527">
      <c r="D527" s="301"/>
    </row>
    <row r="528">
      <c r="D528" s="301"/>
    </row>
    <row r="529">
      <c r="D529" s="301"/>
    </row>
    <row r="530">
      <c r="D530" s="301"/>
    </row>
    <row r="531">
      <c r="D531" s="301"/>
    </row>
    <row r="532">
      <c r="D532" s="301"/>
    </row>
    <row r="533">
      <c r="D533" s="301"/>
    </row>
    <row r="534">
      <c r="D534" s="301"/>
    </row>
    <row r="535">
      <c r="D535" s="301"/>
    </row>
    <row r="536">
      <c r="D536" s="301"/>
    </row>
    <row r="537">
      <c r="D537" s="301"/>
    </row>
    <row r="538">
      <c r="D538" s="301"/>
    </row>
    <row r="539">
      <c r="D539" s="301"/>
    </row>
    <row r="540">
      <c r="D540" s="301"/>
    </row>
    <row r="541">
      <c r="D541" s="301"/>
    </row>
    <row r="542">
      <c r="D542" s="301"/>
    </row>
    <row r="543">
      <c r="D543" s="301"/>
    </row>
    <row r="544">
      <c r="D544" s="301"/>
    </row>
    <row r="545">
      <c r="D545" s="301"/>
    </row>
    <row r="546">
      <c r="D546" s="301"/>
    </row>
    <row r="547">
      <c r="D547" s="301"/>
    </row>
    <row r="548">
      <c r="D548" s="301"/>
    </row>
    <row r="549">
      <c r="D549" s="301"/>
    </row>
    <row r="550">
      <c r="D550" s="301"/>
    </row>
    <row r="551">
      <c r="D551" s="301"/>
    </row>
    <row r="552">
      <c r="D552" s="301"/>
    </row>
    <row r="553">
      <c r="D553" s="301"/>
    </row>
    <row r="554">
      <c r="D554" s="301"/>
    </row>
    <row r="555">
      <c r="D555" s="301"/>
    </row>
    <row r="556">
      <c r="D556" s="301"/>
    </row>
    <row r="557">
      <c r="D557" s="301"/>
    </row>
    <row r="558">
      <c r="D558" s="301"/>
    </row>
    <row r="559">
      <c r="D559" s="301"/>
    </row>
    <row r="560">
      <c r="D560" s="301"/>
    </row>
    <row r="561">
      <c r="D561" s="301"/>
    </row>
    <row r="562">
      <c r="D562" s="301"/>
    </row>
    <row r="563">
      <c r="D563" s="301"/>
    </row>
    <row r="564">
      <c r="D564" s="301"/>
    </row>
    <row r="565">
      <c r="D565" s="301"/>
    </row>
    <row r="566">
      <c r="D566" s="301"/>
    </row>
    <row r="567">
      <c r="D567" s="301"/>
    </row>
    <row r="568">
      <c r="D568" s="301"/>
    </row>
    <row r="569">
      <c r="D569" s="301"/>
    </row>
    <row r="570">
      <c r="D570" s="301"/>
    </row>
    <row r="571">
      <c r="D571" s="301"/>
    </row>
    <row r="572">
      <c r="D572" s="301"/>
    </row>
    <row r="573">
      <c r="D573" s="301"/>
    </row>
    <row r="574">
      <c r="D574" s="301"/>
    </row>
    <row r="575">
      <c r="D575" s="301"/>
    </row>
    <row r="576">
      <c r="D576" s="301"/>
    </row>
    <row r="577">
      <c r="D577" s="301"/>
    </row>
    <row r="578">
      <c r="D578" s="301"/>
    </row>
    <row r="579">
      <c r="D579" s="301"/>
    </row>
    <row r="580">
      <c r="D580" s="301"/>
    </row>
    <row r="581">
      <c r="D581" s="301"/>
    </row>
    <row r="582">
      <c r="D582" s="301"/>
    </row>
    <row r="583">
      <c r="D583" s="301"/>
    </row>
    <row r="584">
      <c r="D584" s="301"/>
    </row>
    <row r="585">
      <c r="D585" s="301"/>
    </row>
    <row r="586">
      <c r="D586" s="301"/>
    </row>
    <row r="587">
      <c r="D587" s="301"/>
    </row>
    <row r="588">
      <c r="D588" s="301"/>
    </row>
    <row r="589">
      <c r="D589" s="301"/>
    </row>
    <row r="590">
      <c r="D590" s="301"/>
    </row>
    <row r="591">
      <c r="D591" s="301"/>
    </row>
    <row r="592">
      <c r="D592" s="301"/>
    </row>
    <row r="593">
      <c r="D593" s="301"/>
    </row>
    <row r="594">
      <c r="D594" s="301"/>
    </row>
    <row r="595">
      <c r="D595" s="301"/>
    </row>
    <row r="596">
      <c r="D596" s="301"/>
    </row>
    <row r="597">
      <c r="D597" s="301"/>
    </row>
    <row r="598">
      <c r="D598" s="301"/>
    </row>
    <row r="599">
      <c r="D599" s="301"/>
    </row>
    <row r="600">
      <c r="D600" s="301"/>
    </row>
    <row r="601">
      <c r="D601" s="301"/>
    </row>
    <row r="602">
      <c r="D602" s="301"/>
    </row>
    <row r="603">
      <c r="D603" s="301"/>
    </row>
    <row r="604">
      <c r="D604" s="301"/>
    </row>
    <row r="605">
      <c r="D605" s="301"/>
    </row>
    <row r="606">
      <c r="D606" s="301"/>
    </row>
    <row r="607">
      <c r="D607" s="301"/>
    </row>
    <row r="608">
      <c r="D608" s="301"/>
    </row>
    <row r="609">
      <c r="D609" s="301"/>
    </row>
    <row r="610">
      <c r="D610" s="301"/>
    </row>
    <row r="611">
      <c r="D611" s="301"/>
    </row>
    <row r="612">
      <c r="D612" s="301"/>
    </row>
    <row r="613">
      <c r="D613" s="301"/>
    </row>
    <row r="614">
      <c r="D614" s="301"/>
    </row>
    <row r="615">
      <c r="D615" s="301"/>
    </row>
    <row r="616">
      <c r="D616" s="301"/>
    </row>
    <row r="617">
      <c r="D617" s="301"/>
    </row>
    <row r="618">
      <c r="D618" s="301"/>
    </row>
    <row r="619">
      <c r="D619" s="301"/>
    </row>
    <row r="620">
      <c r="D620" s="301"/>
    </row>
    <row r="621">
      <c r="D621" s="301"/>
    </row>
    <row r="622">
      <c r="D622" s="301"/>
    </row>
    <row r="623">
      <c r="D623" s="301"/>
    </row>
    <row r="624">
      <c r="D624" s="301"/>
    </row>
    <row r="625">
      <c r="D625" s="301"/>
    </row>
    <row r="626">
      <c r="D626" s="301"/>
    </row>
    <row r="627">
      <c r="D627" s="301"/>
    </row>
    <row r="628">
      <c r="D628" s="301"/>
    </row>
    <row r="629">
      <c r="D629" s="301"/>
    </row>
    <row r="630">
      <c r="D630" s="301"/>
    </row>
    <row r="631">
      <c r="D631" s="301"/>
    </row>
    <row r="632">
      <c r="D632" s="301"/>
    </row>
    <row r="633">
      <c r="D633" s="301"/>
    </row>
    <row r="634">
      <c r="D634" s="301"/>
    </row>
    <row r="635">
      <c r="D635" s="301"/>
    </row>
    <row r="636">
      <c r="D636" s="301"/>
    </row>
    <row r="637">
      <c r="D637" s="301"/>
    </row>
    <row r="638">
      <c r="D638" s="301"/>
    </row>
    <row r="639">
      <c r="D639" s="301"/>
    </row>
    <row r="640">
      <c r="D640" s="301"/>
    </row>
    <row r="641">
      <c r="D641" s="301"/>
    </row>
    <row r="642">
      <c r="D642" s="301"/>
    </row>
    <row r="643">
      <c r="D643" s="301"/>
    </row>
    <row r="644">
      <c r="D644" s="301"/>
    </row>
    <row r="645">
      <c r="D645" s="301"/>
    </row>
    <row r="646">
      <c r="D646" s="301"/>
    </row>
    <row r="647">
      <c r="D647" s="301"/>
    </row>
    <row r="648">
      <c r="D648" s="301"/>
    </row>
    <row r="649">
      <c r="D649" s="301"/>
    </row>
    <row r="650">
      <c r="D650" s="301"/>
    </row>
    <row r="651">
      <c r="D651" s="301"/>
    </row>
    <row r="652">
      <c r="D652" s="301"/>
    </row>
    <row r="653">
      <c r="D653" s="301"/>
    </row>
    <row r="654">
      <c r="D654" s="301"/>
    </row>
    <row r="655">
      <c r="D655" s="301"/>
    </row>
    <row r="656">
      <c r="D656" s="301"/>
    </row>
    <row r="657">
      <c r="D657" s="301"/>
    </row>
    <row r="658">
      <c r="D658" s="301"/>
    </row>
    <row r="659">
      <c r="D659" s="301"/>
    </row>
    <row r="660">
      <c r="D660" s="301"/>
    </row>
    <row r="661">
      <c r="D661" s="301"/>
    </row>
    <row r="662">
      <c r="D662" s="301"/>
    </row>
    <row r="663">
      <c r="D663" s="301"/>
    </row>
    <row r="664">
      <c r="D664" s="301"/>
    </row>
    <row r="665">
      <c r="D665" s="301"/>
    </row>
    <row r="666">
      <c r="D666" s="301"/>
    </row>
    <row r="667">
      <c r="D667" s="301"/>
    </row>
    <row r="668">
      <c r="D668" s="301"/>
    </row>
    <row r="669">
      <c r="D669" s="301"/>
    </row>
    <row r="670">
      <c r="D670" s="301"/>
    </row>
    <row r="671">
      <c r="D671" s="301"/>
    </row>
    <row r="672">
      <c r="D672" s="301"/>
    </row>
    <row r="673">
      <c r="D673" s="301"/>
    </row>
    <row r="674">
      <c r="D674" s="301"/>
    </row>
    <row r="675">
      <c r="D675" s="301"/>
    </row>
    <row r="676">
      <c r="D676" s="301"/>
    </row>
    <row r="677">
      <c r="D677" s="301"/>
    </row>
    <row r="678">
      <c r="D678" s="301"/>
    </row>
    <row r="679">
      <c r="D679" s="301"/>
    </row>
    <row r="680">
      <c r="D680" s="301"/>
    </row>
    <row r="681">
      <c r="D681" s="301"/>
    </row>
    <row r="682">
      <c r="D682" s="301"/>
    </row>
    <row r="683">
      <c r="D683" s="301"/>
    </row>
    <row r="684">
      <c r="D684" s="301"/>
    </row>
    <row r="685">
      <c r="D685" s="301"/>
    </row>
    <row r="686">
      <c r="D686" s="301"/>
    </row>
    <row r="687">
      <c r="D687" s="301"/>
    </row>
    <row r="688">
      <c r="D688" s="301"/>
    </row>
    <row r="689">
      <c r="D689" s="301"/>
    </row>
    <row r="690">
      <c r="D690" s="301"/>
    </row>
    <row r="691">
      <c r="D691" s="301"/>
    </row>
    <row r="692">
      <c r="D692" s="301"/>
    </row>
    <row r="693">
      <c r="D693" s="301"/>
    </row>
    <row r="694">
      <c r="D694" s="301"/>
    </row>
    <row r="695">
      <c r="D695" s="301"/>
    </row>
    <row r="696">
      <c r="D696" s="301"/>
    </row>
    <row r="697">
      <c r="D697" s="301"/>
    </row>
    <row r="698">
      <c r="D698" s="301"/>
    </row>
    <row r="699">
      <c r="D699" s="301"/>
    </row>
    <row r="700">
      <c r="D700" s="301"/>
    </row>
    <row r="701">
      <c r="D701" s="301"/>
    </row>
    <row r="702">
      <c r="D702" s="301"/>
    </row>
    <row r="703">
      <c r="D703" s="301"/>
    </row>
    <row r="704">
      <c r="D704" s="301"/>
    </row>
    <row r="705">
      <c r="D705" s="301"/>
    </row>
    <row r="706">
      <c r="D706" s="301"/>
    </row>
    <row r="707">
      <c r="D707" s="301"/>
    </row>
    <row r="708">
      <c r="D708" s="301"/>
    </row>
    <row r="709">
      <c r="D709" s="301"/>
    </row>
    <row r="710">
      <c r="D710" s="301"/>
    </row>
    <row r="711">
      <c r="D711" s="301"/>
    </row>
    <row r="712">
      <c r="D712" s="301"/>
    </row>
    <row r="713">
      <c r="D713" s="301"/>
    </row>
    <row r="714">
      <c r="D714" s="301"/>
    </row>
    <row r="715">
      <c r="D715" s="301"/>
    </row>
    <row r="716">
      <c r="D716" s="301"/>
    </row>
    <row r="717">
      <c r="D717" s="301"/>
    </row>
    <row r="718">
      <c r="D718" s="301"/>
    </row>
    <row r="719">
      <c r="D719" s="301"/>
    </row>
    <row r="720">
      <c r="D720" s="301"/>
    </row>
    <row r="721">
      <c r="D721" s="301"/>
    </row>
    <row r="722">
      <c r="D722" s="301"/>
    </row>
    <row r="723">
      <c r="D723" s="301"/>
    </row>
    <row r="724">
      <c r="D724" s="301"/>
    </row>
    <row r="725">
      <c r="D725" s="301"/>
    </row>
    <row r="726">
      <c r="D726" s="301"/>
    </row>
    <row r="727">
      <c r="D727" s="301"/>
    </row>
    <row r="728">
      <c r="D728" s="301"/>
    </row>
    <row r="729">
      <c r="D729" s="301"/>
    </row>
    <row r="730">
      <c r="D730" s="301"/>
    </row>
    <row r="731">
      <c r="D731" s="301"/>
    </row>
    <row r="732">
      <c r="D732" s="301"/>
    </row>
    <row r="733">
      <c r="D733" s="301"/>
    </row>
    <row r="734">
      <c r="D734" s="301"/>
    </row>
    <row r="735">
      <c r="D735" s="301"/>
    </row>
    <row r="736">
      <c r="D736" s="301"/>
    </row>
    <row r="737">
      <c r="D737" s="301"/>
    </row>
    <row r="738">
      <c r="D738" s="301"/>
    </row>
    <row r="739">
      <c r="D739" s="301"/>
    </row>
    <row r="740">
      <c r="D740" s="301"/>
    </row>
    <row r="741">
      <c r="D741" s="301"/>
    </row>
    <row r="742">
      <c r="D742" s="301"/>
    </row>
    <row r="743">
      <c r="D743" s="301"/>
    </row>
    <row r="744">
      <c r="D744" s="301"/>
    </row>
    <row r="745">
      <c r="D745" s="301"/>
    </row>
    <row r="746">
      <c r="D746" s="301"/>
    </row>
    <row r="747">
      <c r="D747" s="301"/>
    </row>
    <row r="748">
      <c r="D748" s="301"/>
    </row>
    <row r="749">
      <c r="D749" s="301"/>
    </row>
    <row r="750">
      <c r="D750" s="301"/>
    </row>
    <row r="751">
      <c r="D751" s="301"/>
    </row>
    <row r="752">
      <c r="D752" s="301"/>
    </row>
    <row r="753">
      <c r="D753" s="301"/>
    </row>
    <row r="754">
      <c r="D754" s="301"/>
    </row>
    <row r="755">
      <c r="D755" s="301"/>
    </row>
    <row r="756">
      <c r="D756" s="301"/>
    </row>
    <row r="757">
      <c r="D757" s="301"/>
    </row>
    <row r="758">
      <c r="D758" s="301"/>
    </row>
    <row r="759">
      <c r="D759" s="301"/>
    </row>
    <row r="760">
      <c r="D760" s="301"/>
    </row>
    <row r="761">
      <c r="D761" s="301"/>
    </row>
    <row r="762">
      <c r="D762" s="301"/>
    </row>
    <row r="763">
      <c r="D763" s="301"/>
    </row>
    <row r="764">
      <c r="D764" s="301"/>
    </row>
    <row r="765">
      <c r="D765" s="301"/>
    </row>
    <row r="766">
      <c r="D766" s="301"/>
    </row>
    <row r="767">
      <c r="D767" s="301"/>
    </row>
    <row r="768">
      <c r="D768" s="301"/>
    </row>
    <row r="769">
      <c r="D769" s="301"/>
    </row>
    <row r="770">
      <c r="D770" s="301"/>
    </row>
    <row r="771">
      <c r="D771" s="301"/>
    </row>
    <row r="772">
      <c r="D772" s="301"/>
    </row>
    <row r="773">
      <c r="D773" s="301"/>
    </row>
    <row r="774">
      <c r="D774" s="301"/>
    </row>
    <row r="775">
      <c r="D775" s="301"/>
    </row>
    <row r="776">
      <c r="D776" s="301"/>
    </row>
    <row r="777">
      <c r="D777" s="301"/>
    </row>
    <row r="778">
      <c r="D778" s="301"/>
    </row>
    <row r="779">
      <c r="D779" s="301"/>
    </row>
    <row r="780">
      <c r="D780" s="301"/>
    </row>
    <row r="781">
      <c r="D781" s="301"/>
    </row>
    <row r="782">
      <c r="D782" s="301"/>
    </row>
    <row r="783">
      <c r="D783" s="301"/>
    </row>
    <row r="784">
      <c r="D784" s="301"/>
    </row>
    <row r="785">
      <c r="D785" s="301"/>
    </row>
    <row r="786">
      <c r="D786" s="301"/>
    </row>
    <row r="787">
      <c r="D787" s="301"/>
    </row>
    <row r="788">
      <c r="D788" s="301"/>
    </row>
    <row r="789">
      <c r="D789" s="301"/>
    </row>
    <row r="790">
      <c r="D790" s="301"/>
    </row>
    <row r="791">
      <c r="D791" s="301"/>
    </row>
    <row r="792">
      <c r="D792" s="301"/>
    </row>
    <row r="793">
      <c r="D793" s="301"/>
    </row>
    <row r="794">
      <c r="D794" s="301"/>
    </row>
    <row r="795">
      <c r="D795" s="301"/>
    </row>
    <row r="796">
      <c r="D796" s="301"/>
    </row>
    <row r="797">
      <c r="D797" s="301"/>
    </row>
    <row r="798">
      <c r="D798" s="301"/>
    </row>
    <row r="799">
      <c r="D799" s="301"/>
    </row>
    <row r="800">
      <c r="D800" s="301"/>
    </row>
    <row r="801">
      <c r="D801" s="301"/>
    </row>
    <row r="802">
      <c r="D802" s="301"/>
    </row>
    <row r="803">
      <c r="D803" s="301"/>
    </row>
    <row r="804">
      <c r="D804" s="301"/>
    </row>
    <row r="805">
      <c r="D805" s="301"/>
    </row>
    <row r="806">
      <c r="D806" s="301"/>
    </row>
    <row r="807">
      <c r="D807" s="301"/>
    </row>
    <row r="808">
      <c r="D808" s="301"/>
    </row>
    <row r="809">
      <c r="D809" s="301"/>
    </row>
    <row r="810">
      <c r="D810" s="301"/>
    </row>
    <row r="811">
      <c r="D811" s="301"/>
    </row>
    <row r="812">
      <c r="D812" s="301"/>
    </row>
    <row r="813">
      <c r="D813" s="301"/>
    </row>
    <row r="814">
      <c r="D814" s="301"/>
    </row>
    <row r="815">
      <c r="D815" s="301"/>
    </row>
    <row r="816">
      <c r="D816" s="301"/>
    </row>
    <row r="817">
      <c r="D817" s="301"/>
    </row>
    <row r="818">
      <c r="D818" s="301"/>
    </row>
    <row r="819">
      <c r="D819" s="301"/>
    </row>
    <row r="820">
      <c r="D820" s="301"/>
    </row>
    <row r="821">
      <c r="D821" s="301"/>
    </row>
    <row r="822">
      <c r="D822" s="301"/>
    </row>
    <row r="823">
      <c r="D823" s="301"/>
    </row>
    <row r="824">
      <c r="D824" s="301"/>
    </row>
    <row r="825">
      <c r="D825" s="301"/>
    </row>
    <row r="826">
      <c r="D826" s="301"/>
    </row>
    <row r="827">
      <c r="D827" s="301"/>
    </row>
    <row r="828">
      <c r="D828" s="301"/>
    </row>
    <row r="829">
      <c r="D829" s="301"/>
    </row>
    <row r="830">
      <c r="D830" s="301"/>
    </row>
    <row r="831">
      <c r="D831" s="301"/>
    </row>
    <row r="832">
      <c r="D832" s="301"/>
    </row>
    <row r="833">
      <c r="D833" s="301"/>
    </row>
    <row r="834">
      <c r="D834" s="301"/>
    </row>
    <row r="835">
      <c r="D835" s="301"/>
    </row>
    <row r="836">
      <c r="D836" s="301"/>
    </row>
    <row r="837">
      <c r="D837" s="301"/>
    </row>
    <row r="838">
      <c r="D838" s="301"/>
    </row>
    <row r="839">
      <c r="D839" s="301"/>
    </row>
    <row r="840">
      <c r="D840" s="301"/>
    </row>
    <row r="841">
      <c r="D841" s="301"/>
    </row>
    <row r="842">
      <c r="D842" s="301"/>
    </row>
    <row r="843">
      <c r="D843" s="301"/>
    </row>
    <row r="844">
      <c r="D844" s="301"/>
    </row>
    <row r="845">
      <c r="D845" s="301"/>
    </row>
    <row r="846">
      <c r="D846" s="301"/>
    </row>
    <row r="847">
      <c r="D847" s="301"/>
    </row>
    <row r="848">
      <c r="D848" s="301"/>
    </row>
    <row r="849">
      <c r="D849" s="301"/>
    </row>
    <row r="850">
      <c r="D850" s="301"/>
    </row>
    <row r="851">
      <c r="D851" s="301"/>
    </row>
    <row r="852">
      <c r="D852" s="301"/>
    </row>
    <row r="853">
      <c r="D853" s="301"/>
    </row>
    <row r="854">
      <c r="D854" s="301"/>
    </row>
    <row r="855">
      <c r="D855" s="301"/>
    </row>
    <row r="856">
      <c r="D856" s="301"/>
    </row>
    <row r="857">
      <c r="D857" s="301"/>
    </row>
    <row r="858">
      <c r="D858" s="301"/>
    </row>
    <row r="859">
      <c r="D859" s="301"/>
    </row>
    <row r="860">
      <c r="D860" s="301"/>
    </row>
    <row r="861">
      <c r="D861" s="301"/>
    </row>
    <row r="862">
      <c r="D862" s="301"/>
    </row>
    <row r="863">
      <c r="D863" s="301"/>
    </row>
    <row r="864">
      <c r="D864" s="301"/>
    </row>
    <row r="865">
      <c r="D865" s="301"/>
    </row>
    <row r="866">
      <c r="D866" s="301"/>
    </row>
    <row r="867">
      <c r="D867" s="301"/>
    </row>
    <row r="868">
      <c r="D868" s="301"/>
    </row>
    <row r="869">
      <c r="D869" s="301"/>
    </row>
    <row r="870">
      <c r="D870" s="301"/>
    </row>
    <row r="871">
      <c r="D871" s="301"/>
    </row>
    <row r="872">
      <c r="D872" s="301"/>
    </row>
    <row r="873">
      <c r="D873" s="301"/>
    </row>
    <row r="874">
      <c r="D874" s="301"/>
    </row>
    <row r="875">
      <c r="D875" s="301"/>
    </row>
    <row r="876">
      <c r="D876" s="301"/>
    </row>
    <row r="877">
      <c r="D877" s="301"/>
    </row>
    <row r="878">
      <c r="D878" s="301"/>
    </row>
    <row r="879">
      <c r="D879" s="301"/>
    </row>
    <row r="880">
      <c r="D880" s="301"/>
    </row>
    <row r="881">
      <c r="D881" s="301"/>
    </row>
    <row r="882">
      <c r="D882" s="301"/>
    </row>
    <row r="883">
      <c r="D883" s="301"/>
    </row>
    <row r="884">
      <c r="D884" s="301"/>
    </row>
    <row r="885">
      <c r="D885" s="301"/>
    </row>
    <row r="886">
      <c r="D886" s="301"/>
    </row>
    <row r="887">
      <c r="D887" s="301"/>
    </row>
    <row r="888">
      <c r="D888" s="301"/>
    </row>
    <row r="889">
      <c r="D889" s="301"/>
    </row>
    <row r="890">
      <c r="D890" s="301"/>
    </row>
    <row r="891">
      <c r="D891" s="301"/>
    </row>
    <row r="892">
      <c r="D892" s="301"/>
    </row>
    <row r="893">
      <c r="D893" s="301"/>
    </row>
    <row r="894">
      <c r="D894" s="301"/>
    </row>
    <row r="895">
      <c r="D895" s="301"/>
    </row>
    <row r="896">
      <c r="D896" s="301"/>
    </row>
    <row r="897">
      <c r="D897" s="301"/>
    </row>
    <row r="898">
      <c r="D898" s="301"/>
    </row>
    <row r="899">
      <c r="D899" s="301"/>
    </row>
    <row r="900">
      <c r="D900" s="301"/>
    </row>
    <row r="901">
      <c r="D901" s="301"/>
    </row>
    <row r="902">
      <c r="D902" s="301"/>
    </row>
    <row r="903">
      <c r="D903" s="301"/>
    </row>
    <row r="904">
      <c r="D904" s="301"/>
    </row>
    <row r="905">
      <c r="D905" s="301"/>
    </row>
    <row r="906">
      <c r="D906" s="301"/>
    </row>
    <row r="907">
      <c r="D907" s="301"/>
    </row>
    <row r="908">
      <c r="D908" s="301"/>
    </row>
    <row r="909">
      <c r="D909" s="301"/>
    </row>
    <row r="910">
      <c r="D910" s="301"/>
    </row>
    <row r="911">
      <c r="D911" s="301"/>
    </row>
    <row r="912">
      <c r="D912" s="301"/>
    </row>
    <row r="913">
      <c r="D913" s="301"/>
    </row>
    <row r="914">
      <c r="D914" s="301"/>
    </row>
    <row r="915">
      <c r="D915" s="301"/>
    </row>
    <row r="916">
      <c r="D916" s="301"/>
    </row>
    <row r="917">
      <c r="D917" s="301"/>
    </row>
    <row r="918">
      <c r="D918" s="301"/>
    </row>
    <row r="919">
      <c r="D919" s="301"/>
    </row>
    <row r="920">
      <c r="D920" s="301"/>
    </row>
    <row r="921">
      <c r="D921" s="301"/>
    </row>
    <row r="922">
      <c r="D922" s="301"/>
    </row>
    <row r="923">
      <c r="D923" s="301"/>
    </row>
    <row r="924">
      <c r="D924" s="301"/>
    </row>
    <row r="925">
      <c r="D925" s="301"/>
    </row>
    <row r="926">
      <c r="D926" s="301"/>
    </row>
    <row r="927">
      <c r="D927" s="301"/>
    </row>
    <row r="928">
      <c r="D928" s="301"/>
    </row>
    <row r="929">
      <c r="D929" s="301"/>
    </row>
    <row r="930">
      <c r="D930" s="301"/>
    </row>
    <row r="931">
      <c r="D931" s="301"/>
    </row>
    <row r="932">
      <c r="D932" s="301"/>
    </row>
    <row r="933">
      <c r="D933" s="301"/>
    </row>
    <row r="934">
      <c r="D934" s="301"/>
    </row>
    <row r="935">
      <c r="D935" s="301"/>
    </row>
    <row r="936">
      <c r="D936" s="301"/>
    </row>
    <row r="937">
      <c r="D937" s="301"/>
    </row>
    <row r="938">
      <c r="D938" s="301"/>
    </row>
    <row r="939">
      <c r="D939" s="301"/>
    </row>
    <row r="940">
      <c r="D940" s="301"/>
    </row>
    <row r="941">
      <c r="D941" s="301"/>
    </row>
    <row r="942">
      <c r="D942" s="301"/>
    </row>
    <row r="943">
      <c r="D943" s="301"/>
    </row>
    <row r="944">
      <c r="D944" s="301"/>
    </row>
    <row r="945">
      <c r="D945" s="301"/>
    </row>
    <row r="946">
      <c r="D946" s="301"/>
    </row>
    <row r="947">
      <c r="D947" s="301"/>
    </row>
    <row r="948">
      <c r="D948" s="301"/>
    </row>
    <row r="949">
      <c r="D949" s="301"/>
    </row>
    <row r="950">
      <c r="D950" s="301"/>
    </row>
    <row r="951">
      <c r="D951" s="301"/>
    </row>
    <row r="952">
      <c r="D952" s="301"/>
    </row>
    <row r="953">
      <c r="D953" s="301"/>
    </row>
    <row r="954">
      <c r="D954" s="301"/>
    </row>
    <row r="955">
      <c r="D955" s="301"/>
    </row>
    <row r="956">
      <c r="D956" s="301"/>
    </row>
    <row r="957">
      <c r="D957" s="301"/>
    </row>
    <row r="958">
      <c r="D958" s="301"/>
    </row>
    <row r="959">
      <c r="D959" s="301"/>
    </row>
    <row r="960">
      <c r="D960" s="301"/>
    </row>
    <row r="961">
      <c r="D961" s="301"/>
    </row>
    <row r="962">
      <c r="D962" s="301"/>
    </row>
    <row r="963">
      <c r="D963" s="301"/>
    </row>
    <row r="964">
      <c r="D964" s="301"/>
    </row>
    <row r="965">
      <c r="D965" s="301"/>
    </row>
    <row r="966">
      <c r="D966" s="301"/>
    </row>
    <row r="967">
      <c r="D967" s="301"/>
    </row>
    <row r="968">
      <c r="D968" s="301"/>
    </row>
    <row r="969">
      <c r="D969" s="301"/>
    </row>
    <row r="970">
      <c r="D970" s="301"/>
    </row>
    <row r="971">
      <c r="D971" s="301"/>
    </row>
    <row r="972">
      <c r="D972" s="301"/>
    </row>
    <row r="973">
      <c r="D973" s="301"/>
    </row>
    <row r="974">
      <c r="D974" s="301"/>
    </row>
    <row r="975">
      <c r="D975" s="301"/>
    </row>
    <row r="976">
      <c r="D976" s="301"/>
    </row>
    <row r="977">
      <c r="D977" s="301"/>
    </row>
    <row r="978">
      <c r="D978" s="301"/>
    </row>
    <row r="979">
      <c r="D979" s="301"/>
    </row>
    <row r="980">
      <c r="D980" s="301"/>
    </row>
    <row r="981">
      <c r="D981" s="301"/>
    </row>
    <row r="982">
      <c r="D982" s="301"/>
    </row>
    <row r="983">
      <c r="D983" s="301"/>
    </row>
    <row r="984">
      <c r="D984" s="301"/>
    </row>
    <row r="985">
      <c r="D985" s="301"/>
    </row>
    <row r="986">
      <c r="D986" s="301"/>
    </row>
    <row r="987">
      <c r="D987" s="301"/>
    </row>
    <row r="988">
      <c r="D988" s="301"/>
    </row>
    <row r="989">
      <c r="D989" s="301"/>
    </row>
    <row r="990">
      <c r="D990" s="301"/>
    </row>
    <row r="991">
      <c r="D991" s="301"/>
    </row>
    <row r="992">
      <c r="D992" s="301"/>
    </row>
    <row r="993">
      <c r="D993" s="301"/>
    </row>
  </sheetData>
  <autoFilter ref="$A$1:$Z$993">
    <filterColumn colId="3">
      <filters blank="1">
        <filter val="SL-C438W"/>
        <filter val="SL-M2035"/>
        <filter val="SL-C565W / SL-C563W"/>
        <filter val="SL-C565FW"/>
        <filter val="SL-C486FW"/>
        <filter val="SL-C563W"/>
        <filter val="SL-C483W"/>
        <filter val="SL-C483FW"/>
        <filter val="SL-C565W"/>
      </filters>
    </filterColumn>
  </autoFilter>
  <hyperlinks>
    <hyperlink r:id="rId1" ref="H10"/>
    <hyperlink r:id="rId2" ref="H15"/>
    <hyperlink r:id="rId3" ref="H16"/>
    <hyperlink r:id="rId4" ref="H58"/>
    <hyperlink r:id="rId5" ref="H59"/>
    <hyperlink r:id="rId6" ref="H60"/>
  </hyperlinks>
  <drawing r:id="rId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9.0" ySplit="1.0" topLeftCell="J2" activePane="bottomRight" state="frozen"/>
      <selection activeCell="J1" sqref="J1" pane="topRight"/>
      <selection activeCell="A2" sqref="A2" pane="bottomLeft"/>
      <selection activeCell="J2" sqref="J2" pane="bottomRight"/>
    </sheetView>
  </sheetViews>
  <sheetFormatPr customHeight="1" defaultColWidth="12.63" defaultRowHeight="15.75"/>
  <cols>
    <col customWidth="1" min="1" max="1" width="5.5"/>
    <col customWidth="1" min="2" max="2" width="14.13"/>
    <col customWidth="1" min="3" max="3" width="6.0"/>
    <col customWidth="1" min="4" max="4" width="10.25"/>
    <col customWidth="1" min="5" max="5" width="9.63"/>
    <col customWidth="1" min="6" max="6" width="10.13"/>
    <col customWidth="1" min="7" max="7" width="8.0"/>
    <col customWidth="1" min="8" max="8" width="9.75"/>
    <col customWidth="1" min="9" max="9" width="18.25"/>
    <col customWidth="1" min="13" max="13" width="13.63"/>
    <col customWidth="1" min="14" max="14" width="9.0"/>
    <col customWidth="1" min="15" max="15" width="8.63"/>
    <col customWidth="1" min="16" max="16" width="7.13"/>
  </cols>
  <sheetData>
    <row r="1">
      <c r="A1" s="302" t="s">
        <v>0</v>
      </c>
      <c r="B1" s="302" t="s">
        <v>905</v>
      </c>
      <c r="C1" s="302" t="s">
        <v>906</v>
      </c>
      <c r="D1" s="302" t="s">
        <v>907</v>
      </c>
      <c r="E1" s="302" t="s">
        <v>908</v>
      </c>
      <c r="F1" s="302" t="s">
        <v>909</v>
      </c>
      <c r="G1" s="302" t="s">
        <v>2331</v>
      </c>
      <c r="H1" s="302" t="s">
        <v>910</v>
      </c>
      <c r="I1" s="302" t="s">
        <v>2332</v>
      </c>
      <c r="J1" s="302" t="s">
        <v>2333</v>
      </c>
      <c r="K1" s="302" t="s">
        <v>2334</v>
      </c>
      <c r="L1" s="302" t="s">
        <v>2335</v>
      </c>
      <c r="M1" s="302" t="s">
        <v>2336</v>
      </c>
      <c r="N1" s="302" t="s">
        <v>2337</v>
      </c>
      <c r="O1" s="302" t="s">
        <v>2338</v>
      </c>
      <c r="P1" s="303" t="s">
        <v>2339</v>
      </c>
      <c r="Q1" s="302" t="s">
        <v>2340</v>
      </c>
      <c r="R1" s="302" t="s">
        <v>2341</v>
      </c>
      <c r="S1" s="109"/>
      <c r="T1" s="109"/>
      <c r="U1" s="109"/>
      <c r="V1" s="109"/>
      <c r="W1" s="109"/>
      <c r="X1" s="109"/>
      <c r="Y1" s="109"/>
      <c r="Z1" s="109"/>
    </row>
    <row r="2">
      <c r="A2" s="304">
        <v>1.0</v>
      </c>
      <c r="B2" s="305" t="s">
        <v>1147</v>
      </c>
      <c r="C2" s="306"/>
      <c r="D2" s="306"/>
      <c r="E2" s="306"/>
      <c r="F2" s="307"/>
      <c r="G2" s="307"/>
      <c r="H2" s="304" t="s">
        <v>615</v>
      </c>
      <c r="I2" s="308" t="s">
        <v>2342</v>
      </c>
      <c r="J2" s="304" t="s">
        <v>2343</v>
      </c>
      <c r="K2" s="309"/>
      <c r="L2" s="309"/>
      <c r="M2" s="309"/>
      <c r="N2" s="309"/>
      <c r="O2" s="309"/>
      <c r="P2" s="310"/>
      <c r="Q2" s="309"/>
      <c r="R2" s="309"/>
      <c r="S2" s="109"/>
      <c r="T2" s="109"/>
      <c r="U2" s="109"/>
      <c r="V2" s="109"/>
      <c r="W2" s="109"/>
      <c r="X2" s="109"/>
      <c r="Y2" s="109"/>
      <c r="Z2" s="109"/>
    </row>
    <row r="3">
      <c r="A3" s="304">
        <v>2.0</v>
      </c>
      <c r="B3" s="305" t="s">
        <v>1147</v>
      </c>
      <c r="C3" s="305" t="s">
        <v>913</v>
      </c>
      <c r="D3" s="305">
        <v>465320.0</v>
      </c>
      <c r="E3" s="305" t="s">
        <v>1277</v>
      </c>
      <c r="F3" s="311" t="s">
        <v>1258</v>
      </c>
      <c r="G3" s="311" t="s">
        <v>1030</v>
      </c>
      <c r="H3" s="304" t="s">
        <v>96</v>
      </c>
      <c r="I3" s="304" t="s">
        <v>98</v>
      </c>
      <c r="J3" s="304" t="s">
        <v>2344</v>
      </c>
      <c r="K3" s="304" t="s">
        <v>2344</v>
      </c>
      <c r="L3" s="304" t="s">
        <v>2344</v>
      </c>
      <c r="M3" s="305" t="s">
        <v>2345</v>
      </c>
      <c r="N3" s="304" t="s">
        <v>2346</v>
      </c>
      <c r="O3" s="304" t="s">
        <v>2347</v>
      </c>
      <c r="P3" s="310"/>
      <c r="Q3" s="309"/>
      <c r="R3" s="309"/>
      <c r="S3" s="109"/>
      <c r="T3" s="109"/>
      <c r="U3" s="109"/>
      <c r="V3" s="109"/>
      <c r="W3" s="109"/>
      <c r="X3" s="109"/>
      <c r="Y3" s="109"/>
      <c r="Z3" s="109"/>
    </row>
    <row r="4">
      <c r="A4" s="304">
        <v>3.0</v>
      </c>
      <c r="B4" s="305" t="s">
        <v>1147</v>
      </c>
      <c r="C4" s="305" t="s">
        <v>913</v>
      </c>
      <c r="D4" s="305">
        <v>465332.0</v>
      </c>
      <c r="E4" s="305" t="s">
        <v>1279</v>
      </c>
      <c r="F4" s="311" t="s">
        <v>1258</v>
      </c>
      <c r="G4" s="311" t="s">
        <v>1030</v>
      </c>
      <c r="H4" s="304" t="s">
        <v>693</v>
      </c>
      <c r="I4" s="304" t="s">
        <v>695</v>
      </c>
      <c r="J4" s="304" t="s">
        <v>2344</v>
      </c>
      <c r="K4" s="304" t="s">
        <v>2344</v>
      </c>
      <c r="L4" s="304" t="s">
        <v>2344</v>
      </c>
      <c r="M4" s="312" t="s">
        <v>2348</v>
      </c>
      <c r="N4" s="304" t="s">
        <v>2346</v>
      </c>
      <c r="O4" s="304" t="s">
        <v>2349</v>
      </c>
      <c r="P4" s="310"/>
      <c r="Q4" s="309"/>
      <c r="R4" s="309"/>
      <c r="S4" s="109"/>
      <c r="T4" s="109"/>
      <c r="U4" s="109"/>
      <c r="V4" s="109"/>
      <c r="W4" s="109"/>
      <c r="X4" s="109"/>
      <c r="Y4" s="109"/>
      <c r="Z4" s="109"/>
    </row>
    <row r="5">
      <c r="A5" s="304">
        <v>5.0</v>
      </c>
      <c r="B5" s="305" t="s">
        <v>1147</v>
      </c>
      <c r="C5" s="305" t="s">
        <v>913</v>
      </c>
      <c r="D5" s="306"/>
      <c r="E5" s="305" t="s">
        <v>1283</v>
      </c>
      <c r="F5" s="311" t="s">
        <v>1258</v>
      </c>
      <c r="G5" s="311" t="s">
        <v>142</v>
      </c>
      <c r="H5" s="304" t="s">
        <v>716</v>
      </c>
      <c r="I5" s="304" t="s">
        <v>718</v>
      </c>
      <c r="J5" s="304" t="s">
        <v>2344</v>
      </c>
      <c r="K5" s="304" t="s">
        <v>2344</v>
      </c>
      <c r="L5" s="304" t="s">
        <v>2344</v>
      </c>
      <c r="M5" s="304" t="s">
        <v>2350</v>
      </c>
      <c r="N5" s="304" t="s">
        <v>0</v>
      </c>
      <c r="O5" s="304" t="s">
        <v>2351</v>
      </c>
      <c r="P5" s="313"/>
      <c r="Q5" s="309"/>
      <c r="R5" s="309"/>
      <c r="S5" s="109"/>
      <c r="T5" s="109"/>
      <c r="U5" s="109"/>
      <c r="V5" s="109"/>
      <c r="W5" s="109"/>
      <c r="X5" s="109"/>
      <c r="Y5" s="109"/>
      <c r="Z5" s="109"/>
    </row>
    <row r="6">
      <c r="A6" s="304">
        <v>6.0</v>
      </c>
      <c r="B6" s="305" t="s">
        <v>1147</v>
      </c>
      <c r="C6" s="305" t="s">
        <v>913</v>
      </c>
      <c r="D6" s="305">
        <v>465312.0</v>
      </c>
      <c r="E6" s="305" t="s">
        <v>1285</v>
      </c>
      <c r="F6" s="311" t="s">
        <v>1258</v>
      </c>
      <c r="G6" s="311" t="s">
        <v>142</v>
      </c>
      <c r="H6" s="304" t="s">
        <v>287</v>
      </c>
      <c r="I6" s="304" t="s">
        <v>289</v>
      </c>
      <c r="J6" s="304" t="s">
        <v>2344</v>
      </c>
      <c r="K6" s="304" t="s">
        <v>2344</v>
      </c>
      <c r="L6" s="304" t="s">
        <v>2344</v>
      </c>
      <c r="M6" s="305" t="s">
        <v>2352</v>
      </c>
      <c r="N6" s="304" t="s">
        <v>2346</v>
      </c>
      <c r="O6" s="304" t="s">
        <v>2353</v>
      </c>
      <c r="P6" s="310"/>
      <c r="Q6" s="309"/>
      <c r="R6" s="309"/>
      <c r="S6" s="109"/>
      <c r="T6" s="109"/>
      <c r="U6" s="109"/>
      <c r="V6" s="109"/>
      <c r="W6" s="109"/>
      <c r="X6" s="109"/>
      <c r="Y6" s="109"/>
      <c r="Z6" s="109"/>
    </row>
    <row r="7">
      <c r="A7" s="304">
        <v>7.0</v>
      </c>
      <c r="B7" s="305" t="s">
        <v>1147</v>
      </c>
      <c r="C7" s="305" t="s">
        <v>913</v>
      </c>
      <c r="D7" s="306"/>
      <c r="E7" s="305" t="s">
        <v>1286</v>
      </c>
      <c r="F7" s="311" t="s">
        <v>1258</v>
      </c>
      <c r="G7" s="311" t="s">
        <v>20</v>
      </c>
      <c r="H7" s="304" t="s">
        <v>208</v>
      </c>
      <c r="I7" s="304" t="s">
        <v>210</v>
      </c>
      <c r="J7" s="304" t="s">
        <v>2344</v>
      </c>
      <c r="K7" s="304" t="s">
        <v>2344</v>
      </c>
      <c r="L7" s="304" t="s">
        <v>2344</v>
      </c>
      <c r="M7" s="305" t="s">
        <v>2354</v>
      </c>
      <c r="N7" s="304" t="s">
        <v>2346</v>
      </c>
      <c r="O7" s="304" t="s">
        <v>2355</v>
      </c>
      <c r="P7" s="310"/>
      <c r="Q7" s="309"/>
      <c r="R7" s="309"/>
      <c r="S7" s="109"/>
      <c r="T7" s="109"/>
      <c r="U7" s="109"/>
      <c r="V7" s="109"/>
      <c r="W7" s="109"/>
      <c r="X7" s="109"/>
      <c r="Y7" s="109"/>
      <c r="Z7" s="109"/>
    </row>
    <row r="8">
      <c r="A8" s="304">
        <v>8.0</v>
      </c>
      <c r="B8" s="306"/>
      <c r="C8" s="306"/>
      <c r="D8" s="306"/>
      <c r="E8" s="306"/>
      <c r="F8" s="307"/>
      <c r="G8" s="307"/>
      <c r="H8" s="304" t="s">
        <v>585</v>
      </c>
      <c r="I8" s="304" t="s">
        <v>587</v>
      </c>
      <c r="J8" s="309"/>
      <c r="K8" s="309"/>
      <c r="L8" s="309"/>
      <c r="M8" s="309"/>
      <c r="N8" s="309"/>
      <c r="O8" s="309"/>
      <c r="P8" s="310"/>
      <c r="Q8" s="309"/>
      <c r="R8" s="309"/>
      <c r="S8" s="109"/>
      <c r="T8" s="109"/>
      <c r="U8" s="109"/>
      <c r="V8" s="109"/>
      <c r="W8" s="109"/>
      <c r="X8" s="109"/>
      <c r="Y8" s="109"/>
      <c r="Z8" s="109"/>
    </row>
    <row r="9">
      <c r="A9" s="304">
        <v>9.0</v>
      </c>
      <c r="B9" s="305" t="s">
        <v>1147</v>
      </c>
      <c r="C9" s="305" t="s">
        <v>913</v>
      </c>
      <c r="D9" s="306"/>
      <c r="E9" s="305" t="s">
        <v>1303</v>
      </c>
      <c r="F9" s="311" t="s">
        <v>1258</v>
      </c>
      <c r="G9" s="311" t="s">
        <v>142</v>
      </c>
      <c r="H9" s="304" t="s">
        <v>2356</v>
      </c>
      <c r="I9" s="304" t="s">
        <v>2357</v>
      </c>
      <c r="J9" s="304" t="s">
        <v>2344</v>
      </c>
      <c r="K9" s="304" t="s">
        <v>2344</v>
      </c>
      <c r="L9" s="304" t="s">
        <v>2344</v>
      </c>
      <c r="M9" s="305" t="s">
        <v>2358</v>
      </c>
      <c r="N9" s="304" t="s">
        <v>2346</v>
      </c>
      <c r="O9" s="304" t="s">
        <v>2359</v>
      </c>
      <c r="P9" s="310"/>
      <c r="Q9" s="309"/>
      <c r="R9" s="309"/>
      <c r="S9" s="109"/>
      <c r="T9" s="109"/>
      <c r="U9" s="109"/>
      <c r="V9" s="109"/>
      <c r="W9" s="109"/>
      <c r="X9" s="109"/>
      <c r="Y9" s="109"/>
      <c r="Z9" s="109"/>
    </row>
    <row r="10">
      <c r="A10" s="304">
        <v>10.0</v>
      </c>
      <c r="B10" s="305" t="s">
        <v>1147</v>
      </c>
      <c r="C10" s="305" t="s">
        <v>913</v>
      </c>
      <c r="D10" s="306"/>
      <c r="E10" s="305" t="s">
        <v>1306</v>
      </c>
      <c r="F10" s="311" t="s">
        <v>1258</v>
      </c>
      <c r="G10" s="305" t="s">
        <v>628</v>
      </c>
      <c r="H10" s="304" t="s">
        <v>374</v>
      </c>
      <c r="I10" s="304" t="s">
        <v>376</v>
      </c>
      <c r="J10" s="304" t="s">
        <v>2344</v>
      </c>
      <c r="K10" s="304" t="s">
        <v>2344</v>
      </c>
      <c r="L10" s="304" t="s">
        <v>2344</v>
      </c>
      <c r="M10" s="304" t="s">
        <v>2360</v>
      </c>
      <c r="N10" s="304" t="s">
        <v>2346</v>
      </c>
      <c r="O10" s="304" t="s">
        <v>2361</v>
      </c>
      <c r="P10" s="310"/>
      <c r="Q10" s="309"/>
      <c r="R10" s="309"/>
      <c r="S10" s="109"/>
      <c r="T10" s="109"/>
      <c r="U10" s="109"/>
      <c r="V10" s="109"/>
      <c r="W10" s="109"/>
      <c r="X10" s="109"/>
      <c r="Y10" s="109"/>
      <c r="Z10" s="109"/>
    </row>
    <row r="11">
      <c r="A11" s="304">
        <v>12.0</v>
      </c>
      <c r="B11" s="305" t="s">
        <v>1147</v>
      </c>
      <c r="C11" s="305" t="s">
        <v>913</v>
      </c>
      <c r="D11" s="306"/>
      <c r="E11" s="305" t="s">
        <v>1312</v>
      </c>
      <c r="F11" s="311" t="s">
        <v>1258</v>
      </c>
      <c r="G11" s="311" t="s">
        <v>2362</v>
      </c>
      <c r="H11" s="304" t="s">
        <v>106</v>
      </c>
      <c r="I11" s="304" t="s">
        <v>108</v>
      </c>
      <c r="J11" s="304" t="s">
        <v>2344</v>
      </c>
      <c r="K11" s="304" t="s">
        <v>2344</v>
      </c>
      <c r="L11" s="304" t="s">
        <v>2344</v>
      </c>
      <c r="M11" s="305" t="s">
        <v>2363</v>
      </c>
      <c r="N11" s="304" t="s">
        <v>2346</v>
      </c>
      <c r="O11" s="304" t="s">
        <v>2364</v>
      </c>
      <c r="P11" s="310"/>
      <c r="Q11" s="309"/>
      <c r="R11" s="309"/>
      <c r="S11" s="109"/>
      <c r="T11" s="109"/>
      <c r="U11" s="109"/>
      <c r="V11" s="109"/>
      <c r="W11" s="109"/>
      <c r="X11" s="109"/>
      <c r="Y11" s="109"/>
      <c r="Z11" s="109"/>
    </row>
    <row r="12">
      <c r="A12" s="304">
        <v>13.0</v>
      </c>
      <c r="B12" s="305" t="s">
        <v>1147</v>
      </c>
      <c r="C12" s="305" t="s">
        <v>913</v>
      </c>
      <c r="D12" s="305">
        <v>465302.0</v>
      </c>
      <c r="E12" s="305" t="s">
        <v>1314</v>
      </c>
      <c r="F12" s="311" t="s">
        <v>1258</v>
      </c>
      <c r="G12" s="307"/>
      <c r="H12" s="304" t="s">
        <v>644</v>
      </c>
      <c r="I12" s="304" t="s">
        <v>646</v>
      </c>
      <c r="J12" s="304" t="s">
        <v>2344</v>
      </c>
      <c r="K12" s="304" t="s">
        <v>2344</v>
      </c>
      <c r="L12" s="304" t="s">
        <v>2344</v>
      </c>
      <c r="M12" s="304" t="s">
        <v>2365</v>
      </c>
      <c r="N12" s="304" t="s">
        <v>2346</v>
      </c>
      <c r="O12" s="304" t="s">
        <v>2366</v>
      </c>
      <c r="P12" s="310"/>
      <c r="Q12" s="309"/>
      <c r="R12" s="309"/>
      <c r="S12" s="109"/>
      <c r="T12" s="109"/>
      <c r="U12" s="109"/>
      <c r="V12" s="109"/>
      <c r="W12" s="109"/>
      <c r="X12" s="109"/>
      <c r="Y12" s="109"/>
      <c r="Z12" s="109"/>
    </row>
    <row r="13">
      <c r="A13" s="304">
        <v>14.0</v>
      </c>
      <c r="B13" s="305" t="s">
        <v>1147</v>
      </c>
      <c r="C13" s="305" t="s">
        <v>913</v>
      </c>
      <c r="D13" s="305">
        <v>465329.0</v>
      </c>
      <c r="E13" s="305" t="s">
        <v>1316</v>
      </c>
      <c r="F13" s="311" t="s">
        <v>1258</v>
      </c>
      <c r="G13" s="307"/>
      <c r="H13" s="304" t="s">
        <v>662</v>
      </c>
      <c r="I13" s="304" t="s">
        <v>664</v>
      </c>
      <c r="J13" s="304" t="s">
        <v>2343</v>
      </c>
      <c r="K13" s="309"/>
      <c r="L13" s="309"/>
      <c r="M13" s="309"/>
      <c r="N13" s="309"/>
      <c r="O13" s="309"/>
      <c r="P13" s="310"/>
      <c r="Q13" s="314"/>
      <c r="R13" s="315"/>
      <c r="S13" s="109"/>
      <c r="T13" s="109"/>
      <c r="U13" s="109"/>
      <c r="V13" s="109"/>
      <c r="W13" s="109"/>
      <c r="X13" s="109"/>
      <c r="Y13" s="109"/>
      <c r="Z13" s="109"/>
    </row>
    <row r="14">
      <c r="A14" s="304">
        <v>15.0</v>
      </c>
      <c r="B14" s="305" t="s">
        <v>1147</v>
      </c>
      <c r="C14" s="305" t="s">
        <v>913</v>
      </c>
      <c r="D14" s="305">
        <v>465299.0</v>
      </c>
      <c r="E14" s="305" t="s">
        <v>1332</v>
      </c>
      <c r="F14" s="311" t="s">
        <v>1258</v>
      </c>
      <c r="G14" s="311" t="s">
        <v>628</v>
      </c>
      <c r="H14" s="304" t="s">
        <v>624</v>
      </c>
      <c r="I14" s="304" t="s">
        <v>626</v>
      </c>
      <c r="J14" s="304" t="s">
        <v>2344</v>
      </c>
      <c r="K14" s="304" t="s">
        <v>2344</v>
      </c>
      <c r="L14" s="309"/>
      <c r="M14" s="316" t="s">
        <v>2367</v>
      </c>
      <c r="N14" s="304" t="s">
        <v>2346</v>
      </c>
      <c r="O14" s="304" t="s">
        <v>2368</v>
      </c>
      <c r="P14" s="310"/>
      <c r="Q14" s="317"/>
      <c r="R14" s="318"/>
      <c r="S14" s="109"/>
      <c r="T14" s="109"/>
      <c r="U14" s="109"/>
      <c r="V14" s="109"/>
      <c r="W14" s="109"/>
      <c r="X14" s="109"/>
      <c r="Y14" s="109"/>
      <c r="Z14" s="109"/>
    </row>
    <row r="15">
      <c r="A15" s="304">
        <v>16.0</v>
      </c>
      <c r="B15" s="305" t="s">
        <v>1147</v>
      </c>
      <c r="C15" s="305" t="s">
        <v>913</v>
      </c>
      <c r="D15" s="305">
        <v>465330.0</v>
      </c>
      <c r="E15" s="305" t="s">
        <v>1338</v>
      </c>
      <c r="F15" s="311" t="s">
        <v>1258</v>
      </c>
      <c r="G15" s="311" t="s">
        <v>202</v>
      </c>
      <c r="H15" s="304" t="s">
        <v>2369</v>
      </c>
      <c r="I15" s="304" t="s">
        <v>2370</v>
      </c>
      <c r="J15" s="304" t="s">
        <v>2344</v>
      </c>
      <c r="K15" s="304" t="s">
        <v>2344</v>
      </c>
      <c r="L15" s="304" t="s">
        <v>2344</v>
      </c>
      <c r="M15" s="305" t="s">
        <v>2371</v>
      </c>
      <c r="N15" s="304" t="s">
        <v>0</v>
      </c>
      <c r="O15" s="304" t="s">
        <v>2372</v>
      </c>
      <c r="P15" s="310"/>
      <c r="Q15" s="309"/>
      <c r="R15" s="309"/>
      <c r="S15" s="109"/>
      <c r="T15" s="109"/>
      <c r="U15" s="109"/>
      <c r="V15" s="109"/>
      <c r="W15" s="109"/>
      <c r="X15" s="109"/>
      <c r="Y15" s="109"/>
      <c r="Z15" s="109"/>
    </row>
    <row r="16">
      <c r="A16" s="304">
        <v>17.0</v>
      </c>
      <c r="B16" s="305" t="s">
        <v>1147</v>
      </c>
      <c r="C16" s="305" t="s">
        <v>913</v>
      </c>
      <c r="D16" s="306"/>
      <c r="E16" s="305" t="s">
        <v>1340</v>
      </c>
      <c r="F16" s="311" t="s">
        <v>1258</v>
      </c>
      <c r="G16" s="311" t="s">
        <v>1078</v>
      </c>
      <c r="H16" s="304" t="s">
        <v>471</v>
      </c>
      <c r="I16" s="319" t="s">
        <v>2373</v>
      </c>
      <c r="J16" s="304" t="s">
        <v>2344</v>
      </c>
      <c r="K16" s="304" t="s">
        <v>2344</v>
      </c>
      <c r="L16" s="304" t="s">
        <v>2344</v>
      </c>
      <c r="M16" s="304" t="s">
        <v>2374</v>
      </c>
      <c r="N16" s="304" t="s">
        <v>2346</v>
      </c>
      <c r="O16" s="304" t="s">
        <v>2375</v>
      </c>
      <c r="P16" s="310"/>
      <c r="Q16" s="309"/>
      <c r="R16" s="309"/>
      <c r="S16" s="109"/>
      <c r="T16" s="109"/>
      <c r="U16" s="109"/>
      <c r="V16" s="109"/>
      <c r="W16" s="109"/>
      <c r="X16" s="109"/>
      <c r="Y16" s="109"/>
      <c r="Z16" s="109"/>
    </row>
    <row r="17">
      <c r="A17" s="304">
        <v>18.0</v>
      </c>
      <c r="B17" s="305" t="s">
        <v>1147</v>
      </c>
      <c r="C17" s="305" t="s">
        <v>913</v>
      </c>
      <c r="D17" s="305">
        <v>465315.0</v>
      </c>
      <c r="E17" s="305" t="s">
        <v>1341</v>
      </c>
      <c r="F17" s="311" t="s">
        <v>1258</v>
      </c>
      <c r="G17" s="311" t="s">
        <v>35</v>
      </c>
      <c r="H17" s="304" t="s">
        <v>30</v>
      </c>
      <c r="I17" s="304" t="s">
        <v>32</v>
      </c>
      <c r="J17" s="304" t="s">
        <v>2344</v>
      </c>
      <c r="K17" s="304" t="s">
        <v>2344</v>
      </c>
      <c r="L17" s="304" t="s">
        <v>2344</v>
      </c>
      <c r="M17" s="304" t="s">
        <v>2376</v>
      </c>
      <c r="N17" s="304" t="s">
        <v>0</v>
      </c>
      <c r="O17" s="309"/>
      <c r="P17" s="310"/>
      <c r="Q17" s="309"/>
      <c r="R17" s="309"/>
      <c r="S17" s="109"/>
      <c r="T17" s="109"/>
      <c r="U17" s="109"/>
      <c r="V17" s="109"/>
      <c r="W17" s="109"/>
      <c r="X17" s="109"/>
      <c r="Y17" s="109"/>
      <c r="Z17" s="109"/>
    </row>
    <row r="18">
      <c r="A18" s="320">
        <v>19.0</v>
      </c>
      <c r="B18" s="321" t="s">
        <v>1147</v>
      </c>
      <c r="C18" s="321" t="s">
        <v>913</v>
      </c>
      <c r="D18" s="321">
        <v>465304.0</v>
      </c>
      <c r="E18" s="321" t="s">
        <v>1376</v>
      </c>
      <c r="F18" s="321" t="s">
        <v>1258</v>
      </c>
      <c r="G18" s="321" t="s">
        <v>295</v>
      </c>
      <c r="H18" s="321" t="s">
        <v>291</v>
      </c>
      <c r="I18" s="321" t="s">
        <v>293</v>
      </c>
      <c r="J18" s="320" t="s">
        <v>2344</v>
      </c>
      <c r="K18" s="320" t="s">
        <v>2344</v>
      </c>
      <c r="L18" s="320" t="s">
        <v>2344</v>
      </c>
      <c r="M18" s="321" t="s">
        <v>2377</v>
      </c>
      <c r="N18" s="320" t="s">
        <v>2346</v>
      </c>
      <c r="O18" s="322"/>
      <c r="P18" s="323"/>
      <c r="Q18" s="322"/>
      <c r="R18" s="322"/>
      <c r="S18" s="109"/>
      <c r="T18" s="109"/>
      <c r="U18" s="109"/>
      <c r="V18" s="109"/>
      <c r="W18" s="109"/>
      <c r="X18" s="109"/>
      <c r="Y18" s="109"/>
      <c r="Z18" s="109"/>
    </row>
    <row r="19">
      <c r="A19" s="320">
        <v>20.0</v>
      </c>
      <c r="B19" s="321" t="s">
        <v>1147</v>
      </c>
      <c r="C19" s="321" t="s">
        <v>913</v>
      </c>
      <c r="D19" s="321">
        <v>465296.0</v>
      </c>
      <c r="E19" s="321" t="s">
        <v>1354</v>
      </c>
      <c r="F19" s="324" t="s">
        <v>1258</v>
      </c>
      <c r="G19" s="321" t="s">
        <v>62</v>
      </c>
      <c r="H19" s="325" t="s">
        <v>610</v>
      </c>
      <c r="I19" s="325" t="s">
        <v>612</v>
      </c>
      <c r="J19" s="320" t="s">
        <v>2344</v>
      </c>
      <c r="K19" s="320" t="s">
        <v>2344</v>
      </c>
      <c r="L19" s="320" t="s">
        <v>2344</v>
      </c>
      <c r="M19" s="321" t="s">
        <v>2378</v>
      </c>
      <c r="N19" s="320" t="s">
        <v>2346</v>
      </c>
      <c r="O19" s="321" t="s">
        <v>2379</v>
      </c>
      <c r="P19" s="323"/>
      <c r="Q19" s="322"/>
      <c r="R19" s="322"/>
      <c r="S19" s="109"/>
      <c r="T19" s="109"/>
      <c r="U19" s="109"/>
      <c r="V19" s="109"/>
      <c r="W19" s="109"/>
      <c r="X19" s="109"/>
      <c r="Y19" s="109"/>
      <c r="Z19" s="109"/>
    </row>
    <row r="20">
      <c r="A20" s="320">
        <v>21.0</v>
      </c>
      <c r="B20" s="321" t="s">
        <v>1147</v>
      </c>
      <c r="C20" s="321" t="s">
        <v>913</v>
      </c>
      <c r="D20" s="321">
        <v>465295.0</v>
      </c>
      <c r="E20" s="321" t="s">
        <v>1372</v>
      </c>
      <c r="F20" s="324" t="s">
        <v>1258</v>
      </c>
      <c r="G20" s="321" t="s">
        <v>35</v>
      </c>
      <c r="H20" s="325" t="s">
        <v>1373</v>
      </c>
      <c r="I20" s="321" t="s">
        <v>1862</v>
      </c>
      <c r="J20" s="320" t="s">
        <v>2344</v>
      </c>
      <c r="K20" s="320" t="s">
        <v>2344</v>
      </c>
      <c r="L20" s="320" t="s">
        <v>2344</v>
      </c>
      <c r="M20" s="321" t="s">
        <v>2377</v>
      </c>
      <c r="N20" s="320" t="s">
        <v>2346</v>
      </c>
      <c r="O20" s="321" t="s">
        <v>2380</v>
      </c>
      <c r="P20" s="323"/>
      <c r="Q20" s="322"/>
      <c r="R20" s="322"/>
      <c r="S20" s="109"/>
      <c r="T20" s="109"/>
      <c r="U20" s="109"/>
      <c r="V20" s="109"/>
      <c r="W20" s="109"/>
      <c r="X20" s="109"/>
      <c r="Y20" s="109"/>
      <c r="Z20" s="109"/>
    </row>
    <row r="21">
      <c r="A21" s="320">
        <v>22.0</v>
      </c>
      <c r="B21" s="321" t="s">
        <v>1147</v>
      </c>
      <c r="C21" s="321" t="s">
        <v>913</v>
      </c>
      <c r="D21" s="321">
        <v>465310.0</v>
      </c>
      <c r="E21" s="321" t="s">
        <v>1347</v>
      </c>
      <c r="F21" s="324" t="s">
        <v>1258</v>
      </c>
      <c r="G21" s="321" t="s">
        <v>1348</v>
      </c>
      <c r="H21" s="321" t="s">
        <v>403</v>
      </c>
      <c r="I21" s="321" t="s">
        <v>405</v>
      </c>
      <c r="J21" s="320" t="s">
        <v>2344</v>
      </c>
      <c r="K21" s="320" t="s">
        <v>2344</v>
      </c>
      <c r="L21" s="320" t="s">
        <v>2344</v>
      </c>
      <c r="M21" s="326" t="s">
        <v>2381</v>
      </c>
      <c r="N21" s="320" t="s">
        <v>2346</v>
      </c>
      <c r="O21" s="321" t="s">
        <v>2382</v>
      </c>
      <c r="P21" s="327"/>
      <c r="Q21" s="322"/>
      <c r="R21" s="322"/>
      <c r="S21" s="109"/>
      <c r="T21" s="109"/>
      <c r="U21" s="109"/>
      <c r="V21" s="109"/>
      <c r="W21" s="109"/>
      <c r="X21" s="109"/>
      <c r="Y21" s="109"/>
      <c r="Z21" s="109"/>
    </row>
    <row r="22">
      <c r="A22" s="328">
        <v>23.0</v>
      </c>
      <c r="B22" s="329" t="s">
        <v>1147</v>
      </c>
      <c r="C22" s="329" t="s">
        <v>913</v>
      </c>
      <c r="D22" s="330">
        <v>465310.0</v>
      </c>
      <c r="E22" s="329" t="s">
        <v>1347</v>
      </c>
      <c r="F22" s="331" t="s">
        <v>1258</v>
      </c>
      <c r="G22" s="330" t="s">
        <v>20</v>
      </c>
      <c r="H22" s="330" t="s">
        <v>1345</v>
      </c>
      <c r="I22" s="332" t="s">
        <v>2383</v>
      </c>
      <c r="J22" s="328" t="s">
        <v>2344</v>
      </c>
      <c r="K22" s="328" t="s">
        <v>2344</v>
      </c>
      <c r="L22" s="328" t="s">
        <v>2344</v>
      </c>
      <c r="M22" s="330" t="s">
        <v>2384</v>
      </c>
      <c r="N22" s="328" t="s">
        <v>2346</v>
      </c>
      <c r="O22" s="330" t="s">
        <v>2385</v>
      </c>
      <c r="P22" s="333"/>
      <c r="Q22" s="328" t="s">
        <v>2386</v>
      </c>
      <c r="R22" s="334"/>
      <c r="S22" s="335"/>
      <c r="T22" s="335"/>
      <c r="U22" s="335"/>
      <c r="V22" s="335"/>
      <c r="W22" s="335"/>
      <c r="X22" s="335"/>
      <c r="Y22" s="335"/>
      <c r="Z22" s="335"/>
    </row>
    <row r="23">
      <c r="A23" s="336">
        <v>24.0</v>
      </c>
      <c r="B23" s="337" t="s">
        <v>912</v>
      </c>
      <c r="C23" s="337" t="s">
        <v>913</v>
      </c>
      <c r="D23" s="338"/>
      <c r="E23" s="337" t="s">
        <v>1029</v>
      </c>
      <c r="F23" s="339" t="s">
        <v>1023</v>
      </c>
      <c r="G23" s="311" t="s">
        <v>27</v>
      </c>
      <c r="H23" s="304" t="s">
        <v>2387</v>
      </c>
      <c r="I23" s="305" t="s">
        <v>348</v>
      </c>
      <c r="J23" s="304" t="s">
        <v>2344</v>
      </c>
      <c r="K23" s="304" t="s">
        <v>2344</v>
      </c>
      <c r="L23" s="304" t="s">
        <v>2344</v>
      </c>
      <c r="M23" s="304" t="s">
        <v>2388</v>
      </c>
      <c r="N23" s="304" t="s">
        <v>2346</v>
      </c>
      <c r="O23" s="304" t="s">
        <v>2389</v>
      </c>
      <c r="P23" s="310"/>
      <c r="Q23" s="306"/>
      <c r="R23" s="306"/>
      <c r="S23" s="109"/>
      <c r="T23" s="109"/>
      <c r="U23" s="109"/>
      <c r="V23" s="109"/>
      <c r="W23" s="109"/>
      <c r="X23" s="109"/>
      <c r="Y23" s="109"/>
      <c r="Z23" s="109"/>
    </row>
    <row r="24">
      <c r="A24" s="336">
        <v>25.0</v>
      </c>
      <c r="B24" s="337" t="s">
        <v>912</v>
      </c>
      <c r="C24" s="337" t="s">
        <v>913</v>
      </c>
      <c r="D24" s="338"/>
      <c r="E24" s="340" t="s">
        <v>949</v>
      </c>
      <c r="F24" s="341">
        <v>40931.0</v>
      </c>
      <c r="G24" s="311" t="s">
        <v>104</v>
      </c>
      <c r="H24" s="304" t="s">
        <v>2390</v>
      </c>
      <c r="I24" s="342" t="s">
        <v>2391</v>
      </c>
      <c r="J24" s="304" t="s">
        <v>2344</v>
      </c>
      <c r="K24" s="304" t="s">
        <v>2344</v>
      </c>
      <c r="L24" s="304" t="s">
        <v>2344</v>
      </c>
      <c r="M24" s="304" t="s">
        <v>2392</v>
      </c>
      <c r="N24" s="304" t="s">
        <v>2346</v>
      </c>
      <c r="O24" s="304" t="s">
        <v>2393</v>
      </c>
      <c r="P24" s="310"/>
      <c r="Q24" s="306"/>
      <c r="R24" s="306"/>
      <c r="S24" s="109"/>
      <c r="T24" s="109"/>
      <c r="U24" s="109"/>
      <c r="V24" s="109"/>
      <c r="W24" s="109"/>
      <c r="X24" s="109"/>
      <c r="Y24" s="109"/>
      <c r="Z24" s="109"/>
    </row>
    <row r="25">
      <c r="A25" s="336">
        <v>26.0</v>
      </c>
      <c r="B25" s="343" t="s">
        <v>1147</v>
      </c>
      <c r="C25" s="337" t="s">
        <v>913</v>
      </c>
      <c r="D25" s="67"/>
      <c r="E25" s="31" t="s">
        <v>1149</v>
      </c>
      <c r="F25" s="67"/>
      <c r="G25" s="344"/>
      <c r="H25" s="31" t="s">
        <v>1150</v>
      </c>
      <c r="I25" s="342" t="s">
        <v>2394</v>
      </c>
      <c r="J25" s="304" t="s">
        <v>2344</v>
      </c>
      <c r="K25" s="304" t="s">
        <v>2344</v>
      </c>
      <c r="L25" s="67"/>
      <c r="M25" s="67"/>
      <c r="N25" s="67"/>
      <c r="O25" s="67"/>
      <c r="P25" s="345"/>
      <c r="Q25" s="67"/>
      <c r="R25" s="67"/>
      <c r="S25" s="109"/>
      <c r="T25" s="109"/>
      <c r="U25" s="109"/>
      <c r="V25" s="109"/>
      <c r="W25" s="109"/>
      <c r="X25" s="109"/>
      <c r="Y25" s="109"/>
      <c r="Z25" s="109"/>
    </row>
    <row r="26">
      <c r="A26" s="336">
        <v>27.0</v>
      </c>
      <c r="B26" s="340" t="s">
        <v>1377</v>
      </c>
      <c r="C26" s="337" t="s">
        <v>913</v>
      </c>
      <c r="D26" s="67"/>
      <c r="E26" s="340" t="s">
        <v>1392</v>
      </c>
      <c r="F26" s="67"/>
      <c r="G26" s="337" t="s">
        <v>940</v>
      </c>
      <c r="H26" s="31"/>
      <c r="I26" s="340" t="s">
        <v>65</v>
      </c>
      <c r="J26" s="304" t="s">
        <v>2344</v>
      </c>
      <c r="K26" s="304" t="s">
        <v>2344</v>
      </c>
      <c r="L26" s="67"/>
      <c r="M26" s="31" t="s">
        <v>2395</v>
      </c>
      <c r="N26" s="304" t="s">
        <v>2346</v>
      </c>
      <c r="O26" s="31" t="s">
        <v>2396</v>
      </c>
      <c r="P26" s="345"/>
      <c r="Q26" s="67"/>
      <c r="R26" s="67"/>
      <c r="S26" s="109"/>
      <c r="T26" s="109"/>
      <c r="U26" s="109"/>
      <c r="V26" s="109"/>
      <c r="W26" s="109"/>
      <c r="X26" s="109"/>
      <c r="Y26" s="109"/>
      <c r="Z26" s="109"/>
    </row>
    <row r="27">
      <c r="A27" s="336">
        <v>28.0</v>
      </c>
      <c r="B27" s="343" t="s">
        <v>1147</v>
      </c>
      <c r="C27" s="337" t="s">
        <v>913</v>
      </c>
      <c r="D27" s="67"/>
      <c r="E27" s="340" t="s">
        <v>1442</v>
      </c>
      <c r="F27" s="67"/>
      <c r="G27" s="344"/>
      <c r="H27" s="31"/>
      <c r="I27" s="340" t="s">
        <v>578</v>
      </c>
      <c r="J27" s="304" t="s">
        <v>2344</v>
      </c>
      <c r="K27" s="304" t="s">
        <v>2344</v>
      </c>
      <c r="L27" s="304" t="s">
        <v>2344</v>
      </c>
      <c r="M27" s="31" t="s">
        <v>2397</v>
      </c>
      <c r="N27" s="31" t="s">
        <v>2346</v>
      </c>
      <c r="O27" s="31" t="s">
        <v>2398</v>
      </c>
      <c r="P27" s="345"/>
      <c r="Q27" s="67"/>
      <c r="R27" s="67"/>
      <c r="S27" s="109"/>
      <c r="T27" s="109"/>
      <c r="U27" s="109"/>
      <c r="V27" s="109"/>
      <c r="W27" s="109"/>
      <c r="X27" s="109"/>
      <c r="Y27" s="109"/>
      <c r="Z27" s="109"/>
    </row>
    <row r="28">
      <c r="A28" s="336">
        <v>29.0</v>
      </c>
      <c r="B28" s="346" t="s">
        <v>2399</v>
      </c>
      <c r="C28" s="31" t="s">
        <v>913</v>
      </c>
      <c r="D28" s="67"/>
      <c r="E28" s="340" t="s">
        <v>1478</v>
      </c>
      <c r="F28" s="67"/>
      <c r="G28" s="346" t="s">
        <v>35</v>
      </c>
      <c r="H28" s="31" t="s">
        <v>764</v>
      </c>
      <c r="I28" s="347" t="s">
        <v>765</v>
      </c>
      <c r="J28" s="304" t="s">
        <v>2344</v>
      </c>
      <c r="K28" s="304" t="s">
        <v>2344</v>
      </c>
      <c r="L28" s="67"/>
      <c r="M28" s="31" t="s">
        <v>2376</v>
      </c>
      <c r="N28" s="67"/>
      <c r="O28" s="31" t="s">
        <v>2400</v>
      </c>
      <c r="P28" s="345"/>
      <c r="Q28" s="67"/>
      <c r="R28" s="67"/>
      <c r="S28" s="109"/>
      <c r="T28" s="109"/>
      <c r="U28" s="109"/>
      <c r="V28" s="109"/>
      <c r="W28" s="109"/>
      <c r="X28" s="109"/>
      <c r="Y28" s="109"/>
      <c r="Z28" s="109"/>
    </row>
    <row r="29">
      <c r="A29" s="336">
        <v>30.0</v>
      </c>
      <c r="B29" s="340" t="s">
        <v>1377</v>
      </c>
      <c r="C29" s="340" t="s">
        <v>913</v>
      </c>
      <c r="D29" s="67"/>
      <c r="E29" s="340" t="s">
        <v>1432</v>
      </c>
      <c r="F29" s="67"/>
      <c r="G29" s="346" t="s">
        <v>104</v>
      </c>
      <c r="H29" s="67"/>
      <c r="I29" s="31" t="s">
        <v>250</v>
      </c>
      <c r="J29" s="304" t="s">
        <v>2344</v>
      </c>
      <c r="K29" s="304" t="s">
        <v>2344</v>
      </c>
      <c r="L29" s="67"/>
      <c r="M29" s="67"/>
      <c r="N29" s="67"/>
      <c r="O29" s="31" t="s">
        <v>2401</v>
      </c>
      <c r="P29" s="345"/>
      <c r="Q29" s="67"/>
      <c r="R29" s="67"/>
      <c r="S29" s="109"/>
      <c r="T29" s="109"/>
      <c r="U29" s="109"/>
      <c r="V29" s="109"/>
      <c r="W29" s="109"/>
      <c r="X29" s="109"/>
      <c r="Y29" s="109"/>
      <c r="Z29" s="109"/>
    </row>
    <row r="30">
      <c r="A30" s="336">
        <v>31.0</v>
      </c>
      <c r="B30" s="340" t="s">
        <v>1377</v>
      </c>
      <c r="C30" s="340" t="s">
        <v>913</v>
      </c>
      <c r="D30" s="348" t="s">
        <v>1394</v>
      </c>
      <c r="E30" s="340" t="s">
        <v>1395</v>
      </c>
      <c r="F30" s="349" t="s">
        <v>1380</v>
      </c>
      <c r="G30" s="346" t="s">
        <v>104</v>
      </c>
      <c r="H30" s="67"/>
      <c r="I30" s="31" t="s">
        <v>382</v>
      </c>
      <c r="J30" s="304" t="s">
        <v>2344</v>
      </c>
      <c r="K30" s="304" t="s">
        <v>2344</v>
      </c>
      <c r="L30" s="304" t="s">
        <v>2344</v>
      </c>
      <c r="M30" s="31" t="s">
        <v>2402</v>
      </c>
      <c r="N30" s="31" t="s">
        <v>2346</v>
      </c>
      <c r="O30" s="31" t="s">
        <v>2403</v>
      </c>
      <c r="P30" s="345"/>
      <c r="Q30" s="67"/>
      <c r="R30" s="67"/>
      <c r="S30" s="109"/>
      <c r="T30" s="109"/>
      <c r="U30" s="109"/>
      <c r="V30" s="109"/>
      <c r="W30" s="109"/>
      <c r="X30" s="109"/>
      <c r="Y30" s="109"/>
      <c r="Z30" s="109"/>
    </row>
    <row r="31">
      <c r="A31" s="336">
        <v>32.0</v>
      </c>
      <c r="B31" s="340" t="s">
        <v>1147</v>
      </c>
      <c r="C31" s="340" t="s">
        <v>913</v>
      </c>
      <c r="D31" s="350" t="s">
        <v>1158</v>
      </c>
      <c r="E31" s="340" t="s">
        <v>1159</v>
      </c>
      <c r="F31" s="351">
        <v>40567.0</v>
      </c>
      <c r="G31" s="340" t="s">
        <v>750</v>
      </c>
      <c r="H31" s="31" t="s">
        <v>2404</v>
      </c>
      <c r="I31" s="31" t="s">
        <v>1161</v>
      </c>
      <c r="J31" s="304" t="s">
        <v>2344</v>
      </c>
      <c r="K31" s="304" t="s">
        <v>2344</v>
      </c>
      <c r="L31" s="67"/>
      <c r="M31" s="67"/>
      <c r="N31" s="67"/>
      <c r="O31" s="67"/>
      <c r="P31" s="345"/>
      <c r="Q31" s="67"/>
      <c r="R31" s="67"/>
      <c r="S31" s="109"/>
      <c r="T31" s="109"/>
      <c r="U31" s="109"/>
      <c r="V31" s="109"/>
      <c r="W31" s="109"/>
      <c r="X31" s="109"/>
      <c r="Y31" s="109"/>
      <c r="Z31" s="109"/>
    </row>
    <row r="32">
      <c r="A32" s="336">
        <v>33.0</v>
      </c>
      <c r="B32" s="340" t="s">
        <v>1377</v>
      </c>
      <c r="C32" s="340" t="s">
        <v>913</v>
      </c>
      <c r="D32" s="348" t="s">
        <v>1388</v>
      </c>
      <c r="E32" s="340" t="s">
        <v>1389</v>
      </c>
      <c r="F32" s="349" t="s">
        <v>1380</v>
      </c>
      <c r="G32" s="346" t="s">
        <v>105</v>
      </c>
      <c r="H32" s="31" t="s">
        <v>863</v>
      </c>
      <c r="I32" s="31" t="s">
        <v>865</v>
      </c>
      <c r="J32" s="67"/>
      <c r="K32" s="67"/>
      <c r="L32" s="31" t="s">
        <v>2405</v>
      </c>
      <c r="M32" s="67"/>
      <c r="N32" s="67"/>
      <c r="O32" s="67"/>
      <c r="P32" s="345"/>
      <c r="Q32" s="67"/>
      <c r="R32" s="67"/>
      <c r="S32" s="109"/>
      <c r="T32" s="109"/>
      <c r="U32" s="109"/>
      <c r="V32" s="109"/>
      <c r="W32" s="109"/>
      <c r="X32" s="109"/>
      <c r="Y32" s="109"/>
      <c r="Z32" s="109"/>
    </row>
    <row r="33">
      <c r="A33" s="336">
        <v>34.0</v>
      </c>
      <c r="B33" s="340" t="s">
        <v>1377</v>
      </c>
      <c r="C33" s="340" t="s">
        <v>913</v>
      </c>
      <c r="D33" s="348" t="s">
        <v>1452</v>
      </c>
      <c r="E33" s="340" t="s">
        <v>1453</v>
      </c>
      <c r="F33" s="351">
        <v>40719.0</v>
      </c>
      <c r="G33" s="352" t="s">
        <v>77</v>
      </c>
      <c r="H33" s="353" t="s">
        <v>525</v>
      </c>
      <c r="I33" s="354" t="s">
        <v>527</v>
      </c>
      <c r="J33" s="304" t="s">
        <v>2344</v>
      </c>
      <c r="K33" s="304" t="s">
        <v>2344</v>
      </c>
      <c r="L33" s="67"/>
      <c r="M33" s="31" t="s">
        <v>2406</v>
      </c>
      <c r="N33" s="31" t="s">
        <v>2407</v>
      </c>
      <c r="O33" s="31" t="s">
        <v>2408</v>
      </c>
      <c r="P33" s="345"/>
      <c r="Q33" s="67"/>
      <c r="R33" s="67"/>
      <c r="S33" s="109"/>
      <c r="T33" s="109"/>
      <c r="U33" s="109"/>
      <c r="V33" s="109"/>
      <c r="W33" s="109"/>
      <c r="X33" s="109"/>
      <c r="Y33" s="109"/>
      <c r="Z33" s="109"/>
    </row>
    <row r="34">
      <c r="A34" s="336">
        <v>35.0</v>
      </c>
      <c r="B34" s="340" t="s">
        <v>1377</v>
      </c>
      <c r="C34" s="340" t="s">
        <v>913</v>
      </c>
      <c r="D34" s="348" t="s">
        <v>1400</v>
      </c>
      <c r="E34" s="340" t="s">
        <v>1401</v>
      </c>
      <c r="F34" s="349" t="s">
        <v>1380</v>
      </c>
      <c r="G34" s="340" t="s">
        <v>77</v>
      </c>
      <c r="H34" s="305" t="s">
        <v>1402</v>
      </c>
      <c r="I34" s="31" t="s">
        <v>740</v>
      </c>
      <c r="J34" s="304" t="s">
        <v>2344</v>
      </c>
      <c r="K34" s="304" t="s">
        <v>2344</v>
      </c>
      <c r="L34" s="304" t="s">
        <v>2344</v>
      </c>
      <c r="M34" s="31" t="s">
        <v>2409</v>
      </c>
      <c r="N34" s="67"/>
      <c r="O34" s="31" t="s">
        <v>2410</v>
      </c>
      <c r="P34" s="345"/>
      <c r="Q34" s="67"/>
      <c r="R34" s="67"/>
      <c r="S34" s="109"/>
      <c r="T34" s="109"/>
      <c r="U34" s="109"/>
      <c r="V34" s="109"/>
      <c r="W34" s="109"/>
      <c r="X34" s="109"/>
      <c r="Y34" s="109"/>
      <c r="Z34" s="109"/>
    </row>
    <row r="35">
      <c r="A35" s="336">
        <v>36.0</v>
      </c>
      <c r="B35" s="340" t="s">
        <v>1147</v>
      </c>
      <c r="C35" s="340" t="s">
        <v>913</v>
      </c>
      <c r="D35" s="355" t="s">
        <v>1337</v>
      </c>
      <c r="E35" s="340" t="s">
        <v>1338</v>
      </c>
      <c r="F35" s="349" t="s">
        <v>1258</v>
      </c>
      <c r="G35" s="346" t="s">
        <v>27</v>
      </c>
      <c r="H35" s="31" t="s">
        <v>2411</v>
      </c>
      <c r="I35" s="31" t="s">
        <v>236</v>
      </c>
      <c r="J35" s="304" t="s">
        <v>2344</v>
      </c>
      <c r="K35" s="304" t="s">
        <v>2344</v>
      </c>
      <c r="L35" s="67"/>
      <c r="M35" s="31" t="s">
        <v>2412</v>
      </c>
      <c r="N35" s="304" t="s">
        <v>2346</v>
      </c>
      <c r="O35" s="31" t="s">
        <v>2413</v>
      </c>
      <c r="P35" s="345"/>
      <c r="Q35" s="67"/>
      <c r="R35" s="67"/>
      <c r="S35" s="109"/>
      <c r="T35" s="109"/>
      <c r="U35" s="109"/>
      <c r="V35" s="109"/>
      <c r="W35" s="109"/>
      <c r="X35" s="109"/>
      <c r="Y35" s="109"/>
      <c r="Z35" s="109"/>
    </row>
    <row r="36" ht="5.25" customHeight="1">
      <c r="A36" s="109"/>
      <c r="B36" s="109"/>
      <c r="C36" s="109"/>
      <c r="D36" s="109"/>
      <c r="E36" s="109"/>
      <c r="F36" s="109"/>
      <c r="G36" s="186"/>
      <c r="H36" s="187"/>
      <c r="I36" s="187"/>
      <c r="J36" s="356"/>
      <c r="K36" s="356"/>
      <c r="L36" s="356"/>
      <c r="M36" s="109"/>
      <c r="N36" s="109"/>
      <c r="O36" s="109"/>
      <c r="P36" s="357"/>
      <c r="Q36" s="109"/>
      <c r="R36" s="109"/>
      <c r="S36" s="109"/>
      <c r="T36" s="109"/>
      <c r="U36" s="109"/>
      <c r="V36" s="109"/>
      <c r="W36" s="109"/>
      <c r="X36" s="109"/>
      <c r="Y36" s="109"/>
      <c r="Z36" s="109"/>
    </row>
    <row r="37">
      <c r="A37" s="109"/>
      <c r="B37" s="109"/>
      <c r="C37" s="109"/>
      <c r="D37" s="109"/>
      <c r="E37" s="109"/>
      <c r="F37" s="109"/>
      <c r="G37" s="186" t="s">
        <v>104</v>
      </c>
      <c r="H37" s="187" t="s">
        <v>351</v>
      </c>
      <c r="I37" s="187" t="s">
        <v>352</v>
      </c>
      <c r="J37" s="356"/>
      <c r="K37" s="356"/>
      <c r="L37" s="356"/>
      <c r="M37" s="109"/>
      <c r="N37" s="109"/>
      <c r="O37" s="187" t="s">
        <v>2414</v>
      </c>
      <c r="P37" s="357"/>
      <c r="Q37" s="109"/>
      <c r="R37" s="109"/>
      <c r="S37" s="109"/>
      <c r="T37" s="109"/>
      <c r="U37" s="109"/>
      <c r="V37" s="109"/>
      <c r="W37" s="109"/>
      <c r="X37" s="109"/>
      <c r="Y37" s="109"/>
      <c r="Z37" s="109"/>
    </row>
    <row r="38">
      <c r="A38" s="109"/>
      <c r="B38" s="187" t="s">
        <v>1377</v>
      </c>
      <c r="C38" s="187" t="s">
        <v>913</v>
      </c>
      <c r="D38" s="358" t="s">
        <v>1438</v>
      </c>
      <c r="E38" s="187" t="s">
        <v>1439</v>
      </c>
      <c r="F38" s="187" t="s">
        <v>1380</v>
      </c>
      <c r="G38" s="186" t="s">
        <v>104</v>
      </c>
      <c r="H38" s="187" t="s">
        <v>488</v>
      </c>
      <c r="I38" s="187" t="s">
        <v>489</v>
      </c>
      <c r="J38" s="359" t="s">
        <v>2344</v>
      </c>
      <c r="K38" s="356"/>
      <c r="L38" s="356"/>
      <c r="M38" s="187" t="s">
        <v>2415</v>
      </c>
      <c r="N38" s="187" t="s">
        <v>0</v>
      </c>
      <c r="O38" s="187" t="s">
        <v>2416</v>
      </c>
      <c r="P38" s="360" t="s">
        <v>2417</v>
      </c>
      <c r="Q38" s="109"/>
      <c r="R38" s="109"/>
      <c r="S38" s="109"/>
      <c r="T38" s="109"/>
      <c r="U38" s="109"/>
      <c r="V38" s="109"/>
      <c r="W38" s="109"/>
      <c r="X38" s="109"/>
      <c r="Y38" s="109"/>
      <c r="Z38" s="109"/>
    </row>
    <row r="39">
      <c r="A39" s="109"/>
      <c r="B39" s="187" t="s">
        <v>1377</v>
      </c>
      <c r="C39" s="187" t="s">
        <v>913</v>
      </c>
      <c r="D39" s="361" t="s">
        <v>1468</v>
      </c>
      <c r="E39" s="187" t="s">
        <v>1469</v>
      </c>
      <c r="F39" s="362">
        <v>40719.0</v>
      </c>
      <c r="G39" s="186" t="s">
        <v>104</v>
      </c>
      <c r="H39" s="187" t="s">
        <v>573</v>
      </c>
      <c r="I39" s="187" t="s">
        <v>574</v>
      </c>
      <c r="J39" s="359" t="s">
        <v>2344</v>
      </c>
      <c r="K39" s="356"/>
      <c r="L39" s="356"/>
      <c r="M39" s="187" t="s">
        <v>2418</v>
      </c>
      <c r="N39" s="187" t="s">
        <v>2346</v>
      </c>
      <c r="O39" s="187" t="s">
        <v>2419</v>
      </c>
      <c r="P39" s="360" t="s">
        <v>2420</v>
      </c>
      <c r="Q39" s="109"/>
      <c r="R39" s="109"/>
      <c r="S39" s="109"/>
      <c r="T39" s="109"/>
      <c r="U39" s="109"/>
      <c r="V39" s="109"/>
      <c r="W39" s="109"/>
      <c r="X39" s="109"/>
      <c r="Y39" s="109"/>
      <c r="Z39" s="109"/>
    </row>
    <row r="40">
      <c r="A40" s="109"/>
      <c r="B40" s="187" t="s">
        <v>1377</v>
      </c>
      <c r="C40" s="187" t="s">
        <v>913</v>
      </c>
      <c r="D40" s="361" t="s">
        <v>1454</v>
      </c>
      <c r="E40" s="187" t="s">
        <v>1455</v>
      </c>
      <c r="F40" s="362">
        <v>40719.0</v>
      </c>
      <c r="G40" s="186" t="s">
        <v>104</v>
      </c>
      <c r="H40" s="187" t="s">
        <v>721</v>
      </c>
      <c r="I40" s="187" t="s">
        <v>722</v>
      </c>
      <c r="J40" s="359" t="s">
        <v>2344</v>
      </c>
      <c r="K40" s="356"/>
      <c r="L40" s="356"/>
      <c r="M40" s="187" t="s">
        <v>2421</v>
      </c>
      <c r="N40" s="187" t="s">
        <v>0</v>
      </c>
      <c r="O40" s="187" t="s">
        <v>2422</v>
      </c>
      <c r="P40" s="360" t="s">
        <v>2423</v>
      </c>
      <c r="Q40" s="109"/>
      <c r="R40" s="109"/>
      <c r="S40" s="109"/>
      <c r="T40" s="109"/>
      <c r="U40" s="109"/>
      <c r="V40" s="109"/>
      <c r="W40" s="109"/>
      <c r="X40" s="109"/>
      <c r="Y40" s="109"/>
      <c r="Z40" s="109"/>
    </row>
    <row r="41">
      <c r="A41" s="109"/>
      <c r="B41" s="187" t="s">
        <v>1377</v>
      </c>
      <c r="C41" s="187" t="s">
        <v>913</v>
      </c>
      <c r="D41" s="186">
        <v>477069.0</v>
      </c>
      <c r="E41" s="187" t="s">
        <v>1426</v>
      </c>
      <c r="F41" s="187" t="s">
        <v>1380</v>
      </c>
      <c r="G41" s="186" t="s">
        <v>104</v>
      </c>
      <c r="H41" s="187" t="s">
        <v>449</v>
      </c>
      <c r="I41" s="187" t="s">
        <v>450</v>
      </c>
      <c r="J41" s="359" t="s">
        <v>2344</v>
      </c>
      <c r="K41" s="363">
        <v>46044.0</v>
      </c>
      <c r="L41" s="186" t="s">
        <v>2344</v>
      </c>
      <c r="M41" s="187" t="s">
        <v>2424</v>
      </c>
      <c r="N41" s="187" t="s">
        <v>2346</v>
      </c>
      <c r="O41" s="187" t="s">
        <v>2425</v>
      </c>
      <c r="P41" s="360" t="s">
        <v>2426</v>
      </c>
      <c r="Q41" s="109"/>
      <c r="R41" s="109"/>
      <c r="S41" s="109"/>
      <c r="T41" s="109"/>
      <c r="U41" s="109"/>
      <c r="V41" s="109"/>
      <c r="W41" s="109"/>
      <c r="X41" s="109"/>
      <c r="Y41" s="109"/>
      <c r="Z41" s="109"/>
    </row>
    <row r="42">
      <c r="A42" s="109"/>
      <c r="B42" s="187" t="s">
        <v>1377</v>
      </c>
      <c r="C42" s="187" t="s">
        <v>913</v>
      </c>
      <c r="D42" s="186">
        <v>477068.0</v>
      </c>
      <c r="E42" s="187" t="s">
        <v>1382</v>
      </c>
      <c r="F42" s="187" t="s">
        <v>1380</v>
      </c>
      <c r="G42" s="186" t="s">
        <v>104</v>
      </c>
      <c r="H42" s="187" t="s">
        <v>516</v>
      </c>
      <c r="I42" s="187" t="s">
        <v>517</v>
      </c>
      <c r="J42" s="359" t="s">
        <v>2344</v>
      </c>
      <c r="K42" s="363">
        <v>46049.0</v>
      </c>
      <c r="L42" s="356"/>
      <c r="M42" s="187" t="s">
        <v>2427</v>
      </c>
      <c r="N42" s="187" t="s">
        <v>2346</v>
      </c>
      <c r="O42" s="187" t="s">
        <v>2428</v>
      </c>
      <c r="P42" s="360" t="s">
        <v>2429</v>
      </c>
      <c r="Q42" s="109"/>
      <c r="R42" s="109"/>
      <c r="S42" s="109"/>
      <c r="T42" s="109"/>
      <c r="U42" s="109"/>
      <c r="V42" s="109"/>
      <c r="W42" s="109"/>
      <c r="X42" s="109"/>
      <c r="Y42" s="109"/>
      <c r="Z42" s="109"/>
    </row>
    <row r="43">
      <c r="A43" s="109"/>
      <c r="B43" s="109"/>
      <c r="C43" s="109"/>
      <c r="D43" s="356"/>
      <c r="E43" s="109"/>
      <c r="F43" s="109"/>
      <c r="G43" s="186" t="s">
        <v>104</v>
      </c>
      <c r="H43" s="187" t="s">
        <v>171</v>
      </c>
      <c r="I43" s="187" t="s">
        <v>172</v>
      </c>
      <c r="J43" s="356"/>
      <c r="K43" s="356"/>
      <c r="L43" s="356"/>
      <c r="M43" s="187"/>
      <c r="N43" s="187"/>
      <c r="O43" s="187" t="s">
        <v>2393</v>
      </c>
      <c r="P43" s="357"/>
      <c r="Q43" s="109"/>
      <c r="R43" s="109"/>
      <c r="S43" s="109"/>
      <c r="T43" s="109"/>
      <c r="U43" s="109"/>
      <c r="V43" s="109"/>
      <c r="W43" s="109"/>
      <c r="X43" s="109"/>
      <c r="Y43" s="109"/>
      <c r="Z43" s="109"/>
    </row>
    <row r="44">
      <c r="A44" s="109"/>
      <c r="B44" s="187" t="s">
        <v>1377</v>
      </c>
      <c r="C44" s="187" t="s">
        <v>913</v>
      </c>
      <c r="D44" s="361" t="s">
        <v>1388</v>
      </c>
      <c r="E44" s="187" t="s">
        <v>1389</v>
      </c>
      <c r="F44" s="187" t="s">
        <v>1380</v>
      </c>
      <c r="G44" s="186" t="s">
        <v>41</v>
      </c>
      <c r="H44" s="187" t="s">
        <v>709</v>
      </c>
      <c r="I44" s="187" t="s">
        <v>710</v>
      </c>
      <c r="J44" s="359" t="s">
        <v>2344</v>
      </c>
      <c r="K44" s="356"/>
      <c r="L44" s="356"/>
      <c r="M44" s="187" t="s">
        <v>2430</v>
      </c>
      <c r="N44" s="187" t="s">
        <v>0</v>
      </c>
      <c r="O44" s="187" t="s">
        <v>2431</v>
      </c>
      <c r="P44" s="360" t="s">
        <v>2432</v>
      </c>
      <c r="Q44" s="109"/>
      <c r="R44" s="109"/>
      <c r="S44" s="109"/>
      <c r="T44" s="109"/>
      <c r="U44" s="109"/>
      <c r="V44" s="109"/>
      <c r="W44" s="109"/>
      <c r="X44" s="109"/>
      <c r="Y44" s="109"/>
      <c r="Z44" s="109"/>
    </row>
    <row r="45">
      <c r="A45" s="109"/>
      <c r="B45" s="187" t="s">
        <v>1377</v>
      </c>
      <c r="C45" s="187" t="s">
        <v>913</v>
      </c>
      <c r="D45" s="361" t="s">
        <v>2433</v>
      </c>
      <c r="E45" s="187" t="s">
        <v>1412</v>
      </c>
      <c r="F45" s="187" t="s">
        <v>1380</v>
      </c>
      <c r="G45" s="186" t="s">
        <v>41</v>
      </c>
      <c r="H45" s="187" t="s">
        <v>499</v>
      </c>
      <c r="I45" s="187" t="s">
        <v>500</v>
      </c>
      <c r="J45" s="359" t="s">
        <v>2344</v>
      </c>
      <c r="K45" s="363">
        <v>46050.0</v>
      </c>
      <c r="L45" s="356"/>
      <c r="M45" s="187" t="s">
        <v>2434</v>
      </c>
      <c r="N45" s="187" t="s">
        <v>0</v>
      </c>
      <c r="O45" s="187" t="s">
        <v>2435</v>
      </c>
      <c r="P45" s="364" t="s">
        <v>2436</v>
      </c>
      <c r="Q45" s="109"/>
      <c r="R45" s="109"/>
      <c r="S45" s="109"/>
      <c r="T45" s="109"/>
      <c r="U45" s="109"/>
      <c r="V45" s="109"/>
      <c r="W45" s="109"/>
      <c r="X45" s="109"/>
      <c r="Y45" s="109"/>
      <c r="Z45" s="109"/>
    </row>
    <row r="46">
      <c r="A46" s="109"/>
      <c r="B46" s="187" t="s">
        <v>1377</v>
      </c>
      <c r="C46" s="187" t="s">
        <v>913</v>
      </c>
      <c r="D46" s="186">
        <v>477065.0</v>
      </c>
      <c r="E46" s="187" t="s">
        <v>1423</v>
      </c>
      <c r="F46" s="187" t="s">
        <v>1380</v>
      </c>
      <c r="G46" s="186" t="s">
        <v>41</v>
      </c>
      <c r="H46" s="187" t="s">
        <v>507</v>
      </c>
      <c r="I46" s="187" t="s">
        <v>508</v>
      </c>
      <c r="J46" s="359" t="s">
        <v>2344</v>
      </c>
      <c r="K46" s="363">
        <v>46042.0</v>
      </c>
      <c r="L46" s="356"/>
      <c r="M46" s="187" t="s">
        <v>2437</v>
      </c>
      <c r="N46" s="187" t="s">
        <v>0</v>
      </c>
      <c r="O46" s="187" t="s">
        <v>2438</v>
      </c>
      <c r="P46" s="360" t="s">
        <v>2439</v>
      </c>
      <c r="Q46" s="109"/>
      <c r="R46" s="109"/>
      <c r="S46" s="109"/>
      <c r="T46" s="109"/>
      <c r="U46" s="109"/>
      <c r="V46" s="109"/>
      <c r="W46" s="109"/>
      <c r="X46" s="109"/>
      <c r="Y46" s="109"/>
      <c r="Z46" s="109"/>
    </row>
    <row r="47">
      <c r="A47" s="109"/>
      <c r="B47" s="187" t="s">
        <v>1377</v>
      </c>
      <c r="C47" s="187" t="s">
        <v>913</v>
      </c>
      <c r="D47" s="361" t="s">
        <v>1435</v>
      </c>
      <c r="E47" s="187" t="s">
        <v>1436</v>
      </c>
      <c r="F47" s="187" t="s">
        <v>1380</v>
      </c>
      <c r="G47" s="186" t="s">
        <v>41</v>
      </c>
      <c r="H47" s="187" t="s">
        <v>44</v>
      </c>
      <c r="I47" s="187" t="s">
        <v>45</v>
      </c>
      <c r="J47" s="359" t="s">
        <v>2344</v>
      </c>
      <c r="K47" s="363">
        <v>46044.0</v>
      </c>
      <c r="L47" s="356"/>
      <c r="M47" s="187" t="s">
        <v>2440</v>
      </c>
      <c r="N47" s="187" t="s">
        <v>0</v>
      </c>
      <c r="O47" s="187" t="s">
        <v>2441</v>
      </c>
      <c r="P47" s="360" t="s">
        <v>2442</v>
      </c>
      <c r="Q47" s="187" t="s">
        <v>2443</v>
      </c>
      <c r="R47" s="109"/>
      <c r="S47" s="109"/>
      <c r="T47" s="109"/>
      <c r="U47" s="109"/>
      <c r="V47" s="109"/>
      <c r="W47" s="109"/>
      <c r="X47" s="109"/>
      <c r="Y47" s="109"/>
      <c r="Z47" s="109"/>
    </row>
    <row r="48">
      <c r="A48" s="109"/>
      <c r="B48" s="187" t="s">
        <v>1377</v>
      </c>
      <c r="C48" s="187" t="s">
        <v>913</v>
      </c>
      <c r="D48" s="361" t="s">
        <v>1445</v>
      </c>
      <c r="E48" s="187" t="s">
        <v>1446</v>
      </c>
      <c r="F48" s="187" t="s">
        <v>1380</v>
      </c>
      <c r="G48" s="186" t="s">
        <v>41</v>
      </c>
      <c r="H48" s="187" t="s">
        <v>245</v>
      </c>
      <c r="I48" s="187" t="s">
        <v>246</v>
      </c>
      <c r="J48" s="359" t="s">
        <v>2344</v>
      </c>
      <c r="K48" s="363">
        <v>46044.0</v>
      </c>
      <c r="L48" s="356"/>
      <c r="M48" s="187" t="s">
        <v>2444</v>
      </c>
      <c r="N48" s="187" t="s">
        <v>2346</v>
      </c>
      <c r="O48" s="187" t="s">
        <v>2445</v>
      </c>
      <c r="P48" s="365" t="s">
        <v>2446</v>
      </c>
      <c r="Q48" s="187" t="s">
        <v>2447</v>
      </c>
      <c r="R48" s="109"/>
      <c r="S48" s="109"/>
      <c r="T48" s="109"/>
      <c r="U48" s="109"/>
      <c r="V48" s="109"/>
      <c r="W48" s="109"/>
      <c r="X48" s="109"/>
      <c r="Y48" s="109"/>
      <c r="Z48" s="109"/>
    </row>
    <row r="49">
      <c r="A49" s="109"/>
      <c r="B49" s="187" t="s">
        <v>1377</v>
      </c>
      <c r="C49" s="187" t="s">
        <v>913</v>
      </c>
      <c r="D49" s="186">
        <v>477067.0</v>
      </c>
      <c r="E49" s="187" t="s">
        <v>1449</v>
      </c>
      <c r="F49" s="187" t="s">
        <v>1380</v>
      </c>
      <c r="G49" s="186" t="s">
        <v>41</v>
      </c>
      <c r="H49" s="187" t="s">
        <v>429</v>
      </c>
      <c r="I49" s="187" t="s">
        <v>430</v>
      </c>
      <c r="J49" s="359" t="s">
        <v>2344</v>
      </c>
      <c r="K49" s="363">
        <v>46044.0</v>
      </c>
      <c r="L49" s="356"/>
      <c r="M49" s="187" t="s">
        <v>2448</v>
      </c>
      <c r="N49" s="187" t="s">
        <v>0</v>
      </c>
      <c r="O49" s="187" t="s">
        <v>2449</v>
      </c>
      <c r="P49" s="360" t="s">
        <v>2450</v>
      </c>
      <c r="Q49" s="187" t="s">
        <v>2451</v>
      </c>
      <c r="R49" s="109"/>
      <c r="S49" s="109"/>
      <c r="T49" s="109"/>
      <c r="U49" s="109"/>
      <c r="V49" s="109"/>
      <c r="W49" s="109"/>
      <c r="X49" s="109"/>
      <c r="Y49" s="109"/>
      <c r="Z49" s="109"/>
    </row>
    <row r="50">
      <c r="A50" s="109"/>
      <c r="B50" s="187" t="s">
        <v>1377</v>
      </c>
      <c r="C50" s="187" t="s">
        <v>913</v>
      </c>
      <c r="D50" s="186">
        <v>477062.0</v>
      </c>
      <c r="E50" s="187" t="s">
        <v>1420</v>
      </c>
      <c r="F50" s="187" t="s">
        <v>1380</v>
      </c>
      <c r="G50" s="186" t="s">
        <v>41</v>
      </c>
      <c r="H50" s="187" t="s">
        <v>689</v>
      </c>
      <c r="I50" s="187" t="s">
        <v>690</v>
      </c>
      <c r="J50" s="359" t="s">
        <v>2344</v>
      </c>
      <c r="K50" s="356"/>
      <c r="L50" s="356"/>
      <c r="M50" s="365" t="s">
        <v>2452</v>
      </c>
      <c r="N50" s="187" t="s">
        <v>2346</v>
      </c>
      <c r="O50" s="187" t="s">
        <v>2453</v>
      </c>
      <c r="P50" s="360" t="s">
        <v>2454</v>
      </c>
      <c r="Q50" s="187" t="s">
        <v>2455</v>
      </c>
      <c r="R50" s="109"/>
      <c r="S50" s="109"/>
      <c r="T50" s="109"/>
      <c r="U50" s="109"/>
      <c r="V50" s="109"/>
      <c r="W50" s="109"/>
      <c r="X50" s="109"/>
      <c r="Y50" s="109"/>
      <c r="Z50" s="109"/>
    </row>
    <row r="51">
      <c r="A51" s="109"/>
      <c r="B51" s="109"/>
      <c r="C51" s="109"/>
      <c r="D51" s="356"/>
      <c r="E51" s="109"/>
      <c r="F51" s="109"/>
      <c r="G51" s="186" t="s">
        <v>41</v>
      </c>
      <c r="H51" s="187" t="s">
        <v>189</v>
      </c>
      <c r="I51" s="187" t="s">
        <v>190</v>
      </c>
      <c r="J51" s="356"/>
      <c r="K51" s="356"/>
      <c r="L51" s="356"/>
      <c r="M51" s="109"/>
      <c r="N51" s="109"/>
      <c r="O51" s="187" t="s">
        <v>2456</v>
      </c>
      <c r="P51" s="357"/>
      <c r="Q51" s="109"/>
      <c r="R51" s="109"/>
      <c r="S51" s="109"/>
      <c r="T51" s="109"/>
      <c r="U51" s="109"/>
      <c r="V51" s="109"/>
      <c r="W51" s="109"/>
      <c r="X51" s="109"/>
      <c r="Y51" s="109"/>
      <c r="Z51" s="109"/>
    </row>
    <row r="52">
      <c r="A52" s="109"/>
      <c r="B52" s="187" t="s">
        <v>1377</v>
      </c>
      <c r="C52" s="187" t="s">
        <v>913</v>
      </c>
      <c r="D52" s="186">
        <v>477054.0</v>
      </c>
      <c r="E52" s="187" t="s">
        <v>1385</v>
      </c>
      <c r="F52" s="187" t="s">
        <v>1380</v>
      </c>
      <c r="G52" s="186" t="s">
        <v>62</v>
      </c>
      <c r="H52" s="187" t="s">
        <v>483</v>
      </c>
      <c r="I52" s="187" t="s">
        <v>484</v>
      </c>
      <c r="J52" s="359" t="s">
        <v>2344</v>
      </c>
      <c r="K52" s="363">
        <v>46042.0</v>
      </c>
      <c r="L52" s="356"/>
      <c r="M52" s="187" t="s">
        <v>2457</v>
      </c>
      <c r="N52" s="187" t="s">
        <v>0</v>
      </c>
      <c r="O52" s="187" t="s">
        <v>2458</v>
      </c>
      <c r="P52" s="360" t="s">
        <v>2459</v>
      </c>
      <c r="Q52" s="109"/>
      <c r="R52" s="109"/>
      <c r="S52" s="109"/>
      <c r="T52" s="109"/>
      <c r="U52" s="109"/>
      <c r="V52" s="109"/>
      <c r="W52" s="109"/>
      <c r="X52" s="109"/>
      <c r="Y52" s="109"/>
      <c r="Z52" s="109"/>
    </row>
    <row r="53">
      <c r="A53" s="109"/>
      <c r="B53" s="187" t="s">
        <v>1377</v>
      </c>
      <c r="C53" s="187" t="s">
        <v>913</v>
      </c>
      <c r="D53" s="186">
        <v>477056.0</v>
      </c>
      <c r="E53" s="187" t="s">
        <v>1398</v>
      </c>
      <c r="F53" s="187" t="s">
        <v>1380</v>
      </c>
      <c r="G53" s="186" t="s">
        <v>62</v>
      </c>
      <c r="H53" s="187" t="s">
        <v>59</v>
      </c>
      <c r="I53" s="187" t="s">
        <v>60</v>
      </c>
      <c r="J53" s="359" t="s">
        <v>2344</v>
      </c>
      <c r="K53" s="363">
        <v>46044.0</v>
      </c>
      <c r="L53" s="356"/>
      <c r="M53" s="187" t="s">
        <v>2460</v>
      </c>
      <c r="N53" s="187" t="s">
        <v>2346</v>
      </c>
      <c r="O53" s="187" t="s">
        <v>2461</v>
      </c>
      <c r="P53" s="360" t="s">
        <v>2462</v>
      </c>
      <c r="Q53" s="109"/>
      <c r="R53" s="109"/>
      <c r="S53" s="109"/>
      <c r="T53" s="109"/>
      <c r="U53" s="109"/>
      <c r="V53" s="109"/>
      <c r="W53" s="109"/>
      <c r="X53" s="109"/>
      <c r="Y53" s="109"/>
      <c r="Z53" s="109"/>
    </row>
    <row r="54">
      <c r="A54" s="109"/>
      <c r="B54" s="187" t="s">
        <v>1377</v>
      </c>
      <c r="C54" s="187" t="s">
        <v>913</v>
      </c>
      <c r="D54" s="186">
        <v>477059.0</v>
      </c>
      <c r="E54" s="187" t="s">
        <v>1407</v>
      </c>
      <c r="F54" s="187" t="s">
        <v>1380</v>
      </c>
      <c r="G54" s="186" t="s">
        <v>62</v>
      </c>
      <c r="H54" s="187" t="s">
        <v>225</v>
      </c>
      <c r="I54" s="187" t="s">
        <v>226</v>
      </c>
      <c r="J54" s="359" t="s">
        <v>2344</v>
      </c>
      <c r="K54" s="363">
        <v>46044.0</v>
      </c>
      <c r="L54" s="186" t="s">
        <v>2344</v>
      </c>
      <c r="M54" s="187" t="s">
        <v>2463</v>
      </c>
      <c r="N54" s="187" t="s">
        <v>0</v>
      </c>
      <c r="O54" s="187" t="s">
        <v>2464</v>
      </c>
      <c r="P54" s="360" t="s">
        <v>2465</v>
      </c>
      <c r="Q54" s="109"/>
      <c r="R54" s="109"/>
      <c r="S54" s="109"/>
      <c r="T54" s="109"/>
      <c r="U54" s="109"/>
      <c r="V54" s="109"/>
      <c r="W54" s="109"/>
      <c r="X54" s="109"/>
      <c r="Y54" s="109"/>
      <c r="Z54" s="109"/>
    </row>
    <row r="55">
      <c r="A55" s="109"/>
      <c r="B55" s="187" t="s">
        <v>1377</v>
      </c>
      <c r="C55" s="187" t="s">
        <v>913</v>
      </c>
      <c r="D55" s="186">
        <v>477076.0</v>
      </c>
      <c r="E55" s="187" t="s">
        <v>1415</v>
      </c>
      <c r="F55" s="187" t="s">
        <v>1380</v>
      </c>
      <c r="G55" s="186" t="s">
        <v>62</v>
      </c>
      <c r="H55" s="187" t="s">
        <v>562</v>
      </c>
      <c r="I55" s="187" t="s">
        <v>563</v>
      </c>
      <c r="J55" s="359" t="s">
        <v>2344</v>
      </c>
      <c r="K55" s="363">
        <v>46045.0</v>
      </c>
      <c r="L55" s="186" t="s">
        <v>2344</v>
      </c>
      <c r="M55" s="187" t="s">
        <v>2466</v>
      </c>
      <c r="N55" s="187" t="s">
        <v>0</v>
      </c>
      <c r="O55" s="187" t="s">
        <v>2467</v>
      </c>
      <c r="P55" s="360" t="s">
        <v>2468</v>
      </c>
      <c r="Q55" s="109"/>
      <c r="R55" s="109"/>
      <c r="S55" s="109"/>
      <c r="T55" s="109"/>
      <c r="U55" s="109"/>
      <c r="V55" s="109"/>
      <c r="W55" s="109"/>
      <c r="X55" s="109"/>
      <c r="Y55" s="109"/>
      <c r="Z55" s="109"/>
    </row>
    <row r="56">
      <c r="A56" s="109"/>
      <c r="B56" s="366" t="s">
        <v>1147</v>
      </c>
      <c r="C56" s="367" t="s">
        <v>913</v>
      </c>
      <c r="D56" s="368"/>
      <c r="E56" s="366" t="s">
        <v>1303</v>
      </c>
      <c r="F56" s="369" t="s">
        <v>1258</v>
      </c>
      <c r="G56" s="370" t="s">
        <v>20</v>
      </c>
      <c r="H56" s="187" t="s">
        <v>17</v>
      </c>
      <c r="I56" s="187" t="s">
        <v>18</v>
      </c>
      <c r="J56" s="359" t="s">
        <v>2344</v>
      </c>
      <c r="K56" s="363">
        <v>46044.0</v>
      </c>
      <c r="L56" s="109"/>
      <c r="M56" s="187" t="s">
        <v>2469</v>
      </c>
      <c r="N56" s="187" t="s">
        <v>2346</v>
      </c>
      <c r="O56" s="187" t="s">
        <v>2470</v>
      </c>
      <c r="P56" s="365" t="s">
        <v>20</v>
      </c>
      <c r="Q56" s="109"/>
      <c r="R56" s="109"/>
      <c r="S56" s="109"/>
      <c r="T56" s="109"/>
      <c r="U56" s="109"/>
      <c r="V56" s="109"/>
      <c r="W56" s="109"/>
      <c r="X56" s="109"/>
      <c r="Y56" s="109"/>
      <c r="Z56" s="109"/>
    </row>
    <row r="57">
      <c r="A57" s="109"/>
      <c r="B57" s="109"/>
      <c r="C57" s="109"/>
      <c r="D57" s="109"/>
      <c r="E57" s="109"/>
      <c r="F57" s="109"/>
      <c r="G57" s="356"/>
      <c r="H57" s="109"/>
      <c r="I57" s="109"/>
      <c r="J57" s="109"/>
      <c r="K57" s="109"/>
      <c r="L57" s="109"/>
      <c r="M57" s="109"/>
      <c r="N57" s="109"/>
      <c r="O57" s="109"/>
      <c r="P57" s="357"/>
      <c r="Q57" s="109"/>
      <c r="R57" s="109"/>
      <c r="S57" s="109"/>
      <c r="T57" s="109"/>
      <c r="U57" s="109"/>
      <c r="V57" s="109"/>
      <c r="W57" s="109"/>
      <c r="X57" s="109"/>
      <c r="Y57" s="109"/>
      <c r="Z57" s="109"/>
    </row>
    <row r="58">
      <c r="A58" s="109"/>
      <c r="B58" s="109"/>
      <c r="C58" s="109"/>
      <c r="D58" s="109"/>
      <c r="E58" s="109"/>
      <c r="F58" s="109"/>
      <c r="G58" s="356"/>
      <c r="H58" s="109"/>
      <c r="I58" s="109"/>
      <c r="J58" s="109"/>
      <c r="K58" s="109"/>
      <c r="L58" s="109"/>
      <c r="M58" s="109"/>
      <c r="N58" s="109"/>
      <c r="O58" s="109"/>
      <c r="P58" s="357"/>
      <c r="Q58" s="109"/>
      <c r="R58" s="109"/>
      <c r="S58" s="109"/>
      <c r="T58" s="109"/>
      <c r="U58" s="109"/>
      <c r="V58" s="109"/>
      <c r="W58" s="109"/>
      <c r="X58" s="109"/>
      <c r="Y58" s="109"/>
      <c r="Z58" s="109"/>
    </row>
    <row r="59">
      <c r="A59" s="109"/>
      <c r="B59" s="109"/>
      <c r="C59" s="109"/>
      <c r="D59" s="109"/>
      <c r="E59" s="109"/>
      <c r="F59" s="109"/>
      <c r="G59" s="356"/>
      <c r="H59" s="109"/>
      <c r="I59" s="109"/>
      <c r="J59" s="109"/>
      <c r="K59" s="109"/>
      <c r="L59" s="109"/>
      <c r="M59" s="109"/>
      <c r="N59" s="109"/>
      <c r="O59" s="109"/>
      <c r="P59" s="357"/>
      <c r="Q59" s="109"/>
      <c r="R59" s="109"/>
      <c r="S59" s="109"/>
      <c r="T59" s="109"/>
      <c r="U59" s="109"/>
      <c r="V59" s="109"/>
      <c r="W59" s="109"/>
      <c r="X59" s="109"/>
      <c r="Y59" s="109"/>
      <c r="Z59" s="109"/>
    </row>
    <row r="60">
      <c r="A60" s="109"/>
      <c r="B60" s="109"/>
      <c r="C60" s="109"/>
      <c r="D60" s="109"/>
      <c r="E60" s="109"/>
      <c r="F60" s="109"/>
      <c r="G60" s="356"/>
      <c r="H60" s="109"/>
      <c r="I60" s="109"/>
      <c r="J60" s="109"/>
      <c r="K60" s="109"/>
      <c r="L60" s="109"/>
      <c r="M60" s="109"/>
      <c r="N60" s="109"/>
      <c r="O60" s="109"/>
      <c r="P60" s="357"/>
      <c r="Q60" s="109"/>
      <c r="R60" s="109"/>
      <c r="S60" s="109"/>
      <c r="T60" s="109"/>
      <c r="U60" s="109"/>
      <c r="V60" s="109"/>
      <c r="W60" s="109"/>
      <c r="X60" s="109"/>
      <c r="Y60" s="109"/>
      <c r="Z60" s="109"/>
    </row>
    <row r="61">
      <c r="A61" s="109"/>
      <c r="B61" s="109"/>
      <c r="C61" s="109"/>
      <c r="D61" s="109"/>
      <c r="E61" s="109"/>
      <c r="F61" s="109"/>
      <c r="G61" s="356"/>
      <c r="H61" s="109"/>
      <c r="I61" s="109"/>
      <c r="J61" s="109"/>
      <c r="K61" s="109"/>
      <c r="L61" s="109"/>
      <c r="M61" s="109"/>
      <c r="N61" s="109"/>
      <c r="O61" s="109"/>
      <c r="P61" s="357"/>
      <c r="Q61" s="109"/>
      <c r="R61" s="109"/>
      <c r="S61" s="109"/>
      <c r="T61" s="109"/>
      <c r="U61" s="109"/>
      <c r="V61" s="109"/>
      <c r="W61" s="109"/>
      <c r="X61" s="109"/>
      <c r="Y61" s="109"/>
      <c r="Z61" s="109"/>
    </row>
    <row r="62">
      <c r="A62" s="109"/>
      <c r="B62" s="109"/>
      <c r="C62" s="109"/>
      <c r="D62" s="109"/>
      <c r="E62" s="109"/>
      <c r="F62" s="109"/>
      <c r="G62" s="356"/>
      <c r="H62" s="109"/>
      <c r="I62" s="109"/>
      <c r="J62" s="109"/>
      <c r="K62" s="109"/>
      <c r="L62" s="109"/>
      <c r="M62" s="109"/>
      <c r="N62" s="109"/>
      <c r="O62" s="109"/>
      <c r="P62" s="357"/>
      <c r="Q62" s="109"/>
      <c r="R62" s="109"/>
      <c r="S62" s="109"/>
      <c r="T62" s="109"/>
      <c r="U62" s="109"/>
      <c r="V62" s="109"/>
      <c r="W62" s="109"/>
      <c r="X62" s="109"/>
      <c r="Y62" s="109"/>
      <c r="Z62" s="109"/>
    </row>
    <row r="63">
      <c r="A63" s="109"/>
      <c r="B63" s="109"/>
      <c r="C63" s="109"/>
      <c r="D63" s="109"/>
      <c r="E63" s="109"/>
      <c r="F63" s="109"/>
      <c r="G63" s="356"/>
      <c r="H63" s="109"/>
      <c r="I63" s="109"/>
      <c r="J63" s="109"/>
      <c r="K63" s="109"/>
      <c r="L63" s="109"/>
      <c r="M63" s="109"/>
      <c r="N63" s="109"/>
      <c r="O63" s="109"/>
      <c r="P63" s="357"/>
      <c r="Q63" s="109"/>
      <c r="R63" s="109"/>
      <c r="S63" s="109"/>
      <c r="T63" s="109"/>
      <c r="U63" s="109"/>
      <c r="V63" s="109"/>
      <c r="W63" s="109"/>
      <c r="X63" s="109"/>
      <c r="Y63" s="109"/>
      <c r="Z63" s="109"/>
    </row>
    <row r="64">
      <c r="A64" s="109"/>
      <c r="B64" s="109"/>
      <c r="C64" s="109"/>
      <c r="D64" s="109"/>
      <c r="E64" s="109"/>
      <c r="F64" s="109"/>
      <c r="G64" s="356"/>
      <c r="H64" s="109"/>
      <c r="I64" s="109"/>
      <c r="J64" s="109"/>
      <c r="K64" s="109"/>
      <c r="L64" s="109"/>
      <c r="M64" s="109"/>
      <c r="N64" s="109"/>
      <c r="O64" s="109"/>
      <c r="P64" s="357"/>
      <c r="Q64" s="109"/>
      <c r="R64" s="109"/>
      <c r="S64" s="109"/>
      <c r="T64" s="109"/>
      <c r="U64" s="109"/>
      <c r="V64" s="109"/>
      <c r="W64" s="109"/>
      <c r="X64" s="109"/>
      <c r="Y64" s="109"/>
      <c r="Z64" s="109"/>
    </row>
    <row r="65">
      <c r="A65" s="109"/>
      <c r="B65" s="109"/>
      <c r="C65" s="109"/>
      <c r="D65" s="109"/>
      <c r="E65" s="109"/>
      <c r="F65" s="109"/>
      <c r="G65" s="356"/>
      <c r="H65" s="109"/>
      <c r="I65" s="109"/>
      <c r="J65" s="109"/>
      <c r="K65" s="109"/>
      <c r="L65" s="109"/>
      <c r="M65" s="109"/>
      <c r="N65" s="109"/>
      <c r="O65" s="109"/>
      <c r="P65" s="357"/>
      <c r="Q65" s="109"/>
      <c r="R65" s="109"/>
      <c r="S65" s="109"/>
      <c r="T65" s="109"/>
      <c r="U65" s="109"/>
      <c r="V65" s="109"/>
      <c r="W65" s="109"/>
      <c r="X65" s="109"/>
      <c r="Y65" s="109"/>
      <c r="Z65" s="109"/>
    </row>
    <row r="66">
      <c r="A66" s="109"/>
      <c r="B66" s="109"/>
      <c r="C66" s="109"/>
      <c r="D66" s="109"/>
      <c r="E66" s="109"/>
      <c r="F66" s="109"/>
      <c r="G66" s="356"/>
      <c r="H66" s="109"/>
      <c r="I66" s="109"/>
      <c r="J66" s="109"/>
      <c r="K66" s="109"/>
      <c r="L66" s="109"/>
      <c r="M66" s="109"/>
      <c r="N66" s="109"/>
      <c r="O66" s="109"/>
      <c r="P66" s="357"/>
      <c r="Q66" s="109"/>
      <c r="R66" s="109"/>
      <c r="S66" s="109"/>
      <c r="T66" s="109"/>
      <c r="U66" s="109"/>
      <c r="V66" s="109"/>
      <c r="W66" s="109"/>
      <c r="X66" s="109"/>
      <c r="Y66" s="109"/>
      <c r="Z66" s="109"/>
    </row>
    <row r="67">
      <c r="A67" s="109"/>
      <c r="B67" s="109"/>
      <c r="C67" s="109"/>
      <c r="D67" s="109"/>
      <c r="E67" s="109"/>
      <c r="F67" s="109"/>
      <c r="G67" s="356"/>
      <c r="H67" s="109"/>
      <c r="I67" s="109"/>
      <c r="J67" s="109"/>
      <c r="K67" s="109"/>
      <c r="L67" s="109"/>
      <c r="M67" s="109"/>
      <c r="N67" s="109"/>
      <c r="O67" s="109"/>
      <c r="P67" s="357"/>
      <c r="Q67" s="109"/>
      <c r="R67" s="109"/>
      <c r="S67" s="109"/>
      <c r="T67" s="109"/>
      <c r="U67" s="109"/>
      <c r="V67" s="109"/>
      <c r="W67" s="109"/>
      <c r="X67" s="109"/>
      <c r="Y67" s="109"/>
      <c r="Z67" s="109"/>
    </row>
    <row r="68">
      <c r="A68" s="109"/>
      <c r="B68" s="109"/>
      <c r="C68" s="109"/>
      <c r="D68" s="109"/>
      <c r="E68" s="109"/>
      <c r="F68" s="109"/>
      <c r="G68" s="356"/>
      <c r="H68" s="109"/>
      <c r="I68" s="109"/>
      <c r="J68" s="109"/>
      <c r="K68" s="109"/>
      <c r="L68" s="109"/>
      <c r="M68" s="109"/>
      <c r="N68" s="109"/>
      <c r="O68" s="109"/>
      <c r="P68" s="357"/>
      <c r="Q68" s="109"/>
      <c r="R68" s="109"/>
      <c r="S68" s="109"/>
      <c r="T68" s="109"/>
      <c r="U68" s="109"/>
      <c r="V68" s="109"/>
      <c r="W68" s="109"/>
      <c r="X68" s="109"/>
      <c r="Y68" s="109"/>
      <c r="Z68" s="109"/>
    </row>
    <row r="69">
      <c r="A69" s="109"/>
      <c r="B69" s="109"/>
      <c r="C69" s="109"/>
      <c r="D69" s="109"/>
      <c r="E69" s="109"/>
      <c r="F69" s="109"/>
      <c r="G69" s="356"/>
      <c r="H69" s="109"/>
      <c r="I69" s="109"/>
      <c r="J69" s="109"/>
      <c r="K69" s="109"/>
      <c r="L69" s="109"/>
      <c r="M69" s="109"/>
      <c r="N69" s="109"/>
      <c r="O69" s="109"/>
      <c r="P69" s="357"/>
      <c r="Q69" s="109"/>
      <c r="R69" s="109"/>
      <c r="S69" s="109"/>
      <c r="T69" s="109"/>
      <c r="U69" s="109"/>
      <c r="V69" s="109"/>
      <c r="W69" s="109"/>
      <c r="X69" s="109"/>
      <c r="Y69" s="109"/>
      <c r="Z69" s="109"/>
    </row>
    <row r="70">
      <c r="A70" s="109"/>
      <c r="B70" s="109"/>
      <c r="C70" s="109"/>
      <c r="D70" s="109"/>
      <c r="E70" s="109"/>
      <c r="F70" s="109"/>
      <c r="G70" s="356"/>
      <c r="H70" s="109"/>
      <c r="I70" s="109"/>
      <c r="J70" s="109"/>
      <c r="K70" s="109"/>
      <c r="L70" s="109"/>
      <c r="M70" s="109"/>
      <c r="N70" s="109"/>
      <c r="O70" s="109"/>
      <c r="P70" s="357"/>
      <c r="Q70" s="109"/>
      <c r="R70" s="109"/>
      <c r="S70" s="109"/>
      <c r="T70" s="109"/>
      <c r="U70" s="109"/>
      <c r="V70" s="109"/>
      <c r="W70" s="109"/>
      <c r="X70" s="109"/>
      <c r="Y70" s="109"/>
      <c r="Z70" s="109"/>
    </row>
    <row r="71">
      <c r="A71" s="109"/>
      <c r="B71" s="109"/>
      <c r="C71" s="109"/>
      <c r="D71" s="109"/>
      <c r="E71" s="109"/>
      <c r="F71" s="109"/>
      <c r="G71" s="356"/>
      <c r="H71" s="109"/>
      <c r="I71" s="109"/>
      <c r="J71" s="109"/>
      <c r="K71" s="109"/>
      <c r="L71" s="109"/>
      <c r="M71" s="109"/>
      <c r="N71" s="109"/>
      <c r="O71" s="109"/>
      <c r="P71" s="357"/>
      <c r="Q71" s="109"/>
      <c r="R71" s="109"/>
      <c r="S71" s="109"/>
      <c r="T71" s="109"/>
      <c r="U71" s="109"/>
      <c r="V71" s="109"/>
      <c r="W71" s="109"/>
      <c r="X71" s="109"/>
      <c r="Y71" s="109"/>
      <c r="Z71" s="109"/>
    </row>
    <row r="72">
      <c r="A72" s="109"/>
      <c r="B72" s="109"/>
      <c r="C72" s="109"/>
      <c r="D72" s="109"/>
      <c r="E72" s="109"/>
      <c r="F72" s="109"/>
      <c r="G72" s="356"/>
      <c r="H72" s="109"/>
      <c r="I72" s="109"/>
      <c r="J72" s="109"/>
      <c r="K72" s="109"/>
      <c r="L72" s="109"/>
      <c r="M72" s="109"/>
      <c r="N72" s="109"/>
      <c r="O72" s="109"/>
      <c r="P72" s="357"/>
      <c r="Q72" s="109"/>
      <c r="R72" s="109"/>
      <c r="S72" s="109"/>
      <c r="T72" s="109"/>
      <c r="U72" s="109"/>
      <c r="V72" s="109"/>
      <c r="W72" s="109"/>
      <c r="X72" s="109"/>
      <c r="Y72" s="109"/>
      <c r="Z72" s="109"/>
    </row>
    <row r="73">
      <c r="A73" s="109"/>
      <c r="B73" s="109"/>
      <c r="C73" s="109"/>
      <c r="D73" s="109"/>
      <c r="E73" s="109"/>
      <c r="F73" s="109"/>
      <c r="G73" s="356"/>
      <c r="H73" s="109"/>
      <c r="I73" s="109"/>
      <c r="J73" s="109"/>
      <c r="K73" s="109"/>
      <c r="L73" s="109"/>
      <c r="M73" s="109"/>
      <c r="N73" s="109"/>
      <c r="O73" s="109"/>
      <c r="P73" s="357"/>
      <c r="Q73" s="109"/>
      <c r="R73" s="109"/>
      <c r="S73" s="109"/>
      <c r="T73" s="109"/>
      <c r="U73" s="109"/>
      <c r="V73" s="109"/>
      <c r="W73" s="109"/>
      <c r="X73" s="109"/>
      <c r="Y73" s="109"/>
      <c r="Z73" s="109"/>
    </row>
    <row r="74">
      <c r="A74" s="109"/>
      <c r="B74" s="109"/>
      <c r="C74" s="109"/>
      <c r="D74" s="109"/>
      <c r="E74" s="109"/>
      <c r="F74" s="109"/>
      <c r="G74" s="356"/>
      <c r="H74" s="109"/>
      <c r="I74" s="109"/>
      <c r="J74" s="109"/>
      <c r="K74" s="109"/>
      <c r="L74" s="109"/>
      <c r="M74" s="109"/>
      <c r="N74" s="109"/>
      <c r="O74" s="109"/>
      <c r="P74" s="357"/>
      <c r="Q74" s="109"/>
      <c r="R74" s="109"/>
      <c r="S74" s="109"/>
      <c r="T74" s="109"/>
      <c r="U74" s="109"/>
      <c r="V74" s="109"/>
      <c r="W74" s="109"/>
      <c r="X74" s="109"/>
      <c r="Y74" s="109"/>
      <c r="Z74" s="109"/>
    </row>
    <row r="75">
      <c r="A75" s="109"/>
      <c r="B75" s="109"/>
      <c r="C75" s="109"/>
      <c r="D75" s="109"/>
      <c r="E75" s="109"/>
      <c r="F75" s="109"/>
      <c r="G75" s="356"/>
      <c r="H75" s="109"/>
      <c r="I75" s="109"/>
      <c r="J75" s="109"/>
      <c r="K75" s="109"/>
      <c r="L75" s="109"/>
      <c r="M75" s="109"/>
      <c r="N75" s="109"/>
      <c r="O75" s="109"/>
      <c r="P75" s="357"/>
      <c r="Q75" s="109"/>
      <c r="R75" s="109"/>
      <c r="S75" s="109"/>
      <c r="T75" s="109"/>
      <c r="U75" s="109"/>
      <c r="V75" s="109"/>
      <c r="W75" s="109"/>
      <c r="X75" s="109"/>
      <c r="Y75" s="109"/>
      <c r="Z75" s="109"/>
    </row>
    <row r="76">
      <c r="A76" s="109"/>
      <c r="B76" s="109"/>
      <c r="C76" s="109"/>
      <c r="D76" s="109"/>
      <c r="E76" s="109"/>
      <c r="F76" s="109"/>
      <c r="G76" s="356"/>
      <c r="H76" s="109"/>
      <c r="I76" s="109"/>
      <c r="J76" s="109"/>
      <c r="K76" s="109"/>
      <c r="L76" s="109"/>
      <c r="M76" s="109"/>
      <c r="N76" s="109"/>
      <c r="O76" s="109"/>
      <c r="P76" s="357"/>
      <c r="Q76" s="109"/>
      <c r="R76" s="109"/>
      <c r="S76" s="109"/>
      <c r="T76" s="109"/>
      <c r="U76" s="109"/>
      <c r="V76" s="109"/>
      <c r="W76" s="109"/>
      <c r="X76" s="109"/>
      <c r="Y76" s="109"/>
      <c r="Z76" s="109"/>
    </row>
    <row r="77">
      <c r="A77" s="109"/>
      <c r="B77" s="109"/>
      <c r="C77" s="109"/>
      <c r="D77" s="109"/>
      <c r="E77" s="109"/>
      <c r="F77" s="109"/>
      <c r="G77" s="356"/>
      <c r="H77" s="109"/>
      <c r="I77" s="109"/>
      <c r="J77" s="109"/>
      <c r="K77" s="109"/>
      <c r="L77" s="109"/>
      <c r="M77" s="109"/>
      <c r="N77" s="109"/>
      <c r="O77" s="109"/>
      <c r="P77" s="357"/>
      <c r="Q77" s="109"/>
      <c r="R77" s="109"/>
      <c r="S77" s="109"/>
      <c r="T77" s="109"/>
      <c r="U77" s="109"/>
      <c r="V77" s="109"/>
      <c r="W77" s="109"/>
      <c r="X77" s="109"/>
      <c r="Y77" s="109"/>
      <c r="Z77" s="109"/>
    </row>
    <row r="78">
      <c r="A78" s="109"/>
      <c r="B78" s="109"/>
      <c r="C78" s="109"/>
      <c r="D78" s="109"/>
      <c r="E78" s="109"/>
      <c r="F78" s="109"/>
      <c r="G78" s="356"/>
      <c r="H78" s="109"/>
      <c r="I78" s="109"/>
      <c r="J78" s="109"/>
      <c r="K78" s="109"/>
      <c r="L78" s="109"/>
      <c r="M78" s="109"/>
      <c r="N78" s="109"/>
      <c r="O78" s="109"/>
      <c r="P78" s="357"/>
      <c r="Q78" s="109"/>
      <c r="R78" s="109"/>
      <c r="S78" s="109"/>
      <c r="T78" s="109"/>
      <c r="U78" s="109"/>
      <c r="V78" s="109"/>
      <c r="W78" s="109"/>
      <c r="X78" s="109"/>
      <c r="Y78" s="109"/>
      <c r="Z78" s="109"/>
    </row>
    <row r="79">
      <c r="A79" s="109"/>
      <c r="B79" s="109"/>
      <c r="C79" s="109"/>
      <c r="D79" s="109"/>
      <c r="E79" s="109"/>
      <c r="F79" s="109"/>
      <c r="G79" s="356"/>
      <c r="H79" s="109"/>
      <c r="I79" s="109"/>
      <c r="J79" s="109"/>
      <c r="K79" s="109"/>
      <c r="L79" s="109"/>
      <c r="M79" s="109"/>
      <c r="N79" s="109"/>
      <c r="O79" s="109"/>
      <c r="P79" s="357"/>
      <c r="Q79" s="109"/>
      <c r="R79" s="109"/>
      <c r="S79" s="109"/>
      <c r="T79" s="109"/>
      <c r="U79" s="109"/>
      <c r="V79" s="109"/>
      <c r="W79" s="109"/>
      <c r="X79" s="109"/>
      <c r="Y79" s="109"/>
      <c r="Z79" s="109"/>
    </row>
    <row r="80">
      <c r="A80" s="109"/>
      <c r="B80" s="109"/>
      <c r="C80" s="109"/>
      <c r="D80" s="109"/>
      <c r="E80" s="109"/>
      <c r="F80" s="109"/>
      <c r="G80" s="356"/>
      <c r="H80" s="109"/>
      <c r="I80" s="109"/>
      <c r="J80" s="109"/>
      <c r="K80" s="109"/>
      <c r="L80" s="109"/>
      <c r="M80" s="109"/>
      <c r="N80" s="109"/>
      <c r="O80" s="109"/>
      <c r="P80" s="357"/>
      <c r="Q80" s="109"/>
      <c r="R80" s="109"/>
      <c r="S80" s="109"/>
      <c r="T80" s="109"/>
      <c r="U80" s="109"/>
      <c r="V80" s="109"/>
      <c r="W80" s="109"/>
      <c r="X80" s="109"/>
      <c r="Y80" s="109"/>
      <c r="Z80" s="109"/>
    </row>
    <row r="81">
      <c r="A81" s="109"/>
      <c r="B81" s="109"/>
      <c r="C81" s="109"/>
      <c r="D81" s="109"/>
      <c r="E81" s="109"/>
      <c r="F81" s="109"/>
      <c r="G81" s="356"/>
      <c r="H81" s="109"/>
      <c r="I81" s="109"/>
      <c r="J81" s="109"/>
      <c r="K81" s="109"/>
      <c r="L81" s="109"/>
      <c r="M81" s="109"/>
      <c r="N81" s="109"/>
      <c r="O81" s="109"/>
      <c r="P81" s="357"/>
      <c r="Q81" s="109"/>
      <c r="R81" s="109"/>
      <c r="S81" s="109"/>
      <c r="T81" s="109"/>
      <c r="U81" s="109"/>
      <c r="V81" s="109"/>
      <c r="W81" s="109"/>
      <c r="X81" s="109"/>
      <c r="Y81" s="109"/>
      <c r="Z81" s="109"/>
    </row>
    <row r="82">
      <c r="A82" s="109"/>
      <c r="B82" s="109"/>
      <c r="C82" s="109"/>
      <c r="D82" s="109"/>
      <c r="E82" s="109"/>
      <c r="F82" s="109"/>
      <c r="G82" s="356"/>
      <c r="H82" s="109"/>
      <c r="I82" s="109"/>
      <c r="J82" s="109"/>
      <c r="K82" s="109"/>
      <c r="L82" s="109"/>
      <c r="M82" s="109"/>
      <c r="N82" s="109"/>
      <c r="O82" s="109"/>
      <c r="P82" s="357"/>
      <c r="Q82" s="109"/>
      <c r="R82" s="109"/>
      <c r="S82" s="109"/>
      <c r="T82" s="109"/>
      <c r="U82" s="109"/>
      <c r="V82" s="109"/>
      <c r="W82" s="109"/>
      <c r="X82" s="109"/>
      <c r="Y82" s="109"/>
      <c r="Z82" s="109"/>
    </row>
    <row r="83">
      <c r="A83" s="109"/>
      <c r="B83" s="109"/>
      <c r="C83" s="109"/>
      <c r="D83" s="109"/>
      <c r="E83" s="109"/>
      <c r="F83" s="109"/>
      <c r="G83" s="356"/>
      <c r="H83" s="109"/>
      <c r="I83" s="109"/>
      <c r="J83" s="109"/>
      <c r="K83" s="109"/>
      <c r="L83" s="109"/>
      <c r="M83" s="109"/>
      <c r="N83" s="109"/>
      <c r="O83" s="109"/>
      <c r="P83" s="357"/>
      <c r="Q83" s="109"/>
      <c r="R83" s="109"/>
      <c r="S83" s="109"/>
      <c r="T83" s="109"/>
      <c r="U83" s="109"/>
      <c r="V83" s="109"/>
      <c r="W83" s="109"/>
      <c r="X83" s="109"/>
      <c r="Y83" s="109"/>
      <c r="Z83" s="109"/>
    </row>
    <row r="84">
      <c r="A84" s="109"/>
      <c r="B84" s="109"/>
      <c r="C84" s="109"/>
      <c r="D84" s="109"/>
      <c r="E84" s="109"/>
      <c r="F84" s="109"/>
      <c r="G84" s="356"/>
      <c r="H84" s="109"/>
      <c r="I84" s="109"/>
      <c r="J84" s="109"/>
      <c r="K84" s="109"/>
      <c r="L84" s="109"/>
      <c r="M84" s="109"/>
      <c r="N84" s="109"/>
      <c r="O84" s="109"/>
      <c r="P84" s="357"/>
      <c r="Q84" s="109"/>
      <c r="R84" s="109"/>
      <c r="S84" s="109"/>
      <c r="T84" s="109"/>
      <c r="U84" s="109"/>
      <c r="V84" s="109"/>
      <c r="W84" s="109"/>
      <c r="X84" s="109"/>
      <c r="Y84" s="109"/>
      <c r="Z84" s="109"/>
    </row>
    <row r="85">
      <c r="A85" s="109"/>
      <c r="B85" s="109"/>
      <c r="C85" s="109"/>
      <c r="D85" s="109"/>
      <c r="E85" s="109"/>
      <c r="F85" s="109"/>
      <c r="G85" s="356"/>
      <c r="H85" s="109"/>
      <c r="I85" s="109"/>
      <c r="J85" s="109"/>
      <c r="K85" s="109"/>
      <c r="L85" s="109"/>
      <c r="M85" s="109"/>
      <c r="N85" s="109"/>
      <c r="O85" s="109"/>
      <c r="P85" s="357"/>
      <c r="Q85" s="109"/>
      <c r="R85" s="109"/>
      <c r="S85" s="109"/>
      <c r="T85" s="109"/>
      <c r="U85" s="109"/>
      <c r="V85" s="109"/>
      <c r="W85" s="109"/>
      <c r="X85" s="109"/>
      <c r="Y85" s="109"/>
      <c r="Z85" s="109"/>
    </row>
    <row r="86">
      <c r="A86" s="109"/>
      <c r="B86" s="109"/>
      <c r="C86" s="109"/>
      <c r="D86" s="109"/>
      <c r="E86" s="109"/>
      <c r="F86" s="109"/>
      <c r="G86" s="356"/>
      <c r="H86" s="109"/>
      <c r="I86" s="109"/>
      <c r="J86" s="109"/>
      <c r="K86" s="109"/>
      <c r="L86" s="109"/>
      <c r="M86" s="109"/>
      <c r="N86" s="109"/>
      <c r="O86" s="109"/>
      <c r="P86" s="357"/>
      <c r="Q86" s="109"/>
      <c r="R86" s="109"/>
      <c r="S86" s="109"/>
      <c r="T86" s="109"/>
      <c r="U86" s="109"/>
      <c r="V86" s="109"/>
      <c r="W86" s="109"/>
      <c r="X86" s="109"/>
      <c r="Y86" s="109"/>
      <c r="Z86" s="109"/>
    </row>
    <row r="87">
      <c r="A87" s="109"/>
      <c r="B87" s="109"/>
      <c r="C87" s="109"/>
      <c r="D87" s="109"/>
      <c r="E87" s="109"/>
      <c r="F87" s="109"/>
      <c r="G87" s="356"/>
      <c r="H87" s="109"/>
      <c r="I87" s="109"/>
      <c r="J87" s="109"/>
      <c r="K87" s="109"/>
      <c r="L87" s="109"/>
      <c r="M87" s="109"/>
      <c r="N87" s="109"/>
      <c r="O87" s="109"/>
      <c r="P87" s="357"/>
      <c r="Q87" s="109"/>
      <c r="R87" s="109"/>
      <c r="S87" s="109"/>
      <c r="T87" s="109"/>
      <c r="U87" s="109"/>
      <c r="V87" s="109"/>
      <c r="W87" s="109"/>
      <c r="X87" s="109"/>
      <c r="Y87" s="109"/>
      <c r="Z87" s="109"/>
    </row>
    <row r="88">
      <c r="A88" s="109"/>
      <c r="B88" s="109"/>
      <c r="C88" s="109"/>
      <c r="D88" s="109"/>
      <c r="E88" s="109"/>
      <c r="F88" s="109"/>
      <c r="G88" s="356"/>
      <c r="H88" s="109"/>
      <c r="I88" s="109"/>
      <c r="J88" s="109"/>
      <c r="K88" s="109"/>
      <c r="L88" s="109"/>
      <c r="M88" s="109"/>
      <c r="N88" s="109"/>
      <c r="O88" s="109"/>
      <c r="P88" s="357"/>
      <c r="Q88" s="109"/>
      <c r="R88" s="109"/>
      <c r="S88" s="109"/>
      <c r="T88" s="109"/>
      <c r="U88" s="109"/>
      <c r="V88" s="109"/>
      <c r="W88" s="109"/>
      <c r="X88" s="109"/>
      <c r="Y88" s="109"/>
      <c r="Z88" s="109"/>
    </row>
    <row r="89">
      <c r="A89" s="109"/>
      <c r="B89" s="109"/>
      <c r="C89" s="109"/>
      <c r="D89" s="109"/>
      <c r="E89" s="109"/>
      <c r="F89" s="109"/>
      <c r="G89" s="356"/>
      <c r="H89" s="109"/>
      <c r="I89" s="109"/>
      <c r="J89" s="109"/>
      <c r="K89" s="109"/>
      <c r="L89" s="109"/>
      <c r="M89" s="109"/>
      <c r="N89" s="109"/>
      <c r="O89" s="109"/>
      <c r="P89" s="357"/>
      <c r="Q89" s="109"/>
      <c r="R89" s="109"/>
      <c r="S89" s="109"/>
      <c r="T89" s="109"/>
      <c r="U89" s="109"/>
      <c r="V89" s="109"/>
      <c r="W89" s="109"/>
      <c r="X89" s="109"/>
      <c r="Y89" s="109"/>
      <c r="Z89" s="109"/>
    </row>
    <row r="90">
      <c r="A90" s="109"/>
      <c r="B90" s="109"/>
      <c r="C90" s="109"/>
      <c r="D90" s="109"/>
      <c r="E90" s="109"/>
      <c r="F90" s="109"/>
      <c r="G90" s="356"/>
      <c r="H90" s="109"/>
      <c r="I90" s="109"/>
      <c r="J90" s="109"/>
      <c r="K90" s="109"/>
      <c r="L90" s="109"/>
      <c r="M90" s="109"/>
      <c r="N90" s="109"/>
      <c r="O90" s="109"/>
      <c r="P90" s="357"/>
      <c r="Q90" s="109"/>
      <c r="R90" s="109"/>
      <c r="S90" s="109"/>
      <c r="T90" s="109"/>
      <c r="U90" s="109"/>
      <c r="V90" s="109"/>
      <c r="W90" s="109"/>
      <c r="X90" s="109"/>
      <c r="Y90" s="109"/>
      <c r="Z90" s="109"/>
    </row>
    <row r="91">
      <c r="A91" s="109"/>
      <c r="B91" s="109"/>
      <c r="C91" s="109"/>
      <c r="D91" s="109"/>
      <c r="E91" s="109"/>
      <c r="F91" s="109"/>
      <c r="G91" s="356"/>
      <c r="H91" s="109"/>
      <c r="I91" s="109"/>
      <c r="J91" s="109"/>
      <c r="K91" s="109"/>
      <c r="L91" s="109"/>
      <c r="M91" s="109"/>
      <c r="N91" s="109"/>
      <c r="O91" s="109"/>
      <c r="P91" s="357"/>
      <c r="Q91" s="109"/>
      <c r="R91" s="109"/>
      <c r="S91" s="109"/>
      <c r="T91" s="109"/>
      <c r="U91" s="109"/>
      <c r="V91" s="109"/>
      <c r="W91" s="109"/>
      <c r="X91" s="109"/>
      <c r="Y91" s="109"/>
      <c r="Z91" s="109"/>
    </row>
    <row r="92">
      <c r="A92" s="109"/>
      <c r="B92" s="109"/>
      <c r="C92" s="109"/>
      <c r="D92" s="109"/>
      <c r="E92" s="109"/>
      <c r="F92" s="109"/>
      <c r="G92" s="356"/>
      <c r="H92" s="109"/>
      <c r="I92" s="109"/>
      <c r="J92" s="109"/>
      <c r="K92" s="109"/>
      <c r="L92" s="109"/>
      <c r="M92" s="109"/>
      <c r="N92" s="109"/>
      <c r="O92" s="109"/>
      <c r="P92" s="357"/>
      <c r="Q92" s="109"/>
      <c r="R92" s="109"/>
      <c r="S92" s="109"/>
      <c r="T92" s="109"/>
      <c r="U92" s="109"/>
      <c r="V92" s="109"/>
      <c r="W92" s="109"/>
      <c r="X92" s="109"/>
      <c r="Y92" s="109"/>
      <c r="Z92" s="109"/>
    </row>
    <row r="93">
      <c r="A93" s="109"/>
      <c r="B93" s="109"/>
      <c r="C93" s="109"/>
      <c r="D93" s="109"/>
      <c r="E93" s="109"/>
      <c r="F93" s="109"/>
      <c r="G93" s="356"/>
      <c r="H93" s="109"/>
      <c r="I93" s="109"/>
      <c r="J93" s="109"/>
      <c r="K93" s="109"/>
      <c r="L93" s="109"/>
      <c r="M93" s="109"/>
      <c r="N93" s="109"/>
      <c r="O93" s="109"/>
      <c r="P93" s="357"/>
      <c r="Q93" s="109"/>
      <c r="R93" s="109"/>
      <c r="S93" s="109"/>
      <c r="T93" s="109"/>
      <c r="U93" s="109"/>
      <c r="V93" s="109"/>
      <c r="W93" s="109"/>
      <c r="X93" s="109"/>
      <c r="Y93" s="109"/>
      <c r="Z93" s="109"/>
    </row>
    <row r="94">
      <c r="A94" s="109"/>
      <c r="B94" s="109"/>
      <c r="C94" s="109"/>
      <c r="D94" s="109"/>
      <c r="E94" s="109"/>
      <c r="F94" s="109"/>
      <c r="G94" s="356"/>
      <c r="H94" s="109"/>
      <c r="I94" s="109"/>
      <c r="J94" s="109"/>
      <c r="K94" s="109"/>
      <c r="L94" s="109"/>
      <c r="M94" s="109"/>
      <c r="N94" s="109"/>
      <c r="O94" s="109"/>
      <c r="P94" s="357"/>
      <c r="Q94" s="109"/>
      <c r="R94" s="109"/>
      <c r="S94" s="109"/>
      <c r="T94" s="109"/>
      <c r="U94" s="109"/>
      <c r="V94" s="109"/>
      <c r="W94" s="109"/>
      <c r="X94" s="109"/>
      <c r="Y94" s="109"/>
      <c r="Z94" s="109"/>
    </row>
    <row r="95">
      <c r="A95" s="109"/>
      <c r="B95" s="109"/>
      <c r="C95" s="109"/>
      <c r="D95" s="109"/>
      <c r="E95" s="109"/>
      <c r="F95" s="109"/>
      <c r="G95" s="356"/>
      <c r="H95" s="109"/>
      <c r="I95" s="109"/>
      <c r="J95" s="109"/>
      <c r="K95" s="109"/>
      <c r="L95" s="109"/>
      <c r="M95" s="109"/>
      <c r="N95" s="109"/>
      <c r="O95" s="109"/>
      <c r="P95" s="357"/>
      <c r="Q95" s="109"/>
      <c r="R95" s="109"/>
      <c r="S95" s="109"/>
      <c r="T95" s="109"/>
      <c r="U95" s="109"/>
      <c r="V95" s="109"/>
      <c r="W95" s="109"/>
      <c r="X95" s="109"/>
      <c r="Y95" s="109"/>
      <c r="Z95" s="109"/>
    </row>
    <row r="96">
      <c r="A96" s="109"/>
      <c r="B96" s="109"/>
      <c r="C96" s="109"/>
      <c r="D96" s="109"/>
      <c r="E96" s="109"/>
      <c r="F96" s="109"/>
      <c r="G96" s="356"/>
      <c r="H96" s="109"/>
      <c r="I96" s="109"/>
      <c r="J96" s="109"/>
      <c r="K96" s="109"/>
      <c r="L96" s="109"/>
      <c r="M96" s="109"/>
      <c r="N96" s="109"/>
      <c r="O96" s="109"/>
      <c r="P96" s="357"/>
      <c r="Q96" s="109"/>
      <c r="R96" s="109"/>
      <c r="S96" s="109"/>
      <c r="T96" s="109"/>
      <c r="U96" s="109"/>
      <c r="V96" s="109"/>
      <c r="W96" s="109"/>
      <c r="X96" s="109"/>
      <c r="Y96" s="109"/>
      <c r="Z96" s="109"/>
    </row>
    <row r="97">
      <c r="A97" s="109"/>
      <c r="B97" s="109"/>
      <c r="C97" s="109"/>
      <c r="D97" s="109"/>
      <c r="E97" s="109"/>
      <c r="F97" s="109"/>
      <c r="G97" s="356"/>
      <c r="H97" s="109"/>
      <c r="I97" s="109"/>
      <c r="J97" s="109"/>
      <c r="K97" s="109"/>
      <c r="L97" s="109"/>
      <c r="M97" s="109"/>
      <c r="N97" s="109"/>
      <c r="O97" s="109"/>
      <c r="P97" s="357"/>
      <c r="Q97" s="109"/>
      <c r="R97" s="109"/>
      <c r="S97" s="109"/>
      <c r="T97" s="109"/>
      <c r="U97" s="109"/>
      <c r="V97" s="109"/>
      <c r="W97" s="109"/>
      <c r="X97" s="109"/>
      <c r="Y97" s="109"/>
      <c r="Z97" s="109"/>
    </row>
    <row r="98">
      <c r="A98" s="109"/>
      <c r="B98" s="109"/>
      <c r="C98" s="109"/>
      <c r="D98" s="109"/>
      <c r="E98" s="109"/>
      <c r="F98" s="109"/>
      <c r="G98" s="356"/>
      <c r="H98" s="109"/>
      <c r="I98" s="109"/>
      <c r="J98" s="109"/>
      <c r="K98" s="109"/>
      <c r="L98" s="109"/>
      <c r="M98" s="109"/>
      <c r="N98" s="109"/>
      <c r="O98" s="109"/>
      <c r="P98" s="357"/>
      <c r="Q98" s="109"/>
      <c r="R98" s="109"/>
      <c r="S98" s="109"/>
      <c r="T98" s="109"/>
      <c r="U98" s="109"/>
      <c r="V98" s="109"/>
      <c r="W98" s="109"/>
      <c r="X98" s="109"/>
      <c r="Y98" s="109"/>
      <c r="Z98" s="109"/>
    </row>
    <row r="99">
      <c r="A99" s="109"/>
      <c r="B99" s="109"/>
      <c r="C99" s="109"/>
      <c r="D99" s="109"/>
      <c r="E99" s="109"/>
      <c r="F99" s="109"/>
      <c r="G99" s="356"/>
      <c r="H99" s="109"/>
      <c r="I99" s="109"/>
      <c r="J99" s="109"/>
      <c r="K99" s="109"/>
      <c r="L99" s="109"/>
      <c r="M99" s="109"/>
      <c r="N99" s="109"/>
      <c r="O99" s="109"/>
      <c r="P99" s="357"/>
      <c r="Q99" s="109"/>
      <c r="R99" s="109"/>
      <c r="S99" s="109"/>
      <c r="T99" s="109"/>
      <c r="U99" s="109"/>
      <c r="V99" s="109"/>
      <c r="W99" s="109"/>
      <c r="X99" s="109"/>
      <c r="Y99" s="109"/>
      <c r="Z99" s="109"/>
    </row>
    <row r="100">
      <c r="A100" s="109"/>
      <c r="B100" s="109"/>
      <c r="C100" s="109"/>
      <c r="D100" s="109"/>
      <c r="E100" s="109"/>
      <c r="F100" s="109"/>
      <c r="G100" s="356"/>
      <c r="H100" s="109"/>
      <c r="I100" s="109"/>
      <c r="J100" s="109"/>
      <c r="K100" s="109"/>
      <c r="L100" s="109"/>
      <c r="M100" s="109"/>
      <c r="N100" s="109"/>
      <c r="O100" s="109"/>
      <c r="P100" s="357"/>
      <c r="Q100" s="109"/>
      <c r="R100" s="109"/>
      <c r="S100" s="109"/>
      <c r="T100" s="109"/>
      <c r="U100" s="109"/>
      <c r="V100" s="109"/>
      <c r="W100" s="109"/>
      <c r="X100" s="109"/>
      <c r="Y100" s="109"/>
      <c r="Z100" s="109"/>
    </row>
    <row r="101">
      <c r="A101" s="109"/>
      <c r="B101" s="109"/>
      <c r="C101" s="109"/>
      <c r="D101" s="109"/>
      <c r="E101" s="109"/>
      <c r="F101" s="109"/>
      <c r="G101" s="356"/>
      <c r="H101" s="109"/>
      <c r="I101" s="109"/>
      <c r="J101" s="109"/>
      <c r="K101" s="109"/>
      <c r="L101" s="109"/>
      <c r="M101" s="109"/>
      <c r="N101" s="109"/>
      <c r="O101" s="109"/>
      <c r="P101" s="357"/>
      <c r="Q101" s="109"/>
      <c r="R101" s="109"/>
      <c r="S101" s="109"/>
      <c r="T101" s="109"/>
      <c r="U101" s="109"/>
      <c r="V101" s="109"/>
      <c r="W101" s="109"/>
      <c r="X101" s="109"/>
      <c r="Y101" s="109"/>
      <c r="Z101" s="109"/>
    </row>
    <row r="102">
      <c r="A102" s="109"/>
      <c r="B102" s="109"/>
      <c r="C102" s="109"/>
      <c r="D102" s="109"/>
      <c r="E102" s="109"/>
      <c r="F102" s="109"/>
      <c r="G102" s="356"/>
      <c r="H102" s="109"/>
      <c r="I102" s="109"/>
      <c r="J102" s="109"/>
      <c r="K102" s="109"/>
      <c r="L102" s="109"/>
      <c r="M102" s="109"/>
      <c r="N102" s="109"/>
      <c r="O102" s="109"/>
      <c r="P102" s="357"/>
      <c r="Q102" s="109"/>
      <c r="R102" s="109"/>
      <c r="S102" s="109"/>
      <c r="T102" s="109"/>
      <c r="U102" s="109"/>
      <c r="V102" s="109"/>
      <c r="W102" s="109"/>
      <c r="X102" s="109"/>
      <c r="Y102" s="109"/>
      <c r="Z102" s="109"/>
    </row>
    <row r="103">
      <c r="A103" s="109"/>
      <c r="B103" s="109"/>
      <c r="C103" s="109"/>
      <c r="D103" s="109"/>
      <c r="E103" s="109"/>
      <c r="F103" s="109"/>
      <c r="G103" s="356"/>
      <c r="H103" s="109"/>
      <c r="I103" s="109"/>
      <c r="J103" s="109"/>
      <c r="K103" s="109"/>
      <c r="L103" s="109"/>
      <c r="M103" s="109"/>
      <c r="N103" s="109"/>
      <c r="O103" s="109"/>
      <c r="P103" s="357"/>
      <c r="Q103" s="109"/>
      <c r="R103" s="109"/>
      <c r="S103" s="109"/>
      <c r="T103" s="109"/>
      <c r="U103" s="109"/>
      <c r="V103" s="109"/>
      <c r="W103" s="109"/>
      <c r="X103" s="109"/>
      <c r="Y103" s="109"/>
      <c r="Z103" s="109"/>
    </row>
    <row r="104">
      <c r="A104" s="109"/>
      <c r="B104" s="109"/>
      <c r="C104" s="109"/>
      <c r="D104" s="109"/>
      <c r="E104" s="109"/>
      <c r="F104" s="109"/>
      <c r="G104" s="356"/>
      <c r="H104" s="109"/>
      <c r="I104" s="109"/>
      <c r="J104" s="109"/>
      <c r="K104" s="109"/>
      <c r="L104" s="109"/>
      <c r="M104" s="109"/>
      <c r="N104" s="109"/>
      <c r="O104" s="109"/>
      <c r="P104" s="357"/>
      <c r="Q104" s="109"/>
      <c r="R104" s="109"/>
      <c r="S104" s="109"/>
      <c r="T104" s="109"/>
      <c r="U104" s="109"/>
      <c r="V104" s="109"/>
      <c r="W104" s="109"/>
      <c r="X104" s="109"/>
      <c r="Y104" s="109"/>
      <c r="Z104" s="109"/>
    </row>
    <row r="105">
      <c r="A105" s="109"/>
      <c r="B105" s="109"/>
      <c r="C105" s="109"/>
      <c r="D105" s="109"/>
      <c r="E105" s="109"/>
      <c r="F105" s="109"/>
      <c r="G105" s="356"/>
      <c r="H105" s="109"/>
      <c r="I105" s="109"/>
      <c r="J105" s="109"/>
      <c r="K105" s="109"/>
      <c r="L105" s="109"/>
      <c r="M105" s="109"/>
      <c r="N105" s="109"/>
      <c r="O105" s="109"/>
      <c r="P105" s="357"/>
      <c r="Q105" s="109"/>
      <c r="R105" s="109"/>
      <c r="S105" s="109"/>
      <c r="T105" s="109"/>
      <c r="U105" s="109"/>
      <c r="V105" s="109"/>
      <c r="W105" s="109"/>
      <c r="X105" s="109"/>
      <c r="Y105" s="109"/>
      <c r="Z105" s="109"/>
    </row>
    <row r="106">
      <c r="A106" s="109"/>
      <c r="B106" s="109"/>
      <c r="C106" s="109"/>
      <c r="D106" s="109"/>
      <c r="E106" s="109"/>
      <c r="F106" s="109"/>
      <c r="G106" s="356"/>
      <c r="H106" s="109"/>
      <c r="I106" s="109"/>
      <c r="J106" s="109"/>
      <c r="K106" s="109"/>
      <c r="L106" s="109"/>
      <c r="M106" s="109"/>
      <c r="N106" s="109"/>
      <c r="O106" s="109"/>
      <c r="P106" s="357"/>
      <c r="Q106" s="109"/>
      <c r="R106" s="109"/>
      <c r="S106" s="109"/>
      <c r="T106" s="109"/>
      <c r="U106" s="109"/>
      <c r="V106" s="109"/>
      <c r="W106" s="109"/>
      <c r="X106" s="109"/>
      <c r="Y106" s="109"/>
      <c r="Z106" s="109"/>
    </row>
    <row r="107">
      <c r="A107" s="109"/>
      <c r="B107" s="109"/>
      <c r="C107" s="109"/>
      <c r="D107" s="109"/>
      <c r="E107" s="109"/>
      <c r="F107" s="109"/>
      <c r="G107" s="356"/>
      <c r="H107" s="109"/>
      <c r="I107" s="109"/>
      <c r="J107" s="109"/>
      <c r="K107" s="109"/>
      <c r="L107" s="109"/>
      <c r="M107" s="109"/>
      <c r="N107" s="109"/>
      <c r="O107" s="109"/>
      <c r="P107" s="357"/>
      <c r="Q107" s="109"/>
      <c r="R107" s="109"/>
      <c r="S107" s="109"/>
      <c r="T107" s="109"/>
      <c r="U107" s="109"/>
      <c r="V107" s="109"/>
      <c r="W107" s="109"/>
      <c r="X107" s="109"/>
      <c r="Y107" s="109"/>
      <c r="Z107" s="109"/>
    </row>
    <row r="108">
      <c r="A108" s="109"/>
      <c r="B108" s="109"/>
      <c r="C108" s="109"/>
      <c r="D108" s="109"/>
      <c r="E108" s="109"/>
      <c r="F108" s="109"/>
      <c r="G108" s="356"/>
      <c r="H108" s="109"/>
      <c r="I108" s="109"/>
      <c r="J108" s="109"/>
      <c r="K108" s="109"/>
      <c r="L108" s="109"/>
      <c r="M108" s="109"/>
      <c r="N108" s="109"/>
      <c r="O108" s="109"/>
      <c r="P108" s="357"/>
      <c r="Q108" s="109"/>
      <c r="R108" s="109"/>
      <c r="S108" s="109"/>
      <c r="T108" s="109"/>
      <c r="U108" s="109"/>
      <c r="V108" s="109"/>
      <c r="W108" s="109"/>
      <c r="X108" s="109"/>
      <c r="Y108" s="109"/>
      <c r="Z108" s="109"/>
    </row>
    <row r="109">
      <c r="A109" s="109"/>
      <c r="B109" s="109"/>
      <c r="C109" s="109"/>
      <c r="D109" s="109"/>
      <c r="E109" s="109"/>
      <c r="F109" s="109"/>
      <c r="G109" s="356"/>
      <c r="H109" s="109"/>
      <c r="I109" s="109"/>
      <c r="J109" s="109"/>
      <c r="K109" s="109"/>
      <c r="L109" s="109"/>
      <c r="M109" s="109"/>
      <c r="N109" s="109"/>
      <c r="O109" s="109"/>
      <c r="P109" s="357"/>
      <c r="Q109" s="109"/>
      <c r="R109" s="109"/>
      <c r="S109" s="109"/>
      <c r="T109" s="109"/>
      <c r="U109" s="109"/>
      <c r="V109" s="109"/>
      <c r="W109" s="109"/>
      <c r="X109" s="109"/>
      <c r="Y109" s="109"/>
      <c r="Z109" s="109"/>
    </row>
    <row r="110">
      <c r="A110" s="109"/>
      <c r="B110" s="109"/>
      <c r="C110" s="109"/>
      <c r="D110" s="109"/>
      <c r="E110" s="109"/>
      <c r="F110" s="109"/>
      <c r="G110" s="356"/>
      <c r="H110" s="109"/>
      <c r="I110" s="109"/>
      <c r="J110" s="109"/>
      <c r="K110" s="109"/>
      <c r="L110" s="109"/>
      <c r="M110" s="109"/>
      <c r="N110" s="109"/>
      <c r="O110" s="109"/>
      <c r="P110" s="357"/>
      <c r="Q110" s="109"/>
      <c r="R110" s="109"/>
      <c r="S110" s="109"/>
      <c r="T110" s="109"/>
      <c r="U110" s="109"/>
      <c r="V110" s="109"/>
      <c r="W110" s="109"/>
      <c r="X110" s="109"/>
      <c r="Y110" s="109"/>
      <c r="Z110" s="109"/>
    </row>
    <row r="111">
      <c r="A111" s="109"/>
      <c r="B111" s="109"/>
      <c r="C111" s="109"/>
      <c r="D111" s="109"/>
      <c r="E111" s="109"/>
      <c r="F111" s="109"/>
      <c r="G111" s="356"/>
      <c r="H111" s="109"/>
      <c r="I111" s="109"/>
      <c r="J111" s="109"/>
      <c r="K111" s="109"/>
      <c r="L111" s="109"/>
      <c r="M111" s="109"/>
      <c r="N111" s="109"/>
      <c r="O111" s="109"/>
      <c r="P111" s="357"/>
      <c r="Q111" s="109"/>
      <c r="R111" s="109"/>
      <c r="S111" s="109"/>
      <c r="T111" s="109"/>
      <c r="U111" s="109"/>
      <c r="V111" s="109"/>
      <c r="W111" s="109"/>
      <c r="X111" s="109"/>
      <c r="Y111" s="109"/>
      <c r="Z111" s="109"/>
    </row>
    <row r="112">
      <c r="A112" s="109"/>
      <c r="B112" s="109"/>
      <c r="C112" s="109"/>
      <c r="D112" s="109"/>
      <c r="E112" s="109"/>
      <c r="F112" s="109"/>
      <c r="G112" s="356"/>
      <c r="H112" s="109"/>
      <c r="I112" s="109"/>
      <c r="J112" s="109"/>
      <c r="K112" s="109"/>
      <c r="L112" s="109"/>
      <c r="M112" s="109"/>
      <c r="N112" s="109"/>
      <c r="O112" s="109"/>
      <c r="P112" s="357"/>
      <c r="Q112" s="109"/>
      <c r="R112" s="109"/>
      <c r="S112" s="109"/>
      <c r="T112" s="109"/>
      <c r="U112" s="109"/>
      <c r="V112" s="109"/>
      <c r="W112" s="109"/>
      <c r="X112" s="109"/>
      <c r="Y112" s="109"/>
      <c r="Z112" s="109"/>
    </row>
    <row r="113">
      <c r="A113" s="109"/>
      <c r="B113" s="109"/>
      <c r="C113" s="109"/>
      <c r="D113" s="109"/>
      <c r="E113" s="109"/>
      <c r="F113" s="109"/>
      <c r="G113" s="356"/>
      <c r="H113" s="109"/>
      <c r="I113" s="109"/>
      <c r="J113" s="109"/>
      <c r="K113" s="109"/>
      <c r="L113" s="109"/>
      <c r="M113" s="109"/>
      <c r="N113" s="109"/>
      <c r="O113" s="109"/>
      <c r="P113" s="357"/>
      <c r="Q113" s="109"/>
      <c r="R113" s="109"/>
      <c r="S113" s="109"/>
      <c r="T113" s="109"/>
      <c r="U113" s="109"/>
      <c r="V113" s="109"/>
      <c r="W113" s="109"/>
      <c r="X113" s="109"/>
      <c r="Y113" s="109"/>
      <c r="Z113" s="109"/>
    </row>
    <row r="114">
      <c r="A114" s="109"/>
      <c r="B114" s="109"/>
      <c r="C114" s="109"/>
      <c r="D114" s="109"/>
      <c r="E114" s="109"/>
      <c r="F114" s="109"/>
      <c r="G114" s="356"/>
      <c r="H114" s="109"/>
      <c r="I114" s="109"/>
      <c r="J114" s="109"/>
      <c r="K114" s="109"/>
      <c r="L114" s="109"/>
      <c r="M114" s="109"/>
      <c r="N114" s="109"/>
      <c r="O114" s="109"/>
      <c r="P114" s="357"/>
      <c r="Q114" s="109"/>
      <c r="R114" s="109"/>
      <c r="S114" s="109"/>
      <c r="T114" s="109"/>
      <c r="U114" s="109"/>
      <c r="V114" s="109"/>
      <c r="W114" s="109"/>
      <c r="X114" s="109"/>
      <c r="Y114" s="109"/>
      <c r="Z114" s="109"/>
    </row>
    <row r="115">
      <c r="A115" s="109"/>
      <c r="B115" s="109"/>
      <c r="C115" s="109"/>
      <c r="D115" s="109"/>
      <c r="E115" s="109"/>
      <c r="F115" s="109"/>
      <c r="G115" s="356"/>
      <c r="H115" s="109"/>
      <c r="I115" s="109"/>
      <c r="J115" s="109"/>
      <c r="K115" s="109"/>
      <c r="L115" s="109"/>
      <c r="M115" s="109"/>
      <c r="N115" s="109"/>
      <c r="O115" s="109"/>
      <c r="P115" s="357"/>
      <c r="Q115" s="109"/>
      <c r="R115" s="109"/>
      <c r="S115" s="109"/>
      <c r="T115" s="109"/>
      <c r="U115" s="109"/>
      <c r="V115" s="109"/>
      <c r="W115" s="109"/>
      <c r="X115" s="109"/>
      <c r="Y115" s="109"/>
      <c r="Z115" s="109"/>
    </row>
    <row r="116">
      <c r="A116" s="109"/>
      <c r="B116" s="109"/>
      <c r="C116" s="109"/>
      <c r="D116" s="109"/>
      <c r="E116" s="109"/>
      <c r="F116" s="109"/>
      <c r="G116" s="356"/>
      <c r="H116" s="109"/>
      <c r="I116" s="109"/>
      <c r="J116" s="109"/>
      <c r="K116" s="109"/>
      <c r="L116" s="109"/>
      <c r="M116" s="109"/>
      <c r="N116" s="109"/>
      <c r="O116" s="109"/>
      <c r="P116" s="357"/>
      <c r="Q116" s="109"/>
      <c r="R116" s="109"/>
      <c r="S116" s="109"/>
      <c r="T116" s="109"/>
      <c r="U116" s="109"/>
      <c r="V116" s="109"/>
      <c r="W116" s="109"/>
      <c r="X116" s="109"/>
      <c r="Y116" s="109"/>
      <c r="Z116" s="109"/>
    </row>
    <row r="117">
      <c r="A117" s="109"/>
      <c r="B117" s="109"/>
      <c r="C117" s="109"/>
      <c r="D117" s="109"/>
      <c r="E117" s="109"/>
      <c r="F117" s="109"/>
      <c r="G117" s="356"/>
      <c r="H117" s="109"/>
      <c r="I117" s="109"/>
      <c r="J117" s="109"/>
      <c r="K117" s="109"/>
      <c r="L117" s="109"/>
      <c r="M117" s="109"/>
      <c r="N117" s="109"/>
      <c r="O117" s="109"/>
      <c r="P117" s="357"/>
      <c r="Q117" s="109"/>
      <c r="R117" s="109"/>
      <c r="S117" s="109"/>
      <c r="T117" s="109"/>
      <c r="U117" s="109"/>
      <c r="V117" s="109"/>
      <c r="W117" s="109"/>
      <c r="X117" s="109"/>
      <c r="Y117" s="109"/>
      <c r="Z117" s="109"/>
    </row>
    <row r="118">
      <c r="A118" s="109"/>
      <c r="B118" s="109"/>
      <c r="C118" s="109"/>
      <c r="D118" s="109"/>
      <c r="E118" s="109"/>
      <c r="F118" s="109"/>
      <c r="G118" s="356"/>
      <c r="H118" s="109"/>
      <c r="I118" s="109"/>
      <c r="J118" s="109"/>
      <c r="K118" s="109"/>
      <c r="L118" s="109"/>
      <c r="M118" s="109"/>
      <c r="N118" s="109"/>
      <c r="O118" s="109"/>
      <c r="P118" s="357"/>
      <c r="Q118" s="109"/>
      <c r="R118" s="109"/>
      <c r="S118" s="109"/>
      <c r="T118" s="109"/>
      <c r="U118" s="109"/>
      <c r="V118" s="109"/>
      <c r="W118" s="109"/>
      <c r="X118" s="109"/>
      <c r="Y118" s="109"/>
      <c r="Z118" s="109"/>
    </row>
    <row r="119">
      <c r="A119" s="109"/>
      <c r="B119" s="109"/>
      <c r="C119" s="109"/>
      <c r="D119" s="109"/>
      <c r="E119" s="109"/>
      <c r="F119" s="109"/>
      <c r="G119" s="356"/>
      <c r="H119" s="109"/>
      <c r="I119" s="109"/>
      <c r="J119" s="109"/>
      <c r="K119" s="109"/>
      <c r="L119" s="109"/>
      <c r="M119" s="109"/>
      <c r="N119" s="109"/>
      <c r="O119" s="109"/>
      <c r="P119" s="357"/>
      <c r="Q119" s="109"/>
      <c r="R119" s="109"/>
      <c r="S119" s="109"/>
      <c r="T119" s="109"/>
      <c r="U119" s="109"/>
      <c r="V119" s="109"/>
      <c r="W119" s="109"/>
      <c r="X119" s="109"/>
      <c r="Y119" s="109"/>
      <c r="Z119" s="109"/>
    </row>
    <row r="120">
      <c r="A120" s="109"/>
      <c r="B120" s="109"/>
      <c r="C120" s="109"/>
      <c r="D120" s="109"/>
      <c r="E120" s="109"/>
      <c r="F120" s="109"/>
      <c r="G120" s="356"/>
      <c r="H120" s="109"/>
      <c r="I120" s="109"/>
      <c r="J120" s="109"/>
      <c r="K120" s="109"/>
      <c r="L120" s="109"/>
      <c r="M120" s="109"/>
      <c r="N120" s="109"/>
      <c r="O120" s="109"/>
      <c r="P120" s="357"/>
      <c r="Q120" s="109"/>
      <c r="R120" s="109"/>
      <c r="S120" s="109"/>
      <c r="T120" s="109"/>
      <c r="U120" s="109"/>
      <c r="V120" s="109"/>
      <c r="W120" s="109"/>
      <c r="X120" s="109"/>
      <c r="Y120" s="109"/>
      <c r="Z120" s="109"/>
    </row>
    <row r="121">
      <c r="A121" s="109"/>
      <c r="B121" s="109"/>
      <c r="C121" s="109"/>
      <c r="D121" s="109"/>
      <c r="E121" s="109"/>
      <c r="F121" s="109"/>
      <c r="G121" s="356"/>
      <c r="H121" s="109"/>
      <c r="I121" s="109"/>
      <c r="J121" s="109"/>
      <c r="K121" s="109"/>
      <c r="L121" s="109"/>
      <c r="M121" s="109"/>
      <c r="N121" s="109"/>
      <c r="O121" s="109"/>
      <c r="P121" s="357"/>
      <c r="Q121" s="109"/>
      <c r="R121" s="109"/>
      <c r="S121" s="109"/>
      <c r="T121" s="109"/>
      <c r="U121" s="109"/>
      <c r="V121" s="109"/>
      <c r="W121" s="109"/>
      <c r="X121" s="109"/>
      <c r="Y121" s="109"/>
      <c r="Z121" s="109"/>
    </row>
    <row r="122">
      <c r="A122" s="109"/>
      <c r="B122" s="109"/>
      <c r="C122" s="109"/>
      <c r="D122" s="109"/>
      <c r="E122" s="109"/>
      <c r="F122" s="109"/>
      <c r="G122" s="356"/>
      <c r="H122" s="109"/>
      <c r="I122" s="109"/>
      <c r="J122" s="109"/>
      <c r="K122" s="109"/>
      <c r="L122" s="109"/>
      <c r="M122" s="109"/>
      <c r="N122" s="109"/>
      <c r="O122" s="109"/>
      <c r="P122" s="357"/>
      <c r="Q122" s="109"/>
      <c r="R122" s="109"/>
      <c r="S122" s="109"/>
      <c r="T122" s="109"/>
      <c r="U122" s="109"/>
      <c r="V122" s="109"/>
      <c r="W122" s="109"/>
      <c r="X122" s="109"/>
      <c r="Y122" s="109"/>
      <c r="Z122" s="109"/>
    </row>
    <row r="123">
      <c r="A123" s="109"/>
      <c r="B123" s="109"/>
      <c r="C123" s="109"/>
      <c r="D123" s="109"/>
      <c r="E123" s="109"/>
      <c r="F123" s="109"/>
      <c r="G123" s="356"/>
      <c r="H123" s="109"/>
      <c r="I123" s="109"/>
      <c r="J123" s="109"/>
      <c r="K123" s="109"/>
      <c r="L123" s="109"/>
      <c r="M123" s="109"/>
      <c r="N123" s="109"/>
      <c r="O123" s="109"/>
      <c r="P123" s="357"/>
      <c r="Q123" s="109"/>
      <c r="R123" s="109"/>
      <c r="S123" s="109"/>
      <c r="T123" s="109"/>
      <c r="U123" s="109"/>
      <c r="V123" s="109"/>
      <c r="W123" s="109"/>
      <c r="X123" s="109"/>
      <c r="Y123" s="109"/>
      <c r="Z123" s="109"/>
    </row>
    <row r="124">
      <c r="A124" s="109"/>
      <c r="B124" s="109"/>
      <c r="C124" s="109"/>
      <c r="D124" s="109"/>
      <c r="E124" s="109"/>
      <c r="F124" s="109"/>
      <c r="G124" s="356"/>
      <c r="H124" s="109"/>
      <c r="I124" s="109"/>
      <c r="J124" s="109"/>
      <c r="K124" s="109"/>
      <c r="L124" s="109"/>
      <c r="M124" s="109"/>
      <c r="N124" s="109"/>
      <c r="O124" s="109"/>
      <c r="P124" s="357"/>
      <c r="Q124" s="109"/>
      <c r="R124" s="109"/>
      <c r="S124" s="109"/>
      <c r="T124" s="109"/>
      <c r="U124" s="109"/>
      <c r="V124" s="109"/>
      <c r="W124" s="109"/>
      <c r="X124" s="109"/>
      <c r="Y124" s="109"/>
      <c r="Z124" s="109"/>
    </row>
    <row r="125">
      <c r="A125" s="109"/>
      <c r="B125" s="109"/>
      <c r="C125" s="109"/>
      <c r="D125" s="109"/>
      <c r="E125" s="109"/>
      <c r="F125" s="109"/>
      <c r="G125" s="356"/>
      <c r="H125" s="109"/>
      <c r="I125" s="109"/>
      <c r="J125" s="109"/>
      <c r="K125" s="109"/>
      <c r="L125" s="109"/>
      <c r="M125" s="109"/>
      <c r="N125" s="109"/>
      <c r="O125" s="109"/>
      <c r="P125" s="357"/>
      <c r="Q125" s="109"/>
      <c r="R125" s="109"/>
      <c r="S125" s="109"/>
      <c r="T125" s="109"/>
      <c r="U125" s="109"/>
      <c r="V125" s="109"/>
      <c r="W125" s="109"/>
      <c r="X125" s="109"/>
      <c r="Y125" s="109"/>
      <c r="Z125" s="109"/>
    </row>
    <row r="126">
      <c r="A126" s="109"/>
      <c r="B126" s="109"/>
      <c r="C126" s="109"/>
      <c r="D126" s="109"/>
      <c r="E126" s="109"/>
      <c r="F126" s="109"/>
      <c r="G126" s="356"/>
      <c r="H126" s="109"/>
      <c r="I126" s="109"/>
      <c r="J126" s="109"/>
      <c r="K126" s="109"/>
      <c r="L126" s="109"/>
      <c r="M126" s="109"/>
      <c r="N126" s="109"/>
      <c r="O126" s="109"/>
      <c r="P126" s="357"/>
      <c r="Q126" s="109"/>
      <c r="R126" s="109"/>
      <c r="S126" s="109"/>
      <c r="T126" s="109"/>
      <c r="U126" s="109"/>
      <c r="V126" s="109"/>
      <c r="W126" s="109"/>
      <c r="X126" s="109"/>
      <c r="Y126" s="109"/>
      <c r="Z126" s="109"/>
    </row>
    <row r="127">
      <c r="A127" s="109"/>
      <c r="B127" s="109"/>
      <c r="C127" s="109"/>
      <c r="D127" s="109"/>
      <c r="E127" s="109"/>
      <c r="F127" s="109"/>
      <c r="G127" s="356"/>
      <c r="H127" s="109"/>
      <c r="I127" s="109"/>
      <c r="J127" s="109"/>
      <c r="K127" s="109"/>
      <c r="L127" s="109"/>
      <c r="M127" s="109"/>
      <c r="N127" s="109"/>
      <c r="O127" s="109"/>
      <c r="P127" s="357"/>
      <c r="Q127" s="109"/>
      <c r="R127" s="109"/>
      <c r="S127" s="109"/>
      <c r="T127" s="109"/>
      <c r="U127" s="109"/>
      <c r="V127" s="109"/>
      <c r="W127" s="109"/>
      <c r="X127" s="109"/>
      <c r="Y127" s="109"/>
      <c r="Z127" s="109"/>
    </row>
    <row r="128">
      <c r="A128" s="109"/>
      <c r="B128" s="109"/>
      <c r="C128" s="109"/>
      <c r="D128" s="109"/>
      <c r="E128" s="109"/>
      <c r="F128" s="109"/>
      <c r="G128" s="356"/>
      <c r="H128" s="109"/>
      <c r="I128" s="109"/>
      <c r="J128" s="109"/>
      <c r="K128" s="109"/>
      <c r="L128" s="109"/>
      <c r="M128" s="109"/>
      <c r="N128" s="109"/>
      <c r="O128" s="109"/>
      <c r="P128" s="357"/>
      <c r="Q128" s="109"/>
      <c r="R128" s="109"/>
      <c r="S128" s="109"/>
      <c r="T128" s="109"/>
      <c r="U128" s="109"/>
      <c r="V128" s="109"/>
      <c r="W128" s="109"/>
      <c r="X128" s="109"/>
      <c r="Y128" s="109"/>
      <c r="Z128" s="109"/>
    </row>
    <row r="129">
      <c r="A129" s="109"/>
      <c r="B129" s="109"/>
      <c r="C129" s="109"/>
      <c r="D129" s="109"/>
      <c r="E129" s="109"/>
      <c r="F129" s="109"/>
      <c r="G129" s="356"/>
      <c r="H129" s="109"/>
      <c r="I129" s="109"/>
      <c r="J129" s="109"/>
      <c r="K129" s="109"/>
      <c r="L129" s="109"/>
      <c r="M129" s="109"/>
      <c r="N129" s="109"/>
      <c r="O129" s="109"/>
      <c r="P129" s="357"/>
      <c r="Q129" s="109"/>
      <c r="R129" s="109"/>
      <c r="S129" s="109"/>
      <c r="T129" s="109"/>
      <c r="U129" s="109"/>
      <c r="V129" s="109"/>
      <c r="W129" s="109"/>
      <c r="X129" s="109"/>
      <c r="Y129" s="109"/>
      <c r="Z129" s="109"/>
    </row>
    <row r="130">
      <c r="A130" s="109"/>
      <c r="B130" s="109"/>
      <c r="C130" s="109"/>
      <c r="D130" s="109"/>
      <c r="E130" s="109"/>
      <c r="F130" s="109"/>
      <c r="G130" s="356"/>
      <c r="H130" s="109"/>
      <c r="I130" s="109"/>
      <c r="J130" s="109"/>
      <c r="K130" s="109"/>
      <c r="L130" s="109"/>
      <c r="M130" s="109"/>
      <c r="N130" s="109"/>
      <c r="O130" s="109"/>
      <c r="P130" s="357"/>
      <c r="Q130" s="109"/>
      <c r="R130" s="109"/>
      <c r="S130" s="109"/>
      <c r="T130" s="109"/>
      <c r="U130" s="109"/>
      <c r="V130" s="109"/>
      <c r="W130" s="109"/>
      <c r="X130" s="109"/>
      <c r="Y130" s="109"/>
      <c r="Z130" s="109"/>
    </row>
    <row r="131">
      <c r="A131" s="109"/>
      <c r="B131" s="109"/>
      <c r="C131" s="109"/>
      <c r="D131" s="109"/>
      <c r="E131" s="109"/>
      <c r="F131" s="109"/>
      <c r="G131" s="356"/>
      <c r="H131" s="109"/>
      <c r="I131" s="109"/>
      <c r="J131" s="109"/>
      <c r="K131" s="109"/>
      <c r="L131" s="109"/>
      <c r="M131" s="109"/>
      <c r="N131" s="109"/>
      <c r="O131" s="109"/>
      <c r="P131" s="357"/>
      <c r="Q131" s="109"/>
      <c r="R131" s="109"/>
      <c r="S131" s="109"/>
      <c r="T131" s="109"/>
      <c r="U131" s="109"/>
      <c r="V131" s="109"/>
      <c r="W131" s="109"/>
      <c r="X131" s="109"/>
      <c r="Y131" s="109"/>
      <c r="Z131" s="109"/>
    </row>
    <row r="132">
      <c r="A132" s="109"/>
      <c r="B132" s="109"/>
      <c r="C132" s="109"/>
      <c r="D132" s="109"/>
      <c r="E132" s="109"/>
      <c r="F132" s="109"/>
      <c r="G132" s="356"/>
      <c r="H132" s="109"/>
      <c r="I132" s="109"/>
      <c r="J132" s="109"/>
      <c r="K132" s="109"/>
      <c r="L132" s="109"/>
      <c r="M132" s="109"/>
      <c r="N132" s="109"/>
      <c r="O132" s="109"/>
      <c r="P132" s="357"/>
      <c r="Q132" s="109"/>
      <c r="R132" s="109"/>
      <c r="S132" s="109"/>
      <c r="T132" s="109"/>
      <c r="U132" s="109"/>
      <c r="V132" s="109"/>
      <c r="W132" s="109"/>
      <c r="X132" s="109"/>
      <c r="Y132" s="109"/>
      <c r="Z132" s="109"/>
    </row>
    <row r="133">
      <c r="A133" s="109"/>
      <c r="B133" s="109"/>
      <c r="C133" s="109"/>
      <c r="D133" s="109"/>
      <c r="E133" s="109"/>
      <c r="F133" s="109"/>
      <c r="G133" s="356"/>
      <c r="H133" s="109"/>
      <c r="I133" s="109"/>
      <c r="J133" s="109"/>
      <c r="K133" s="109"/>
      <c r="L133" s="109"/>
      <c r="M133" s="109"/>
      <c r="N133" s="109"/>
      <c r="O133" s="109"/>
      <c r="P133" s="357"/>
      <c r="Q133" s="109"/>
      <c r="R133" s="109"/>
      <c r="S133" s="109"/>
      <c r="T133" s="109"/>
      <c r="U133" s="109"/>
      <c r="V133" s="109"/>
      <c r="W133" s="109"/>
      <c r="X133" s="109"/>
      <c r="Y133" s="109"/>
      <c r="Z133" s="109"/>
    </row>
    <row r="134">
      <c r="A134" s="109"/>
      <c r="B134" s="109"/>
      <c r="C134" s="109"/>
      <c r="D134" s="109"/>
      <c r="E134" s="109"/>
      <c r="F134" s="109"/>
      <c r="G134" s="356"/>
      <c r="H134" s="109"/>
      <c r="I134" s="109"/>
      <c r="J134" s="109"/>
      <c r="K134" s="109"/>
      <c r="L134" s="109"/>
      <c r="M134" s="109"/>
      <c r="N134" s="109"/>
      <c r="O134" s="109"/>
      <c r="P134" s="357"/>
      <c r="Q134" s="109"/>
      <c r="R134" s="109"/>
      <c r="S134" s="109"/>
      <c r="T134" s="109"/>
      <c r="U134" s="109"/>
      <c r="V134" s="109"/>
      <c r="W134" s="109"/>
      <c r="X134" s="109"/>
      <c r="Y134" s="109"/>
      <c r="Z134" s="109"/>
    </row>
    <row r="135">
      <c r="A135" s="109"/>
      <c r="B135" s="109"/>
      <c r="C135" s="109"/>
      <c r="D135" s="109"/>
      <c r="E135" s="109"/>
      <c r="F135" s="109"/>
      <c r="G135" s="356"/>
      <c r="H135" s="109"/>
      <c r="I135" s="109"/>
      <c r="J135" s="109"/>
      <c r="K135" s="109"/>
      <c r="L135" s="109"/>
      <c r="M135" s="109"/>
      <c r="N135" s="109"/>
      <c r="O135" s="109"/>
      <c r="P135" s="357"/>
      <c r="Q135" s="109"/>
      <c r="R135" s="109"/>
      <c r="S135" s="109"/>
      <c r="T135" s="109"/>
      <c r="U135" s="109"/>
      <c r="V135" s="109"/>
      <c r="W135" s="109"/>
      <c r="X135" s="109"/>
      <c r="Y135" s="109"/>
      <c r="Z135" s="109"/>
    </row>
    <row r="136">
      <c r="A136" s="109"/>
      <c r="B136" s="109"/>
      <c r="C136" s="109"/>
      <c r="D136" s="109"/>
      <c r="E136" s="109"/>
      <c r="F136" s="109"/>
      <c r="G136" s="356"/>
      <c r="H136" s="109"/>
      <c r="I136" s="109"/>
      <c r="J136" s="109"/>
      <c r="K136" s="109"/>
      <c r="L136" s="109"/>
      <c r="M136" s="109"/>
      <c r="N136" s="109"/>
      <c r="O136" s="109"/>
      <c r="P136" s="357"/>
      <c r="Q136" s="109"/>
      <c r="R136" s="109"/>
      <c r="S136" s="109"/>
      <c r="T136" s="109"/>
      <c r="U136" s="109"/>
      <c r="V136" s="109"/>
      <c r="W136" s="109"/>
      <c r="X136" s="109"/>
      <c r="Y136" s="109"/>
      <c r="Z136" s="109"/>
    </row>
    <row r="137">
      <c r="A137" s="109"/>
      <c r="B137" s="109"/>
      <c r="C137" s="109"/>
      <c r="D137" s="109"/>
      <c r="E137" s="109"/>
      <c r="F137" s="109"/>
      <c r="G137" s="356"/>
      <c r="H137" s="109"/>
      <c r="I137" s="109"/>
      <c r="J137" s="109"/>
      <c r="K137" s="109"/>
      <c r="L137" s="109"/>
      <c r="M137" s="109"/>
      <c r="N137" s="109"/>
      <c r="O137" s="109"/>
      <c r="P137" s="357"/>
      <c r="Q137" s="109"/>
      <c r="R137" s="109"/>
      <c r="S137" s="109"/>
      <c r="T137" s="109"/>
      <c r="U137" s="109"/>
      <c r="V137" s="109"/>
      <c r="W137" s="109"/>
      <c r="X137" s="109"/>
      <c r="Y137" s="109"/>
      <c r="Z137" s="109"/>
    </row>
    <row r="138">
      <c r="A138" s="109"/>
      <c r="B138" s="109"/>
      <c r="C138" s="109"/>
      <c r="D138" s="109"/>
      <c r="E138" s="109"/>
      <c r="F138" s="109"/>
      <c r="G138" s="356"/>
      <c r="H138" s="109"/>
      <c r="I138" s="109"/>
      <c r="J138" s="109"/>
      <c r="K138" s="109"/>
      <c r="L138" s="109"/>
      <c r="M138" s="109"/>
      <c r="N138" s="109"/>
      <c r="O138" s="109"/>
      <c r="P138" s="357"/>
      <c r="Q138" s="109"/>
      <c r="R138" s="109"/>
      <c r="S138" s="109"/>
      <c r="T138" s="109"/>
      <c r="U138" s="109"/>
      <c r="V138" s="109"/>
      <c r="W138" s="109"/>
      <c r="X138" s="109"/>
      <c r="Y138" s="109"/>
      <c r="Z138" s="109"/>
    </row>
    <row r="139">
      <c r="A139" s="109"/>
      <c r="B139" s="109"/>
      <c r="C139" s="109"/>
      <c r="D139" s="109"/>
      <c r="E139" s="109"/>
      <c r="F139" s="109"/>
      <c r="G139" s="356"/>
      <c r="H139" s="109"/>
      <c r="I139" s="109"/>
      <c r="J139" s="109"/>
      <c r="K139" s="109"/>
      <c r="L139" s="109"/>
      <c r="M139" s="109"/>
      <c r="N139" s="109"/>
      <c r="O139" s="109"/>
      <c r="P139" s="357"/>
      <c r="Q139" s="109"/>
      <c r="R139" s="109"/>
      <c r="S139" s="109"/>
      <c r="T139" s="109"/>
      <c r="U139" s="109"/>
      <c r="V139" s="109"/>
      <c r="W139" s="109"/>
      <c r="X139" s="109"/>
      <c r="Y139" s="109"/>
      <c r="Z139" s="109"/>
    </row>
    <row r="140">
      <c r="A140" s="109"/>
      <c r="B140" s="109"/>
      <c r="C140" s="109"/>
      <c r="D140" s="109"/>
      <c r="E140" s="109"/>
      <c r="F140" s="109"/>
      <c r="G140" s="356"/>
      <c r="H140" s="109"/>
      <c r="I140" s="109"/>
      <c r="J140" s="109"/>
      <c r="K140" s="109"/>
      <c r="L140" s="109"/>
      <c r="M140" s="109"/>
      <c r="N140" s="109"/>
      <c r="O140" s="109"/>
      <c r="P140" s="357"/>
      <c r="Q140" s="109"/>
      <c r="R140" s="109"/>
      <c r="S140" s="109"/>
      <c r="T140" s="109"/>
      <c r="U140" s="109"/>
      <c r="V140" s="109"/>
      <c r="W140" s="109"/>
      <c r="X140" s="109"/>
      <c r="Y140" s="109"/>
      <c r="Z140" s="109"/>
    </row>
    <row r="141">
      <c r="A141" s="109"/>
      <c r="B141" s="109"/>
      <c r="C141" s="109"/>
      <c r="D141" s="109"/>
      <c r="E141" s="109"/>
      <c r="F141" s="109"/>
      <c r="G141" s="356"/>
      <c r="H141" s="109"/>
      <c r="I141" s="109"/>
      <c r="J141" s="109"/>
      <c r="K141" s="109"/>
      <c r="L141" s="109"/>
      <c r="M141" s="109"/>
      <c r="N141" s="109"/>
      <c r="O141" s="109"/>
      <c r="P141" s="357"/>
      <c r="Q141" s="109"/>
      <c r="R141" s="109"/>
      <c r="S141" s="109"/>
      <c r="T141" s="109"/>
      <c r="U141" s="109"/>
      <c r="V141" s="109"/>
      <c r="W141" s="109"/>
      <c r="X141" s="109"/>
      <c r="Y141" s="109"/>
      <c r="Z141" s="109"/>
    </row>
    <row r="142">
      <c r="A142" s="109"/>
      <c r="B142" s="109"/>
      <c r="C142" s="109"/>
      <c r="D142" s="109"/>
      <c r="E142" s="109"/>
      <c r="F142" s="109"/>
      <c r="G142" s="356"/>
      <c r="H142" s="109"/>
      <c r="I142" s="109"/>
      <c r="J142" s="109"/>
      <c r="K142" s="109"/>
      <c r="L142" s="109"/>
      <c r="M142" s="109"/>
      <c r="N142" s="109"/>
      <c r="O142" s="109"/>
      <c r="P142" s="357"/>
      <c r="Q142" s="109"/>
      <c r="R142" s="109"/>
      <c r="S142" s="109"/>
      <c r="T142" s="109"/>
      <c r="U142" s="109"/>
      <c r="V142" s="109"/>
      <c r="W142" s="109"/>
      <c r="X142" s="109"/>
      <c r="Y142" s="109"/>
      <c r="Z142" s="109"/>
    </row>
    <row r="143">
      <c r="A143" s="109"/>
      <c r="B143" s="109"/>
      <c r="C143" s="109"/>
      <c r="D143" s="109"/>
      <c r="E143" s="109"/>
      <c r="F143" s="109"/>
      <c r="G143" s="356"/>
      <c r="H143" s="109"/>
      <c r="I143" s="109"/>
      <c r="J143" s="109"/>
      <c r="K143" s="109"/>
      <c r="L143" s="109"/>
      <c r="M143" s="109"/>
      <c r="N143" s="109"/>
      <c r="O143" s="109"/>
      <c r="P143" s="357"/>
      <c r="Q143" s="109"/>
      <c r="R143" s="109"/>
      <c r="S143" s="109"/>
      <c r="T143" s="109"/>
      <c r="U143" s="109"/>
      <c r="V143" s="109"/>
      <c r="W143" s="109"/>
      <c r="X143" s="109"/>
      <c r="Y143" s="109"/>
      <c r="Z143" s="109"/>
    </row>
    <row r="144">
      <c r="A144" s="109"/>
      <c r="B144" s="109"/>
      <c r="C144" s="109"/>
      <c r="D144" s="109"/>
      <c r="E144" s="109"/>
      <c r="F144" s="109"/>
      <c r="G144" s="356"/>
      <c r="H144" s="109"/>
      <c r="I144" s="109"/>
      <c r="J144" s="109"/>
      <c r="K144" s="109"/>
      <c r="L144" s="109"/>
      <c r="M144" s="109"/>
      <c r="N144" s="109"/>
      <c r="O144" s="109"/>
      <c r="P144" s="357"/>
      <c r="Q144" s="109"/>
      <c r="R144" s="109"/>
      <c r="S144" s="109"/>
      <c r="T144" s="109"/>
      <c r="U144" s="109"/>
      <c r="V144" s="109"/>
      <c r="W144" s="109"/>
      <c r="X144" s="109"/>
      <c r="Y144" s="109"/>
      <c r="Z144" s="109"/>
    </row>
    <row r="145">
      <c r="A145" s="109"/>
      <c r="B145" s="109"/>
      <c r="C145" s="109"/>
      <c r="D145" s="109"/>
      <c r="E145" s="109"/>
      <c r="F145" s="109"/>
      <c r="G145" s="356"/>
      <c r="H145" s="109"/>
      <c r="I145" s="109"/>
      <c r="J145" s="109"/>
      <c r="K145" s="109"/>
      <c r="L145" s="109"/>
      <c r="M145" s="109"/>
      <c r="N145" s="109"/>
      <c r="O145" s="109"/>
      <c r="P145" s="357"/>
      <c r="Q145" s="109"/>
      <c r="R145" s="109"/>
      <c r="S145" s="109"/>
      <c r="T145" s="109"/>
      <c r="U145" s="109"/>
      <c r="V145" s="109"/>
      <c r="W145" s="109"/>
      <c r="X145" s="109"/>
      <c r="Y145" s="109"/>
      <c r="Z145" s="109"/>
    </row>
    <row r="146">
      <c r="A146" s="109"/>
      <c r="B146" s="109"/>
      <c r="C146" s="109"/>
      <c r="D146" s="109"/>
      <c r="E146" s="109"/>
      <c r="F146" s="109"/>
      <c r="G146" s="356"/>
      <c r="H146" s="109"/>
      <c r="I146" s="109"/>
      <c r="J146" s="109"/>
      <c r="K146" s="109"/>
      <c r="L146" s="109"/>
      <c r="M146" s="109"/>
      <c r="N146" s="109"/>
      <c r="O146" s="109"/>
      <c r="P146" s="357"/>
      <c r="Q146" s="109"/>
      <c r="R146" s="109"/>
      <c r="S146" s="109"/>
      <c r="T146" s="109"/>
      <c r="U146" s="109"/>
      <c r="V146" s="109"/>
      <c r="W146" s="109"/>
      <c r="X146" s="109"/>
      <c r="Y146" s="109"/>
      <c r="Z146" s="109"/>
    </row>
    <row r="147">
      <c r="A147" s="109"/>
      <c r="B147" s="109"/>
      <c r="C147" s="109"/>
      <c r="D147" s="109"/>
      <c r="E147" s="109"/>
      <c r="F147" s="109"/>
      <c r="G147" s="356"/>
      <c r="H147" s="109"/>
      <c r="I147" s="109"/>
      <c r="J147" s="109"/>
      <c r="K147" s="109"/>
      <c r="L147" s="109"/>
      <c r="M147" s="109"/>
      <c r="N147" s="109"/>
      <c r="O147" s="109"/>
      <c r="P147" s="357"/>
      <c r="Q147" s="109"/>
      <c r="R147" s="109"/>
      <c r="S147" s="109"/>
      <c r="T147" s="109"/>
      <c r="U147" s="109"/>
      <c r="V147" s="109"/>
      <c r="W147" s="109"/>
      <c r="X147" s="109"/>
      <c r="Y147" s="109"/>
      <c r="Z147" s="109"/>
    </row>
    <row r="148">
      <c r="A148" s="109"/>
      <c r="B148" s="109"/>
      <c r="C148" s="109"/>
      <c r="D148" s="109"/>
      <c r="E148" s="109"/>
      <c r="F148" s="109"/>
      <c r="G148" s="356"/>
      <c r="H148" s="109"/>
      <c r="I148" s="109"/>
      <c r="J148" s="109"/>
      <c r="K148" s="109"/>
      <c r="L148" s="109"/>
      <c r="M148" s="109"/>
      <c r="N148" s="109"/>
      <c r="O148" s="109"/>
      <c r="P148" s="357"/>
      <c r="Q148" s="109"/>
      <c r="R148" s="109"/>
      <c r="S148" s="109"/>
      <c r="T148" s="109"/>
      <c r="U148" s="109"/>
      <c r="V148" s="109"/>
      <c r="W148" s="109"/>
      <c r="X148" s="109"/>
      <c r="Y148" s="109"/>
      <c r="Z148" s="109"/>
    </row>
    <row r="149">
      <c r="A149" s="109"/>
      <c r="B149" s="109"/>
      <c r="C149" s="109"/>
      <c r="D149" s="109"/>
      <c r="E149" s="109"/>
      <c r="F149" s="109"/>
      <c r="G149" s="356"/>
      <c r="H149" s="109"/>
      <c r="I149" s="109"/>
      <c r="J149" s="109"/>
      <c r="K149" s="109"/>
      <c r="L149" s="109"/>
      <c r="M149" s="109"/>
      <c r="N149" s="109"/>
      <c r="O149" s="109"/>
      <c r="P149" s="357"/>
      <c r="Q149" s="109"/>
      <c r="R149" s="109"/>
      <c r="S149" s="109"/>
      <c r="T149" s="109"/>
      <c r="U149" s="109"/>
      <c r="V149" s="109"/>
      <c r="W149" s="109"/>
      <c r="X149" s="109"/>
      <c r="Y149" s="109"/>
      <c r="Z149" s="109"/>
    </row>
    <row r="150">
      <c r="A150" s="109"/>
      <c r="B150" s="109"/>
      <c r="C150" s="109"/>
      <c r="D150" s="109"/>
      <c r="E150" s="109"/>
      <c r="F150" s="109"/>
      <c r="G150" s="356"/>
      <c r="H150" s="109"/>
      <c r="I150" s="109"/>
      <c r="J150" s="109"/>
      <c r="K150" s="109"/>
      <c r="L150" s="109"/>
      <c r="M150" s="109"/>
      <c r="N150" s="109"/>
      <c r="O150" s="109"/>
      <c r="P150" s="357"/>
      <c r="Q150" s="109"/>
      <c r="R150" s="109"/>
      <c r="S150" s="109"/>
      <c r="T150" s="109"/>
      <c r="U150" s="109"/>
      <c r="V150" s="109"/>
      <c r="W150" s="109"/>
      <c r="X150" s="109"/>
      <c r="Y150" s="109"/>
      <c r="Z150" s="109"/>
    </row>
    <row r="151">
      <c r="A151" s="109"/>
      <c r="B151" s="109"/>
      <c r="C151" s="109"/>
      <c r="D151" s="109"/>
      <c r="E151" s="109"/>
      <c r="F151" s="109"/>
      <c r="G151" s="356"/>
      <c r="H151" s="109"/>
      <c r="I151" s="109"/>
      <c r="J151" s="109"/>
      <c r="K151" s="109"/>
      <c r="L151" s="109"/>
      <c r="M151" s="109"/>
      <c r="N151" s="109"/>
      <c r="O151" s="109"/>
      <c r="P151" s="357"/>
      <c r="Q151" s="109"/>
      <c r="R151" s="109"/>
      <c r="S151" s="109"/>
      <c r="T151" s="109"/>
      <c r="U151" s="109"/>
      <c r="V151" s="109"/>
      <c r="W151" s="109"/>
      <c r="X151" s="109"/>
      <c r="Y151" s="109"/>
      <c r="Z151" s="109"/>
    </row>
    <row r="152">
      <c r="A152" s="109"/>
      <c r="B152" s="109"/>
      <c r="C152" s="109"/>
      <c r="D152" s="109"/>
      <c r="E152" s="109"/>
      <c r="F152" s="109"/>
      <c r="G152" s="356"/>
      <c r="H152" s="109"/>
      <c r="I152" s="109"/>
      <c r="J152" s="109"/>
      <c r="K152" s="109"/>
      <c r="L152" s="109"/>
      <c r="M152" s="109"/>
      <c r="N152" s="109"/>
      <c r="O152" s="109"/>
      <c r="P152" s="357"/>
      <c r="Q152" s="109"/>
      <c r="R152" s="109"/>
      <c r="S152" s="109"/>
      <c r="T152" s="109"/>
      <c r="U152" s="109"/>
      <c r="V152" s="109"/>
      <c r="W152" s="109"/>
      <c r="X152" s="109"/>
      <c r="Y152" s="109"/>
      <c r="Z152" s="109"/>
    </row>
    <row r="153">
      <c r="A153" s="109"/>
      <c r="B153" s="109"/>
      <c r="C153" s="109"/>
      <c r="D153" s="109"/>
      <c r="E153" s="109"/>
      <c r="F153" s="109"/>
      <c r="G153" s="356"/>
      <c r="H153" s="109"/>
      <c r="I153" s="109"/>
      <c r="J153" s="109"/>
      <c r="K153" s="109"/>
      <c r="L153" s="109"/>
      <c r="M153" s="109"/>
      <c r="N153" s="109"/>
      <c r="O153" s="109"/>
      <c r="P153" s="357"/>
      <c r="Q153" s="109"/>
      <c r="R153" s="109"/>
      <c r="S153" s="109"/>
      <c r="T153" s="109"/>
      <c r="U153" s="109"/>
      <c r="V153" s="109"/>
      <c r="W153" s="109"/>
      <c r="X153" s="109"/>
      <c r="Y153" s="109"/>
      <c r="Z153" s="109"/>
    </row>
    <row r="154">
      <c r="A154" s="109"/>
      <c r="B154" s="109"/>
      <c r="C154" s="109"/>
      <c r="D154" s="109"/>
      <c r="E154" s="109"/>
      <c r="F154" s="109"/>
      <c r="G154" s="356"/>
      <c r="H154" s="109"/>
      <c r="I154" s="109"/>
      <c r="J154" s="109"/>
      <c r="K154" s="109"/>
      <c r="L154" s="109"/>
      <c r="M154" s="109"/>
      <c r="N154" s="109"/>
      <c r="O154" s="109"/>
      <c r="P154" s="357"/>
      <c r="Q154" s="109"/>
      <c r="R154" s="109"/>
      <c r="S154" s="109"/>
      <c r="T154" s="109"/>
      <c r="U154" s="109"/>
      <c r="V154" s="109"/>
      <c r="W154" s="109"/>
      <c r="X154" s="109"/>
      <c r="Y154" s="109"/>
      <c r="Z154" s="109"/>
    </row>
    <row r="155">
      <c r="A155" s="109"/>
      <c r="B155" s="109"/>
      <c r="C155" s="109"/>
      <c r="D155" s="109"/>
      <c r="E155" s="109"/>
      <c r="F155" s="109"/>
      <c r="G155" s="356"/>
      <c r="H155" s="109"/>
      <c r="I155" s="109"/>
      <c r="J155" s="109"/>
      <c r="K155" s="109"/>
      <c r="L155" s="109"/>
      <c r="M155" s="109"/>
      <c r="N155" s="109"/>
      <c r="O155" s="109"/>
      <c r="P155" s="357"/>
      <c r="Q155" s="109"/>
      <c r="R155" s="109"/>
      <c r="S155" s="109"/>
      <c r="T155" s="109"/>
      <c r="U155" s="109"/>
      <c r="V155" s="109"/>
      <c r="W155" s="109"/>
      <c r="X155" s="109"/>
      <c r="Y155" s="109"/>
      <c r="Z155" s="109"/>
    </row>
    <row r="156">
      <c r="A156" s="109"/>
      <c r="B156" s="109"/>
      <c r="C156" s="109"/>
      <c r="D156" s="109"/>
      <c r="E156" s="109"/>
      <c r="F156" s="109"/>
      <c r="G156" s="356"/>
      <c r="H156" s="109"/>
      <c r="I156" s="109"/>
      <c r="J156" s="109"/>
      <c r="K156" s="109"/>
      <c r="L156" s="109"/>
      <c r="M156" s="109"/>
      <c r="N156" s="109"/>
      <c r="O156" s="109"/>
      <c r="P156" s="357"/>
      <c r="Q156" s="109"/>
      <c r="R156" s="109"/>
      <c r="S156" s="109"/>
      <c r="T156" s="109"/>
      <c r="U156" s="109"/>
      <c r="V156" s="109"/>
      <c r="W156" s="109"/>
      <c r="X156" s="109"/>
      <c r="Y156" s="109"/>
      <c r="Z156" s="109"/>
    </row>
    <row r="157">
      <c r="A157" s="109"/>
      <c r="B157" s="109"/>
      <c r="C157" s="109"/>
      <c r="D157" s="109"/>
      <c r="E157" s="109"/>
      <c r="F157" s="109"/>
      <c r="G157" s="356"/>
      <c r="H157" s="109"/>
      <c r="I157" s="109"/>
      <c r="J157" s="109"/>
      <c r="K157" s="109"/>
      <c r="L157" s="109"/>
      <c r="M157" s="109"/>
      <c r="N157" s="109"/>
      <c r="O157" s="109"/>
      <c r="P157" s="357"/>
      <c r="Q157" s="109"/>
      <c r="R157" s="109"/>
      <c r="S157" s="109"/>
      <c r="T157" s="109"/>
      <c r="U157" s="109"/>
      <c r="V157" s="109"/>
      <c r="W157" s="109"/>
      <c r="X157" s="109"/>
      <c r="Y157" s="109"/>
      <c r="Z157" s="109"/>
    </row>
    <row r="158">
      <c r="A158" s="109"/>
      <c r="B158" s="109"/>
      <c r="C158" s="109"/>
      <c r="D158" s="109"/>
      <c r="E158" s="109"/>
      <c r="F158" s="109"/>
      <c r="G158" s="356"/>
      <c r="H158" s="109"/>
      <c r="I158" s="109"/>
      <c r="J158" s="109"/>
      <c r="K158" s="109"/>
      <c r="L158" s="109"/>
      <c r="M158" s="109"/>
      <c r="N158" s="109"/>
      <c r="O158" s="109"/>
      <c r="P158" s="357"/>
      <c r="Q158" s="109"/>
      <c r="R158" s="109"/>
      <c r="S158" s="109"/>
      <c r="T158" s="109"/>
      <c r="U158" s="109"/>
      <c r="V158" s="109"/>
      <c r="W158" s="109"/>
      <c r="X158" s="109"/>
      <c r="Y158" s="109"/>
      <c r="Z158" s="109"/>
    </row>
    <row r="159">
      <c r="A159" s="109"/>
      <c r="B159" s="109"/>
      <c r="C159" s="109"/>
      <c r="D159" s="109"/>
      <c r="E159" s="109"/>
      <c r="F159" s="109"/>
      <c r="G159" s="356"/>
      <c r="H159" s="109"/>
      <c r="I159" s="109"/>
      <c r="J159" s="109"/>
      <c r="K159" s="109"/>
      <c r="L159" s="109"/>
      <c r="M159" s="109"/>
      <c r="N159" s="109"/>
      <c r="O159" s="109"/>
      <c r="P159" s="357"/>
      <c r="Q159" s="109"/>
      <c r="R159" s="109"/>
      <c r="S159" s="109"/>
      <c r="T159" s="109"/>
      <c r="U159" s="109"/>
      <c r="V159" s="109"/>
      <c r="W159" s="109"/>
      <c r="X159" s="109"/>
      <c r="Y159" s="109"/>
      <c r="Z159" s="109"/>
    </row>
    <row r="160">
      <c r="A160" s="109"/>
      <c r="B160" s="109"/>
      <c r="C160" s="109"/>
      <c r="D160" s="109"/>
      <c r="E160" s="109"/>
      <c r="F160" s="109"/>
      <c r="G160" s="356"/>
      <c r="H160" s="109"/>
      <c r="I160" s="109"/>
      <c r="J160" s="109"/>
      <c r="K160" s="109"/>
      <c r="L160" s="109"/>
      <c r="M160" s="109"/>
      <c r="N160" s="109"/>
      <c r="O160" s="109"/>
      <c r="P160" s="357"/>
      <c r="Q160" s="109"/>
      <c r="R160" s="109"/>
      <c r="S160" s="109"/>
      <c r="T160" s="109"/>
      <c r="U160" s="109"/>
      <c r="V160" s="109"/>
      <c r="W160" s="109"/>
      <c r="X160" s="109"/>
      <c r="Y160" s="109"/>
      <c r="Z160" s="109"/>
    </row>
    <row r="161">
      <c r="A161" s="109"/>
      <c r="B161" s="109"/>
      <c r="C161" s="109"/>
      <c r="D161" s="109"/>
      <c r="E161" s="109"/>
      <c r="F161" s="109"/>
      <c r="G161" s="356"/>
      <c r="H161" s="109"/>
      <c r="I161" s="109"/>
      <c r="J161" s="109"/>
      <c r="K161" s="109"/>
      <c r="L161" s="109"/>
      <c r="M161" s="109"/>
      <c r="N161" s="109"/>
      <c r="O161" s="109"/>
      <c r="P161" s="357"/>
      <c r="Q161" s="109"/>
      <c r="R161" s="109"/>
      <c r="S161" s="109"/>
      <c r="T161" s="109"/>
      <c r="U161" s="109"/>
      <c r="V161" s="109"/>
      <c r="W161" s="109"/>
      <c r="X161" s="109"/>
      <c r="Y161" s="109"/>
      <c r="Z161" s="109"/>
    </row>
    <row r="162">
      <c r="A162" s="109"/>
      <c r="B162" s="109"/>
      <c r="C162" s="109"/>
      <c r="D162" s="109"/>
      <c r="E162" s="109"/>
      <c r="F162" s="109"/>
      <c r="G162" s="356"/>
      <c r="H162" s="109"/>
      <c r="I162" s="109"/>
      <c r="J162" s="109"/>
      <c r="K162" s="109"/>
      <c r="L162" s="109"/>
      <c r="M162" s="109"/>
      <c r="N162" s="109"/>
      <c r="O162" s="109"/>
      <c r="P162" s="357"/>
      <c r="Q162" s="109"/>
      <c r="R162" s="109"/>
      <c r="S162" s="109"/>
      <c r="T162" s="109"/>
      <c r="U162" s="109"/>
      <c r="V162" s="109"/>
      <c r="W162" s="109"/>
      <c r="X162" s="109"/>
      <c r="Y162" s="109"/>
      <c r="Z162" s="109"/>
    </row>
    <row r="163">
      <c r="A163" s="109"/>
      <c r="B163" s="109"/>
      <c r="C163" s="109"/>
      <c r="D163" s="109"/>
      <c r="E163" s="109"/>
      <c r="F163" s="109"/>
      <c r="G163" s="356"/>
      <c r="H163" s="109"/>
      <c r="I163" s="109"/>
      <c r="J163" s="109"/>
      <c r="K163" s="109"/>
      <c r="L163" s="109"/>
      <c r="M163" s="109"/>
      <c r="N163" s="109"/>
      <c r="O163" s="109"/>
      <c r="P163" s="357"/>
      <c r="Q163" s="109"/>
      <c r="R163" s="109"/>
      <c r="S163" s="109"/>
      <c r="T163" s="109"/>
      <c r="U163" s="109"/>
      <c r="V163" s="109"/>
      <c r="W163" s="109"/>
      <c r="X163" s="109"/>
      <c r="Y163" s="109"/>
      <c r="Z163" s="109"/>
    </row>
    <row r="164">
      <c r="A164" s="109"/>
      <c r="B164" s="109"/>
      <c r="C164" s="109"/>
      <c r="D164" s="109"/>
      <c r="E164" s="109"/>
      <c r="F164" s="109"/>
      <c r="G164" s="356"/>
      <c r="H164" s="109"/>
      <c r="I164" s="109"/>
      <c r="J164" s="109"/>
      <c r="K164" s="109"/>
      <c r="L164" s="109"/>
      <c r="M164" s="109"/>
      <c r="N164" s="109"/>
      <c r="O164" s="109"/>
      <c r="P164" s="357"/>
      <c r="Q164" s="109"/>
      <c r="R164" s="109"/>
      <c r="S164" s="109"/>
      <c r="T164" s="109"/>
      <c r="U164" s="109"/>
      <c r="V164" s="109"/>
      <c r="W164" s="109"/>
      <c r="X164" s="109"/>
      <c r="Y164" s="109"/>
      <c r="Z164" s="109"/>
    </row>
    <row r="165">
      <c r="A165" s="109"/>
      <c r="B165" s="109"/>
      <c r="C165" s="109"/>
      <c r="D165" s="109"/>
      <c r="E165" s="109"/>
      <c r="F165" s="109"/>
      <c r="G165" s="356"/>
      <c r="H165" s="109"/>
      <c r="I165" s="109"/>
      <c r="J165" s="109"/>
      <c r="K165" s="109"/>
      <c r="L165" s="109"/>
      <c r="M165" s="109"/>
      <c r="N165" s="109"/>
      <c r="O165" s="109"/>
      <c r="P165" s="357"/>
      <c r="Q165" s="109"/>
      <c r="R165" s="109"/>
      <c r="S165" s="109"/>
      <c r="T165" s="109"/>
      <c r="U165" s="109"/>
      <c r="V165" s="109"/>
      <c r="W165" s="109"/>
      <c r="X165" s="109"/>
      <c r="Y165" s="109"/>
      <c r="Z165" s="109"/>
    </row>
    <row r="166">
      <c r="A166" s="109"/>
      <c r="B166" s="109"/>
      <c r="C166" s="109"/>
      <c r="D166" s="109"/>
      <c r="E166" s="109"/>
      <c r="F166" s="109"/>
      <c r="G166" s="356"/>
      <c r="H166" s="109"/>
      <c r="I166" s="109"/>
      <c r="J166" s="109"/>
      <c r="K166" s="109"/>
      <c r="L166" s="109"/>
      <c r="M166" s="109"/>
      <c r="N166" s="109"/>
      <c r="O166" s="109"/>
      <c r="P166" s="357"/>
      <c r="Q166" s="109"/>
      <c r="R166" s="109"/>
      <c r="S166" s="109"/>
      <c r="T166" s="109"/>
      <c r="U166" s="109"/>
      <c r="V166" s="109"/>
      <c r="W166" s="109"/>
      <c r="X166" s="109"/>
      <c r="Y166" s="109"/>
      <c r="Z166" s="109"/>
    </row>
    <row r="167">
      <c r="A167" s="109"/>
      <c r="B167" s="109"/>
      <c r="C167" s="109"/>
      <c r="D167" s="109"/>
      <c r="E167" s="109"/>
      <c r="F167" s="109"/>
      <c r="G167" s="356"/>
      <c r="H167" s="109"/>
      <c r="I167" s="109"/>
      <c r="J167" s="109"/>
      <c r="K167" s="109"/>
      <c r="L167" s="109"/>
      <c r="M167" s="109"/>
      <c r="N167" s="109"/>
      <c r="O167" s="109"/>
      <c r="P167" s="357"/>
      <c r="Q167" s="109"/>
      <c r="R167" s="109"/>
      <c r="S167" s="109"/>
      <c r="T167" s="109"/>
      <c r="U167" s="109"/>
      <c r="V167" s="109"/>
      <c r="W167" s="109"/>
      <c r="X167" s="109"/>
      <c r="Y167" s="109"/>
      <c r="Z167" s="109"/>
    </row>
    <row r="168">
      <c r="A168" s="109"/>
      <c r="B168" s="109"/>
      <c r="C168" s="109"/>
      <c r="D168" s="109"/>
      <c r="E168" s="109"/>
      <c r="F168" s="109"/>
      <c r="G168" s="356"/>
      <c r="H168" s="109"/>
      <c r="I168" s="109"/>
      <c r="J168" s="109"/>
      <c r="K168" s="109"/>
      <c r="L168" s="109"/>
      <c r="M168" s="109"/>
      <c r="N168" s="109"/>
      <c r="O168" s="109"/>
      <c r="P168" s="357"/>
      <c r="Q168" s="109"/>
      <c r="R168" s="109"/>
      <c r="S168" s="109"/>
      <c r="T168" s="109"/>
      <c r="U168" s="109"/>
      <c r="V168" s="109"/>
      <c r="W168" s="109"/>
      <c r="X168" s="109"/>
      <c r="Y168" s="109"/>
      <c r="Z168" s="109"/>
    </row>
    <row r="169">
      <c r="A169" s="109"/>
      <c r="B169" s="109"/>
      <c r="C169" s="109"/>
      <c r="D169" s="109"/>
      <c r="E169" s="109"/>
      <c r="F169" s="109"/>
      <c r="G169" s="356"/>
      <c r="H169" s="109"/>
      <c r="I169" s="109"/>
      <c r="J169" s="109"/>
      <c r="K169" s="109"/>
      <c r="L169" s="109"/>
      <c r="M169" s="109"/>
      <c r="N169" s="109"/>
      <c r="O169" s="109"/>
      <c r="P169" s="357"/>
      <c r="Q169" s="109"/>
      <c r="R169" s="109"/>
      <c r="S169" s="109"/>
      <c r="T169" s="109"/>
      <c r="U169" s="109"/>
      <c r="V169" s="109"/>
      <c r="W169" s="109"/>
      <c r="X169" s="109"/>
      <c r="Y169" s="109"/>
      <c r="Z169" s="109"/>
    </row>
    <row r="170">
      <c r="A170" s="109"/>
      <c r="B170" s="109"/>
      <c r="C170" s="109"/>
      <c r="D170" s="109"/>
      <c r="E170" s="109"/>
      <c r="F170" s="109"/>
      <c r="G170" s="356"/>
      <c r="H170" s="109"/>
      <c r="I170" s="109"/>
      <c r="J170" s="109"/>
      <c r="K170" s="109"/>
      <c r="L170" s="109"/>
      <c r="M170" s="109"/>
      <c r="N170" s="109"/>
      <c r="O170" s="109"/>
      <c r="P170" s="357"/>
      <c r="Q170" s="109"/>
      <c r="R170" s="109"/>
      <c r="S170" s="109"/>
      <c r="T170" s="109"/>
      <c r="U170" s="109"/>
      <c r="V170" s="109"/>
      <c r="W170" s="109"/>
      <c r="X170" s="109"/>
      <c r="Y170" s="109"/>
      <c r="Z170" s="109"/>
    </row>
    <row r="171">
      <c r="A171" s="109"/>
      <c r="B171" s="109"/>
      <c r="C171" s="109"/>
      <c r="D171" s="109"/>
      <c r="E171" s="109"/>
      <c r="F171" s="109"/>
      <c r="G171" s="356"/>
      <c r="H171" s="109"/>
      <c r="I171" s="109"/>
      <c r="J171" s="109"/>
      <c r="K171" s="109"/>
      <c r="L171" s="109"/>
      <c r="M171" s="109"/>
      <c r="N171" s="109"/>
      <c r="O171" s="109"/>
      <c r="P171" s="357"/>
      <c r="Q171" s="109"/>
      <c r="R171" s="109"/>
      <c r="S171" s="109"/>
      <c r="T171" s="109"/>
      <c r="U171" s="109"/>
      <c r="V171" s="109"/>
      <c r="W171" s="109"/>
      <c r="X171" s="109"/>
      <c r="Y171" s="109"/>
      <c r="Z171" s="109"/>
    </row>
    <row r="172">
      <c r="A172" s="109"/>
      <c r="B172" s="109"/>
      <c r="C172" s="109"/>
      <c r="D172" s="109"/>
      <c r="E172" s="109"/>
      <c r="F172" s="109"/>
      <c r="G172" s="356"/>
      <c r="H172" s="109"/>
      <c r="I172" s="109"/>
      <c r="J172" s="109"/>
      <c r="K172" s="109"/>
      <c r="L172" s="109"/>
      <c r="M172" s="109"/>
      <c r="N172" s="109"/>
      <c r="O172" s="109"/>
      <c r="P172" s="357"/>
      <c r="Q172" s="109"/>
      <c r="R172" s="109"/>
      <c r="S172" s="109"/>
      <c r="T172" s="109"/>
      <c r="U172" s="109"/>
      <c r="V172" s="109"/>
      <c r="W172" s="109"/>
      <c r="X172" s="109"/>
      <c r="Y172" s="109"/>
      <c r="Z172" s="109"/>
    </row>
    <row r="173">
      <c r="A173" s="109"/>
      <c r="B173" s="109"/>
      <c r="C173" s="109"/>
      <c r="D173" s="109"/>
      <c r="E173" s="109"/>
      <c r="F173" s="109"/>
      <c r="G173" s="356"/>
      <c r="H173" s="109"/>
      <c r="I173" s="109"/>
      <c r="J173" s="109"/>
      <c r="K173" s="109"/>
      <c r="L173" s="109"/>
      <c r="M173" s="109"/>
      <c r="N173" s="109"/>
      <c r="O173" s="109"/>
      <c r="P173" s="357"/>
      <c r="Q173" s="109"/>
      <c r="R173" s="109"/>
      <c r="S173" s="109"/>
      <c r="T173" s="109"/>
      <c r="U173" s="109"/>
      <c r="V173" s="109"/>
      <c r="W173" s="109"/>
      <c r="X173" s="109"/>
      <c r="Y173" s="109"/>
      <c r="Z173" s="109"/>
    </row>
    <row r="174">
      <c r="A174" s="109"/>
      <c r="B174" s="109"/>
      <c r="C174" s="109"/>
      <c r="D174" s="109"/>
      <c r="E174" s="109"/>
      <c r="F174" s="109"/>
      <c r="G174" s="356"/>
      <c r="H174" s="109"/>
      <c r="I174" s="109"/>
      <c r="J174" s="109"/>
      <c r="K174" s="109"/>
      <c r="L174" s="109"/>
      <c r="M174" s="109"/>
      <c r="N174" s="109"/>
      <c r="O174" s="109"/>
      <c r="P174" s="357"/>
      <c r="Q174" s="109"/>
      <c r="R174" s="109"/>
      <c r="S174" s="109"/>
      <c r="T174" s="109"/>
      <c r="U174" s="109"/>
      <c r="V174" s="109"/>
      <c r="W174" s="109"/>
      <c r="X174" s="109"/>
      <c r="Y174" s="109"/>
      <c r="Z174" s="109"/>
    </row>
    <row r="175">
      <c r="A175" s="109"/>
      <c r="B175" s="109"/>
      <c r="C175" s="109"/>
      <c r="D175" s="109"/>
      <c r="E175" s="109"/>
      <c r="F175" s="109"/>
      <c r="G175" s="356"/>
      <c r="H175" s="109"/>
      <c r="I175" s="109"/>
      <c r="J175" s="109"/>
      <c r="K175" s="109"/>
      <c r="L175" s="109"/>
      <c r="M175" s="109"/>
      <c r="N175" s="109"/>
      <c r="O175" s="109"/>
      <c r="P175" s="357"/>
      <c r="Q175" s="109"/>
      <c r="R175" s="109"/>
      <c r="S175" s="109"/>
      <c r="T175" s="109"/>
      <c r="U175" s="109"/>
      <c r="V175" s="109"/>
      <c r="W175" s="109"/>
      <c r="X175" s="109"/>
      <c r="Y175" s="109"/>
      <c r="Z175" s="109"/>
    </row>
    <row r="176">
      <c r="A176" s="109"/>
      <c r="B176" s="109"/>
      <c r="C176" s="109"/>
      <c r="D176" s="109"/>
      <c r="E176" s="109"/>
      <c r="F176" s="109"/>
      <c r="G176" s="356"/>
      <c r="H176" s="109"/>
      <c r="I176" s="109"/>
      <c r="J176" s="109"/>
      <c r="K176" s="109"/>
      <c r="L176" s="109"/>
      <c r="M176" s="109"/>
      <c r="N176" s="109"/>
      <c r="O176" s="109"/>
      <c r="P176" s="357"/>
      <c r="Q176" s="109"/>
      <c r="R176" s="109"/>
      <c r="S176" s="109"/>
      <c r="T176" s="109"/>
      <c r="U176" s="109"/>
      <c r="V176" s="109"/>
      <c r="W176" s="109"/>
      <c r="X176" s="109"/>
      <c r="Y176" s="109"/>
      <c r="Z176" s="109"/>
    </row>
    <row r="177">
      <c r="A177" s="109"/>
      <c r="B177" s="109"/>
      <c r="C177" s="109"/>
      <c r="D177" s="109"/>
      <c r="E177" s="109"/>
      <c r="F177" s="109"/>
      <c r="G177" s="356"/>
      <c r="H177" s="109"/>
      <c r="I177" s="109"/>
      <c r="J177" s="109"/>
      <c r="K177" s="109"/>
      <c r="L177" s="109"/>
      <c r="M177" s="109"/>
      <c r="N177" s="109"/>
      <c r="O177" s="109"/>
      <c r="P177" s="357"/>
      <c r="Q177" s="109"/>
      <c r="R177" s="109"/>
      <c r="S177" s="109"/>
      <c r="T177" s="109"/>
      <c r="U177" s="109"/>
      <c r="V177" s="109"/>
      <c r="W177" s="109"/>
      <c r="X177" s="109"/>
      <c r="Y177" s="109"/>
      <c r="Z177" s="109"/>
    </row>
    <row r="178">
      <c r="A178" s="109"/>
      <c r="B178" s="109"/>
      <c r="C178" s="109"/>
      <c r="D178" s="109"/>
      <c r="E178" s="109"/>
      <c r="F178" s="109"/>
      <c r="G178" s="356"/>
      <c r="H178" s="109"/>
      <c r="I178" s="109"/>
      <c r="J178" s="109"/>
      <c r="K178" s="109"/>
      <c r="L178" s="109"/>
      <c r="M178" s="109"/>
      <c r="N178" s="109"/>
      <c r="O178" s="109"/>
      <c r="P178" s="357"/>
      <c r="Q178" s="109"/>
      <c r="R178" s="109"/>
      <c r="S178" s="109"/>
      <c r="T178" s="109"/>
      <c r="U178" s="109"/>
      <c r="V178" s="109"/>
      <c r="W178" s="109"/>
      <c r="X178" s="109"/>
      <c r="Y178" s="109"/>
      <c r="Z178" s="109"/>
    </row>
    <row r="179">
      <c r="A179" s="109"/>
      <c r="B179" s="109"/>
      <c r="C179" s="109"/>
      <c r="D179" s="109"/>
      <c r="E179" s="109"/>
      <c r="F179" s="109"/>
      <c r="G179" s="356"/>
      <c r="H179" s="109"/>
      <c r="I179" s="109"/>
      <c r="J179" s="109"/>
      <c r="K179" s="109"/>
      <c r="L179" s="109"/>
      <c r="M179" s="109"/>
      <c r="N179" s="109"/>
      <c r="O179" s="109"/>
      <c r="P179" s="357"/>
      <c r="Q179" s="109"/>
      <c r="R179" s="109"/>
      <c r="S179" s="109"/>
      <c r="T179" s="109"/>
      <c r="U179" s="109"/>
      <c r="V179" s="109"/>
      <c r="W179" s="109"/>
      <c r="X179" s="109"/>
      <c r="Y179" s="109"/>
      <c r="Z179" s="109"/>
    </row>
    <row r="180">
      <c r="A180" s="109"/>
      <c r="B180" s="109"/>
      <c r="C180" s="109"/>
      <c r="D180" s="109"/>
      <c r="E180" s="109"/>
      <c r="F180" s="109"/>
      <c r="G180" s="356"/>
      <c r="H180" s="109"/>
      <c r="I180" s="109"/>
      <c r="J180" s="109"/>
      <c r="K180" s="109"/>
      <c r="L180" s="109"/>
      <c r="M180" s="109"/>
      <c r="N180" s="109"/>
      <c r="O180" s="109"/>
      <c r="P180" s="357"/>
      <c r="Q180" s="109"/>
      <c r="R180" s="109"/>
      <c r="S180" s="109"/>
      <c r="T180" s="109"/>
      <c r="U180" s="109"/>
      <c r="V180" s="109"/>
      <c r="W180" s="109"/>
      <c r="X180" s="109"/>
      <c r="Y180" s="109"/>
      <c r="Z180" s="109"/>
    </row>
    <row r="181">
      <c r="A181" s="109"/>
      <c r="B181" s="109"/>
      <c r="C181" s="109"/>
      <c r="D181" s="109"/>
      <c r="E181" s="109"/>
      <c r="F181" s="109"/>
      <c r="G181" s="356"/>
      <c r="H181" s="109"/>
      <c r="I181" s="109"/>
      <c r="J181" s="109"/>
      <c r="K181" s="109"/>
      <c r="L181" s="109"/>
      <c r="M181" s="109"/>
      <c r="N181" s="109"/>
      <c r="O181" s="109"/>
      <c r="P181" s="357"/>
      <c r="Q181" s="109"/>
      <c r="R181" s="109"/>
      <c r="S181" s="109"/>
      <c r="T181" s="109"/>
      <c r="U181" s="109"/>
      <c r="V181" s="109"/>
      <c r="W181" s="109"/>
      <c r="X181" s="109"/>
      <c r="Y181" s="109"/>
      <c r="Z181" s="109"/>
    </row>
    <row r="182">
      <c r="A182" s="109"/>
      <c r="B182" s="109"/>
      <c r="C182" s="109"/>
      <c r="D182" s="109"/>
      <c r="E182" s="109"/>
      <c r="F182" s="109"/>
      <c r="G182" s="356"/>
      <c r="H182" s="109"/>
      <c r="I182" s="109"/>
      <c r="J182" s="109"/>
      <c r="K182" s="109"/>
      <c r="L182" s="109"/>
      <c r="M182" s="109"/>
      <c r="N182" s="109"/>
      <c r="O182" s="109"/>
      <c r="P182" s="357"/>
      <c r="Q182" s="109"/>
      <c r="R182" s="109"/>
      <c r="S182" s="109"/>
      <c r="T182" s="109"/>
      <c r="U182" s="109"/>
      <c r="V182" s="109"/>
      <c r="W182" s="109"/>
      <c r="X182" s="109"/>
      <c r="Y182" s="109"/>
      <c r="Z182" s="109"/>
    </row>
    <row r="183">
      <c r="A183" s="109"/>
      <c r="B183" s="109"/>
      <c r="C183" s="109"/>
      <c r="D183" s="109"/>
      <c r="E183" s="109"/>
      <c r="F183" s="109"/>
      <c r="G183" s="356"/>
      <c r="H183" s="109"/>
      <c r="I183" s="109"/>
      <c r="J183" s="109"/>
      <c r="K183" s="109"/>
      <c r="L183" s="109"/>
      <c r="M183" s="109"/>
      <c r="N183" s="109"/>
      <c r="O183" s="109"/>
      <c r="P183" s="357"/>
      <c r="Q183" s="109"/>
      <c r="R183" s="109"/>
      <c r="S183" s="109"/>
      <c r="T183" s="109"/>
      <c r="U183" s="109"/>
      <c r="V183" s="109"/>
      <c r="W183" s="109"/>
      <c r="X183" s="109"/>
      <c r="Y183" s="109"/>
      <c r="Z183" s="109"/>
    </row>
    <row r="184">
      <c r="A184" s="109"/>
      <c r="B184" s="109"/>
      <c r="C184" s="109"/>
      <c r="D184" s="109"/>
      <c r="E184" s="109"/>
      <c r="F184" s="109"/>
      <c r="G184" s="356"/>
      <c r="H184" s="109"/>
      <c r="I184" s="109"/>
      <c r="J184" s="109"/>
      <c r="K184" s="109"/>
      <c r="L184" s="109"/>
      <c r="M184" s="109"/>
      <c r="N184" s="109"/>
      <c r="O184" s="109"/>
      <c r="P184" s="357"/>
      <c r="Q184" s="109"/>
      <c r="R184" s="109"/>
      <c r="S184" s="109"/>
      <c r="T184" s="109"/>
      <c r="U184" s="109"/>
      <c r="V184" s="109"/>
      <c r="W184" s="109"/>
      <c r="X184" s="109"/>
      <c r="Y184" s="109"/>
      <c r="Z184" s="109"/>
    </row>
    <row r="185">
      <c r="A185" s="109"/>
      <c r="B185" s="109"/>
      <c r="C185" s="109"/>
      <c r="D185" s="109"/>
      <c r="E185" s="109"/>
      <c r="F185" s="109"/>
      <c r="G185" s="356"/>
      <c r="H185" s="109"/>
      <c r="I185" s="109"/>
      <c r="J185" s="109"/>
      <c r="K185" s="109"/>
      <c r="L185" s="109"/>
      <c r="M185" s="109"/>
      <c r="N185" s="109"/>
      <c r="O185" s="109"/>
      <c r="P185" s="357"/>
      <c r="Q185" s="109"/>
      <c r="R185" s="109"/>
      <c r="S185" s="109"/>
      <c r="T185" s="109"/>
      <c r="U185" s="109"/>
      <c r="V185" s="109"/>
      <c r="W185" s="109"/>
      <c r="X185" s="109"/>
      <c r="Y185" s="109"/>
      <c r="Z185" s="109"/>
    </row>
    <row r="186">
      <c r="A186" s="109"/>
      <c r="B186" s="109"/>
      <c r="C186" s="109"/>
      <c r="D186" s="109"/>
      <c r="E186" s="109"/>
      <c r="F186" s="109"/>
      <c r="G186" s="356"/>
      <c r="H186" s="109"/>
      <c r="I186" s="109"/>
      <c r="J186" s="109"/>
      <c r="K186" s="109"/>
      <c r="L186" s="109"/>
      <c r="M186" s="109"/>
      <c r="N186" s="109"/>
      <c r="O186" s="109"/>
      <c r="P186" s="357"/>
      <c r="Q186" s="109"/>
      <c r="R186" s="109"/>
      <c r="S186" s="109"/>
      <c r="T186" s="109"/>
      <c r="U186" s="109"/>
      <c r="V186" s="109"/>
      <c r="W186" s="109"/>
      <c r="X186" s="109"/>
      <c r="Y186" s="109"/>
      <c r="Z186" s="109"/>
    </row>
    <row r="187">
      <c r="A187" s="109"/>
      <c r="B187" s="109"/>
      <c r="C187" s="109"/>
      <c r="D187" s="109"/>
      <c r="E187" s="109"/>
      <c r="F187" s="109"/>
      <c r="G187" s="356"/>
      <c r="H187" s="109"/>
      <c r="I187" s="109"/>
      <c r="J187" s="109"/>
      <c r="K187" s="109"/>
      <c r="L187" s="109"/>
      <c r="M187" s="109"/>
      <c r="N187" s="109"/>
      <c r="O187" s="109"/>
      <c r="P187" s="357"/>
      <c r="Q187" s="109"/>
      <c r="R187" s="109"/>
      <c r="S187" s="109"/>
      <c r="T187" s="109"/>
      <c r="U187" s="109"/>
      <c r="V187" s="109"/>
      <c r="W187" s="109"/>
      <c r="X187" s="109"/>
      <c r="Y187" s="109"/>
      <c r="Z187" s="109"/>
    </row>
    <row r="188">
      <c r="A188" s="109"/>
      <c r="B188" s="109"/>
      <c r="C188" s="109"/>
      <c r="D188" s="109"/>
      <c r="E188" s="109"/>
      <c r="F188" s="109"/>
      <c r="G188" s="356"/>
      <c r="H188" s="109"/>
      <c r="I188" s="109"/>
      <c r="J188" s="109"/>
      <c r="K188" s="109"/>
      <c r="L188" s="109"/>
      <c r="M188" s="109"/>
      <c r="N188" s="109"/>
      <c r="O188" s="109"/>
      <c r="P188" s="357"/>
      <c r="Q188" s="109"/>
      <c r="R188" s="109"/>
      <c r="S188" s="109"/>
      <c r="T188" s="109"/>
      <c r="U188" s="109"/>
      <c r="V188" s="109"/>
      <c r="W188" s="109"/>
      <c r="X188" s="109"/>
      <c r="Y188" s="109"/>
      <c r="Z188" s="109"/>
    </row>
    <row r="189">
      <c r="A189" s="109"/>
      <c r="B189" s="109"/>
      <c r="C189" s="109"/>
      <c r="D189" s="109"/>
      <c r="E189" s="109"/>
      <c r="F189" s="109"/>
      <c r="G189" s="356"/>
      <c r="H189" s="109"/>
      <c r="I189" s="109"/>
      <c r="J189" s="109"/>
      <c r="K189" s="109"/>
      <c r="L189" s="109"/>
      <c r="M189" s="109"/>
      <c r="N189" s="109"/>
      <c r="O189" s="109"/>
      <c r="P189" s="357"/>
      <c r="Q189" s="109"/>
      <c r="R189" s="109"/>
      <c r="S189" s="109"/>
      <c r="T189" s="109"/>
      <c r="U189" s="109"/>
      <c r="V189" s="109"/>
      <c r="W189" s="109"/>
      <c r="X189" s="109"/>
      <c r="Y189" s="109"/>
      <c r="Z189" s="109"/>
    </row>
    <row r="190">
      <c r="A190" s="109"/>
      <c r="B190" s="109"/>
      <c r="C190" s="109"/>
      <c r="D190" s="109"/>
      <c r="E190" s="109"/>
      <c r="F190" s="109"/>
      <c r="G190" s="356"/>
      <c r="H190" s="109"/>
      <c r="I190" s="109"/>
      <c r="J190" s="109"/>
      <c r="K190" s="109"/>
      <c r="L190" s="109"/>
      <c r="M190" s="109"/>
      <c r="N190" s="109"/>
      <c r="O190" s="109"/>
      <c r="P190" s="357"/>
      <c r="Q190" s="109"/>
      <c r="R190" s="109"/>
      <c r="S190" s="109"/>
      <c r="T190" s="109"/>
      <c r="U190" s="109"/>
      <c r="V190" s="109"/>
      <c r="W190" s="109"/>
      <c r="X190" s="109"/>
      <c r="Y190" s="109"/>
      <c r="Z190" s="109"/>
    </row>
    <row r="191">
      <c r="A191" s="109"/>
      <c r="B191" s="109"/>
      <c r="C191" s="109"/>
      <c r="D191" s="109"/>
      <c r="E191" s="109"/>
      <c r="F191" s="109"/>
      <c r="G191" s="356"/>
      <c r="H191" s="109"/>
      <c r="I191" s="109"/>
      <c r="J191" s="109"/>
      <c r="K191" s="109"/>
      <c r="L191" s="109"/>
      <c r="M191" s="109"/>
      <c r="N191" s="109"/>
      <c r="O191" s="109"/>
      <c r="P191" s="357"/>
      <c r="Q191" s="109"/>
      <c r="R191" s="109"/>
      <c r="S191" s="109"/>
      <c r="T191" s="109"/>
      <c r="U191" s="109"/>
      <c r="V191" s="109"/>
      <c r="W191" s="109"/>
      <c r="X191" s="109"/>
      <c r="Y191" s="109"/>
      <c r="Z191" s="109"/>
    </row>
    <row r="192">
      <c r="A192" s="109"/>
      <c r="B192" s="109"/>
      <c r="C192" s="109"/>
      <c r="D192" s="109"/>
      <c r="E192" s="109"/>
      <c r="F192" s="109"/>
      <c r="G192" s="356"/>
      <c r="H192" s="109"/>
      <c r="I192" s="109"/>
      <c r="J192" s="109"/>
      <c r="K192" s="109"/>
      <c r="L192" s="109"/>
      <c r="M192" s="109"/>
      <c r="N192" s="109"/>
      <c r="O192" s="109"/>
      <c r="P192" s="357"/>
      <c r="Q192" s="109"/>
      <c r="R192" s="109"/>
      <c r="S192" s="109"/>
      <c r="T192" s="109"/>
      <c r="U192" s="109"/>
      <c r="V192" s="109"/>
      <c r="W192" s="109"/>
      <c r="X192" s="109"/>
      <c r="Y192" s="109"/>
      <c r="Z192" s="109"/>
    </row>
    <row r="193">
      <c r="A193" s="109"/>
      <c r="B193" s="109"/>
      <c r="C193" s="109"/>
      <c r="D193" s="109"/>
      <c r="E193" s="109"/>
      <c r="F193" s="109"/>
      <c r="G193" s="356"/>
      <c r="H193" s="109"/>
      <c r="I193" s="109"/>
      <c r="J193" s="109"/>
      <c r="K193" s="109"/>
      <c r="L193" s="109"/>
      <c r="M193" s="109"/>
      <c r="N193" s="109"/>
      <c r="O193" s="109"/>
      <c r="P193" s="357"/>
      <c r="Q193" s="109"/>
      <c r="R193" s="109"/>
      <c r="S193" s="109"/>
      <c r="T193" s="109"/>
      <c r="U193" s="109"/>
      <c r="V193" s="109"/>
      <c r="W193" s="109"/>
      <c r="X193" s="109"/>
      <c r="Y193" s="109"/>
      <c r="Z193" s="109"/>
    </row>
    <row r="194">
      <c r="A194" s="109"/>
      <c r="B194" s="109"/>
      <c r="C194" s="109"/>
      <c r="D194" s="109"/>
      <c r="E194" s="109"/>
      <c r="F194" s="109"/>
      <c r="G194" s="356"/>
      <c r="H194" s="109"/>
      <c r="I194" s="109"/>
      <c r="J194" s="109"/>
      <c r="K194" s="109"/>
      <c r="L194" s="109"/>
      <c r="M194" s="109"/>
      <c r="N194" s="109"/>
      <c r="O194" s="109"/>
      <c r="P194" s="357"/>
      <c r="Q194" s="109"/>
      <c r="R194" s="109"/>
      <c r="S194" s="109"/>
      <c r="T194" s="109"/>
      <c r="U194" s="109"/>
      <c r="V194" s="109"/>
      <c r="W194" s="109"/>
      <c r="X194" s="109"/>
      <c r="Y194" s="109"/>
      <c r="Z194" s="109"/>
    </row>
    <row r="195">
      <c r="A195" s="109"/>
      <c r="B195" s="109"/>
      <c r="C195" s="109"/>
      <c r="D195" s="109"/>
      <c r="E195" s="109"/>
      <c r="F195" s="109"/>
      <c r="G195" s="356"/>
      <c r="H195" s="109"/>
      <c r="I195" s="109"/>
      <c r="J195" s="109"/>
      <c r="K195" s="109"/>
      <c r="L195" s="109"/>
      <c r="M195" s="109"/>
      <c r="N195" s="109"/>
      <c r="O195" s="109"/>
      <c r="P195" s="357"/>
      <c r="Q195" s="109"/>
      <c r="R195" s="109"/>
      <c r="S195" s="109"/>
      <c r="T195" s="109"/>
      <c r="U195" s="109"/>
      <c r="V195" s="109"/>
      <c r="W195" s="109"/>
      <c r="X195" s="109"/>
      <c r="Y195" s="109"/>
      <c r="Z195" s="109"/>
    </row>
    <row r="196">
      <c r="A196" s="109"/>
      <c r="B196" s="109"/>
      <c r="C196" s="109"/>
      <c r="D196" s="109"/>
      <c r="E196" s="109"/>
      <c r="F196" s="109"/>
      <c r="G196" s="356"/>
      <c r="H196" s="109"/>
      <c r="I196" s="109"/>
      <c r="J196" s="109"/>
      <c r="K196" s="109"/>
      <c r="L196" s="109"/>
      <c r="M196" s="109"/>
      <c r="N196" s="109"/>
      <c r="O196" s="109"/>
      <c r="P196" s="357"/>
      <c r="Q196" s="109"/>
      <c r="R196" s="109"/>
      <c r="S196" s="109"/>
      <c r="T196" s="109"/>
      <c r="U196" s="109"/>
      <c r="V196" s="109"/>
      <c r="W196" s="109"/>
      <c r="X196" s="109"/>
      <c r="Y196" s="109"/>
      <c r="Z196" s="109"/>
    </row>
    <row r="197">
      <c r="A197" s="109"/>
      <c r="B197" s="109"/>
      <c r="C197" s="109"/>
      <c r="D197" s="109"/>
      <c r="E197" s="109"/>
      <c r="F197" s="109"/>
      <c r="G197" s="356"/>
      <c r="H197" s="109"/>
      <c r="I197" s="109"/>
      <c r="J197" s="109"/>
      <c r="K197" s="109"/>
      <c r="L197" s="109"/>
      <c r="M197" s="109"/>
      <c r="N197" s="109"/>
      <c r="O197" s="109"/>
      <c r="P197" s="357"/>
      <c r="Q197" s="109"/>
      <c r="R197" s="109"/>
      <c r="S197" s="109"/>
      <c r="T197" s="109"/>
      <c r="U197" s="109"/>
      <c r="V197" s="109"/>
      <c r="W197" s="109"/>
      <c r="X197" s="109"/>
      <c r="Y197" s="109"/>
      <c r="Z197" s="109"/>
    </row>
    <row r="198">
      <c r="A198" s="109"/>
      <c r="B198" s="109"/>
      <c r="C198" s="109"/>
      <c r="D198" s="109"/>
      <c r="E198" s="109"/>
      <c r="F198" s="109"/>
      <c r="G198" s="356"/>
      <c r="H198" s="109"/>
      <c r="I198" s="109"/>
      <c r="J198" s="109"/>
      <c r="K198" s="109"/>
      <c r="L198" s="109"/>
      <c r="M198" s="109"/>
      <c r="N198" s="109"/>
      <c r="O198" s="109"/>
      <c r="P198" s="357"/>
      <c r="Q198" s="109"/>
      <c r="R198" s="109"/>
      <c r="S198" s="109"/>
      <c r="T198" s="109"/>
      <c r="U198" s="109"/>
      <c r="V198" s="109"/>
      <c r="W198" s="109"/>
      <c r="X198" s="109"/>
      <c r="Y198" s="109"/>
      <c r="Z198" s="109"/>
    </row>
    <row r="199">
      <c r="A199" s="109"/>
      <c r="B199" s="109"/>
      <c r="C199" s="109"/>
      <c r="D199" s="109"/>
      <c r="E199" s="109"/>
      <c r="F199" s="109"/>
      <c r="G199" s="356"/>
      <c r="H199" s="109"/>
      <c r="I199" s="109"/>
      <c r="J199" s="109"/>
      <c r="K199" s="109"/>
      <c r="L199" s="109"/>
      <c r="M199" s="109"/>
      <c r="N199" s="109"/>
      <c r="O199" s="109"/>
      <c r="P199" s="357"/>
      <c r="Q199" s="109"/>
      <c r="R199" s="109"/>
      <c r="S199" s="109"/>
      <c r="T199" s="109"/>
      <c r="U199" s="109"/>
      <c r="V199" s="109"/>
      <c r="W199" s="109"/>
      <c r="X199" s="109"/>
      <c r="Y199" s="109"/>
      <c r="Z199" s="109"/>
    </row>
    <row r="200">
      <c r="A200" s="109"/>
      <c r="B200" s="109"/>
      <c r="C200" s="109"/>
      <c r="D200" s="109"/>
      <c r="E200" s="109"/>
      <c r="F200" s="109"/>
      <c r="G200" s="356"/>
      <c r="H200" s="109"/>
      <c r="I200" s="109"/>
      <c r="J200" s="109"/>
      <c r="K200" s="109"/>
      <c r="L200" s="109"/>
      <c r="M200" s="109"/>
      <c r="N200" s="109"/>
      <c r="O200" s="109"/>
      <c r="P200" s="357"/>
      <c r="Q200" s="109"/>
      <c r="R200" s="109"/>
      <c r="S200" s="109"/>
      <c r="T200" s="109"/>
      <c r="U200" s="109"/>
      <c r="V200" s="109"/>
      <c r="W200" s="109"/>
      <c r="X200" s="109"/>
      <c r="Y200" s="109"/>
      <c r="Z200" s="109"/>
    </row>
    <row r="201">
      <c r="A201" s="109"/>
      <c r="B201" s="109"/>
      <c r="C201" s="109"/>
      <c r="D201" s="109"/>
      <c r="E201" s="109"/>
      <c r="F201" s="109"/>
      <c r="G201" s="356"/>
      <c r="H201" s="109"/>
      <c r="I201" s="109"/>
      <c r="J201" s="109"/>
      <c r="K201" s="109"/>
      <c r="L201" s="109"/>
      <c r="M201" s="109"/>
      <c r="N201" s="109"/>
      <c r="O201" s="109"/>
      <c r="P201" s="357"/>
      <c r="Q201" s="109"/>
      <c r="R201" s="109"/>
      <c r="S201" s="109"/>
      <c r="T201" s="109"/>
      <c r="U201" s="109"/>
      <c r="V201" s="109"/>
      <c r="W201" s="109"/>
      <c r="X201" s="109"/>
      <c r="Y201" s="109"/>
      <c r="Z201" s="109"/>
    </row>
    <row r="202">
      <c r="A202" s="109"/>
      <c r="B202" s="109"/>
      <c r="C202" s="109"/>
      <c r="D202" s="109"/>
      <c r="E202" s="109"/>
      <c r="F202" s="109"/>
      <c r="G202" s="356"/>
      <c r="H202" s="109"/>
      <c r="I202" s="109"/>
      <c r="J202" s="109"/>
      <c r="K202" s="109"/>
      <c r="L202" s="109"/>
      <c r="M202" s="109"/>
      <c r="N202" s="109"/>
      <c r="O202" s="109"/>
      <c r="P202" s="357"/>
      <c r="Q202" s="109"/>
      <c r="R202" s="109"/>
      <c r="S202" s="109"/>
      <c r="T202" s="109"/>
      <c r="U202" s="109"/>
      <c r="V202" s="109"/>
      <c r="W202" s="109"/>
      <c r="X202" s="109"/>
      <c r="Y202" s="109"/>
      <c r="Z202" s="109"/>
    </row>
    <row r="203">
      <c r="A203" s="109"/>
      <c r="B203" s="109"/>
      <c r="C203" s="109"/>
      <c r="D203" s="109"/>
      <c r="E203" s="109"/>
      <c r="F203" s="109"/>
      <c r="G203" s="356"/>
      <c r="H203" s="109"/>
      <c r="I203" s="109"/>
      <c r="J203" s="109"/>
      <c r="K203" s="109"/>
      <c r="L203" s="109"/>
      <c r="M203" s="109"/>
      <c r="N203" s="109"/>
      <c r="O203" s="109"/>
      <c r="P203" s="357"/>
      <c r="Q203" s="109"/>
      <c r="R203" s="109"/>
      <c r="S203" s="109"/>
      <c r="T203" s="109"/>
      <c r="U203" s="109"/>
      <c r="V203" s="109"/>
      <c r="W203" s="109"/>
      <c r="X203" s="109"/>
      <c r="Y203" s="109"/>
      <c r="Z203" s="109"/>
    </row>
    <row r="204">
      <c r="A204" s="109"/>
      <c r="B204" s="109"/>
      <c r="C204" s="109"/>
      <c r="D204" s="109"/>
      <c r="E204" s="109"/>
      <c r="F204" s="109"/>
      <c r="G204" s="356"/>
      <c r="H204" s="109"/>
      <c r="I204" s="109"/>
      <c r="J204" s="109"/>
      <c r="K204" s="109"/>
      <c r="L204" s="109"/>
      <c r="M204" s="109"/>
      <c r="N204" s="109"/>
      <c r="O204" s="109"/>
      <c r="P204" s="357"/>
      <c r="Q204" s="109"/>
      <c r="R204" s="109"/>
      <c r="S204" s="109"/>
      <c r="T204" s="109"/>
      <c r="U204" s="109"/>
      <c r="V204" s="109"/>
      <c r="W204" s="109"/>
      <c r="X204" s="109"/>
      <c r="Y204" s="109"/>
      <c r="Z204" s="109"/>
    </row>
    <row r="205">
      <c r="A205" s="109"/>
      <c r="B205" s="109"/>
      <c r="C205" s="109"/>
      <c r="D205" s="109"/>
      <c r="E205" s="109"/>
      <c r="F205" s="109"/>
      <c r="G205" s="356"/>
      <c r="H205" s="109"/>
      <c r="I205" s="109"/>
      <c r="J205" s="109"/>
      <c r="K205" s="109"/>
      <c r="L205" s="109"/>
      <c r="M205" s="109"/>
      <c r="N205" s="109"/>
      <c r="O205" s="109"/>
      <c r="P205" s="357"/>
      <c r="Q205" s="109"/>
      <c r="R205" s="109"/>
      <c r="S205" s="109"/>
      <c r="T205" s="109"/>
      <c r="U205" s="109"/>
      <c r="V205" s="109"/>
      <c r="W205" s="109"/>
      <c r="X205" s="109"/>
      <c r="Y205" s="109"/>
      <c r="Z205" s="109"/>
    </row>
    <row r="206">
      <c r="A206" s="109"/>
      <c r="B206" s="109"/>
      <c r="C206" s="109"/>
      <c r="D206" s="109"/>
      <c r="E206" s="109"/>
      <c r="F206" s="109"/>
      <c r="G206" s="356"/>
      <c r="H206" s="109"/>
      <c r="I206" s="109"/>
      <c r="J206" s="109"/>
      <c r="K206" s="109"/>
      <c r="L206" s="109"/>
      <c r="M206" s="109"/>
      <c r="N206" s="109"/>
      <c r="O206" s="109"/>
      <c r="P206" s="357"/>
      <c r="Q206" s="109"/>
      <c r="R206" s="109"/>
      <c r="S206" s="109"/>
      <c r="T206" s="109"/>
      <c r="U206" s="109"/>
      <c r="V206" s="109"/>
      <c r="W206" s="109"/>
      <c r="X206" s="109"/>
      <c r="Y206" s="109"/>
      <c r="Z206" s="109"/>
    </row>
    <row r="207">
      <c r="A207" s="109"/>
      <c r="B207" s="109"/>
      <c r="C207" s="109"/>
      <c r="D207" s="109"/>
      <c r="E207" s="109"/>
      <c r="F207" s="109"/>
      <c r="G207" s="356"/>
      <c r="H207" s="109"/>
      <c r="I207" s="109"/>
      <c r="J207" s="109"/>
      <c r="K207" s="109"/>
      <c r="L207" s="109"/>
      <c r="M207" s="109"/>
      <c r="N207" s="109"/>
      <c r="O207" s="109"/>
      <c r="P207" s="357"/>
      <c r="Q207" s="109"/>
      <c r="R207" s="109"/>
      <c r="S207" s="109"/>
      <c r="T207" s="109"/>
      <c r="U207" s="109"/>
      <c r="V207" s="109"/>
      <c r="W207" s="109"/>
      <c r="X207" s="109"/>
      <c r="Y207" s="109"/>
      <c r="Z207" s="109"/>
    </row>
    <row r="208">
      <c r="A208" s="109"/>
      <c r="B208" s="109"/>
      <c r="C208" s="109"/>
      <c r="D208" s="109"/>
      <c r="E208" s="109"/>
      <c r="F208" s="109"/>
      <c r="G208" s="356"/>
      <c r="H208" s="109"/>
      <c r="I208" s="109"/>
      <c r="J208" s="109"/>
      <c r="K208" s="109"/>
      <c r="L208" s="109"/>
      <c r="M208" s="109"/>
      <c r="N208" s="109"/>
      <c r="O208" s="109"/>
      <c r="P208" s="357"/>
      <c r="Q208" s="109"/>
      <c r="R208" s="109"/>
      <c r="S208" s="109"/>
      <c r="T208" s="109"/>
      <c r="U208" s="109"/>
      <c r="V208" s="109"/>
      <c r="W208" s="109"/>
      <c r="X208" s="109"/>
      <c r="Y208" s="109"/>
      <c r="Z208" s="109"/>
    </row>
    <row r="209">
      <c r="A209" s="109"/>
      <c r="B209" s="109"/>
      <c r="C209" s="109"/>
      <c r="D209" s="109"/>
      <c r="E209" s="109"/>
      <c r="F209" s="109"/>
      <c r="G209" s="356"/>
      <c r="H209" s="109"/>
      <c r="I209" s="109"/>
      <c r="J209" s="109"/>
      <c r="K209" s="109"/>
      <c r="L209" s="109"/>
      <c r="M209" s="109"/>
      <c r="N209" s="109"/>
      <c r="O209" s="109"/>
      <c r="P209" s="357"/>
      <c r="Q209" s="109"/>
      <c r="R209" s="109"/>
      <c r="S209" s="109"/>
      <c r="T209" s="109"/>
      <c r="U209" s="109"/>
      <c r="V209" s="109"/>
      <c r="W209" s="109"/>
      <c r="X209" s="109"/>
      <c r="Y209" s="109"/>
      <c r="Z209" s="109"/>
    </row>
    <row r="210">
      <c r="A210" s="109"/>
      <c r="B210" s="109"/>
      <c r="C210" s="109"/>
      <c r="D210" s="109"/>
      <c r="E210" s="109"/>
      <c r="F210" s="109"/>
      <c r="G210" s="356"/>
      <c r="H210" s="109"/>
      <c r="I210" s="109"/>
      <c r="J210" s="109"/>
      <c r="K210" s="109"/>
      <c r="L210" s="109"/>
      <c r="M210" s="109"/>
      <c r="N210" s="109"/>
      <c r="O210" s="109"/>
      <c r="P210" s="357"/>
      <c r="Q210" s="109"/>
      <c r="R210" s="109"/>
      <c r="S210" s="109"/>
      <c r="T210" s="109"/>
      <c r="U210" s="109"/>
      <c r="V210" s="109"/>
      <c r="W210" s="109"/>
      <c r="X210" s="109"/>
      <c r="Y210" s="109"/>
      <c r="Z210" s="109"/>
    </row>
    <row r="211">
      <c r="A211" s="109"/>
      <c r="B211" s="109"/>
      <c r="C211" s="109"/>
      <c r="D211" s="109"/>
      <c r="E211" s="109"/>
      <c r="F211" s="109"/>
      <c r="G211" s="356"/>
      <c r="H211" s="109"/>
      <c r="I211" s="109"/>
      <c r="J211" s="109"/>
      <c r="K211" s="109"/>
      <c r="L211" s="109"/>
      <c r="M211" s="109"/>
      <c r="N211" s="109"/>
      <c r="O211" s="109"/>
      <c r="P211" s="357"/>
      <c r="Q211" s="109"/>
      <c r="R211" s="109"/>
      <c r="S211" s="109"/>
      <c r="T211" s="109"/>
      <c r="U211" s="109"/>
      <c r="V211" s="109"/>
      <c r="W211" s="109"/>
      <c r="X211" s="109"/>
      <c r="Y211" s="109"/>
      <c r="Z211" s="109"/>
    </row>
    <row r="212">
      <c r="A212" s="109"/>
      <c r="B212" s="109"/>
      <c r="C212" s="109"/>
      <c r="D212" s="109"/>
      <c r="E212" s="109"/>
      <c r="F212" s="109"/>
      <c r="G212" s="356"/>
      <c r="H212" s="109"/>
      <c r="I212" s="109"/>
      <c r="J212" s="109"/>
      <c r="K212" s="109"/>
      <c r="L212" s="109"/>
      <c r="M212" s="109"/>
      <c r="N212" s="109"/>
      <c r="O212" s="109"/>
      <c r="P212" s="357"/>
      <c r="Q212" s="109"/>
      <c r="R212" s="109"/>
      <c r="S212" s="109"/>
      <c r="T212" s="109"/>
      <c r="U212" s="109"/>
      <c r="V212" s="109"/>
      <c r="W212" s="109"/>
      <c r="X212" s="109"/>
      <c r="Y212" s="109"/>
      <c r="Z212" s="109"/>
    </row>
    <row r="213">
      <c r="A213" s="109"/>
      <c r="B213" s="109"/>
      <c r="C213" s="109"/>
      <c r="D213" s="109"/>
      <c r="E213" s="109"/>
      <c r="F213" s="109"/>
      <c r="G213" s="356"/>
      <c r="H213" s="109"/>
      <c r="I213" s="109"/>
      <c r="J213" s="109"/>
      <c r="K213" s="109"/>
      <c r="L213" s="109"/>
      <c r="M213" s="109"/>
      <c r="N213" s="109"/>
      <c r="O213" s="109"/>
      <c r="P213" s="357"/>
      <c r="Q213" s="109"/>
      <c r="R213" s="109"/>
      <c r="S213" s="109"/>
      <c r="T213" s="109"/>
      <c r="U213" s="109"/>
      <c r="V213" s="109"/>
      <c r="W213" s="109"/>
      <c r="X213" s="109"/>
      <c r="Y213" s="109"/>
      <c r="Z213" s="109"/>
    </row>
    <row r="214">
      <c r="A214" s="109"/>
      <c r="B214" s="109"/>
      <c r="C214" s="109"/>
      <c r="D214" s="109"/>
      <c r="E214" s="109"/>
      <c r="F214" s="109"/>
      <c r="G214" s="356"/>
      <c r="H214" s="109"/>
      <c r="I214" s="109"/>
      <c r="J214" s="109"/>
      <c r="K214" s="109"/>
      <c r="L214" s="109"/>
      <c r="M214" s="109"/>
      <c r="N214" s="109"/>
      <c r="O214" s="109"/>
      <c r="P214" s="357"/>
      <c r="Q214" s="109"/>
      <c r="R214" s="109"/>
      <c r="S214" s="109"/>
      <c r="T214" s="109"/>
      <c r="U214" s="109"/>
      <c r="V214" s="109"/>
      <c r="W214" s="109"/>
      <c r="X214" s="109"/>
      <c r="Y214" s="109"/>
      <c r="Z214" s="109"/>
    </row>
    <row r="215">
      <c r="A215" s="109"/>
      <c r="B215" s="109"/>
      <c r="C215" s="109"/>
      <c r="D215" s="109"/>
      <c r="E215" s="109"/>
      <c r="F215" s="109"/>
      <c r="G215" s="356"/>
      <c r="H215" s="109"/>
      <c r="I215" s="109"/>
      <c r="J215" s="109"/>
      <c r="K215" s="109"/>
      <c r="L215" s="109"/>
      <c r="M215" s="109"/>
      <c r="N215" s="109"/>
      <c r="O215" s="109"/>
      <c r="P215" s="357"/>
      <c r="Q215" s="109"/>
      <c r="R215" s="109"/>
      <c r="S215" s="109"/>
      <c r="T215" s="109"/>
      <c r="U215" s="109"/>
      <c r="V215" s="109"/>
      <c r="W215" s="109"/>
      <c r="X215" s="109"/>
      <c r="Y215" s="109"/>
      <c r="Z215" s="109"/>
    </row>
    <row r="216">
      <c r="A216" s="109"/>
      <c r="B216" s="109"/>
      <c r="C216" s="109"/>
      <c r="D216" s="109"/>
      <c r="E216" s="109"/>
      <c r="F216" s="109"/>
      <c r="G216" s="356"/>
      <c r="H216" s="109"/>
      <c r="I216" s="109"/>
      <c r="J216" s="109"/>
      <c r="K216" s="109"/>
      <c r="L216" s="109"/>
      <c r="M216" s="109"/>
      <c r="N216" s="109"/>
      <c r="O216" s="109"/>
      <c r="P216" s="357"/>
      <c r="Q216" s="109"/>
      <c r="R216" s="109"/>
      <c r="S216" s="109"/>
      <c r="T216" s="109"/>
      <c r="U216" s="109"/>
      <c r="V216" s="109"/>
      <c r="W216" s="109"/>
      <c r="X216" s="109"/>
      <c r="Y216" s="109"/>
      <c r="Z216" s="109"/>
    </row>
    <row r="217">
      <c r="A217" s="109"/>
      <c r="B217" s="109"/>
      <c r="C217" s="109"/>
      <c r="D217" s="109"/>
      <c r="E217" s="109"/>
      <c r="F217" s="109"/>
      <c r="G217" s="356"/>
      <c r="H217" s="109"/>
      <c r="I217" s="109"/>
      <c r="J217" s="109"/>
      <c r="K217" s="109"/>
      <c r="L217" s="109"/>
      <c r="M217" s="109"/>
      <c r="N217" s="109"/>
      <c r="O217" s="109"/>
      <c r="P217" s="357"/>
      <c r="Q217" s="109"/>
      <c r="R217" s="109"/>
      <c r="S217" s="109"/>
      <c r="T217" s="109"/>
      <c r="U217" s="109"/>
      <c r="V217" s="109"/>
      <c r="W217" s="109"/>
      <c r="X217" s="109"/>
      <c r="Y217" s="109"/>
      <c r="Z217" s="109"/>
    </row>
    <row r="218">
      <c r="A218" s="109"/>
      <c r="B218" s="109"/>
      <c r="C218" s="109"/>
      <c r="D218" s="109"/>
      <c r="E218" s="109"/>
      <c r="F218" s="109"/>
      <c r="G218" s="356"/>
      <c r="H218" s="109"/>
      <c r="I218" s="109"/>
      <c r="J218" s="109"/>
      <c r="K218" s="109"/>
      <c r="L218" s="109"/>
      <c r="M218" s="109"/>
      <c r="N218" s="109"/>
      <c r="O218" s="109"/>
      <c r="P218" s="357"/>
      <c r="Q218" s="109"/>
      <c r="R218" s="109"/>
      <c r="S218" s="109"/>
      <c r="T218" s="109"/>
      <c r="U218" s="109"/>
      <c r="V218" s="109"/>
      <c r="W218" s="109"/>
      <c r="X218" s="109"/>
      <c r="Y218" s="109"/>
      <c r="Z218" s="109"/>
    </row>
    <row r="219">
      <c r="A219" s="109"/>
      <c r="B219" s="109"/>
      <c r="C219" s="109"/>
      <c r="D219" s="109"/>
      <c r="E219" s="109"/>
      <c r="F219" s="109"/>
      <c r="G219" s="356"/>
      <c r="H219" s="109"/>
      <c r="I219" s="109"/>
      <c r="J219" s="109"/>
      <c r="K219" s="109"/>
      <c r="L219" s="109"/>
      <c r="M219" s="109"/>
      <c r="N219" s="109"/>
      <c r="O219" s="109"/>
      <c r="P219" s="357"/>
      <c r="Q219" s="109"/>
      <c r="R219" s="109"/>
      <c r="S219" s="109"/>
      <c r="T219" s="109"/>
      <c r="U219" s="109"/>
      <c r="V219" s="109"/>
      <c r="W219" s="109"/>
      <c r="X219" s="109"/>
      <c r="Y219" s="109"/>
      <c r="Z219" s="109"/>
    </row>
    <row r="220">
      <c r="A220" s="109"/>
      <c r="B220" s="109"/>
      <c r="C220" s="109"/>
      <c r="D220" s="109"/>
      <c r="E220" s="109"/>
      <c r="F220" s="109"/>
      <c r="G220" s="356"/>
      <c r="H220" s="109"/>
      <c r="I220" s="109"/>
      <c r="J220" s="109"/>
      <c r="K220" s="109"/>
      <c r="L220" s="109"/>
      <c r="M220" s="109"/>
      <c r="N220" s="109"/>
      <c r="O220" s="109"/>
      <c r="P220" s="357"/>
      <c r="Q220" s="109"/>
      <c r="R220" s="109"/>
      <c r="S220" s="109"/>
      <c r="T220" s="109"/>
      <c r="U220" s="109"/>
      <c r="V220" s="109"/>
      <c r="W220" s="109"/>
      <c r="X220" s="109"/>
      <c r="Y220" s="109"/>
      <c r="Z220" s="109"/>
    </row>
    <row r="221">
      <c r="A221" s="109"/>
      <c r="B221" s="109"/>
      <c r="C221" s="109"/>
      <c r="D221" s="109"/>
      <c r="E221" s="109"/>
      <c r="F221" s="109"/>
      <c r="G221" s="356"/>
      <c r="H221" s="109"/>
      <c r="I221" s="109"/>
      <c r="J221" s="109"/>
      <c r="K221" s="109"/>
      <c r="L221" s="109"/>
      <c r="M221" s="109"/>
      <c r="N221" s="109"/>
      <c r="O221" s="109"/>
      <c r="P221" s="357"/>
      <c r="Q221" s="109"/>
      <c r="R221" s="109"/>
      <c r="S221" s="109"/>
      <c r="T221" s="109"/>
      <c r="U221" s="109"/>
      <c r="V221" s="109"/>
      <c r="W221" s="109"/>
      <c r="X221" s="109"/>
      <c r="Y221" s="109"/>
      <c r="Z221" s="109"/>
    </row>
    <row r="222">
      <c r="A222" s="109"/>
      <c r="B222" s="109"/>
      <c r="C222" s="109"/>
      <c r="D222" s="109"/>
      <c r="E222" s="109"/>
      <c r="F222" s="109"/>
      <c r="G222" s="356"/>
      <c r="H222" s="109"/>
      <c r="I222" s="109"/>
      <c r="J222" s="109"/>
      <c r="K222" s="109"/>
      <c r="L222" s="109"/>
      <c r="M222" s="109"/>
      <c r="N222" s="109"/>
      <c r="O222" s="109"/>
      <c r="P222" s="357"/>
      <c r="Q222" s="109"/>
      <c r="R222" s="109"/>
      <c r="S222" s="109"/>
      <c r="T222" s="109"/>
      <c r="U222" s="109"/>
      <c r="V222" s="109"/>
      <c r="W222" s="109"/>
      <c r="X222" s="109"/>
      <c r="Y222" s="109"/>
      <c r="Z222" s="109"/>
    </row>
    <row r="223">
      <c r="A223" s="109"/>
      <c r="B223" s="109"/>
      <c r="C223" s="109"/>
      <c r="D223" s="109"/>
      <c r="E223" s="109"/>
      <c r="F223" s="109"/>
      <c r="G223" s="356"/>
      <c r="H223" s="109"/>
      <c r="I223" s="109"/>
      <c r="J223" s="109"/>
      <c r="K223" s="109"/>
      <c r="L223" s="109"/>
      <c r="M223" s="109"/>
      <c r="N223" s="109"/>
      <c r="O223" s="109"/>
      <c r="P223" s="357"/>
      <c r="Q223" s="109"/>
      <c r="R223" s="109"/>
      <c r="S223" s="109"/>
      <c r="T223" s="109"/>
      <c r="U223" s="109"/>
      <c r="V223" s="109"/>
      <c r="W223" s="109"/>
      <c r="X223" s="109"/>
      <c r="Y223" s="109"/>
      <c r="Z223" s="109"/>
    </row>
    <row r="224">
      <c r="A224" s="109"/>
      <c r="B224" s="109"/>
      <c r="C224" s="109"/>
      <c r="D224" s="109"/>
      <c r="E224" s="109"/>
      <c r="F224" s="109"/>
      <c r="G224" s="356"/>
      <c r="H224" s="109"/>
      <c r="I224" s="109"/>
      <c r="J224" s="109"/>
      <c r="K224" s="109"/>
      <c r="L224" s="109"/>
      <c r="M224" s="109"/>
      <c r="N224" s="109"/>
      <c r="O224" s="109"/>
      <c r="P224" s="357"/>
      <c r="Q224" s="109"/>
      <c r="R224" s="109"/>
      <c r="S224" s="109"/>
      <c r="T224" s="109"/>
      <c r="U224" s="109"/>
      <c r="V224" s="109"/>
      <c r="W224" s="109"/>
      <c r="X224" s="109"/>
      <c r="Y224" s="109"/>
      <c r="Z224" s="109"/>
    </row>
    <row r="225">
      <c r="A225" s="109"/>
      <c r="B225" s="109"/>
      <c r="C225" s="109"/>
      <c r="D225" s="109"/>
      <c r="E225" s="109"/>
      <c r="F225" s="109"/>
      <c r="G225" s="356"/>
      <c r="H225" s="109"/>
      <c r="I225" s="109"/>
      <c r="J225" s="109"/>
      <c r="K225" s="109"/>
      <c r="L225" s="109"/>
      <c r="M225" s="109"/>
      <c r="N225" s="109"/>
      <c r="O225" s="109"/>
      <c r="P225" s="357"/>
      <c r="Q225" s="109"/>
      <c r="R225" s="109"/>
      <c r="S225" s="109"/>
      <c r="T225" s="109"/>
      <c r="U225" s="109"/>
      <c r="V225" s="109"/>
      <c r="W225" s="109"/>
      <c r="X225" s="109"/>
      <c r="Y225" s="109"/>
      <c r="Z225" s="109"/>
    </row>
    <row r="226">
      <c r="A226" s="109"/>
      <c r="B226" s="109"/>
      <c r="C226" s="109"/>
      <c r="D226" s="109"/>
      <c r="E226" s="109"/>
      <c r="F226" s="109"/>
      <c r="G226" s="356"/>
      <c r="H226" s="109"/>
      <c r="I226" s="109"/>
      <c r="J226" s="109"/>
      <c r="K226" s="109"/>
      <c r="L226" s="109"/>
      <c r="M226" s="109"/>
      <c r="N226" s="109"/>
      <c r="O226" s="109"/>
      <c r="P226" s="357"/>
      <c r="Q226" s="109"/>
      <c r="R226" s="109"/>
      <c r="S226" s="109"/>
      <c r="T226" s="109"/>
      <c r="U226" s="109"/>
      <c r="V226" s="109"/>
      <c r="W226" s="109"/>
      <c r="X226" s="109"/>
      <c r="Y226" s="109"/>
      <c r="Z226" s="109"/>
    </row>
    <row r="227">
      <c r="A227" s="109"/>
      <c r="B227" s="109"/>
      <c r="C227" s="109"/>
      <c r="D227" s="109"/>
      <c r="E227" s="109"/>
      <c r="F227" s="109"/>
      <c r="G227" s="356"/>
      <c r="H227" s="109"/>
      <c r="I227" s="109"/>
      <c r="J227" s="109"/>
      <c r="K227" s="109"/>
      <c r="L227" s="109"/>
      <c r="M227" s="109"/>
      <c r="N227" s="109"/>
      <c r="O227" s="109"/>
      <c r="P227" s="357"/>
      <c r="Q227" s="109"/>
      <c r="R227" s="109"/>
      <c r="S227" s="109"/>
      <c r="T227" s="109"/>
      <c r="U227" s="109"/>
      <c r="V227" s="109"/>
      <c r="W227" s="109"/>
      <c r="X227" s="109"/>
      <c r="Y227" s="109"/>
      <c r="Z227" s="109"/>
    </row>
    <row r="228">
      <c r="A228" s="109"/>
      <c r="B228" s="109"/>
      <c r="C228" s="109"/>
      <c r="D228" s="109"/>
      <c r="E228" s="109"/>
      <c r="F228" s="109"/>
      <c r="G228" s="356"/>
      <c r="H228" s="109"/>
      <c r="I228" s="109"/>
      <c r="J228" s="109"/>
      <c r="K228" s="109"/>
      <c r="L228" s="109"/>
      <c r="M228" s="109"/>
      <c r="N228" s="109"/>
      <c r="O228" s="109"/>
      <c r="P228" s="357"/>
      <c r="Q228" s="109"/>
      <c r="R228" s="109"/>
      <c r="S228" s="109"/>
      <c r="T228" s="109"/>
      <c r="U228" s="109"/>
      <c r="V228" s="109"/>
      <c r="W228" s="109"/>
      <c r="X228" s="109"/>
      <c r="Y228" s="109"/>
      <c r="Z228" s="109"/>
    </row>
    <row r="229">
      <c r="A229" s="109"/>
      <c r="B229" s="109"/>
      <c r="C229" s="109"/>
      <c r="D229" s="109"/>
      <c r="E229" s="109"/>
      <c r="F229" s="109"/>
      <c r="G229" s="356"/>
      <c r="H229" s="109"/>
      <c r="I229" s="109"/>
      <c r="J229" s="109"/>
      <c r="K229" s="109"/>
      <c r="L229" s="109"/>
      <c r="M229" s="109"/>
      <c r="N229" s="109"/>
      <c r="O229" s="109"/>
      <c r="P229" s="357"/>
      <c r="Q229" s="109"/>
      <c r="R229" s="109"/>
      <c r="S229" s="109"/>
      <c r="T229" s="109"/>
      <c r="U229" s="109"/>
      <c r="V229" s="109"/>
      <c r="W229" s="109"/>
      <c r="X229" s="109"/>
      <c r="Y229" s="109"/>
      <c r="Z229" s="109"/>
    </row>
    <row r="230">
      <c r="A230" s="109"/>
      <c r="B230" s="109"/>
      <c r="C230" s="109"/>
      <c r="D230" s="109"/>
      <c r="E230" s="109"/>
      <c r="F230" s="109"/>
      <c r="G230" s="356"/>
      <c r="H230" s="109"/>
      <c r="I230" s="109"/>
      <c r="J230" s="109"/>
      <c r="K230" s="109"/>
      <c r="L230" s="109"/>
      <c r="M230" s="109"/>
      <c r="N230" s="109"/>
      <c r="O230" s="109"/>
      <c r="P230" s="357"/>
      <c r="Q230" s="109"/>
      <c r="R230" s="109"/>
      <c r="S230" s="109"/>
      <c r="T230" s="109"/>
      <c r="U230" s="109"/>
      <c r="V230" s="109"/>
      <c r="W230" s="109"/>
      <c r="X230" s="109"/>
      <c r="Y230" s="109"/>
      <c r="Z230" s="109"/>
    </row>
    <row r="231">
      <c r="A231" s="109"/>
      <c r="B231" s="109"/>
      <c r="C231" s="109"/>
      <c r="D231" s="109"/>
      <c r="E231" s="109"/>
      <c r="F231" s="109"/>
      <c r="G231" s="356"/>
      <c r="H231" s="109"/>
      <c r="I231" s="109"/>
      <c r="J231" s="109"/>
      <c r="K231" s="109"/>
      <c r="L231" s="109"/>
      <c r="M231" s="109"/>
      <c r="N231" s="109"/>
      <c r="O231" s="109"/>
      <c r="P231" s="357"/>
      <c r="Q231" s="109"/>
      <c r="R231" s="109"/>
      <c r="S231" s="109"/>
      <c r="T231" s="109"/>
      <c r="U231" s="109"/>
      <c r="V231" s="109"/>
      <c r="W231" s="109"/>
      <c r="X231" s="109"/>
      <c r="Y231" s="109"/>
      <c r="Z231" s="109"/>
    </row>
    <row r="232">
      <c r="A232" s="109"/>
      <c r="B232" s="109"/>
      <c r="C232" s="109"/>
      <c r="D232" s="109"/>
      <c r="E232" s="109"/>
      <c r="F232" s="109"/>
      <c r="G232" s="356"/>
      <c r="H232" s="109"/>
      <c r="I232" s="109"/>
      <c r="J232" s="109"/>
      <c r="K232" s="109"/>
      <c r="L232" s="109"/>
      <c r="M232" s="109"/>
      <c r="N232" s="109"/>
      <c r="O232" s="109"/>
      <c r="P232" s="357"/>
      <c r="Q232" s="109"/>
      <c r="R232" s="109"/>
      <c r="S232" s="109"/>
      <c r="T232" s="109"/>
      <c r="U232" s="109"/>
      <c r="V232" s="109"/>
      <c r="W232" s="109"/>
      <c r="X232" s="109"/>
      <c r="Y232" s="109"/>
      <c r="Z232" s="109"/>
    </row>
    <row r="233">
      <c r="A233" s="109"/>
      <c r="B233" s="109"/>
      <c r="C233" s="109"/>
      <c r="D233" s="109"/>
      <c r="E233" s="109"/>
      <c r="F233" s="109"/>
      <c r="G233" s="356"/>
      <c r="H233" s="109"/>
      <c r="I233" s="109"/>
      <c r="J233" s="109"/>
      <c r="K233" s="109"/>
      <c r="L233" s="109"/>
      <c r="M233" s="109"/>
      <c r="N233" s="109"/>
      <c r="O233" s="109"/>
      <c r="P233" s="357"/>
      <c r="Q233" s="109"/>
      <c r="R233" s="109"/>
      <c r="S233" s="109"/>
      <c r="T233" s="109"/>
      <c r="U233" s="109"/>
      <c r="V233" s="109"/>
      <c r="W233" s="109"/>
      <c r="X233" s="109"/>
      <c r="Y233" s="109"/>
      <c r="Z233" s="109"/>
    </row>
    <row r="234">
      <c r="A234" s="109"/>
      <c r="B234" s="109"/>
      <c r="C234" s="109"/>
      <c r="D234" s="109"/>
      <c r="E234" s="109"/>
      <c r="F234" s="109"/>
      <c r="G234" s="356"/>
      <c r="H234" s="109"/>
      <c r="I234" s="109"/>
      <c r="J234" s="109"/>
      <c r="K234" s="109"/>
      <c r="L234" s="109"/>
      <c r="M234" s="109"/>
      <c r="N234" s="109"/>
      <c r="O234" s="109"/>
      <c r="P234" s="357"/>
      <c r="Q234" s="109"/>
      <c r="R234" s="109"/>
      <c r="S234" s="109"/>
      <c r="T234" s="109"/>
      <c r="U234" s="109"/>
      <c r="V234" s="109"/>
      <c r="W234" s="109"/>
      <c r="X234" s="109"/>
      <c r="Y234" s="109"/>
      <c r="Z234" s="109"/>
    </row>
    <row r="235">
      <c r="A235" s="109"/>
      <c r="B235" s="109"/>
      <c r="C235" s="109"/>
      <c r="D235" s="109"/>
      <c r="E235" s="109"/>
      <c r="F235" s="109"/>
      <c r="G235" s="356"/>
      <c r="H235" s="109"/>
      <c r="I235" s="109"/>
      <c r="J235" s="109"/>
      <c r="K235" s="109"/>
      <c r="L235" s="109"/>
      <c r="M235" s="109"/>
      <c r="N235" s="109"/>
      <c r="O235" s="109"/>
      <c r="P235" s="357"/>
      <c r="Q235" s="109"/>
      <c r="R235" s="109"/>
      <c r="S235" s="109"/>
      <c r="T235" s="109"/>
      <c r="U235" s="109"/>
      <c r="V235" s="109"/>
      <c r="W235" s="109"/>
      <c r="X235" s="109"/>
      <c r="Y235" s="109"/>
      <c r="Z235" s="109"/>
    </row>
    <row r="236">
      <c r="A236" s="109"/>
      <c r="B236" s="109"/>
      <c r="C236" s="109"/>
      <c r="D236" s="109"/>
      <c r="E236" s="109"/>
      <c r="F236" s="109"/>
      <c r="G236" s="356"/>
      <c r="H236" s="109"/>
      <c r="I236" s="109"/>
      <c r="J236" s="109"/>
      <c r="K236" s="109"/>
      <c r="L236" s="109"/>
      <c r="M236" s="109"/>
      <c r="N236" s="109"/>
      <c r="O236" s="109"/>
      <c r="P236" s="357"/>
      <c r="Q236" s="109"/>
      <c r="R236" s="109"/>
      <c r="S236" s="109"/>
      <c r="T236" s="109"/>
      <c r="U236" s="109"/>
      <c r="V236" s="109"/>
      <c r="W236" s="109"/>
      <c r="X236" s="109"/>
      <c r="Y236" s="109"/>
      <c r="Z236" s="109"/>
    </row>
    <row r="237">
      <c r="A237" s="109"/>
      <c r="B237" s="109"/>
      <c r="C237" s="109"/>
      <c r="D237" s="109"/>
      <c r="E237" s="109"/>
      <c r="F237" s="109"/>
      <c r="G237" s="356"/>
      <c r="H237" s="109"/>
      <c r="I237" s="109"/>
      <c r="J237" s="109"/>
      <c r="K237" s="109"/>
      <c r="L237" s="109"/>
      <c r="M237" s="109"/>
      <c r="N237" s="109"/>
      <c r="O237" s="109"/>
      <c r="P237" s="357"/>
      <c r="Q237" s="109"/>
      <c r="R237" s="109"/>
      <c r="S237" s="109"/>
      <c r="T237" s="109"/>
      <c r="U237" s="109"/>
      <c r="V237" s="109"/>
      <c r="W237" s="109"/>
      <c r="X237" s="109"/>
      <c r="Y237" s="109"/>
      <c r="Z237" s="109"/>
    </row>
    <row r="238">
      <c r="A238" s="109"/>
      <c r="B238" s="109"/>
      <c r="C238" s="109"/>
      <c r="D238" s="109"/>
      <c r="E238" s="109"/>
      <c r="F238" s="109"/>
      <c r="G238" s="356"/>
      <c r="H238" s="109"/>
      <c r="I238" s="109"/>
      <c r="J238" s="109"/>
      <c r="K238" s="109"/>
      <c r="L238" s="109"/>
      <c r="M238" s="109"/>
      <c r="N238" s="109"/>
      <c r="O238" s="109"/>
      <c r="P238" s="357"/>
      <c r="Q238" s="109"/>
      <c r="R238" s="109"/>
      <c r="S238" s="109"/>
      <c r="T238" s="109"/>
      <c r="U238" s="109"/>
      <c r="V238" s="109"/>
      <c r="W238" s="109"/>
      <c r="X238" s="109"/>
      <c r="Y238" s="109"/>
      <c r="Z238" s="109"/>
    </row>
    <row r="239">
      <c r="A239" s="109"/>
      <c r="B239" s="109"/>
      <c r="C239" s="109"/>
      <c r="D239" s="109"/>
      <c r="E239" s="109"/>
      <c r="F239" s="109"/>
      <c r="G239" s="356"/>
      <c r="H239" s="109"/>
      <c r="I239" s="109"/>
      <c r="J239" s="109"/>
      <c r="K239" s="109"/>
      <c r="L239" s="109"/>
      <c r="M239" s="109"/>
      <c r="N239" s="109"/>
      <c r="O239" s="109"/>
      <c r="P239" s="357"/>
      <c r="Q239" s="109"/>
      <c r="R239" s="109"/>
      <c r="S239" s="109"/>
      <c r="T239" s="109"/>
      <c r="U239" s="109"/>
      <c r="V239" s="109"/>
      <c r="W239" s="109"/>
      <c r="X239" s="109"/>
      <c r="Y239" s="109"/>
      <c r="Z239" s="109"/>
    </row>
    <row r="240">
      <c r="A240" s="109"/>
      <c r="B240" s="109"/>
      <c r="C240" s="109"/>
      <c r="D240" s="109"/>
      <c r="E240" s="109"/>
      <c r="F240" s="109"/>
      <c r="G240" s="356"/>
      <c r="H240" s="109"/>
      <c r="I240" s="109"/>
      <c r="J240" s="109"/>
      <c r="K240" s="109"/>
      <c r="L240" s="109"/>
      <c r="M240" s="109"/>
      <c r="N240" s="109"/>
      <c r="O240" s="109"/>
      <c r="P240" s="357"/>
      <c r="Q240" s="109"/>
      <c r="R240" s="109"/>
      <c r="S240" s="109"/>
      <c r="T240" s="109"/>
      <c r="U240" s="109"/>
      <c r="V240" s="109"/>
      <c r="W240" s="109"/>
      <c r="X240" s="109"/>
      <c r="Y240" s="109"/>
      <c r="Z240" s="109"/>
    </row>
    <row r="241">
      <c r="A241" s="109"/>
      <c r="B241" s="109"/>
      <c r="C241" s="109"/>
      <c r="D241" s="109"/>
      <c r="E241" s="109"/>
      <c r="F241" s="109"/>
      <c r="G241" s="356"/>
      <c r="H241" s="109"/>
      <c r="I241" s="109"/>
      <c r="J241" s="109"/>
      <c r="K241" s="109"/>
      <c r="L241" s="109"/>
      <c r="M241" s="109"/>
      <c r="N241" s="109"/>
      <c r="O241" s="109"/>
      <c r="P241" s="357"/>
      <c r="Q241" s="109"/>
      <c r="R241" s="109"/>
      <c r="S241" s="109"/>
      <c r="T241" s="109"/>
      <c r="U241" s="109"/>
      <c r="V241" s="109"/>
      <c r="W241" s="109"/>
      <c r="X241" s="109"/>
      <c r="Y241" s="109"/>
      <c r="Z241" s="109"/>
    </row>
    <row r="242">
      <c r="A242" s="109"/>
      <c r="B242" s="109"/>
      <c r="C242" s="109"/>
      <c r="D242" s="109"/>
      <c r="E242" s="109"/>
      <c r="F242" s="109"/>
      <c r="G242" s="356"/>
      <c r="H242" s="109"/>
      <c r="I242" s="109"/>
      <c r="J242" s="109"/>
      <c r="K242" s="109"/>
      <c r="L242" s="109"/>
      <c r="M242" s="109"/>
      <c r="N242" s="109"/>
      <c r="O242" s="109"/>
      <c r="P242" s="357"/>
      <c r="Q242" s="109"/>
      <c r="R242" s="109"/>
      <c r="S242" s="109"/>
      <c r="T242" s="109"/>
      <c r="U242" s="109"/>
      <c r="V242" s="109"/>
      <c r="W242" s="109"/>
      <c r="X242" s="109"/>
      <c r="Y242" s="109"/>
      <c r="Z242" s="109"/>
    </row>
    <row r="243">
      <c r="A243" s="109"/>
      <c r="B243" s="109"/>
      <c r="C243" s="109"/>
      <c r="D243" s="109"/>
      <c r="E243" s="109"/>
      <c r="F243" s="109"/>
      <c r="G243" s="356"/>
      <c r="H243" s="109"/>
      <c r="I243" s="109"/>
      <c r="J243" s="109"/>
      <c r="K243" s="109"/>
      <c r="L243" s="109"/>
      <c r="M243" s="109"/>
      <c r="N243" s="109"/>
      <c r="O243" s="109"/>
      <c r="P243" s="357"/>
      <c r="Q243" s="109"/>
      <c r="R243" s="109"/>
      <c r="S243" s="109"/>
      <c r="T243" s="109"/>
      <c r="U243" s="109"/>
      <c r="V243" s="109"/>
      <c r="W243" s="109"/>
      <c r="X243" s="109"/>
      <c r="Y243" s="109"/>
      <c r="Z243" s="109"/>
    </row>
    <row r="244">
      <c r="A244" s="109"/>
      <c r="B244" s="109"/>
      <c r="C244" s="109"/>
      <c r="D244" s="109"/>
      <c r="E244" s="109"/>
      <c r="F244" s="109"/>
      <c r="G244" s="356"/>
      <c r="H244" s="109"/>
      <c r="I244" s="109"/>
      <c r="J244" s="109"/>
      <c r="K244" s="109"/>
      <c r="L244" s="109"/>
      <c r="M244" s="109"/>
      <c r="N244" s="109"/>
      <c r="O244" s="109"/>
      <c r="P244" s="357"/>
      <c r="Q244" s="109"/>
      <c r="R244" s="109"/>
      <c r="S244" s="109"/>
      <c r="T244" s="109"/>
      <c r="U244" s="109"/>
      <c r="V244" s="109"/>
      <c r="W244" s="109"/>
      <c r="X244" s="109"/>
      <c r="Y244" s="109"/>
      <c r="Z244" s="109"/>
    </row>
    <row r="245">
      <c r="A245" s="109"/>
      <c r="B245" s="109"/>
      <c r="C245" s="109"/>
      <c r="D245" s="109"/>
      <c r="E245" s="109"/>
      <c r="F245" s="109"/>
      <c r="G245" s="356"/>
      <c r="H245" s="109"/>
      <c r="I245" s="109"/>
      <c r="J245" s="109"/>
      <c r="K245" s="109"/>
      <c r="L245" s="109"/>
      <c r="M245" s="109"/>
      <c r="N245" s="109"/>
      <c r="O245" s="109"/>
      <c r="P245" s="357"/>
      <c r="Q245" s="109"/>
      <c r="R245" s="109"/>
      <c r="S245" s="109"/>
      <c r="T245" s="109"/>
      <c r="U245" s="109"/>
      <c r="V245" s="109"/>
      <c r="W245" s="109"/>
      <c r="X245" s="109"/>
      <c r="Y245" s="109"/>
      <c r="Z245" s="109"/>
    </row>
    <row r="246">
      <c r="A246" s="109"/>
      <c r="B246" s="109"/>
      <c r="C246" s="109"/>
      <c r="D246" s="109"/>
      <c r="E246" s="109"/>
      <c r="F246" s="109"/>
      <c r="G246" s="356"/>
      <c r="H246" s="109"/>
      <c r="I246" s="109"/>
      <c r="J246" s="109"/>
      <c r="K246" s="109"/>
      <c r="L246" s="109"/>
      <c r="M246" s="109"/>
      <c r="N246" s="109"/>
      <c r="O246" s="109"/>
      <c r="P246" s="357"/>
      <c r="Q246" s="109"/>
      <c r="R246" s="109"/>
      <c r="S246" s="109"/>
      <c r="T246" s="109"/>
      <c r="U246" s="109"/>
      <c r="V246" s="109"/>
      <c r="W246" s="109"/>
      <c r="X246" s="109"/>
      <c r="Y246" s="109"/>
      <c r="Z246" s="109"/>
    </row>
    <row r="247">
      <c r="A247" s="109"/>
      <c r="B247" s="109"/>
      <c r="C247" s="109"/>
      <c r="D247" s="109"/>
      <c r="E247" s="109"/>
      <c r="F247" s="109"/>
      <c r="G247" s="356"/>
      <c r="H247" s="109"/>
      <c r="I247" s="109"/>
      <c r="J247" s="109"/>
      <c r="K247" s="109"/>
      <c r="L247" s="109"/>
      <c r="M247" s="109"/>
      <c r="N247" s="109"/>
      <c r="O247" s="109"/>
      <c r="P247" s="357"/>
      <c r="Q247" s="109"/>
      <c r="R247" s="109"/>
      <c r="S247" s="109"/>
      <c r="T247" s="109"/>
      <c r="U247" s="109"/>
      <c r="V247" s="109"/>
      <c r="W247" s="109"/>
      <c r="X247" s="109"/>
      <c r="Y247" s="109"/>
      <c r="Z247" s="109"/>
    </row>
    <row r="248">
      <c r="A248" s="109"/>
      <c r="B248" s="109"/>
      <c r="C248" s="109"/>
      <c r="D248" s="109"/>
      <c r="E248" s="109"/>
      <c r="F248" s="109"/>
      <c r="G248" s="356"/>
      <c r="H248" s="109"/>
      <c r="I248" s="109"/>
      <c r="J248" s="109"/>
      <c r="K248" s="109"/>
      <c r="L248" s="109"/>
      <c r="M248" s="109"/>
      <c r="N248" s="109"/>
      <c r="O248" s="109"/>
      <c r="P248" s="357"/>
      <c r="Q248" s="109"/>
      <c r="R248" s="109"/>
      <c r="S248" s="109"/>
      <c r="T248" s="109"/>
      <c r="U248" s="109"/>
      <c r="V248" s="109"/>
      <c r="W248" s="109"/>
      <c r="X248" s="109"/>
      <c r="Y248" s="109"/>
      <c r="Z248" s="109"/>
    </row>
    <row r="249">
      <c r="A249" s="109"/>
      <c r="B249" s="109"/>
      <c r="C249" s="109"/>
      <c r="D249" s="109"/>
      <c r="E249" s="109"/>
      <c r="F249" s="109"/>
      <c r="G249" s="356"/>
      <c r="H249" s="109"/>
      <c r="I249" s="109"/>
      <c r="J249" s="109"/>
      <c r="K249" s="109"/>
      <c r="L249" s="109"/>
      <c r="M249" s="109"/>
      <c r="N249" s="109"/>
      <c r="O249" s="109"/>
      <c r="P249" s="357"/>
      <c r="Q249" s="109"/>
      <c r="R249" s="109"/>
      <c r="S249" s="109"/>
      <c r="T249" s="109"/>
      <c r="U249" s="109"/>
      <c r="V249" s="109"/>
      <c r="W249" s="109"/>
      <c r="X249" s="109"/>
      <c r="Y249" s="109"/>
      <c r="Z249" s="109"/>
    </row>
    <row r="250">
      <c r="A250" s="109"/>
      <c r="B250" s="109"/>
      <c r="C250" s="109"/>
      <c r="D250" s="109"/>
      <c r="E250" s="109"/>
      <c r="F250" s="109"/>
      <c r="G250" s="356"/>
      <c r="H250" s="109"/>
      <c r="I250" s="109"/>
      <c r="J250" s="109"/>
      <c r="K250" s="109"/>
      <c r="L250" s="109"/>
      <c r="M250" s="109"/>
      <c r="N250" s="109"/>
      <c r="O250" s="109"/>
      <c r="P250" s="357"/>
      <c r="Q250" s="109"/>
      <c r="R250" s="109"/>
      <c r="S250" s="109"/>
      <c r="T250" s="109"/>
      <c r="U250" s="109"/>
      <c r="V250" s="109"/>
      <c r="W250" s="109"/>
      <c r="X250" s="109"/>
      <c r="Y250" s="109"/>
      <c r="Z250" s="109"/>
    </row>
    <row r="251">
      <c r="A251" s="109"/>
      <c r="B251" s="109"/>
      <c r="C251" s="109"/>
      <c r="D251" s="109"/>
      <c r="E251" s="109"/>
      <c r="F251" s="109"/>
      <c r="G251" s="356"/>
      <c r="H251" s="109"/>
      <c r="I251" s="109"/>
      <c r="J251" s="109"/>
      <c r="K251" s="109"/>
      <c r="L251" s="109"/>
      <c r="M251" s="109"/>
      <c r="N251" s="109"/>
      <c r="O251" s="109"/>
      <c r="P251" s="357"/>
      <c r="Q251" s="109"/>
      <c r="R251" s="109"/>
      <c r="S251" s="109"/>
      <c r="T251" s="109"/>
      <c r="U251" s="109"/>
      <c r="V251" s="109"/>
      <c r="W251" s="109"/>
      <c r="X251" s="109"/>
      <c r="Y251" s="109"/>
      <c r="Z251" s="109"/>
    </row>
    <row r="252">
      <c r="A252" s="109"/>
      <c r="B252" s="109"/>
      <c r="C252" s="109"/>
      <c r="D252" s="109"/>
      <c r="E252" s="109"/>
      <c r="F252" s="109"/>
      <c r="G252" s="356"/>
      <c r="H252" s="109"/>
      <c r="I252" s="109"/>
      <c r="J252" s="109"/>
      <c r="K252" s="109"/>
      <c r="L252" s="109"/>
      <c r="M252" s="109"/>
      <c r="N252" s="109"/>
      <c r="O252" s="109"/>
      <c r="P252" s="357"/>
      <c r="Q252" s="109"/>
      <c r="R252" s="109"/>
      <c r="S252" s="109"/>
      <c r="T252" s="109"/>
      <c r="U252" s="109"/>
      <c r="V252" s="109"/>
      <c r="W252" s="109"/>
      <c r="X252" s="109"/>
      <c r="Y252" s="109"/>
      <c r="Z252" s="109"/>
    </row>
    <row r="253">
      <c r="A253" s="109"/>
      <c r="B253" s="109"/>
      <c r="C253" s="109"/>
      <c r="D253" s="109"/>
      <c r="E253" s="109"/>
      <c r="F253" s="109"/>
      <c r="G253" s="356"/>
      <c r="H253" s="109"/>
      <c r="I253" s="109"/>
      <c r="J253" s="109"/>
      <c r="K253" s="109"/>
      <c r="L253" s="109"/>
      <c r="M253" s="109"/>
      <c r="N253" s="109"/>
      <c r="O253" s="109"/>
      <c r="P253" s="357"/>
      <c r="Q253" s="109"/>
      <c r="R253" s="109"/>
      <c r="S253" s="109"/>
      <c r="T253" s="109"/>
      <c r="U253" s="109"/>
      <c r="V253" s="109"/>
      <c r="W253" s="109"/>
      <c r="X253" s="109"/>
      <c r="Y253" s="109"/>
      <c r="Z253" s="109"/>
    </row>
    <row r="254">
      <c r="A254" s="109"/>
      <c r="B254" s="109"/>
      <c r="C254" s="109"/>
      <c r="D254" s="109"/>
      <c r="E254" s="109"/>
      <c r="F254" s="109"/>
      <c r="G254" s="356"/>
      <c r="H254" s="109"/>
      <c r="I254" s="109"/>
      <c r="J254" s="109"/>
      <c r="K254" s="109"/>
      <c r="L254" s="109"/>
      <c r="M254" s="109"/>
      <c r="N254" s="109"/>
      <c r="O254" s="109"/>
      <c r="P254" s="357"/>
      <c r="Q254" s="109"/>
      <c r="R254" s="109"/>
      <c r="S254" s="109"/>
      <c r="T254" s="109"/>
      <c r="U254" s="109"/>
      <c r="V254" s="109"/>
      <c r="W254" s="109"/>
      <c r="X254" s="109"/>
      <c r="Y254" s="109"/>
      <c r="Z254" s="109"/>
    </row>
    <row r="255">
      <c r="A255" s="109"/>
      <c r="B255" s="109"/>
      <c r="C255" s="109"/>
      <c r="D255" s="109"/>
      <c r="E255" s="109"/>
      <c r="F255" s="109"/>
      <c r="G255" s="356"/>
      <c r="H255" s="109"/>
      <c r="I255" s="109"/>
      <c r="J255" s="109"/>
      <c r="K255" s="109"/>
      <c r="L255" s="109"/>
      <c r="M255" s="109"/>
      <c r="N255" s="109"/>
      <c r="O255" s="109"/>
      <c r="P255" s="357"/>
      <c r="Q255" s="109"/>
      <c r="R255" s="109"/>
      <c r="S255" s="109"/>
      <c r="T255" s="109"/>
      <c r="U255" s="109"/>
      <c r="V255" s="109"/>
      <c r="W255" s="109"/>
      <c r="X255" s="109"/>
      <c r="Y255" s="109"/>
      <c r="Z255" s="109"/>
    </row>
    <row r="256">
      <c r="A256" s="109"/>
      <c r="B256" s="109"/>
      <c r="C256" s="109"/>
      <c r="D256" s="109"/>
      <c r="E256" s="109"/>
      <c r="F256" s="109"/>
      <c r="G256" s="356"/>
      <c r="H256" s="109"/>
      <c r="I256" s="109"/>
      <c r="J256" s="109"/>
      <c r="K256" s="109"/>
      <c r="L256" s="109"/>
      <c r="M256" s="109"/>
      <c r="N256" s="109"/>
      <c r="O256" s="109"/>
      <c r="P256" s="357"/>
      <c r="Q256" s="109"/>
      <c r="R256" s="109"/>
      <c r="S256" s="109"/>
      <c r="T256" s="109"/>
      <c r="U256" s="109"/>
      <c r="V256" s="109"/>
      <c r="W256" s="109"/>
      <c r="X256" s="109"/>
      <c r="Y256" s="109"/>
      <c r="Z256" s="109"/>
    </row>
    <row r="257">
      <c r="A257" s="109"/>
      <c r="B257" s="109"/>
      <c r="C257" s="109"/>
      <c r="D257" s="109"/>
      <c r="E257" s="109"/>
      <c r="F257" s="109"/>
      <c r="G257" s="356"/>
      <c r="H257" s="109"/>
      <c r="I257" s="109"/>
      <c r="J257" s="109"/>
      <c r="K257" s="109"/>
      <c r="L257" s="109"/>
      <c r="M257" s="109"/>
      <c r="N257" s="109"/>
      <c r="O257" s="109"/>
      <c r="P257" s="357"/>
      <c r="Q257" s="109"/>
      <c r="R257" s="109"/>
      <c r="S257" s="109"/>
      <c r="T257" s="109"/>
      <c r="U257" s="109"/>
      <c r="V257" s="109"/>
      <c r="W257" s="109"/>
      <c r="X257" s="109"/>
      <c r="Y257" s="109"/>
      <c r="Z257" s="109"/>
    </row>
    <row r="258">
      <c r="A258" s="109"/>
      <c r="B258" s="109"/>
      <c r="C258" s="109"/>
      <c r="D258" s="109"/>
      <c r="E258" s="109"/>
      <c r="F258" s="109"/>
      <c r="G258" s="356"/>
      <c r="H258" s="109"/>
      <c r="I258" s="109"/>
      <c r="J258" s="109"/>
      <c r="K258" s="109"/>
      <c r="L258" s="109"/>
      <c r="M258" s="109"/>
      <c r="N258" s="109"/>
      <c r="O258" s="109"/>
      <c r="P258" s="357"/>
      <c r="Q258" s="109"/>
      <c r="R258" s="109"/>
      <c r="S258" s="109"/>
      <c r="T258" s="109"/>
      <c r="U258" s="109"/>
      <c r="V258" s="109"/>
      <c r="W258" s="109"/>
      <c r="X258" s="109"/>
      <c r="Y258" s="109"/>
      <c r="Z258" s="109"/>
    </row>
    <row r="259">
      <c r="A259" s="109"/>
      <c r="B259" s="109"/>
      <c r="C259" s="109"/>
      <c r="D259" s="109"/>
      <c r="E259" s="109"/>
      <c r="F259" s="109"/>
      <c r="G259" s="356"/>
      <c r="H259" s="109"/>
      <c r="I259" s="109"/>
      <c r="J259" s="109"/>
      <c r="K259" s="109"/>
      <c r="L259" s="109"/>
      <c r="M259" s="109"/>
      <c r="N259" s="109"/>
      <c r="O259" s="109"/>
      <c r="P259" s="357"/>
      <c r="Q259" s="109"/>
      <c r="R259" s="109"/>
      <c r="S259" s="109"/>
      <c r="T259" s="109"/>
      <c r="U259" s="109"/>
      <c r="V259" s="109"/>
      <c r="W259" s="109"/>
      <c r="X259" s="109"/>
      <c r="Y259" s="109"/>
      <c r="Z259" s="109"/>
    </row>
    <row r="260">
      <c r="A260" s="109"/>
      <c r="B260" s="109"/>
      <c r="C260" s="109"/>
      <c r="D260" s="109"/>
      <c r="E260" s="109"/>
      <c r="F260" s="109"/>
      <c r="G260" s="356"/>
      <c r="H260" s="109"/>
      <c r="I260" s="109"/>
      <c r="J260" s="109"/>
      <c r="K260" s="109"/>
      <c r="L260" s="109"/>
      <c r="M260" s="109"/>
      <c r="N260" s="109"/>
      <c r="O260" s="109"/>
      <c r="P260" s="357"/>
      <c r="Q260" s="109"/>
      <c r="R260" s="109"/>
      <c r="S260" s="109"/>
      <c r="T260" s="109"/>
      <c r="U260" s="109"/>
      <c r="V260" s="109"/>
      <c r="W260" s="109"/>
      <c r="X260" s="109"/>
      <c r="Y260" s="109"/>
      <c r="Z260" s="109"/>
    </row>
    <row r="261">
      <c r="A261" s="109"/>
      <c r="B261" s="109"/>
      <c r="C261" s="109"/>
      <c r="D261" s="109"/>
      <c r="E261" s="109"/>
      <c r="F261" s="109"/>
      <c r="G261" s="356"/>
      <c r="H261" s="109"/>
      <c r="I261" s="109"/>
      <c r="J261" s="109"/>
      <c r="K261" s="109"/>
      <c r="L261" s="109"/>
      <c r="M261" s="109"/>
      <c r="N261" s="109"/>
      <c r="O261" s="109"/>
      <c r="P261" s="357"/>
      <c r="Q261" s="109"/>
      <c r="R261" s="109"/>
      <c r="S261" s="109"/>
      <c r="T261" s="109"/>
      <c r="U261" s="109"/>
      <c r="V261" s="109"/>
      <c r="W261" s="109"/>
      <c r="X261" s="109"/>
      <c r="Y261" s="109"/>
      <c r="Z261" s="109"/>
    </row>
    <row r="262">
      <c r="A262" s="109"/>
      <c r="B262" s="109"/>
      <c r="C262" s="109"/>
      <c r="D262" s="109"/>
      <c r="E262" s="109"/>
      <c r="F262" s="109"/>
      <c r="G262" s="356"/>
      <c r="H262" s="109"/>
      <c r="I262" s="109"/>
      <c r="J262" s="109"/>
      <c r="K262" s="109"/>
      <c r="L262" s="109"/>
      <c r="M262" s="109"/>
      <c r="N262" s="109"/>
      <c r="O262" s="109"/>
      <c r="P262" s="357"/>
      <c r="Q262" s="109"/>
      <c r="R262" s="109"/>
      <c r="S262" s="109"/>
      <c r="T262" s="109"/>
      <c r="U262" s="109"/>
      <c r="V262" s="109"/>
      <c r="W262" s="109"/>
      <c r="X262" s="109"/>
      <c r="Y262" s="109"/>
      <c r="Z262" s="109"/>
    </row>
    <row r="263">
      <c r="A263" s="109"/>
      <c r="B263" s="109"/>
      <c r="C263" s="109"/>
      <c r="D263" s="109"/>
      <c r="E263" s="109"/>
      <c r="F263" s="109"/>
      <c r="G263" s="356"/>
      <c r="H263" s="109"/>
      <c r="I263" s="109"/>
      <c r="J263" s="109"/>
      <c r="K263" s="109"/>
      <c r="L263" s="109"/>
      <c r="M263" s="109"/>
      <c r="N263" s="109"/>
      <c r="O263" s="109"/>
      <c r="P263" s="357"/>
      <c r="Q263" s="109"/>
      <c r="R263" s="109"/>
      <c r="S263" s="109"/>
      <c r="T263" s="109"/>
      <c r="U263" s="109"/>
      <c r="V263" s="109"/>
      <c r="W263" s="109"/>
      <c r="X263" s="109"/>
      <c r="Y263" s="109"/>
      <c r="Z263" s="109"/>
    </row>
    <row r="264">
      <c r="A264" s="109"/>
      <c r="B264" s="109"/>
      <c r="C264" s="109"/>
      <c r="D264" s="109"/>
      <c r="E264" s="109"/>
      <c r="F264" s="109"/>
      <c r="G264" s="356"/>
      <c r="H264" s="109"/>
      <c r="I264" s="109"/>
      <c r="J264" s="109"/>
      <c r="K264" s="109"/>
      <c r="L264" s="109"/>
      <c r="M264" s="109"/>
      <c r="N264" s="109"/>
      <c r="O264" s="109"/>
      <c r="P264" s="357"/>
      <c r="Q264" s="109"/>
      <c r="R264" s="109"/>
      <c r="S264" s="109"/>
      <c r="T264" s="109"/>
      <c r="U264" s="109"/>
      <c r="V264" s="109"/>
      <c r="W264" s="109"/>
      <c r="X264" s="109"/>
      <c r="Y264" s="109"/>
      <c r="Z264" s="109"/>
    </row>
    <row r="265">
      <c r="A265" s="109"/>
      <c r="B265" s="109"/>
      <c r="C265" s="109"/>
      <c r="D265" s="109"/>
      <c r="E265" s="109"/>
      <c r="F265" s="109"/>
      <c r="G265" s="356"/>
      <c r="H265" s="109"/>
      <c r="I265" s="109"/>
      <c r="J265" s="109"/>
      <c r="K265" s="109"/>
      <c r="L265" s="109"/>
      <c r="M265" s="109"/>
      <c r="N265" s="109"/>
      <c r="O265" s="109"/>
      <c r="P265" s="357"/>
      <c r="Q265" s="109"/>
      <c r="R265" s="109"/>
      <c r="S265" s="109"/>
      <c r="T265" s="109"/>
      <c r="U265" s="109"/>
      <c r="V265" s="109"/>
      <c r="W265" s="109"/>
      <c r="X265" s="109"/>
      <c r="Y265" s="109"/>
      <c r="Z265" s="109"/>
    </row>
    <row r="266">
      <c r="A266" s="109"/>
      <c r="B266" s="109"/>
      <c r="C266" s="109"/>
      <c r="D266" s="109"/>
      <c r="E266" s="109"/>
      <c r="F266" s="109"/>
      <c r="G266" s="356"/>
      <c r="H266" s="109"/>
      <c r="I266" s="109"/>
      <c r="J266" s="109"/>
      <c r="K266" s="109"/>
      <c r="L266" s="109"/>
      <c r="M266" s="109"/>
      <c r="N266" s="109"/>
      <c r="O266" s="109"/>
      <c r="P266" s="357"/>
      <c r="Q266" s="109"/>
      <c r="R266" s="109"/>
      <c r="S266" s="109"/>
      <c r="T266" s="109"/>
      <c r="U266" s="109"/>
      <c r="V266" s="109"/>
      <c r="W266" s="109"/>
      <c r="X266" s="109"/>
      <c r="Y266" s="109"/>
      <c r="Z266" s="109"/>
    </row>
    <row r="267">
      <c r="A267" s="109"/>
      <c r="B267" s="109"/>
      <c r="C267" s="109"/>
      <c r="D267" s="109"/>
      <c r="E267" s="109"/>
      <c r="F267" s="109"/>
      <c r="G267" s="356"/>
      <c r="H267" s="109"/>
      <c r="I267" s="109"/>
      <c r="J267" s="109"/>
      <c r="K267" s="109"/>
      <c r="L267" s="109"/>
      <c r="M267" s="109"/>
      <c r="N267" s="109"/>
      <c r="O267" s="109"/>
      <c r="P267" s="357"/>
      <c r="Q267" s="109"/>
      <c r="R267" s="109"/>
      <c r="S267" s="109"/>
      <c r="T267" s="109"/>
      <c r="U267" s="109"/>
      <c r="V267" s="109"/>
      <c r="W267" s="109"/>
      <c r="X267" s="109"/>
      <c r="Y267" s="109"/>
      <c r="Z267" s="109"/>
    </row>
    <row r="268">
      <c r="A268" s="109"/>
      <c r="B268" s="109"/>
      <c r="C268" s="109"/>
      <c r="D268" s="109"/>
      <c r="E268" s="109"/>
      <c r="F268" s="109"/>
      <c r="G268" s="356"/>
      <c r="H268" s="109"/>
      <c r="I268" s="109"/>
      <c r="J268" s="109"/>
      <c r="K268" s="109"/>
      <c r="L268" s="109"/>
      <c r="M268" s="109"/>
      <c r="N268" s="109"/>
      <c r="O268" s="109"/>
      <c r="P268" s="357"/>
      <c r="Q268" s="109"/>
      <c r="R268" s="109"/>
      <c r="S268" s="109"/>
      <c r="T268" s="109"/>
      <c r="U268" s="109"/>
      <c r="V268" s="109"/>
      <c r="W268" s="109"/>
      <c r="X268" s="109"/>
      <c r="Y268" s="109"/>
      <c r="Z268" s="109"/>
    </row>
    <row r="269">
      <c r="A269" s="109"/>
      <c r="B269" s="109"/>
      <c r="C269" s="109"/>
      <c r="D269" s="109"/>
      <c r="E269" s="109"/>
      <c r="F269" s="109"/>
      <c r="G269" s="356"/>
      <c r="H269" s="109"/>
      <c r="I269" s="109"/>
      <c r="J269" s="109"/>
      <c r="K269" s="109"/>
      <c r="L269" s="109"/>
      <c r="M269" s="109"/>
      <c r="N269" s="109"/>
      <c r="O269" s="109"/>
      <c r="P269" s="357"/>
      <c r="Q269" s="109"/>
      <c r="R269" s="109"/>
      <c r="S269" s="109"/>
      <c r="T269" s="109"/>
      <c r="U269" s="109"/>
      <c r="V269" s="109"/>
      <c r="W269" s="109"/>
      <c r="X269" s="109"/>
      <c r="Y269" s="109"/>
      <c r="Z269" s="109"/>
    </row>
    <row r="270">
      <c r="A270" s="109"/>
      <c r="B270" s="109"/>
      <c r="C270" s="109"/>
      <c r="D270" s="109"/>
      <c r="E270" s="109"/>
      <c r="F270" s="109"/>
      <c r="G270" s="356"/>
      <c r="H270" s="109"/>
      <c r="I270" s="109"/>
      <c r="J270" s="109"/>
      <c r="K270" s="109"/>
      <c r="L270" s="109"/>
      <c r="M270" s="109"/>
      <c r="N270" s="109"/>
      <c r="O270" s="109"/>
      <c r="P270" s="357"/>
      <c r="Q270" s="109"/>
      <c r="R270" s="109"/>
      <c r="S270" s="109"/>
      <c r="T270" s="109"/>
      <c r="U270" s="109"/>
      <c r="V270" s="109"/>
      <c r="W270" s="109"/>
      <c r="X270" s="109"/>
      <c r="Y270" s="109"/>
      <c r="Z270" s="109"/>
    </row>
    <row r="271">
      <c r="A271" s="109"/>
      <c r="B271" s="109"/>
      <c r="C271" s="109"/>
      <c r="D271" s="109"/>
      <c r="E271" s="109"/>
      <c r="F271" s="109"/>
      <c r="G271" s="356"/>
      <c r="H271" s="109"/>
      <c r="I271" s="109"/>
      <c r="J271" s="109"/>
      <c r="K271" s="109"/>
      <c r="L271" s="109"/>
      <c r="M271" s="109"/>
      <c r="N271" s="109"/>
      <c r="O271" s="109"/>
      <c r="P271" s="357"/>
      <c r="Q271" s="109"/>
      <c r="R271" s="109"/>
      <c r="S271" s="109"/>
      <c r="T271" s="109"/>
      <c r="U271" s="109"/>
      <c r="V271" s="109"/>
      <c r="W271" s="109"/>
      <c r="X271" s="109"/>
      <c r="Y271" s="109"/>
      <c r="Z271" s="109"/>
    </row>
    <row r="272">
      <c r="A272" s="109"/>
      <c r="B272" s="109"/>
      <c r="C272" s="109"/>
      <c r="D272" s="109"/>
      <c r="E272" s="109"/>
      <c r="F272" s="109"/>
      <c r="G272" s="356"/>
      <c r="H272" s="109"/>
      <c r="I272" s="109"/>
      <c r="J272" s="109"/>
      <c r="K272" s="109"/>
      <c r="L272" s="109"/>
      <c r="M272" s="109"/>
      <c r="N272" s="109"/>
      <c r="O272" s="109"/>
      <c r="P272" s="357"/>
      <c r="Q272" s="109"/>
      <c r="R272" s="109"/>
      <c r="S272" s="109"/>
      <c r="T272" s="109"/>
      <c r="U272" s="109"/>
      <c r="V272" s="109"/>
      <c r="W272" s="109"/>
      <c r="X272" s="109"/>
      <c r="Y272" s="109"/>
      <c r="Z272" s="109"/>
    </row>
    <row r="273">
      <c r="A273" s="109"/>
      <c r="B273" s="109"/>
      <c r="C273" s="109"/>
      <c r="D273" s="109"/>
      <c r="E273" s="109"/>
      <c r="F273" s="109"/>
      <c r="G273" s="356"/>
      <c r="H273" s="109"/>
      <c r="I273" s="109"/>
      <c r="J273" s="109"/>
      <c r="K273" s="109"/>
      <c r="L273" s="109"/>
      <c r="M273" s="109"/>
      <c r="N273" s="109"/>
      <c r="O273" s="109"/>
      <c r="P273" s="357"/>
      <c r="Q273" s="109"/>
      <c r="R273" s="109"/>
      <c r="S273" s="109"/>
      <c r="T273" s="109"/>
      <c r="U273" s="109"/>
      <c r="V273" s="109"/>
      <c r="W273" s="109"/>
      <c r="X273" s="109"/>
      <c r="Y273" s="109"/>
      <c r="Z273" s="109"/>
    </row>
    <row r="274">
      <c r="A274" s="109"/>
      <c r="B274" s="109"/>
      <c r="C274" s="109"/>
      <c r="D274" s="109"/>
      <c r="E274" s="109"/>
      <c r="F274" s="109"/>
      <c r="G274" s="356"/>
      <c r="H274" s="109"/>
      <c r="I274" s="109"/>
      <c r="J274" s="109"/>
      <c r="K274" s="109"/>
      <c r="L274" s="109"/>
      <c r="M274" s="109"/>
      <c r="N274" s="109"/>
      <c r="O274" s="109"/>
      <c r="P274" s="357"/>
      <c r="Q274" s="109"/>
      <c r="R274" s="109"/>
      <c r="S274" s="109"/>
      <c r="T274" s="109"/>
      <c r="U274" s="109"/>
      <c r="V274" s="109"/>
      <c r="W274" s="109"/>
      <c r="X274" s="109"/>
      <c r="Y274" s="109"/>
      <c r="Z274" s="109"/>
    </row>
    <row r="275">
      <c r="A275" s="109"/>
      <c r="B275" s="109"/>
      <c r="C275" s="109"/>
      <c r="D275" s="109"/>
      <c r="E275" s="109"/>
      <c r="F275" s="109"/>
      <c r="G275" s="356"/>
      <c r="H275" s="109"/>
      <c r="I275" s="109"/>
      <c r="J275" s="109"/>
      <c r="K275" s="109"/>
      <c r="L275" s="109"/>
      <c r="M275" s="109"/>
      <c r="N275" s="109"/>
      <c r="O275" s="109"/>
      <c r="P275" s="357"/>
      <c r="Q275" s="109"/>
      <c r="R275" s="109"/>
      <c r="S275" s="109"/>
      <c r="T275" s="109"/>
      <c r="U275" s="109"/>
      <c r="V275" s="109"/>
      <c r="W275" s="109"/>
      <c r="X275" s="109"/>
      <c r="Y275" s="109"/>
      <c r="Z275" s="109"/>
    </row>
    <row r="276">
      <c r="A276" s="109"/>
      <c r="B276" s="109"/>
      <c r="C276" s="109"/>
      <c r="D276" s="109"/>
      <c r="E276" s="109"/>
      <c r="F276" s="109"/>
      <c r="G276" s="356"/>
      <c r="H276" s="109"/>
      <c r="I276" s="109"/>
      <c r="J276" s="109"/>
      <c r="K276" s="109"/>
      <c r="L276" s="109"/>
      <c r="M276" s="109"/>
      <c r="N276" s="109"/>
      <c r="O276" s="109"/>
      <c r="P276" s="357"/>
      <c r="Q276" s="109"/>
      <c r="R276" s="109"/>
      <c r="S276" s="109"/>
      <c r="T276" s="109"/>
      <c r="U276" s="109"/>
      <c r="V276" s="109"/>
      <c r="W276" s="109"/>
      <c r="X276" s="109"/>
      <c r="Y276" s="109"/>
      <c r="Z276" s="109"/>
    </row>
    <row r="277">
      <c r="A277" s="109"/>
      <c r="B277" s="109"/>
      <c r="C277" s="109"/>
      <c r="D277" s="109"/>
      <c r="E277" s="109"/>
      <c r="F277" s="109"/>
      <c r="G277" s="356"/>
      <c r="H277" s="109"/>
      <c r="I277" s="109"/>
      <c r="J277" s="109"/>
      <c r="K277" s="109"/>
      <c r="L277" s="109"/>
      <c r="M277" s="109"/>
      <c r="N277" s="109"/>
      <c r="O277" s="109"/>
      <c r="P277" s="357"/>
      <c r="Q277" s="109"/>
      <c r="R277" s="109"/>
      <c r="S277" s="109"/>
      <c r="T277" s="109"/>
      <c r="U277" s="109"/>
      <c r="V277" s="109"/>
      <c r="W277" s="109"/>
      <c r="X277" s="109"/>
      <c r="Y277" s="109"/>
      <c r="Z277" s="109"/>
    </row>
    <row r="278">
      <c r="A278" s="109"/>
      <c r="B278" s="109"/>
      <c r="C278" s="109"/>
      <c r="D278" s="109"/>
      <c r="E278" s="109"/>
      <c r="F278" s="109"/>
      <c r="G278" s="356"/>
      <c r="H278" s="109"/>
      <c r="I278" s="109"/>
      <c r="J278" s="109"/>
      <c r="K278" s="109"/>
      <c r="L278" s="109"/>
      <c r="M278" s="109"/>
      <c r="N278" s="109"/>
      <c r="O278" s="109"/>
      <c r="P278" s="357"/>
      <c r="Q278" s="109"/>
      <c r="R278" s="109"/>
      <c r="S278" s="109"/>
      <c r="T278" s="109"/>
      <c r="U278" s="109"/>
      <c r="V278" s="109"/>
      <c r="W278" s="109"/>
      <c r="X278" s="109"/>
      <c r="Y278" s="109"/>
      <c r="Z278" s="109"/>
    </row>
    <row r="279">
      <c r="A279" s="109"/>
      <c r="B279" s="109"/>
      <c r="C279" s="109"/>
      <c r="D279" s="109"/>
      <c r="E279" s="109"/>
      <c r="F279" s="109"/>
      <c r="G279" s="356"/>
      <c r="H279" s="109"/>
      <c r="I279" s="109"/>
      <c r="J279" s="109"/>
      <c r="K279" s="109"/>
      <c r="L279" s="109"/>
      <c r="M279" s="109"/>
      <c r="N279" s="109"/>
      <c r="O279" s="109"/>
      <c r="P279" s="357"/>
      <c r="Q279" s="109"/>
      <c r="R279" s="109"/>
      <c r="S279" s="109"/>
      <c r="T279" s="109"/>
      <c r="U279" s="109"/>
      <c r="V279" s="109"/>
      <c r="W279" s="109"/>
      <c r="X279" s="109"/>
      <c r="Y279" s="109"/>
      <c r="Z279" s="109"/>
    </row>
    <row r="280">
      <c r="A280" s="109"/>
      <c r="B280" s="109"/>
      <c r="C280" s="109"/>
      <c r="D280" s="109"/>
      <c r="E280" s="109"/>
      <c r="F280" s="109"/>
      <c r="G280" s="356"/>
      <c r="H280" s="109"/>
      <c r="I280" s="109"/>
      <c r="J280" s="109"/>
      <c r="K280" s="109"/>
      <c r="L280" s="109"/>
      <c r="M280" s="109"/>
      <c r="N280" s="109"/>
      <c r="O280" s="109"/>
      <c r="P280" s="357"/>
      <c r="Q280" s="109"/>
      <c r="R280" s="109"/>
      <c r="S280" s="109"/>
      <c r="T280" s="109"/>
      <c r="U280" s="109"/>
      <c r="V280" s="109"/>
      <c r="W280" s="109"/>
      <c r="X280" s="109"/>
      <c r="Y280" s="109"/>
      <c r="Z280" s="109"/>
    </row>
    <row r="281">
      <c r="A281" s="109"/>
      <c r="B281" s="109"/>
      <c r="C281" s="109"/>
      <c r="D281" s="109"/>
      <c r="E281" s="109"/>
      <c r="F281" s="109"/>
      <c r="G281" s="356"/>
      <c r="H281" s="109"/>
      <c r="I281" s="109"/>
      <c r="J281" s="109"/>
      <c r="K281" s="109"/>
      <c r="L281" s="109"/>
      <c r="M281" s="109"/>
      <c r="N281" s="109"/>
      <c r="O281" s="109"/>
      <c r="P281" s="357"/>
      <c r="Q281" s="109"/>
      <c r="R281" s="109"/>
      <c r="S281" s="109"/>
      <c r="T281" s="109"/>
      <c r="U281" s="109"/>
      <c r="V281" s="109"/>
      <c r="W281" s="109"/>
      <c r="X281" s="109"/>
      <c r="Y281" s="109"/>
      <c r="Z281" s="109"/>
    </row>
    <row r="282">
      <c r="A282" s="109"/>
      <c r="B282" s="109"/>
      <c r="C282" s="109"/>
      <c r="D282" s="109"/>
      <c r="E282" s="109"/>
      <c r="F282" s="109"/>
      <c r="G282" s="356"/>
      <c r="H282" s="109"/>
      <c r="I282" s="109"/>
      <c r="J282" s="109"/>
      <c r="K282" s="109"/>
      <c r="L282" s="109"/>
      <c r="M282" s="109"/>
      <c r="N282" s="109"/>
      <c r="O282" s="109"/>
      <c r="P282" s="357"/>
      <c r="Q282" s="109"/>
      <c r="R282" s="109"/>
      <c r="S282" s="109"/>
      <c r="T282" s="109"/>
      <c r="U282" s="109"/>
      <c r="V282" s="109"/>
      <c r="W282" s="109"/>
      <c r="X282" s="109"/>
      <c r="Y282" s="109"/>
      <c r="Z282" s="109"/>
    </row>
    <row r="283">
      <c r="A283" s="109"/>
      <c r="B283" s="109"/>
      <c r="C283" s="109"/>
      <c r="D283" s="109"/>
      <c r="E283" s="109"/>
      <c r="F283" s="109"/>
      <c r="G283" s="356"/>
      <c r="H283" s="109"/>
      <c r="I283" s="109"/>
      <c r="J283" s="109"/>
      <c r="K283" s="109"/>
      <c r="L283" s="109"/>
      <c r="M283" s="109"/>
      <c r="N283" s="109"/>
      <c r="O283" s="109"/>
      <c r="P283" s="357"/>
      <c r="Q283" s="109"/>
      <c r="R283" s="109"/>
      <c r="S283" s="109"/>
      <c r="T283" s="109"/>
      <c r="U283" s="109"/>
      <c r="V283" s="109"/>
      <c r="W283" s="109"/>
      <c r="X283" s="109"/>
      <c r="Y283" s="109"/>
      <c r="Z283" s="109"/>
    </row>
    <row r="284">
      <c r="A284" s="109"/>
      <c r="B284" s="109"/>
      <c r="C284" s="109"/>
      <c r="D284" s="109"/>
      <c r="E284" s="109"/>
      <c r="F284" s="109"/>
      <c r="G284" s="356"/>
      <c r="H284" s="109"/>
      <c r="I284" s="109"/>
      <c r="J284" s="109"/>
      <c r="K284" s="109"/>
      <c r="L284" s="109"/>
      <c r="M284" s="109"/>
      <c r="N284" s="109"/>
      <c r="O284" s="109"/>
      <c r="P284" s="357"/>
      <c r="Q284" s="109"/>
      <c r="R284" s="109"/>
      <c r="S284" s="109"/>
      <c r="T284" s="109"/>
      <c r="U284" s="109"/>
      <c r="V284" s="109"/>
      <c r="W284" s="109"/>
      <c r="X284" s="109"/>
      <c r="Y284" s="109"/>
      <c r="Z284" s="109"/>
    </row>
    <row r="285">
      <c r="A285" s="109"/>
      <c r="B285" s="109"/>
      <c r="C285" s="109"/>
      <c r="D285" s="109"/>
      <c r="E285" s="109"/>
      <c r="F285" s="109"/>
      <c r="G285" s="356"/>
      <c r="H285" s="109"/>
      <c r="I285" s="109"/>
      <c r="J285" s="109"/>
      <c r="K285" s="109"/>
      <c r="L285" s="109"/>
      <c r="M285" s="109"/>
      <c r="N285" s="109"/>
      <c r="O285" s="109"/>
      <c r="P285" s="357"/>
      <c r="Q285" s="109"/>
      <c r="R285" s="109"/>
      <c r="S285" s="109"/>
      <c r="T285" s="109"/>
      <c r="U285" s="109"/>
      <c r="V285" s="109"/>
      <c r="W285" s="109"/>
      <c r="X285" s="109"/>
      <c r="Y285" s="109"/>
      <c r="Z285" s="109"/>
    </row>
    <row r="286">
      <c r="A286" s="109"/>
      <c r="B286" s="109"/>
      <c r="C286" s="109"/>
      <c r="D286" s="109"/>
      <c r="E286" s="109"/>
      <c r="F286" s="109"/>
      <c r="G286" s="356"/>
      <c r="H286" s="109"/>
      <c r="I286" s="109"/>
      <c r="J286" s="109"/>
      <c r="K286" s="109"/>
      <c r="L286" s="109"/>
      <c r="M286" s="109"/>
      <c r="N286" s="109"/>
      <c r="O286" s="109"/>
      <c r="P286" s="357"/>
      <c r="Q286" s="109"/>
      <c r="R286" s="109"/>
      <c r="S286" s="109"/>
      <c r="T286" s="109"/>
      <c r="U286" s="109"/>
      <c r="V286" s="109"/>
      <c r="W286" s="109"/>
      <c r="X286" s="109"/>
      <c r="Y286" s="109"/>
      <c r="Z286" s="109"/>
    </row>
    <row r="287">
      <c r="A287" s="109"/>
      <c r="B287" s="109"/>
      <c r="C287" s="109"/>
      <c r="D287" s="109"/>
      <c r="E287" s="109"/>
      <c r="F287" s="109"/>
      <c r="G287" s="356"/>
      <c r="H287" s="109"/>
      <c r="I287" s="109"/>
      <c r="J287" s="109"/>
      <c r="K287" s="109"/>
      <c r="L287" s="109"/>
      <c r="M287" s="109"/>
      <c r="N287" s="109"/>
      <c r="O287" s="109"/>
      <c r="P287" s="357"/>
      <c r="Q287" s="109"/>
      <c r="R287" s="109"/>
      <c r="S287" s="109"/>
      <c r="T287" s="109"/>
      <c r="U287" s="109"/>
      <c r="V287" s="109"/>
      <c r="W287" s="109"/>
      <c r="X287" s="109"/>
      <c r="Y287" s="109"/>
      <c r="Z287" s="109"/>
    </row>
    <row r="288">
      <c r="A288" s="109"/>
      <c r="B288" s="109"/>
      <c r="C288" s="109"/>
      <c r="D288" s="109"/>
      <c r="E288" s="109"/>
      <c r="F288" s="109"/>
      <c r="G288" s="356"/>
      <c r="H288" s="109"/>
      <c r="I288" s="109"/>
      <c r="J288" s="109"/>
      <c r="K288" s="109"/>
      <c r="L288" s="109"/>
      <c r="M288" s="109"/>
      <c r="N288" s="109"/>
      <c r="O288" s="109"/>
      <c r="P288" s="357"/>
      <c r="Q288" s="109"/>
      <c r="R288" s="109"/>
      <c r="S288" s="109"/>
      <c r="T288" s="109"/>
      <c r="U288" s="109"/>
      <c r="V288" s="109"/>
      <c r="W288" s="109"/>
      <c r="X288" s="109"/>
      <c r="Y288" s="109"/>
      <c r="Z288" s="109"/>
    </row>
    <row r="289">
      <c r="A289" s="109"/>
      <c r="B289" s="109"/>
      <c r="C289" s="109"/>
      <c r="D289" s="109"/>
      <c r="E289" s="109"/>
      <c r="F289" s="109"/>
      <c r="G289" s="356"/>
      <c r="H289" s="109"/>
      <c r="I289" s="109"/>
      <c r="J289" s="109"/>
      <c r="K289" s="109"/>
      <c r="L289" s="109"/>
      <c r="M289" s="109"/>
      <c r="N289" s="109"/>
      <c r="O289" s="109"/>
      <c r="P289" s="357"/>
      <c r="Q289" s="109"/>
      <c r="R289" s="109"/>
      <c r="S289" s="109"/>
      <c r="T289" s="109"/>
      <c r="U289" s="109"/>
      <c r="V289" s="109"/>
      <c r="W289" s="109"/>
      <c r="X289" s="109"/>
      <c r="Y289" s="109"/>
      <c r="Z289" s="109"/>
    </row>
    <row r="290">
      <c r="A290" s="109"/>
      <c r="B290" s="109"/>
      <c r="C290" s="109"/>
      <c r="D290" s="109"/>
      <c r="E290" s="109"/>
      <c r="F290" s="109"/>
      <c r="G290" s="356"/>
      <c r="H290" s="109"/>
      <c r="I290" s="109"/>
      <c r="J290" s="109"/>
      <c r="K290" s="109"/>
      <c r="L290" s="109"/>
      <c r="M290" s="109"/>
      <c r="N290" s="109"/>
      <c r="O290" s="109"/>
      <c r="P290" s="357"/>
      <c r="Q290" s="109"/>
      <c r="R290" s="109"/>
      <c r="S290" s="109"/>
      <c r="T290" s="109"/>
      <c r="U290" s="109"/>
      <c r="V290" s="109"/>
      <c r="W290" s="109"/>
      <c r="X290" s="109"/>
      <c r="Y290" s="109"/>
      <c r="Z290" s="109"/>
    </row>
    <row r="291">
      <c r="A291" s="109"/>
      <c r="B291" s="109"/>
      <c r="C291" s="109"/>
      <c r="D291" s="109"/>
      <c r="E291" s="109"/>
      <c r="F291" s="109"/>
      <c r="G291" s="356"/>
      <c r="H291" s="109"/>
      <c r="I291" s="109"/>
      <c r="J291" s="109"/>
      <c r="K291" s="109"/>
      <c r="L291" s="109"/>
      <c r="M291" s="109"/>
      <c r="N291" s="109"/>
      <c r="O291" s="109"/>
      <c r="P291" s="357"/>
      <c r="Q291" s="109"/>
      <c r="R291" s="109"/>
      <c r="S291" s="109"/>
      <c r="T291" s="109"/>
      <c r="U291" s="109"/>
      <c r="V291" s="109"/>
      <c r="W291" s="109"/>
      <c r="X291" s="109"/>
      <c r="Y291" s="109"/>
      <c r="Z291" s="109"/>
    </row>
    <row r="292">
      <c r="A292" s="109"/>
      <c r="B292" s="109"/>
      <c r="C292" s="109"/>
      <c r="D292" s="109"/>
      <c r="E292" s="109"/>
      <c r="F292" s="109"/>
      <c r="G292" s="356"/>
      <c r="H292" s="109"/>
      <c r="I292" s="109"/>
      <c r="J292" s="109"/>
      <c r="K292" s="109"/>
      <c r="L292" s="109"/>
      <c r="M292" s="109"/>
      <c r="N292" s="109"/>
      <c r="O292" s="109"/>
      <c r="P292" s="357"/>
      <c r="Q292" s="109"/>
      <c r="R292" s="109"/>
      <c r="S292" s="109"/>
      <c r="T292" s="109"/>
      <c r="U292" s="109"/>
      <c r="V292" s="109"/>
      <c r="W292" s="109"/>
      <c r="X292" s="109"/>
      <c r="Y292" s="109"/>
      <c r="Z292" s="109"/>
    </row>
    <row r="293">
      <c r="A293" s="109"/>
      <c r="B293" s="109"/>
      <c r="C293" s="109"/>
      <c r="D293" s="109"/>
      <c r="E293" s="109"/>
      <c r="F293" s="109"/>
      <c r="G293" s="356"/>
      <c r="H293" s="109"/>
      <c r="I293" s="109"/>
      <c r="J293" s="109"/>
      <c r="K293" s="109"/>
      <c r="L293" s="109"/>
      <c r="M293" s="109"/>
      <c r="N293" s="109"/>
      <c r="O293" s="109"/>
      <c r="P293" s="357"/>
      <c r="Q293" s="109"/>
      <c r="R293" s="109"/>
      <c r="S293" s="109"/>
      <c r="T293" s="109"/>
      <c r="U293" s="109"/>
      <c r="V293" s="109"/>
      <c r="W293" s="109"/>
      <c r="X293" s="109"/>
      <c r="Y293" s="109"/>
      <c r="Z293" s="109"/>
    </row>
    <row r="294">
      <c r="A294" s="109"/>
      <c r="B294" s="109"/>
      <c r="C294" s="109"/>
      <c r="D294" s="109"/>
      <c r="E294" s="109"/>
      <c r="F294" s="109"/>
      <c r="G294" s="356"/>
      <c r="H294" s="109"/>
      <c r="I294" s="109"/>
      <c r="J294" s="109"/>
      <c r="K294" s="109"/>
      <c r="L294" s="109"/>
      <c r="M294" s="109"/>
      <c r="N294" s="109"/>
      <c r="O294" s="109"/>
      <c r="P294" s="357"/>
      <c r="Q294" s="109"/>
      <c r="R294" s="109"/>
      <c r="S294" s="109"/>
      <c r="T294" s="109"/>
      <c r="U294" s="109"/>
      <c r="V294" s="109"/>
      <c r="W294" s="109"/>
      <c r="X294" s="109"/>
      <c r="Y294" s="109"/>
      <c r="Z294" s="109"/>
    </row>
    <row r="295">
      <c r="A295" s="109"/>
      <c r="B295" s="109"/>
      <c r="C295" s="109"/>
      <c r="D295" s="109"/>
      <c r="E295" s="109"/>
      <c r="F295" s="109"/>
      <c r="G295" s="356"/>
      <c r="H295" s="109"/>
      <c r="I295" s="109"/>
      <c r="J295" s="109"/>
      <c r="K295" s="109"/>
      <c r="L295" s="109"/>
      <c r="M295" s="109"/>
      <c r="N295" s="109"/>
      <c r="O295" s="109"/>
      <c r="P295" s="357"/>
      <c r="Q295" s="109"/>
      <c r="R295" s="109"/>
      <c r="S295" s="109"/>
      <c r="T295" s="109"/>
      <c r="U295" s="109"/>
      <c r="V295" s="109"/>
      <c r="W295" s="109"/>
      <c r="X295" s="109"/>
      <c r="Y295" s="109"/>
      <c r="Z295" s="109"/>
    </row>
    <row r="296">
      <c r="A296" s="109"/>
      <c r="B296" s="109"/>
      <c r="C296" s="109"/>
      <c r="D296" s="109"/>
      <c r="E296" s="109"/>
      <c r="F296" s="109"/>
      <c r="G296" s="356"/>
      <c r="H296" s="109"/>
      <c r="I296" s="109"/>
      <c r="J296" s="109"/>
      <c r="K296" s="109"/>
      <c r="L296" s="109"/>
      <c r="M296" s="109"/>
      <c r="N296" s="109"/>
      <c r="O296" s="109"/>
      <c r="P296" s="357"/>
      <c r="Q296" s="109"/>
      <c r="R296" s="109"/>
      <c r="S296" s="109"/>
      <c r="T296" s="109"/>
      <c r="U296" s="109"/>
      <c r="V296" s="109"/>
      <c r="W296" s="109"/>
      <c r="X296" s="109"/>
      <c r="Y296" s="109"/>
      <c r="Z296" s="109"/>
    </row>
    <row r="297">
      <c r="A297" s="109"/>
      <c r="B297" s="109"/>
      <c r="C297" s="109"/>
      <c r="D297" s="109"/>
      <c r="E297" s="109"/>
      <c r="F297" s="109"/>
      <c r="G297" s="356"/>
      <c r="H297" s="109"/>
      <c r="I297" s="109"/>
      <c r="J297" s="109"/>
      <c r="K297" s="109"/>
      <c r="L297" s="109"/>
      <c r="M297" s="109"/>
      <c r="N297" s="109"/>
      <c r="O297" s="109"/>
      <c r="P297" s="357"/>
      <c r="Q297" s="109"/>
      <c r="R297" s="109"/>
      <c r="S297" s="109"/>
      <c r="T297" s="109"/>
      <c r="U297" s="109"/>
      <c r="V297" s="109"/>
      <c r="W297" s="109"/>
      <c r="X297" s="109"/>
      <c r="Y297" s="109"/>
      <c r="Z297" s="109"/>
    </row>
    <row r="298">
      <c r="A298" s="109"/>
      <c r="B298" s="109"/>
      <c r="C298" s="109"/>
      <c r="D298" s="109"/>
      <c r="E298" s="109"/>
      <c r="F298" s="109"/>
      <c r="G298" s="356"/>
      <c r="H298" s="109"/>
      <c r="I298" s="109"/>
      <c r="J298" s="109"/>
      <c r="K298" s="109"/>
      <c r="L298" s="109"/>
      <c r="M298" s="109"/>
      <c r="N298" s="109"/>
      <c r="O298" s="109"/>
      <c r="P298" s="357"/>
      <c r="Q298" s="109"/>
      <c r="R298" s="109"/>
      <c r="S298" s="109"/>
      <c r="T298" s="109"/>
      <c r="U298" s="109"/>
      <c r="V298" s="109"/>
      <c r="W298" s="109"/>
      <c r="X298" s="109"/>
      <c r="Y298" s="109"/>
      <c r="Z298" s="109"/>
    </row>
    <row r="299">
      <c r="A299" s="109"/>
      <c r="B299" s="109"/>
      <c r="C299" s="109"/>
      <c r="D299" s="109"/>
      <c r="E299" s="109"/>
      <c r="F299" s="109"/>
      <c r="G299" s="356"/>
      <c r="H299" s="109"/>
      <c r="I299" s="109"/>
      <c r="J299" s="109"/>
      <c r="K299" s="109"/>
      <c r="L299" s="109"/>
      <c r="M299" s="109"/>
      <c r="N299" s="109"/>
      <c r="O299" s="109"/>
      <c r="P299" s="357"/>
      <c r="Q299" s="109"/>
      <c r="R299" s="109"/>
      <c r="S299" s="109"/>
      <c r="T299" s="109"/>
      <c r="U299" s="109"/>
      <c r="V299" s="109"/>
      <c r="W299" s="109"/>
      <c r="X299" s="109"/>
      <c r="Y299" s="109"/>
      <c r="Z299" s="109"/>
    </row>
    <row r="300">
      <c r="A300" s="109"/>
      <c r="B300" s="109"/>
      <c r="C300" s="109"/>
      <c r="D300" s="109"/>
      <c r="E300" s="109"/>
      <c r="F300" s="109"/>
      <c r="G300" s="356"/>
      <c r="H300" s="109"/>
      <c r="I300" s="109"/>
      <c r="J300" s="109"/>
      <c r="K300" s="109"/>
      <c r="L300" s="109"/>
      <c r="M300" s="109"/>
      <c r="N300" s="109"/>
      <c r="O300" s="109"/>
      <c r="P300" s="357"/>
      <c r="Q300" s="109"/>
      <c r="R300" s="109"/>
      <c r="S300" s="109"/>
      <c r="T300" s="109"/>
      <c r="U300" s="109"/>
      <c r="V300" s="109"/>
      <c r="W300" s="109"/>
      <c r="X300" s="109"/>
      <c r="Y300" s="109"/>
      <c r="Z300" s="109"/>
    </row>
    <row r="301">
      <c r="A301" s="109"/>
      <c r="B301" s="109"/>
      <c r="C301" s="109"/>
      <c r="D301" s="109"/>
      <c r="E301" s="109"/>
      <c r="F301" s="109"/>
      <c r="G301" s="356"/>
      <c r="H301" s="109"/>
      <c r="I301" s="109"/>
      <c r="J301" s="109"/>
      <c r="K301" s="109"/>
      <c r="L301" s="109"/>
      <c r="M301" s="109"/>
      <c r="N301" s="109"/>
      <c r="O301" s="109"/>
      <c r="P301" s="357"/>
      <c r="Q301" s="109"/>
      <c r="R301" s="109"/>
      <c r="S301" s="109"/>
      <c r="T301" s="109"/>
      <c r="U301" s="109"/>
      <c r="V301" s="109"/>
      <c r="W301" s="109"/>
      <c r="X301" s="109"/>
      <c r="Y301" s="109"/>
      <c r="Z301" s="109"/>
    </row>
    <row r="302">
      <c r="A302" s="109"/>
      <c r="B302" s="109"/>
      <c r="C302" s="109"/>
      <c r="D302" s="109"/>
      <c r="E302" s="109"/>
      <c r="F302" s="109"/>
      <c r="G302" s="356"/>
      <c r="H302" s="109"/>
      <c r="I302" s="109"/>
      <c r="J302" s="109"/>
      <c r="K302" s="109"/>
      <c r="L302" s="109"/>
      <c r="M302" s="109"/>
      <c r="N302" s="109"/>
      <c r="O302" s="109"/>
      <c r="P302" s="357"/>
      <c r="Q302" s="109"/>
      <c r="R302" s="109"/>
      <c r="S302" s="109"/>
      <c r="T302" s="109"/>
      <c r="U302" s="109"/>
      <c r="V302" s="109"/>
      <c r="W302" s="109"/>
      <c r="X302" s="109"/>
      <c r="Y302" s="109"/>
      <c r="Z302" s="109"/>
    </row>
    <row r="303">
      <c r="A303" s="109"/>
      <c r="B303" s="109"/>
      <c r="C303" s="109"/>
      <c r="D303" s="109"/>
      <c r="E303" s="109"/>
      <c r="F303" s="109"/>
      <c r="G303" s="356"/>
      <c r="H303" s="109"/>
      <c r="I303" s="109"/>
      <c r="J303" s="109"/>
      <c r="K303" s="109"/>
      <c r="L303" s="109"/>
      <c r="M303" s="109"/>
      <c r="N303" s="109"/>
      <c r="O303" s="109"/>
      <c r="P303" s="357"/>
      <c r="Q303" s="109"/>
      <c r="R303" s="109"/>
      <c r="S303" s="109"/>
      <c r="T303" s="109"/>
      <c r="U303" s="109"/>
      <c r="V303" s="109"/>
      <c r="W303" s="109"/>
      <c r="X303" s="109"/>
      <c r="Y303" s="109"/>
      <c r="Z303" s="109"/>
    </row>
    <row r="304">
      <c r="A304" s="109"/>
      <c r="B304" s="109"/>
      <c r="C304" s="109"/>
      <c r="D304" s="109"/>
      <c r="E304" s="109"/>
      <c r="F304" s="109"/>
      <c r="G304" s="356"/>
      <c r="H304" s="109"/>
      <c r="I304" s="109"/>
      <c r="J304" s="109"/>
      <c r="K304" s="109"/>
      <c r="L304" s="109"/>
      <c r="M304" s="109"/>
      <c r="N304" s="109"/>
      <c r="O304" s="109"/>
      <c r="P304" s="357"/>
      <c r="Q304" s="109"/>
      <c r="R304" s="109"/>
      <c r="S304" s="109"/>
      <c r="T304" s="109"/>
      <c r="U304" s="109"/>
      <c r="V304" s="109"/>
      <c r="W304" s="109"/>
      <c r="X304" s="109"/>
      <c r="Y304" s="109"/>
      <c r="Z304" s="109"/>
    </row>
    <row r="305">
      <c r="A305" s="109"/>
      <c r="B305" s="109"/>
      <c r="C305" s="109"/>
      <c r="D305" s="109"/>
      <c r="E305" s="109"/>
      <c r="F305" s="109"/>
      <c r="G305" s="356"/>
      <c r="H305" s="109"/>
      <c r="I305" s="109"/>
      <c r="J305" s="109"/>
      <c r="K305" s="109"/>
      <c r="L305" s="109"/>
      <c r="M305" s="109"/>
      <c r="N305" s="109"/>
      <c r="O305" s="109"/>
      <c r="P305" s="357"/>
      <c r="Q305" s="109"/>
      <c r="R305" s="109"/>
      <c r="S305" s="109"/>
      <c r="T305" s="109"/>
      <c r="U305" s="109"/>
      <c r="V305" s="109"/>
      <c r="W305" s="109"/>
      <c r="X305" s="109"/>
      <c r="Y305" s="109"/>
      <c r="Z305" s="109"/>
    </row>
    <row r="306">
      <c r="A306" s="109"/>
      <c r="B306" s="109"/>
      <c r="C306" s="109"/>
      <c r="D306" s="109"/>
      <c r="E306" s="109"/>
      <c r="F306" s="109"/>
      <c r="G306" s="356"/>
      <c r="H306" s="109"/>
      <c r="I306" s="109"/>
      <c r="J306" s="109"/>
      <c r="K306" s="109"/>
      <c r="L306" s="109"/>
      <c r="M306" s="109"/>
      <c r="N306" s="109"/>
      <c r="O306" s="109"/>
      <c r="P306" s="357"/>
      <c r="Q306" s="109"/>
      <c r="R306" s="109"/>
      <c r="S306" s="109"/>
      <c r="T306" s="109"/>
      <c r="U306" s="109"/>
      <c r="V306" s="109"/>
      <c r="W306" s="109"/>
      <c r="X306" s="109"/>
      <c r="Y306" s="109"/>
      <c r="Z306" s="109"/>
    </row>
    <row r="307">
      <c r="A307" s="109"/>
      <c r="B307" s="109"/>
      <c r="C307" s="109"/>
      <c r="D307" s="109"/>
      <c r="E307" s="109"/>
      <c r="F307" s="109"/>
      <c r="G307" s="356"/>
      <c r="H307" s="109"/>
      <c r="I307" s="109"/>
      <c r="J307" s="109"/>
      <c r="K307" s="109"/>
      <c r="L307" s="109"/>
      <c r="M307" s="109"/>
      <c r="N307" s="109"/>
      <c r="O307" s="109"/>
      <c r="P307" s="357"/>
      <c r="Q307" s="109"/>
      <c r="R307" s="109"/>
      <c r="S307" s="109"/>
      <c r="T307" s="109"/>
      <c r="U307" s="109"/>
      <c r="V307" s="109"/>
      <c r="W307" s="109"/>
      <c r="X307" s="109"/>
      <c r="Y307" s="109"/>
      <c r="Z307" s="109"/>
    </row>
    <row r="308">
      <c r="A308" s="109"/>
      <c r="B308" s="109"/>
      <c r="C308" s="109"/>
      <c r="D308" s="109"/>
      <c r="E308" s="109"/>
      <c r="F308" s="109"/>
      <c r="G308" s="356"/>
      <c r="H308" s="109"/>
      <c r="I308" s="109"/>
      <c r="J308" s="109"/>
      <c r="K308" s="109"/>
      <c r="L308" s="109"/>
      <c r="M308" s="109"/>
      <c r="N308" s="109"/>
      <c r="O308" s="109"/>
      <c r="P308" s="357"/>
      <c r="Q308" s="109"/>
      <c r="R308" s="109"/>
      <c r="S308" s="109"/>
      <c r="T308" s="109"/>
      <c r="U308" s="109"/>
      <c r="V308" s="109"/>
      <c r="W308" s="109"/>
      <c r="X308" s="109"/>
      <c r="Y308" s="109"/>
      <c r="Z308" s="109"/>
    </row>
    <row r="309">
      <c r="A309" s="109"/>
      <c r="B309" s="109"/>
      <c r="C309" s="109"/>
      <c r="D309" s="109"/>
      <c r="E309" s="109"/>
      <c r="F309" s="109"/>
      <c r="G309" s="356"/>
      <c r="H309" s="109"/>
      <c r="I309" s="109"/>
      <c r="J309" s="109"/>
      <c r="K309" s="109"/>
      <c r="L309" s="109"/>
      <c r="M309" s="109"/>
      <c r="N309" s="109"/>
      <c r="O309" s="109"/>
      <c r="P309" s="357"/>
      <c r="Q309" s="109"/>
      <c r="R309" s="109"/>
      <c r="S309" s="109"/>
      <c r="T309" s="109"/>
      <c r="U309" s="109"/>
      <c r="V309" s="109"/>
      <c r="W309" s="109"/>
      <c r="X309" s="109"/>
      <c r="Y309" s="109"/>
      <c r="Z309" s="109"/>
    </row>
    <row r="310">
      <c r="A310" s="109"/>
      <c r="B310" s="109"/>
      <c r="C310" s="109"/>
      <c r="D310" s="109"/>
      <c r="E310" s="109"/>
      <c r="F310" s="109"/>
      <c r="G310" s="356"/>
      <c r="H310" s="109"/>
      <c r="I310" s="109"/>
      <c r="J310" s="109"/>
      <c r="K310" s="109"/>
      <c r="L310" s="109"/>
      <c r="M310" s="109"/>
      <c r="N310" s="109"/>
      <c r="O310" s="109"/>
      <c r="P310" s="357"/>
      <c r="Q310" s="109"/>
      <c r="R310" s="109"/>
      <c r="S310" s="109"/>
      <c r="T310" s="109"/>
      <c r="U310" s="109"/>
      <c r="V310" s="109"/>
      <c r="W310" s="109"/>
      <c r="X310" s="109"/>
      <c r="Y310" s="109"/>
      <c r="Z310" s="109"/>
    </row>
    <row r="311">
      <c r="A311" s="109"/>
      <c r="B311" s="109"/>
      <c r="C311" s="109"/>
      <c r="D311" s="109"/>
      <c r="E311" s="109"/>
      <c r="F311" s="109"/>
      <c r="G311" s="356"/>
      <c r="H311" s="109"/>
      <c r="I311" s="109"/>
      <c r="J311" s="109"/>
      <c r="K311" s="109"/>
      <c r="L311" s="109"/>
      <c r="M311" s="109"/>
      <c r="N311" s="109"/>
      <c r="O311" s="109"/>
      <c r="P311" s="357"/>
      <c r="Q311" s="109"/>
      <c r="R311" s="109"/>
      <c r="S311" s="109"/>
      <c r="T311" s="109"/>
      <c r="U311" s="109"/>
      <c r="V311" s="109"/>
      <c r="W311" s="109"/>
      <c r="X311" s="109"/>
      <c r="Y311" s="109"/>
      <c r="Z311" s="109"/>
    </row>
    <row r="312">
      <c r="A312" s="109"/>
      <c r="B312" s="109"/>
      <c r="C312" s="109"/>
      <c r="D312" s="109"/>
      <c r="E312" s="109"/>
      <c r="F312" s="109"/>
      <c r="G312" s="356"/>
      <c r="H312" s="109"/>
      <c r="I312" s="109"/>
      <c r="J312" s="109"/>
      <c r="K312" s="109"/>
      <c r="L312" s="109"/>
      <c r="M312" s="109"/>
      <c r="N312" s="109"/>
      <c r="O312" s="109"/>
      <c r="P312" s="357"/>
      <c r="Q312" s="109"/>
      <c r="R312" s="109"/>
      <c r="S312" s="109"/>
      <c r="T312" s="109"/>
      <c r="U312" s="109"/>
      <c r="V312" s="109"/>
      <c r="W312" s="109"/>
      <c r="X312" s="109"/>
      <c r="Y312" s="109"/>
      <c r="Z312" s="109"/>
    </row>
    <row r="313">
      <c r="A313" s="109"/>
      <c r="B313" s="109"/>
      <c r="C313" s="109"/>
      <c r="D313" s="109"/>
      <c r="E313" s="109"/>
      <c r="F313" s="109"/>
      <c r="G313" s="356"/>
      <c r="H313" s="109"/>
      <c r="I313" s="109"/>
      <c r="J313" s="109"/>
      <c r="K313" s="109"/>
      <c r="L313" s="109"/>
      <c r="M313" s="109"/>
      <c r="N313" s="109"/>
      <c r="O313" s="109"/>
      <c r="P313" s="357"/>
      <c r="Q313" s="109"/>
      <c r="R313" s="109"/>
      <c r="S313" s="109"/>
      <c r="T313" s="109"/>
      <c r="U313" s="109"/>
      <c r="V313" s="109"/>
      <c r="W313" s="109"/>
      <c r="X313" s="109"/>
      <c r="Y313" s="109"/>
      <c r="Z313" s="109"/>
    </row>
    <row r="314">
      <c r="A314" s="109"/>
      <c r="B314" s="109"/>
      <c r="C314" s="109"/>
      <c r="D314" s="109"/>
      <c r="E314" s="109"/>
      <c r="F314" s="109"/>
      <c r="G314" s="356"/>
      <c r="H314" s="109"/>
      <c r="I314" s="109"/>
      <c r="J314" s="109"/>
      <c r="K314" s="109"/>
      <c r="L314" s="109"/>
      <c r="M314" s="109"/>
      <c r="N314" s="109"/>
      <c r="O314" s="109"/>
      <c r="P314" s="357"/>
      <c r="Q314" s="109"/>
      <c r="R314" s="109"/>
      <c r="S314" s="109"/>
      <c r="T314" s="109"/>
      <c r="U314" s="109"/>
      <c r="V314" s="109"/>
      <c r="W314" s="109"/>
      <c r="X314" s="109"/>
      <c r="Y314" s="109"/>
      <c r="Z314" s="109"/>
    </row>
    <row r="315">
      <c r="A315" s="109"/>
      <c r="B315" s="109"/>
      <c r="C315" s="109"/>
      <c r="D315" s="109"/>
      <c r="E315" s="109"/>
      <c r="F315" s="109"/>
      <c r="G315" s="356"/>
      <c r="H315" s="109"/>
      <c r="I315" s="109"/>
      <c r="J315" s="109"/>
      <c r="K315" s="109"/>
      <c r="L315" s="109"/>
      <c r="M315" s="109"/>
      <c r="N315" s="109"/>
      <c r="O315" s="109"/>
      <c r="P315" s="357"/>
      <c r="Q315" s="109"/>
      <c r="R315" s="109"/>
      <c r="S315" s="109"/>
      <c r="T315" s="109"/>
      <c r="U315" s="109"/>
      <c r="V315" s="109"/>
      <c r="W315" s="109"/>
      <c r="X315" s="109"/>
      <c r="Y315" s="109"/>
      <c r="Z315" s="109"/>
    </row>
    <row r="316">
      <c r="A316" s="109"/>
      <c r="B316" s="109"/>
      <c r="C316" s="109"/>
      <c r="D316" s="109"/>
      <c r="E316" s="109"/>
      <c r="F316" s="109"/>
      <c r="G316" s="356"/>
      <c r="H316" s="109"/>
      <c r="I316" s="109"/>
      <c r="J316" s="109"/>
      <c r="K316" s="109"/>
      <c r="L316" s="109"/>
      <c r="M316" s="109"/>
      <c r="N316" s="109"/>
      <c r="O316" s="109"/>
      <c r="P316" s="357"/>
      <c r="Q316" s="109"/>
      <c r="R316" s="109"/>
      <c r="S316" s="109"/>
      <c r="T316" s="109"/>
      <c r="U316" s="109"/>
      <c r="V316" s="109"/>
      <c r="W316" s="109"/>
      <c r="X316" s="109"/>
      <c r="Y316" s="109"/>
      <c r="Z316" s="109"/>
    </row>
    <row r="317">
      <c r="A317" s="109"/>
      <c r="B317" s="109"/>
      <c r="C317" s="109"/>
      <c r="D317" s="109"/>
      <c r="E317" s="109"/>
      <c r="F317" s="109"/>
      <c r="G317" s="356"/>
      <c r="H317" s="109"/>
      <c r="I317" s="109"/>
      <c r="J317" s="109"/>
      <c r="K317" s="109"/>
      <c r="L317" s="109"/>
      <c r="M317" s="109"/>
      <c r="N317" s="109"/>
      <c r="O317" s="109"/>
      <c r="P317" s="357"/>
      <c r="Q317" s="109"/>
      <c r="R317" s="109"/>
      <c r="S317" s="109"/>
      <c r="T317" s="109"/>
      <c r="U317" s="109"/>
      <c r="V317" s="109"/>
      <c r="W317" s="109"/>
      <c r="X317" s="109"/>
      <c r="Y317" s="109"/>
      <c r="Z317" s="109"/>
    </row>
    <row r="318">
      <c r="A318" s="109"/>
      <c r="B318" s="109"/>
      <c r="C318" s="109"/>
      <c r="D318" s="109"/>
      <c r="E318" s="109"/>
      <c r="F318" s="109"/>
      <c r="G318" s="356"/>
      <c r="H318" s="109"/>
      <c r="I318" s="109"/>
      <c r="J318" s="109"/>
      <c r="K318" s="109"/>
      <c r="L318" s="109"/>
      <c r="M318" s="109"/>
      <c r="N318" s="109"/>
      <c r="O318" s="109"/>
      <c r="P318" s="357"/>
      <c r="Q318" s="109"/>
      <c r="R318" s="109"/>
      <c r="S318" s="109"/>
      <c r="T318" s="109"/>
      <c r="U318" s="109"/>
      <c r="V318" s="109"/>
      <c r="W318" s="109"/>
      <c r="X318" s="109"/>
      <c r="Y318" s="109"/>
      <c r="Z318" s="109"/>
    </row>
    <row r="319">
      <c r="A319" s="109"/>
      <c r="B319" s="109"/>
      <c r="C319" s="109"/>
      <c r="D319" s="109"/>
      <c r="E319" s="109"/>
      <c r="F319" s="109"/>
      <c r="G319" s="356"/>
      <c r="H319" s="109"/>
      <c r="I319" s="109"/>
      <c r="J319" s="109"/>
      <c r="K319" s="109"/>
      <c r="L319" s="109"/>
      <c r="M319" s="109"/>
      <c r="N319" s="109"/>
      <c r="O319" s="109"/>
      <c r="P319" s="357"/>
      <c r="Q319" s="109"/>
      <c r="R319" s="109"/>
      <c r="S319" s="109"/>
      <c r="T319" s="109"/>
      <c r="U319" s="109"/>
      <c r="V319" s="109"/>
      <c r="W319" s="109"/>
      <c r="X319" s="109"/>
      <c r="Y319" s="109"/>
      <c r="Z319" s="109"/>
    </row>
    <row r="320">
      <c r="A320" s="109"/>
      <c r="B320" s="109"/>
      <c r="C320" s="109"/>
      <c r="D320" s="109"/>
      <c r="E320" s="109"/>
      <c r="F320" s="109"/>
      <c r="G320" s="356"/>
      <c r="H320" s="109"/>
      <c r="I320" s="109"/>
      <c r="J320" s="109"/>
      <c r="K320" s="109"/>
      <c r="L320" s="109"/>
      <c r="M320" s="109"/>
      <c r="N320" s="109"/>
      <c r="O320" s="109"/>
      <c r="P320" s="357"/>
      <c r="Q320" s="109"/>
      <c r="R320" s="109"/>
      <c r="S320" s="109"/>
      <c r="T320" s="109"/>
      <c r="U320" s="109"/>
      <c r="V320" s="109"/>
      <c r="W320" s="109"/>
      <c r="X320" s="109"/>
      <c r="Y320" s="109"/>
      <c r="Z320" s="109"/>
    </row>
    <row r="321">
      <c r="A321" s="109"/>
      <c r="B321" s="109"/>
      <c r="C321" s="109"/>
      <c r="D321" s="109"/>
      <c r="E321" s="109"/>
      <c r="F321" s="109"/>
      <c r="G321" s="356"/>
      <c r="H321" s="109"/>
      <c r="I321" s="109"/>
      <c r="J321" s="109"/>
      <c r="K321" s="109"/>
      <c r="L321" s="109"/>
      <c r="M321" s="109"/>
      <c r="N321" s="109"/>
      <c r="O321" s="109"/>
      <c r="P321" s="357"/>
      <c r="Q321" s="109"/>
      <c r="R321" s="109"/>
      <c r="S321" s="109"/>
      <c r="T321" s="109"/>
      <c r="U321" s="109"/>
      <c r="V321" s="109"/>
      <c r="W321" s="109"/>
      <c r="X321" s="109"/>
      <c r="Y321" s="109"/>
      <c r="Z321" s="109"/>
    </row>
    <row r="322">
      <c r="A322" s="109"/>
      <c r="B322" s="109"/>
      <c r="C322" s="109"/>
      <c r="D322" s="109"/>
      <c r="E322" s="109"/>
      <c r="F322" s="109"/>
      <c r="G322" s="356"/>
      <c r="H322" s="109"/>
      <c r="I322" s="109"/>
      <c r="J322" s="109"/>
      <c r="K322" s="109"/>
      <c r="L322" s="109"/>
      <c r="M322" s="109"/>
      <c r="N322" s="109"/>
      <c r="O322" s="109"/>
      <c r="P322" s="357"/>
      <c r="Q322" s="109"/>
      <c r="R322" s="109"/>
      <c r="S322" s="109"/>
      <c r="T322" s="109"/>
      <c r="U322" s="109"/>
      <c r="V322" s="109"/>
      <c r="W322" s="109"/>
      <c r="X322" s="109"/>
      <c r="Y322" s="109"/>
      <c r="Z322" s="109"/>
    </row>
    <row r="323">
      <c r="A323" s="109"/>
      <c r="B323" s="109"/>
      <c r="C323" s="109"/>
      <c r="D323" s="109"/>
      <c r="E323" s="109"/>
      <c r="F323" s="109"/>
      <c r="G323" s="356"/>
      <c r="H323" s="109"/>
      <c r="I323" s="109"/>
      <c r="J323" s="109"/>
      <c r="K323" s="109"/>
      <c r="L323" s="109"/>
      <c r="M323" s="109"/>
      <c r="N323" s="109"/>
      <c r="O323" s="109"/>
      <c r="P323" s="357"/>
      <c r="Q323" s="109"/>
      <c r="R323" s="109"/>
      <c r="S323" s="109"/>
      <c r="T323" s="109"/>
      <c r="U323" s="109"/>
      <c r="V323" s="109"/>
      <c r="W323" s="109"/>
      <c r="X323" s="109"/>
      <c r="Y323" s="109"/>
      <c r="Z323" s="109"/>
    </row>
    <row r="324">
      <c r="A324" s="109"/>
      <c r="B324" s="109"/>
      <c r="C324" s="109"/>
      <c r="D324" s="109"/>
      <c r="E324" s="109"/>
      <c r="F324" s="109"/>
      <c r="G324" s="356"/>
      <c r="H324" s="109"/>
      <c r="I324" s="109"/>
      <c r="J324" s="109"/>
      <c r="K324" s="109"/>
      <c r="L324" s="109"/>
      <c r="M324" s="109"/>
      <c r="N324" s="109"/>
      <c r="O324" s="109"/>
      <c r="P324" s="357"/>
      <c r="Q324" s="109"/>
      <c r="R324" s="109"/>
      <c r="S324" s="109"/>
      <c r="T324" s="109"/>
      <c r="U324" s="109"/>
      <c r="V324" s="109"/>
      <c r="W324" s="109"/>
      <c r="X324" s="109"/>
      <c r="Y324" s="109"/>
      <c r="Z324" s="109"/>
    </row>
    <row r="325">
      <c r="A325" s="109"/>
      <c r="B325" s="109"/>
      <c r="C325" s="109"/>
      <c r="D325" s="109"/>
      <c r="E325" s="109"/>
      <c r="F325" s="109"/>
      <c r="G325" s="356"/>
      <c r="H325" s="109"/>
      <c r="I325" s="109"/>
      <c r="J325" s="109"/>
      <c r="K325" s="109"/>
      <c r="L325" s="109"/>
      <c r="M325" s="109"/>
      <c r="N325" s="109"/>
      <c r="O325" s="109"/>
      <c r="P325" s="357"/>
      <c r="Q325" s="109"/>
      <c r="R325" s="109"/>
      <c r="S325" s="109"/>
      <c r="T325" s="109"/>
      <c r="U325" s="109"/>
      <c r="V325" s="109"/>
      <c r="W325" s="109"/>
      <c r="X325" s="109"/>
      <c r="Y325" s="109"/>
      <c r="Z325" s="109"/>
    </row>
    <row r="326">
      <c r="A326" s="109"/>
      <c r="B326" s="109"/>
      <c r="C326" s="109"/>
      <c r="D326" s="109"/>
      <c r="E326" s="109"/>
      <c r="F326" s="109"/>
      <c r="G326" s="356"/>
      <c r="H326" s="109"/>
      <c r="I326" s="109"/>
      <c r="J326" s="109"/>
      <c r="K326" s="109"/>
      <c r="L326" s="109"/>
      <c r="M326" s="109"/>
      <c r="N326" s="109"/>
      <c r="O326" s="109"/>
      <c r="P326" s="357"/>
      <c r="Q326" s="109"/>
      <c r="R326" s="109"/>
      <c r="S326" s="109"/>
      <c r="T326" s="109"/>
      <c r="U326" s="109"/>
      <c r="V326" s="109"/>
      <c r="W326" s="109"/>
      <c r="X326" s="109"/>
      <c r="Y326" s="109"/>
      <c r="Z326" s="109"/>
    </row>
    <row r="327">
      <c r="A327" s="109"/>
      <c r="B327" s="109"/>
      <c r="C327" s="109"/>
      <c r="D327" s="109"/>
      <c r="E327" s="109"/>
      <c r="F327" s="109"/>
      <c r="G327" s="356"/>
      <c r="H327" s="109"/>
      <c r="I327" s="109"/>
      <c r="J327" s="109"/>
      <c r="K327" s="109"/>
      <c r="L327" s="109"/>
      <c r="M327" s="109"/>
      <c r="N327" s="109"/>
      <c r="O327" s="109"/>
      <c r="P327" s="357"/>
      <c r="Q327" s="109"/>
      <c r="R327" s="109"/>
      <c r="S327" s="109"/>
      <c r="T327" s="109"/>
      <c r="U327" s="109"/>
      <c r="V327" s="109"/>
      <c r="W327" s="109"/>
      <c r="X327" s="109"/>
      <c r="Y327" s="109"/>
      <c r="Z327" s="109"/>
    </row>
    <row r="328">
      <c r="A328" s="109"/>
      <c r="B328" s="109"/>
      <c r="C328" s="109"/>
      <c r="D328" s="109"/>
      <c r="E328" s="109"/>
      <c r="F328" s="109"/>
      <c r="G328" s="356"/>
      <c r="H328" s="109"/>
      <c r="I328" s="109"/>
      <c r="J328" s="109"/>
      <c r="K328" s="109"/>
      <c r="L328" s="109"/>
      <c r="M328" s="109"/>
      <c r="N328" s="109"/>
      <c r="O328" s="109"/>
      <c r="P328" s="357"/>
      <c r="Q328" s="109"/>
      <c r="R328" s="109"/>
      <c r="S328" s="109"/>
      <c r="T328" s="109"/>
      <c r="U328" s="109"/>
      <c r="V328" s="109"/>
      <c r="W328" s="109"/>
      <c r="X328" s="109"/>
      <c r="Y328" s="109"/>
      <c r="Z328" s="109"/>
    </row>
    <row r="329">
      <c r="A329" s="109"/>
      <c r="B329" s="109"/>
      <c r="C329" s="109"/>
      <c r="D329" s="109"/>
      <c r="E329" s="109"/>
      <c r="F329" s="109"/>
      <c r="G329" s="356"/>
      <c r="H329" s="109"/>
      <c r="I329" s="109"/>
      <c r="J329" s="109"/>
      <c r="K329" s="109"/>
      <c r="L329" s="109"/>
      <c r="M329" s="109"/>
      <c r="N329" s="109"/>
      <c r="O329" s="109"/>
      <c r="P329" s="357"/>
      <c r="Q329" s="109"/>
      <c r="R329" s="109"/>
      <c r="S329" s="109"/>
      <c r="T329" s="109"/>
      <c r="U329" s="109"/>
      <c r="V329" s="109"/>
      <c r="W329" s="109"/>
      <c r="X329" s="109"/>
      <c r="Y329" s="109"/>
      <c r="Z329" s="109"/>
    </row>
    <row r="330">
      <c r="A330" s="109"/>
      <c r="B330" s="109"/>
      <c r="C330" s="109"/>
      <c r="D330" s="109"/>
      <c r="E330" s="109"/>
      <c r="F330" s="109"/>
      <c r="G330" s="356"/>
      <c r="H330" s="109"/>
      <c r="I330" s="109"/>
      <c r="J330" s="109"/>
      <c r="K330" s="109"/>
      <c r="L330" s="109"/>
      <c r="M330" s="109"/>
      <c r="N330" s="109"/>
      <c r="O330" s="109"/>
      <c r="P330" s="357"/>
      <c r="Q330" s="109"/>
      <c r="R330" s="109"/>
      <c r="S330" s="109"/>
      <c r="T330" s="109"/>
      <c r="U330" s="109"/>
      <c r="V330" s="109"/>
      <c r="W330" s="109"/>
      <c r="X330" s="109"/>
      <c r="Y330" s="109"/>
      <c r="Z330" s="109"/>
    </row>
    <row r="331">
      <c r="A331" s="109"/>
      <c r="B331" s="109"/>
      <c r="C331" s="109"/>
      <c r="D331" s="109"/>
      <c r="E331" s="109"/>
      <c r="F331" s="109"/>
      <c r="G331" s="356"/>
      <c r="H331" s="109"/>
      <c r="I331" s="109"/>
      <c r="J331" s="109"/>
      <c r="K331" s="109"/>
      <c r="L331" s="109"/>
      <c r="M331" s="109"/>
      <c r="N331" s="109"/>
      <c r="O331" s="109"/>
      <c r="P331" s="357"/>
      <c r="Q331" s="109"/>
      <c r="R331" s="109"/>
      <c r="S331" s="109"/>
      <c r="T331" s="109"/>
      <c r="U331" s="109"/>
      <c r="V331" s="109"/>
      <c r="W331" s="109"/>
      <c r="X331" s="109"/>
      <c r="Y331" s="109"/>
      <c r="Z331" s="109"/>
    </row>
    <row r="332">
      <c r="A332" s="109"/>
      <c r="B332" s="109"/>
      <c r="C332" s="109"/>
      <c r="D332" s="109"/>
      <c r="E332" s="109"/>
      <c r="F332" s="109"/>
      <c r="G332" s="356"/>
      <c r="H332" s="109"/>
      <c r="I332" s="109"/>
      <c r="J332" s="109"/>
      <c r="K332" s="109"/>
      <c r="L332" s="109"/>
      <c r="M332" s="109"/>
      <c r="N332" s="109"/>
      <c r="O332" s="109"/>
      <c r="P332" s="357"/>
      <c r="Q332" s="109"/>
      <c r="R332" s="109"/>
      <c r="S332" s="109"/>
      <c r="T332" s="109"/>
      <c r="U332" s="109"/>
      <c r="V332" s="109"/>
      <c r="W332" s="109"/>
      <c r="X332" s="109"/>
      <c r="Y332" s="109"/>
      <c r="Z332" s="109"/>
    </row>
    <row r="333">
      <c r="A333" s="109"/>
      <c r="B333" s="109"/>
      <c r="C333" s="109"/>
      <c r="D333" s="109"/>
      <c r="E333" s="109"/>
      <c r="F333" s="109"/>
      <c r="G333" s="356"/>
      <c r="H333" s="109"/>
      <c r="I333" s="109"/>
      <c r="J333" s="109"/>
      <c r="K333" s="109"/>
      <c r="L333" s="109"/>
      <c r="M333" s="109"/>
      <c r="N333" s="109"/>
      <c r="O333" s="109"/>
      <c r="P333" s="357"/>
      <c r="Q333" s="109"/>
      <c r="R333" s="109"/>
      <c r="S333" s="109"/>
      <c r="T333" s="109"/>
      <c r="U333" s="109"/>
      <c r="V333" s="109"/>
      <c r="W333" s="109"/>
      <c r="X333" s="109"/>
      <c r="Y333" s="109"/>
      <c r="Z333" s="109"/>
    </row>
    <row r="334">
      <c r="A334" s="109"/>
      <c r="B334" s="109"/>
      <c r="C334" s="109"/>
      <c r="D334" s="109"/>
      <c r="E334" s="109"/>
      <c r="F334" s="109"/>
      <c r="G334" s="356"/>
      <c r="H334" s="109"/>
      <c r="I334" s="109"/>
      <c r="J334" s="109"/>
      <c r="K334" s="109"/>
      <c r="L334" s="109"/>
      <c r="M334" s="109"/>
      <c r="N334" s="109"/>
      <c r="O334" s="109"/>
      <c r="P334" s="357"/>
      <c r="Q334" s="109"/>
      <c r="R334" s="109"/>
      <c r="S334" s="109"/>
      <c r="T334" s="109"/>
      <c r="U334" s="109"/>
      <c r="V334" s="109"/>
      <c r="W334" s="109"/>
      <c r="X334" s="109"/>
      <c r="Y334" s="109"/>
      <c r="Z334" s="109"/>
    </row>
    <row r="335">
      <c r="A335" s="109"/>
      <c r="B335" s="109"/>
      <c r="C335" s="109"/>
      <c r="D335" s="109"/>
      <c r="E335" s="109"/>
      <c r="F335" s="109"/>
      <c r="G335" s="356"/>
      <c r="H335" s="109"/>
      <c r="I335" s="109"/>
      <c r="J335" s="109"/>
      <c r="K335" s="109"/>
      <c r="L335" s="109"/>
      <c r="M335" s="109"/>
      <c r="N335" s="109"/>
      <c r="O335" s="109"/>
      <c r="P335" s="357"/>
      <c r="Q335" s="109"/>
      <c r="R335" s="109"/>
      <c r="S335" s="109"/>
      <c r="T335" s="109"/>
      <c r="U335" s="109"/>
      <c r="V335" s="109"/>
      <c r="W335" s="109"/>
      <c r="X335" s="109"/>
      <c r="Y335" s="109"/>
      <c r="Z335" s="109"/>
    </row>
    <row r="336">
      <c r="A336" s="109"/>
      <c r="B336" s="109"/>
      <c r="C336" s="109"/>
      <c r="D336" s="109"/>
      <c r="E336" s="109"/>
      <c r="F336" s="109"/>
      <c r="G336" s="356"/>
      <c r="H336" s="109"/>
      <c r="I336" s="109"/>
      <c r="J336" s="109"/>
      <c r="K336" s="109"/>
      <c r="L336" s="109"/>
      <c r="M336" s="109"/>
      <c r="N336" s="109"/>
      <c r="O336" s="109"/>
      <c r="P336" s="357"/>
      <c r="Q336" s="109"/>
      <c r="R336" s="109"/>
      <c r="S336" s="109"/>
      <c r="T336" s="109"/>
      <c r="U336" s="109"/>
      <c r="V336" s="109"/>
      <c r="W336" s="109"/>
      <c r="X336" s="109"/>
      <c r="Y336" s="109"/>
      <c r="Z336" s="109"/>
    </row>
    <row r="337">
      <c r="A337" s="109"/>
      <c r="B337" s="109"/>
      <c r="C337" s="109"/>
      <c r="D337" s="109"/>
      <c r="E337" s="109"/>
      <c r="F337" s="109"/>
      <c r="G337" s="356"/>
      <c r="H337" s="109"/>
      <c r="I337" s="109"/>
      <c r="J337" s="109"/>
      <c r="K337" s="109"/>
      <c r="L337" s="109"/>
      <c r="M337" s="109"/>
      <c r="N337" s="109"/>
      <c r="O337" s="109"/>
      <c r="P337" s="357"/>
      <c r="Q337" s="109"/>
      <c r="R337" s="109"/>
      <c r="S337" s="109"/>
      <c r="T337" s="109"/>
      <c r="U337" s="109"/>
      <c r="V337" s="109"/>
      <c r="W337" s="109"/>
      <c r="X337" s="109"/>
      <c r="Y337" s="109"/>
      <c r="Z337" s="109"/>
    </row>
    <row r="338">
      <c r="A338" s="109"/>
      <c r="B338" s="109"/>
      <c r="C338" s="109"/>
      <c r="D338" s="109"/>
      <c r="E338" s="109"/>
      <c r="F338" s="109"/>
      <c r="G338" s="356"/>
      <c r="H338" s="109"/>
      <c r="I338" s="109"/>
      <c r="J338" s="109"/>
      <c r="K338" s="109"/>
      <c r="L338" s="109"/>
      <c r="M338" s="109"/>
      <c r="N338" s="109"/>
      <c r="O338" s="109"/>
      <c r="P338" s="357"/>
      <c r="Q338" s="109"/>
      <c r="R338" s="109"/>
      <c r="S338" s="109"/>
      <c r="T338" s="109"/>
      <c r="U338" s="109"/>
      <c r="V338" s="109"/>
      <c r="W338" s="109"/>
      <c r="X338" s="109"/>
      <c r="Y338" s="109"/>
      <c r="Z338" s="109"/>
    </row>
    <row r="339">
      <c r="A339" s="109"/>
      <c r="B339" s="109"/>
      <c r="C339" s="109"/>
      <c r="D339" s="109"/>
      <c r="E339" s="109"/>
      <c r="F339" s="109"/>
      <c r="G339" s="356"/>
      <c r="H339" s="109"/>
      <c r="I339" s="109"/>
      <c r="J339" s="109"/>
      <c r="K339" s="109"/>
      <c r="L339" s="109"/>
      <c r="M339" s="109"/>
      <c r="N339" s="109"/>
      <c r="O339" s="109"/>
      <c r="P339" s="357"/>
      <c r="Q339" s="109"/>
      <c r="R339" s="109"/>
      <c r="S339" s="109"/>
      <c r="T339" s="109"/>
      <c r="U339" s="109"/>
      <c r="V339" s="109"/>
      <c r="W339" s="109"/>
      <c r="X339" s="109"/>
      <c r="Y339" s="109"/>
      <c r="Z339" s="109"/>
    </row>
    <row r="340">
      <c r="A340" s="109"/>
      <c r="B340" s="109"/>
      <c r="C340" s="109"/>
      <c r="D340" s="109"/>
      <c r="E340" s="109"/>
      <c r="F340" s="109"/>
      <c r="G340" s="356"/>
      <c r="H340" s="109"/>
      <c r="I340" s="109"/>
      <c r="J340" s="109"/>
      <c r="K340" s="109"/>
      <c r="L340" s="109"/>
      <c r="M340" s="109"/>
      <c r="N340" s="109"/>
      <c r="O340" s="109"/>
      <c r="P340" s="357"/>
      <c r="Q340" s="109"/>
      <c r="R340" s="109"/>
      <c r="S340" s="109"/>
      <c r="T340" s="109"/>
      <c r="U340" s="109"/>
      <c r="V340" s="109"/>
      <c r="W340" s="109"/>
      <c r="X340" s="109"/>
      <c r="Y340" s="109"/>
      <c r="Z340" s="109"/>
    </row>
    <row r="341">
      <c r="A341" s="109"/>
      <c r="B341" s="109"/>
      <c r="C341" s="109"/>
      <c r="D341" s="109"/>
      <c r="E341" s="109"/>
      <c r="F341" s="109"/>
      <c r="G341" s="356"/>
      <c r="H341" s="109"/>
      <c r="I341" s="109"/>
      <c r="J341" s="109"/>
      <c r="K341" s="109"/>
      <c r="L341" s="109"/>
      <c r="M341" s="109"/>
      <c r="N341" s="109"/>
      <c r="O341" s="109"/>
      <c r="P341" s="357"/>
      <c r="Q341" s="109"/>
      <c r="R341" s="109"/>
      <c r="S341" s="109"/>
      <c r="T341" s="109"/>
      <c r="U341" s="109"/>
      <c r="V341" s="109"/>
      <c r="W341" s="109"/>
      <c r="X341" s="109"/>
      <c r="Y341" s="109"/>
      <c r="Z341" s="109"/>
    </row>
    <row r="342">
      <c r="A342" s="109"/>
      <c r="B342" s="109"/>
      <c r="C342" s="109"/>
      <c r="D342" s="109"/>
      <c r="E342" s="109"/>
      <c r="F342" s="109"/>
      <c r="G342" s="356"/>
      <c r="H342" s="109"/>
      <c r="I342" s="109"/>
      <c r="J342" s="109"/>
      <c r="K342" s="109"/>
      <c r="L342" s="109"/>
      <c r="M342" s="109"/>
      <c r="N342" s="109"/>
      <c r="O342" s="109"/>
      <c r="P342" s="357"/>
      <c r="Q342" s="109"/>
      <c r="R342" s="109"/>
      <c r="S342" s="109"/>
      <c r="T342" s="109"/>
      <c r="U342" s="109"/>
      <c r="V342" s="109"/>
      <c r="W342" s="109"/>
      <c r="X342" s="109"/>
      <c r="Y342" s="109"/>
      <c r="Z342" s="109"/>
    </row>
    <row r="343">
      <c r="A343" s="109"/>
      <c r="B343" s="109"/>
      <c r="C343" s="109"/>
      <c r="D343" s="109"/>
      <c r="E343" s="109"/>
      <c r="F343" s="109"/>
      <c r="G343" s="356"/>
      <c r="H343" s="109"/>
      <c r="I343" s="109"/>
      <c r="J343" s="109"/>
      <c r="K343" s="109"/>
      <c r="L343" s="109"/>
      <c r="M343" s="109"/>
      <c r="N343" s="109"/>
      <c r="O343" s="109"/>
      <c r="P343" s="357"/>
      <c r="Q343" s="109"/>
      <c r="R343" s="109"/>
      <c r="S343" s="109"/>
      <c r="T343" s="109"/>
      <c r="U343" s="109"/>
      <c r="V343" s="109"/>
      <c r="W343" s="109"/>
      <c r="X343" s="109"/>
      <c r="Y343" s="109"/>
      <c r="Z343" s="109"/>
    </row>
    <row r="344">
      <c r="A344" s="109"/>
      <c r="B344" s="109"/>
      <c r="C344" s="109"/>
      <c r="D344" s="109"/>
      <c r="E344" s="109"/>
      <c r="F344" s="109"/>
      <c r="G344" s="356"/>
      <c r="H344" s="109"/>
      <c r="I344" s="109"/>
      <c r="J344" s="109"/>
      <c r="K344" s="109"/>
      <c r="L344" s="109"/>
      <c r="M344" s="109"/>
      <c r="N344" s="109"/>
      <c r="O344" s="109"/>
      <c r="P344" s="357"/>
      <c r="Q344" s="109"/>
      <c r="R344" s="109"/>
      <c r="S344" s="109"/>
      <c r="T344" s="109"/>
      <c r="U344" s="109"/>
      <c r="V344" s="109"/>
      <c r="W344" s="109"/>
      <c r="X344" s="109"/>
      <c r="Y344" s="109"/>
      <c r="Z344" s="109"/>
    </row>
    <row r="345">
      <c r="A345" s="109"/>
      <c r="B345" s="109"/>
      <c r="C345" s="109"/>
      <c r="D345" s="109"/>
      <c r="E345" s="109"/>
      <c r="F345" s="109"/>
      <c r="G345" s="356"/>
      <c r="H345" s="109"/>
      <c r="I345" s="109"/>
      <c r="J345" s="109"/>
      <c r="K345" s="109"/>
      <c r="L345" s="109"/>
      <c r="M345" s="109"/>
      <c r="N345" s="109"/>
      <c r="O345" s="109"/>
      <c r="P345" s="357"/>
      <c r="Q345" s="109"/>
      <c r="R345" s="109"/>
      <c r="S345" s="109"/>
      <c r="T345" s="109"/>
      <c r="U345" s="109"/>
      <c r="V345" s="109"/>
      <c r="W345" s="109"/>
      <c r="X345" s="109"/>
      <c r="Y345" s="109"/>
      <c r="Z345" s="109"/>
    </row>
    <row r="346">
      <c r="A346" s="109"/>
      <c r="B346" s="109"/>
      <c r="C346" s="109"/>
      <c r="D346" s="109"/>
      <c r="E346" s="109"/>
      <c r="F346" s="109"/>
      <c r="G346" s="356"/>
      <c r="H346" s="109"/>
      <c r="I346" s="109"/>
      <c r="J346" s="109"/>
      <c r="K346" s="109"/>
      <c r="L346" s="109"/>
      <c r="M346" s="109"/>
      <c r="N346" s="109"/>
      <c r="O346" s="109"/>
      <c r="P346" s="357"/>
      <c r="Q346" s="109"/>
      <c r="R346" s="109"/>
      <c r="S346" s="109"/>
      <c r="T346" s="109"/>
      <c r="U346" s="109"/>
      <c r="V346" s="109"/>
      <c r="W346" s="109"/>
      <c r="X346" s="109"/>
      <c r="Y346" s="109"/>
      <c r="Z346" s="109"/>
    </row>
    <row r="347">
      <c r="A347" s="109"/>
      <c r="B347" s="109"/>
      <c r="C347" s="109"/>
      <c r="D347" s="109"/>
      <c r="E347" s="109"/>
      <c r="F347" s="109"/>
      <c r="G347" s="356"/>
      <c r="H347" s="109"/>
      <c r="I347" s="109"/>
      <c r="J347" s="109"/>
      <c r="K347" s="109"/>
      <c r="L347" s="109"/>
      <c r="M347" s="109"/>
      <c r="N347" s="109"/>
      <c r="O347" s="109"/>
      <c r="P347" s="357"/>
      <c r="Q347" s="109"/>
      <c r="R347" s="109"/>
      <c r="S347" s="109"/>
      <c r="T347" s="109"/>
      <c r="U347" s="109"/>
      <c r="V347" s="109"/>
      <c r="W347" s="109"/>
      <c r="X347" s="109"/>
      <c r="Y347" s="109"/>
      <c r="Z347" s="109"/>
    </row>
    <row r="348">
      <c r="A348" s="109"/>
      <c r="B348" s="109"/>
      <c r="C348" s="109"/>
      <c r="D348" s="109"/>
      <c r="E348" s="109"/>
      <c r="F348" s="109"/>
      <c r="G348" s="356"/>
      <c r="H348" s="109"/>
      <c r="I348" s="109"/>
      <c r="J348" s="109"/>
      <c r="K348" s="109"/>
      <c r="L348" s="109"/>
      <c r="M348" s="109"/>
      <c r="N348" s="109"/>
      <c r="O348" s="109"/>
      <c r="P348" s="357"/>
      <c r="Q348" s="109"/>
      <c r="R348" s="109"/>
      <c r="S348" s="109"/>
      <c r="T348" s="109"/>
      <c r="U348" s="109"/>
      <c r="V348" s="109"/>
      <c r="W348" s="109"/>
      <c r="X348" s="109"/>
      <c r="Y348" s="109"/>
      <c r="Z348" s="109"/>
    </row>
    <row r="349">
      <c r="A349" s="109"/>
      <c r="B349" s="109"/>
      <c r="C349" s="109"/>
      <c r="D349" s="109"/>
      <c r="E349" s="109"/>
      <c r="F349" s="109"/>
      <c r="G349" s="356"/>
      <c r="H349" s="109"/>
      <c r="I349" s="109"/>
      <c r="J349" s="109"/>
      <c r="K349" s="109"/>
      <c r="L349" s="109"/>
      <c r="M349" s="109"/>
      <c r="N349" s="109"/>
      <c r="O349" s="109"/>
      <c r="P349" s="357"/>
      <c r="Q349" s="109"/>
      <c r="R349" s="109"/>
      <c r="S349" s="109"/>
      <c r="T349" s="109"/>
      <c r="U349" s="109"/>
      <c r="V349" s="109"/>
      <c r="W349" s="109"/>
      <c r="X349" s="109"/>
      <c r="Y349" s="109"/>
      <c r="Z349" s="109"/>
    </row>
    <row r="350">
      <c r="A350" s="109"/>
      <c r="B350" s="109"/>
      <c r="C350" s="109"/>
      <c r="D350" s="109"/>
      <c r="E350" s="109"/>
      <c r="F350" s="109"/>
      <c r="G350" s="356"/>
      <c r="H350" s="109"/>
      <c r="I350" s="109"/>
      <c r="J350" s="109"/>
      <c r="K350" s="109"/>
      <c r="L350" s="109"/>
      <c r="M350" s="109"/>
      <c r="N350" s="109"/>
      <c r="O350" s="109"/>
      <c r="P350" s="357"/>
      <c r="Q350" s="109"/>
      <c r="R350" s="109"/>
      <c r="S350" s="109"/>
      <c r="T350" s="109"/>
      <c r="U350" s="109"/>
      <c r="V350" s="109"/>
      <c r="W350" s="109"/>
      <c r="X350" s="109"/>
      <c r="Y350" s="109"/>
      <c r="Z350" s="109"/>
    </row>
    <row r="351">
      <c r="A351" s="109"/>
      <c r="B351" s="109"/>
      <c r="C351" s="109"/>
      <c r="D351" s="109"/>
      <c r="E351" s="109"/>
      <c r="F351" s="109"/>
      <c r="G351" s="356"/>
      <c r="H351" s="109"/>
      <c r="I351" s="109"/>
      <c r="J351" s="109"/>
      <c r="K351" s="109"/>
      <c r="L351" s="109"/>
      <c r="M351" s="109"/>
      <c r="N351" s="109"/>
      <c r="O351" s="109"/>
      <c r="P351" s="357"/>
      <c r="Q351" s="109"/>
      <c r="R351" s="109"/>
      <c r="S351" s="109"/>
      <c r="T351" s="109"/>
      <c r="U351" s="109"/>
      <c r="V351" s="109"/>
      <c r="W351" s="109"/>
      <c r="X351" s="109"/>
      <c r="Y351" s="109"/>
      <c r="Z351" s="109"/>
    </row>
    <row r="352">
      <c r="A352" s="109"/>
      <c r="B352" s="109"/>
      <c r="C352" s="109"/>
      <c r="D352" s="109"/>
      <c r="E352" s="109"/>
      <c r="F352" s="109"/>
      <c r="G352" s="356"/>
      <c r="H352" s="109"/>
      <c r="I352" s="109"/>
      <c r="J352" s="109"/>
      <c r="K352" s="109"/>
      <c r="L352" s="109"/>
      <c r="M352" s="109"/>
      <c r="N352" s="109"/>
      <c r="O352" s="109"/>
      <c r="P352" s="357"/>
      <c r="Q352" s="109"/>
      <c r="R352" s="109"/>
      <c r="S352" s="109"/>
      <c r="T352" s="109"/>
      <c r="U352" s="109"/>
      <c r="V352" s="109"/>
      <c r="W352" s="109"/>
      <c r="X352" s="109"/>
      <c r="Y352" s="109"/>
      <c r="Z352" s="109"/>
    </row>
    <row r="353">
      <c r="A353" s="109"/>
      <c r="B353" s="109"/>
      <c r="C353" s="109"/>
      <c r="D353" s="109"/>
      <c r="E353" s="109"/>
      <c r="F353" s="109"/>
      <c r="G353" s="356"/>
      <c r="H353" s="109"/>
      <c r="I353" s="109"/>
      <c r="J353" s="109"/>
      <c r="K353" s="109"/>
      <c r="L353" s="109"/>
      <c r="M353" s="109"/>
      <c r="N353" s="109"/>
      <c r="O353" s="109"/>
      <c r="P353" s="357"/>
      <c r="Q353" s="109"/>
      <c r="R353" s="109"/>
      <c r="S353" s="109"/>
      <c r="T353" s="109"/>
      <c r="U353" s="109"/>
      <c r="V353" s="109"/>
      <c r="W353" s="109"/>
      <c r="X353" s="109"/>
      <c r="Y353" s="109"/>
      <c r="Z353" s="109"/>
    </row>
    <row r="354">
      <c r="A354" s="109"/>
      <c r="B354" s="109"/>
      <c r="C354" s="109"/>
      <c r="D354" s="109"/>
      <c r="E354" s="109"/>
      <c r="F354" s="109"/>
      <c r="G354" s="356"/>
      <c r="H354" s="109"/>
      <c r="I354" s="109"/>
      <c r="J354" s="109"/>
      <c r="K354" s="109"/>
      <c r="L354" s="109"/>
      <c r="M354" s="109"/>
      <c r="N354" s="109"/>
      <c r="O354" s="109"/>
      <c r="P354" s="357"/>
      <c r="Q354" s="109"/>
      <c r="R354" s="109"/>
      <c r="S354" s="109"/>
      <c r="T354" s="109"/>
      <c r="U354" s="109"/>
      <c r="V354" s="109"/>
      <c r="W354" s="109"/>
      <c r="X354" s="109"/>
      <c r="Y354" s="109"/>
      <c r="Z354" s="109"/>
    </row>
    <row r="355">
      <c r="A355" s="109"/>
      <c r="B355" s="109"/>
      <c r="C355" s="109"/>
      <c r="D355" s="109"/>
      <c r="E355" s="109"/>
      <c r="F355" s="109"/>
      <c r="G355" s="356"/>
      <c r="H355" s="109"/>
      <c r="I355" s="109"/>
      <c r="J355" s="109"/>
      <c r="K355" s="109"/>
      <c r="L355" s="109"/>
      <c r="M355" s="109"/>
      <c r="N355" s="109"/>
      <c r="O355" s="109"/>
      <c r="P355" s="357"/>
      <c r="Q355" s="109"/>
      <c r="R355" s="109"/>
      <c r="S355" s="109"/>
      <c r="T355" s="109"/>
      <c r="U355" s="109"/>
      <c r="V355" s="109"/>
      <c r="W355" s="109"/>
      <c r="X355" s="109"/>
      <c r="Y355" s="109"/>
      <c r="Z355" s="109"/>
    </row>
    <row r="356">
      <c r="A356" s="109"/>
      <c r="B356" s="109"/>
      <c r="C356" s="109"/>
      <c r="D356" s="109"/>
      <c r="E356" s="109"/>
      <c r="F356" s="109"/>
      <c r="G356" s="356"/>
      <c r="H356" s="109"/>
      <c r="I356" s="109"/>
      <c r="J356" s="109"/>
      <c r="K356" s="109"/>
      <c r="L356" s="109"/>
      <c r="M356" s="109"/>
      <c r="N356" s="109"/>
      <c r="O356" s="109"/>
      <c r="P356" s="357"/>
      <c r="Q356" s="109"/>
      <c r="R356" s="109"/>
      <c r="S356" s="109"/>
      <c r="T356" s="109"/>
      <c r="U356" s="109"/>
      <c r="V356" s="109"/>
      <c r="W356" s="109"/>
      <c r="X356" s="109"/>
      <c r="Y356" s="109"/>
      <c r="Z356" s="109"/>
    </row>
    <row r="357">
      <c r="A357" s="109"/>
      <c r="B357" s="109"/>
      <c r="C357" s="109"/>
      <c r="D357" s="109"/>
      <c r="E357" s="109"/>
      <c r="F357" s="109"/>
      <c r="G357" s="356"/>
      <c r="H357" s="109"/>
      <c r="I357" s="109"/>
      <c r="J357" s="109"/>
      <c r="K357" s="109"/>
      <c r="L357" s="109"/>
      <c r="M357" s="109"/>
      <c r="N357" s="109"/>
      <c r="O357" s="109"/>
      <c r="P357" s="357"/>
      <c r="Q357" s="109"/>
      <c r="R357" s="109"/>
      <c r="S357" s="109"/>
      <c r="T357" s="109"/>
      <c r="U357" s="109"/>
      <c r="V357" s="109"/>
      <c r="W357" s="109"/>
      <c r="X357" s="109"/>
      <c r="Y357" s="109"/>
      <c r="Z357" s="109"/>
    </row>
    <row r="358">
      <c r="A358" s="109"/>
      <c r="B358" s="109"/>
      <c r="C358" s="109"/>
      <c r="D358" s="109"/>
      <c r="E358" s="109"/>
      <c r="F358" s="109"/>
      <c r="G358" s="356"/>
      <c r="H358" s="109"/>
      <c r="I358" s="109"/>
      <c r="J358" s="109"/>
      <c r="K358" s="109"/>
      <c r="L358" s="109"/>
      <c r="M358" s="109"/>
      <c r="N358" s="109"/>
      <c r="O358" s="109"/>
      <c r="P358" s="357"/>
      <c r="Q358" s="109"/>
      <c r="R358" s="109"/>
      <c r="S358" s="109"/>
      <c r="T358" s="109"/>
      <c r="U358" s="109"/>
      <c r="V358" s="109"/>
      <c r="W358" s="109"/>
      <c r="X358" s="109"/>
      <c r="Y358" s="109"/>
      <c r="Z358" s="109"/>
    </row>
    <row r="359">
      <c r="A359" s="109"/>
      <c r="B359" s="109"/>
      <c r="C359" s="109"/>
      <c r="D359" s="109"/>
      <c r="E359" s="109"/>
      <c r="F359" s="109"/>
      <c r="G359" s="356"/>
      <c r="H359" s="109"/>
      <c r="I359" s="109"/>
      <c r="J359" s="109"/>
      <c r="K359" s="109"/>
      <c r="L359" s="109"/>
      <c r="M359" s="109"/>
      <c r="N359" s="109"/>
      <c r="O359" s="109"/>
      <c r="P359" s="357"/>
      <c r="Q359" s="109"/>
      <c r="R359" s="109"/>
      <c r="S359" s="109"/>
      <c r="T359" s="109"/>
      <c r="U359" s="109"/>
      <c r="V359" s="109"/>
      <c r="W359" s="109"/>
      <c r="X359" s="109"/>
      <c r="Y359" s="109"/>
      <c r="Z359" s="109"/>
    </row>
    <row r="360">
      <c r="A360" s="109"/>
      <c r="B360" s="109"/>
      <c r="C360" s="109"/>
      <c r="D360" s="109"/>
      <c r="E360" s="109"/>
      <c r="F360" s="109"/>
      <c r="G360" s="356"/>
      <c r="H360" s="109"/>
      <c r="I360" s="109"/>
      <c r="J360" s="109"/>
      <c r="K360" s="109"/>
      <c r="L360" s="109"/>
      <c r="M360" s="109"/>
      <c r="N360" s="109"/>
      <c r="O360" s="109"/>
      <c r="P360" s="357"/>
      <c r="Q360" s="109"/>
      <c r="R360" s="109"/>
      <c r="S360" s="109"/>
      <c r="T360" s="109"/>
      <c r="U360" s="109"/>
      <c r="V360" s="109"/>
      <c r="W360" s="109"/>
      <c r="X360" s="109"/>
      <c r="Y360" s="109"/>
      <c r="Z360" s="109"/>
    </row>
    <row r="361">
      <c r="A361" s="109"/>
      <c r="B361" s="109"/>
      <c r="C361" s="109"/>
      <c r="D361" s="109"/>
      <c r="E361" s="109"/>
      <c r="F361" s="109"/>
      <c r="G361" s="356"/>
      <c r="H361" s="109"/>
      <c r="I361" s="109"/>
      <c r="J361" s="109"/>
      <c r="K361" s="109"/>
      <c r="L361" s="109"/>
      <c r="M361" s="109"/>
      <c r="N361" s="109"/>
      <c r="O361" s="109"/>
      <c r="P361" s="357"/>
      <c r="Q361" s="109"/>
      <c r="R361" s="109"/>
      <c r="S361" s="109"/>
      <c r="T361" s="109"/>
      <c r="U361" s="109"/>
      <c r="V361" s="109"/>
      <c r="W361" s="109"/>
      <c r="X361" s="109"/>
      <c r="Y361" s="109"/>
      <c r="Z361" s="109"/>
    </row>
    <row r="362">
      <c r="A362" s="109"/>
      <c r="B362" s="109"/>
      <c r="C362" s="109"/>
      <c r="D362" s="109"/>
      <c r="E362" s="109"/>
      <c r="F362" s="109"/>
      <c r="G362" s="356"/>
      <c r="H362" s="109"/>
      <c r="I362" s="109"/>
      <c r="J362" s="109"/>
      <c r="K362" s="109"/>
      <c r="L362" s="109"/>
      <c r="M362" s="109"/>
      <c r="N362" s="109"/>
      <c r="O362" s="109"/>
      <c r="P362" s="357"/>
      <c r="Q362" s="109"/>
      <c r="R362" s="109"/>
      <c r="S362" s="109"/>
      <c r="T362" s="109"/>
      <c r="U362" s="109"/>
      <c r="V362" s="109"/>
      <c r="W362" s="109"/>
      <c r="X362" s="109"/>
      <c r="Y362" s="109"/>
      <c r="Z362" s="109"/>
    </row>
    <row r="363">
      <c r="A363" s="109"/>
      <c r="B363" s="109"/>
      <c r="C363" s="109"/>
      <c r="D363" s="109"/>
      <c r="E363" s="109"/>
      <c r="F363" s="109"/>
      <c r="G363" s="356"/>
      <c r="H363" s="109"/>
      <c r="I363" s="109"/>
      <c r="J363" s="109"/>
      <c r="K363" s="109"/>
      <c r="L363" s="109"/>
      <c r="M363" s="109"/>
      <c r="N363" s="109"/>
      <c r="O363" s="109"/>
      <c r="P363" s="357"/>
      <c r="Q363" s="109"/>
      <c r="R363" s="109"/>
      <c r="S363" s="109"/>
      <c r="T363" s="109"/>
      <c r="U363" s="109"/>
      <c r="V363" s="109"/>
      <c r="W363" s="109"/>
      <c r="X363" s="109"/>
      <c r="Y363" s="109"/>
      <c r="Z363" s="109"/>
    </row>
    <row r="364">
      <c r="A364" s="109"/>
      <c r="B364" s="109"/>
      <c r="C364" s="109"/>
      <c r="D364" s="109"/>
      <c r="E364" s="109"/>
      <c r="F364" s="109"/>
      <c r="G364" s="356"/>
      <c r="H364" s="109"/>
      <c r="I364" s="109"/>
      <c r="J364" s="109"/>
      <c r="K364" s="109"/>
      <c r="L364" s="109"/>
      <c r="M364" s="109"/>
      <c r="N364" s="109"/>
      <c r="O364" s="109"/>
      <c r="P364" s="357"/>
      <c r="Q364" s="109"/>
      <c r="R364" s="109"/>
      <c r="S364" s="109"/>
      <c r="T364" s="109"/>
      <c r="U364" s="109"/>
      <c r="V364" s="109"/>
      <c r="W364" s="109"/>
      <c r="X364" s="109"/>
      <c r="Y364" s="109"/>
      <c r="Z364" s="109"/>
    </row>
    <row r="365">
      <c r="A365" s="109"/>
      <c r="B365" s="109"/>
      <c r="C365" s="109"/>
      <c r="D365" s="109"/>
      <c r="E365" s="109"/>
      <c r="F365" s="109"/>
      <c r="G365" s="356"/>
      <c r="H365" s="109"/>
      <c r="I365" s="109"/>
      <c r="J365" s="109"/>
      <c r="K365" s="109"/>
      <c r="L365" s="109"/>
      <c r="M365" s="109"/>
      <c r="N365" s="109"/>
      <c r="O365" s="109"/>
      <c r="P365" s="357"/>
      <c r="Q365" s="109"/>
      <c r="R365" s="109"/>
      <c r="S365" s="109"/>
      <c r="T365" s="109"/>
      <c r="U365" s="109"/>
      <c r="V365" s="109"/>
      <c r="W365" s="109"/>
      <c r="X365" s="109"/>
      <c r="Y365" s="109"/>
      <c r="Z365" s="109"/>
    </row>
    <row r="366">
      <c r="A366" s="109"/>
      <c r="B366" s="109"/>
      <c r="C366" s="109"/>
      <c r="D366" s="109"/>
      <c r="E366" s="109"/>
      <c r="F366" s="109"/>
      <c r="G366" s="356"/>
      <c r="H366" s="109"/>
      <c r="I366" s="109"/>
      <c r="J366" s="109"/>
      <c r="K366" s="109"/>
      <c r="L366" s="109"/>
      <c r="M366" s="109"/>
      <c r="N366" s="109"/>
      <c r="O366" s="109"/>
      <c r="P366" s="357"/>
      <c r="Q366" s="109"/>
      <c r="R366" s="109"/>
      <c r="S366" s="109"/>
      <c r="T366" s="109"/>
      <c r="U366" s="109"/>
      <c r="V366" s="109"/>
      <c r="W366" s="109"/>
      <c r="X366" s="109"/>
      <c r="Y366" s="109"/>
      <c r="Z366" s="109"/>
    </row>
    <row r="367">
      <c r="A367" s="109"/>
      <c r="B367" s="109"/>
      <c r="C367" s="109"/>
      <c r="D367" s="109"/>
      <c r="E367" s="109"/>
      <c r="F367" s="109"/>
      <c r="G367" s="356"/>
      <c r="H367" s="109"/>
      <c r="I367" s="109"/>
      <c r="J367" s="109"/>
      <c r="K367" s="109"/>
      <c r="L367" s="109"/>
      <c r="M367" s="109"/>
      <c r="N367" s="109"/>
      <c r="O367" s="109"/>
      <c r="P367" s="357"/>
      <c r="Q367" s="109"/>
      <c r="R367" s="109"/>
      <c r="S367" s="109"/>
      <c r="T367" s="109"/>
      <c r="U367" s="109"/>
      <c r="V367" s="109"/>
      <c r="W367" s="109"/>
      <c r="X367" s="109"/>
      <c r="Y367" s="109"/>
      <c r="Z367" s="109"/>
    </row>
    <row r="368">
      <c r="A368" s="109"/>
      <c r="B368" s="109"/>
      <c r="C368" s="109"/>
      <c r="D368" s="109"/>
      <c r="E368" s="109"/>
      <c r="F368" s="109"/>
      <c r="G368" s="356"/>
      <c r="H368" s="109"/>
      <c r="I368" s="109"/>
      <c r="J368" s="109"/>
      <c r="K368" s="109"/>
      <c r="L368" s="109"/>
      <c r="M368" s="109"/>
      <c r="N368" s="109"/>
      <c r="O368" s="109"/>
      <c r="P368" s="357"/>
      <c r="Q368" s="109"/>
      <c r="R368" s="109"/>
      <c r="S368" s="109"/>
      <c r="T368" s="109"/>
      <c r="U368" s="109"/>
      <c r="V368" s="109"/>
      <c r="W368" s="109"/>
      <c r="X368" s="109"/>
      <c r="Y368" s="109"/>
      <c r="Z368" s="109"/>
    </row>
    <row r="369">
      <c r="A369" s="109"/>
      <c r="B369" s="109"/>
      <c r="C369" s="109"/>
      <c r="D369" s="109"/>
      <c r="E369" s="109"/>
      <c r="F369" s="109"/>
      <c r="G369" s="356"/>
      <c r="H369" s="109"/>
      <c r="I369" s="109"/>
      <c r="J369" s="109"/>
      <c r="K369" s="109"/>
      <c r="L369" s="109"/>
      <c r="M369" s="109"/>
      <c r="N369" s="109"/>
      <c r="O369" s="109"/>
      <c r="P369" s="357"/>
      <c r="Q369" s="109"/>
      <c r="R369" s="109"/>
      <c r="S369" s="109"/>
      <c r="T369" s="109"/>
      <c r="U369" s="109"/>
      <c r="V369" s="109"/>
      <c r="W369" s="109"/>
      <c r="X369" s="109"/>
      <c r="Y369" s="109"/>
      <c r="Z369" s="109"/>
    </row>
    <row r="370">
      <c r="A370" s="109"/>
      <c r="B370" s="109"/>
      <c r="C370" s="109"/>
      <c r="D370" s="109"/>
      <c r="E370" s="109"/>
      <c r="F370" s="109"/>
      <c r="G370" s="356"/>
      <c r="H370" s="109"/>
      <c r="I370" s="109"/>
      <c r="J370" s="109"/>
      <c r="K370" s="109"/>
      <c r="L370" s="109"/>
      <c r="M370" s="109"/>
      <c r="N370" s="109"/>
      <c r="O370" s="109"/>
      <c r="P370" s="357"/>
      <c r="Q370" s="109"/>
      <c r="R370" s="109"/>
      <c r="S370" s="109"/>
      <c r="T370" s="109"/>
      <c r="U370" s="109"/>
      <c r="V370" s="109"/>
      <c r="W370" s="109"/>
      <c r="X370" s="109"/>
      <c r="Y370" s="109"/>
      <c r="Z370" s="109"/>
    </row>
    <row r="371">
      <c r="A371" s="109"/>
      <c r="B371" s="109"/>
      <c r="C371" s="109"/>
      <c r="D371" s="109"/>
      <c r="E371" s="109"/>
      <c r="F371" s="109"/>
      <c r="G371" s="356"/>
      <c r="H371" s="109"/>
      <c r="I371" s="109"/>
      <c r="J371" s="109"/>
      <c r="K371" s="109"/>
      <c r="L371" s="109"/>
      <c r="M371" s="109"/>
      <c r="N371" s="109"/>
      <c r="O371" s="109"/>
      <c r="P371" s="357"/>
      <c r="Q371" s="109"/>
      <c r="R371" s="109"/>
      <c r="S371" s="109"/>
      <c r="T371" s="109"/>
      <c r="U371" s="109"/>
      <c r="V371" s="109"/>
      <c r="W371" s="109"/>
      <c r="X371" s="109"/>
      <c r="Y371" s="109"/>
      <c r="Z371" s="109"/>
    </row>
    <row r="372">
      <c r="A372" s="109"/>
      <c r="B372" s="109"/>
      <c r="C372" s="109"/>
      <c r="D372" s="109"/>
      <c r="E372" s="109"/>
      <c r="F372" s="109"/>
      <c r="G372" s="356"/>
      <c r="H372" s="109"/>
      <c r="I372" s="109"/>
      <c r="J372" s="109"/>
      <c r="K372" s="109"/>
      <c r="L372" s="109"/>
      <c r="M372" s="109"/>
      <c r="N372" s="109"/>
      <c r="O372" s="109"/>
      <c r="P372" s="357"/>
      <c r="Q372" s="109"/>
      <c r="R372" s="109"/>
      <c r="S372" s="109"/>
      <c r="T372" s="109"/>
      <c r="U372" s="109"/>
      <c r="V372" s="109"/>
      <c r="W372" s="109"/>
      <c r="X372" s="109"/>
      <c r="Y372" s="109"/>
      <c r="Z372" s="109"/>
    </row>
    <row r="373">
      <c r="A373" s="109"/>
      <c r="B373" s="109"/>
      <c r="C373" s="109"/>
      <c r="D373" s="109"/>
      <c r="E373" s="109"/>
      <c r="F373" s="109"/>
      <c r="G373" s="356"/>
      <c r="H373" s="109"/>
      <c r="I373" s="109"/>
      <c r="J373" s="109"/>
      <c r="K373" s="109"/>
      <c r="L373" s="109"/>
      <c r="M373" s="109"/>
      <c r="N373" s="109"/>
      <c r="O373" s="109"/>
      <c r="P373" s="357"/>
      <c r="Q373" s="109"/>
      <c r="R373" s="109"/>
      <c r="S373" s="109"/>
      <c r="T373" s="109"/>
      <c r="U373" s="109"/>
      <c r="V373" s="109"/>
      <c r="W373" s="109"/>
      <c r="X373" s="109"/>
      <c r="Y373" s="109"/>
      <c r="Z373" s="109"/>
    </row>
    <row r="374">
      <c r="A374" s="109"/>
      <c r="B374" s="109"/>
      <c r="C374" s="109"/>
      <c r="D374" s="109"/>
      <c r="E374" s="109"/>
      <c r="F374" s="109"/>
      <c r="G374" s="356"/>
      <c r="H374" s="109"/>
      <c r="I374" s="109"/>
      <c r="J374" s="109"/>
      <c r="K374" s="109"/>
      <c r="L374" s="109"/>
      <c r="M374" s="109"/>
      <c r="N374" s="109"/>
      <c r="O374" s="109"/>
      <c r="P374" s="357"/>
      <c r="Q374" s="109"/>
      <c r="R374" s="109"/>
      <c r="S374" s="109"/>
      <c r="T374" s="109"/>
      <c r="U374" s="109"/>
      <c r="V374" s="109"/>
      <c r="W374" s="109"/>
      <c r="X374" s="109"/>
      <c r="Y374" s="109"/>
      <c r="Z374" s="109"/>
    </row>
    <row r="375">
      <c r="A375" s="109"/>
      <c r="B375" s="109"/>
      <c r="C375" s="109"/>
      <c r="D375" s="109"/>
      <c r="E375" s="109"/>
      <c r="F375" s="109"/>
      <c r="G375" s="356"/>
      <c r="H375" s="109"/>
      <c r="I375" s="109"/>
      <c r="J375" s="109"/>
      <c r="K375" s="109"/>
      <c r="L375" s="109"/>
      <c r="M375" s="109"/>
      <c r="N375" s="109"/>
      <c r="O375" s="109"/>
      <c r="P375" s="357"/>
      <c r="Q375" s="109"/>
      <c r="R375" s="109"/>
      <c r="S375" s="109"/>
      <c r="T375" s="109"/>
      <c r="U375" s="109"/>
      <c r="V375" s="109"/>
      <c r="W375" s="109"/>
      <c r="X375" s="109"/>
      <c r="Y375" s="109"/>
      <c r="Z375" s="109"/>
    </row>
    <row r="376">
      <c r="A376" s="109"/>
      <c r="B376" s="109"/>
      <c r="C376" s="109"/>
      <c r="D376" s="109"/>
      <c r="E376" s="109"/>
      <c r="F376" s="109"/>
      <c r="G376" s="356"/>
      <c r="H376" s="109"/>
      <c r="I376" s="109"/>
      <c r="J376" s="109"/>
      <c r="K376" s="109"/>
      <c r="L376" s="109"/>
      <c r="M376" s="109"/>
      <c r="N376" s="109"/>
      <c r="O376" s="109"/>
      <c r="P376" s="357"/>
      <c r="Q376" s="109"/>
      <c r="R376" s="109"/>
      <c r="S376" s="109"/>
      <c r="T376" s="109"/>
      <c r="U376" s="109"/>
      <c r="V376" s="109"/>
      <c r="W376" s="109"/>
      <c r="X376" s="109"/>
      <c r="Y376" s="109"/>
      <c r="Z376" s="109"/>
    </row>
    <row r="377">
      <c r="A377" s="109"/>
      <c r="B377" s="109"/>
      <c r="C377" s="109"/>
      <c r="D377" s="109"/>
      <c r="E377" s="109"/>
      <c r="F377" s="109"/>
      <c r="G377" s="356"/>
      <c r="H377" s="109"/>
      <c r="I377" s="109"/>
      <c r="J377" s="109"/>
      <c r="K377" s="109"/>
      <c r="L377" s="109"/>
      <c r="M377" s="109"/>
      <c r="N377" s="109"/>
      <c r="O377" s="109"/>
      <c r="P377" s="357"/>
      <c r="Q377" s="109"/>
      <c r="R377" s="109"/>
      <c r="S377" s="109"/>
      <c r="T377" s="109"/>
      <c r="U377" s="109"/>
      <c r="V377" s="109"/>
      <c r="W377" s="109"/>
      <c r="X377" s="109"/>
      <c r="Y377" s="109"/>
      <c r="Z377" s="109"/>
    </row>
    <row r="378">
      <c r="A378" s="109"/>
      <c r="B378" s="109"/>
      <c r="C378" s="109"/>
      <c r="D378" s="109"/>
      <c r="E378" s="109"/>
      <c r="F378" s="109"/>
      <c r="G378" s="356"/>
      <c r="H378" s="109"/>
      <c r="I378" s="109"/>
      <c r="J378" s="109"/>
      <c r="K378" s="109"/>
      <c r="L378" s="109"/>
      <c r="M378" s="109"/>
      <c r="N378" s="109"/>
      <c r="O378" s="109"/>
      <c r="P378" s="357"/>
      <c r="Q378" s="109"/>
      <c r="R378" s="109"/>
      <c r="S378" s="109"/>
      <c r="T378" s="109"/>
      <c r="U378" s="109"/>
      <c r="V378" s="109"/>
      <c r="W378" s="109"/>
      <c r="X378" s="109"/>
      <c r="Y378" s="109"/>
      <c r="Z378" s="109"/>
    </row>
    <row r="379">
      <c r="A379" s="109"/>
      <c r="B379" s="109"/>
      <c r="C379" s="109"/>
      <c r="D379" s="109"/>
      <c r="E379" s="109"/>
      <c r="F379" s="109"/>
      <c r="G379" s="356"/>
      <c r="H379" s="109"/>
      <c r="I379" s="109"/>
      <c r="J379" s="109"/>
      <c r="K379" s="109"/>
      <c r="L379" s="109"/>
      <c r="M379" s="109"/>
      <c r="N379" s="109"/>
      <c r="O379" s="109"/>
      <c r="P379" s="357"/>
      <c r="Q379" s="109"/>
      <c r="R379" s="109"/>
      <c r="S379" s="109"/>
      <c r="T379" s="109"/>
      <c r="U379" s="109"/>
      <c r="V379" s="109"/>
      <c r="W379" s="109"/>
      <c r="X379" s="109"/>
      <c r="Y379" s="109"/>
      <c r="Z379" s="109"/>
    </row>
    <row r="380">
      <c r="A380" s="109"/>
      <c r="B380" s="109"/>
      <c r="C380" s="109"/>
      <c r="D380" s="109"/>
      <c r="E380" s="109"/>
      <c r="F380" s="109"/>
      <c r="G380" s="356"/>
      <c r="H380" s="109"/>
      <c r="I380" s="109"/>
      <c r="J380" s="109"/>
      <c r="K380" s="109"/>
      <c r="L380" s="109"/>
      <c r="M380" s="109"/>
      <c r="N380" s="109"/>
      <c r="O380" s="109"/>
      <c r="P380" s="357"/>
      <c r="Q380" s="109"/>
      <c r="R380" s="109"/>
      <c r="S380" s="109"/>
      <c r="T380" s="109"/>
      <c r="U380" s="109"/>
      <c r="V380" s="109"/>
      <c r="W380" s="109"/>
      <c r="X380" s="109"/>
      <c r="Y380" s="109"/>
      <c r="Z380" s="109"/>
    </row>
    <row r="381">
      <c r="A381" s="109"/>
      <c r="B381" s="109"/>
      <c r="C381" s="109"/>
      <c r="D381" s="109"/>
      <c r="E381" s="109"/>
      <c r="F381" s="109"/>
      <c r="G381" s="356"/>
      <c r="H381" s="109"/>
      <c r="I381" s="109"/>
      <c r="J381" s="109"/>
      <c r="K381" s="109"/>
      <c r="L381" s="109"/>
      <c r="M381" s="109"/>
      <c r="N381" s="109"/>
      <c r="O381" s="109"/>
      <c r="P381" s="357"/>
      <c r="Q381" s="109"/>
      <c r="R381" s="109"/>
      <c r="S381" s="109"/>
      <c r="T381" s="109"/>
      <c r="U381" s="109"/>
      <c r="V381" s="109"/>
      <c r="W381" s="109"/>
      <c r="X381" s="109"/>
      <c r="Y381" s="109"/>
      <c r="Z381" s="109"/>
    </row>
    <row r="382">
      <c r="A382" s="109"/>
      <c r="B382" s="109"/>
      <c r="C382" s="109"/>
      <c r="D382" s="109"/>
      <c r="E382" s="109"/>
      <c r="F382" s="109"/>
      <c r="G382" s="356"/>
      <c r="H382" s="109"/>
      <c r="I382" s="109"/>
      <c r="J382" s="109"/>
      <c r="K382" s="109"/>
      <c r="L382" s="109"/>
      <c r="M382" s="109"/>
      <c r="N382" s="109"/>
      <c r="O382" s="109"/>
      <c r="P382" s="357"/>
      <c r="Q382" s="109"/>
      <c r="R382" s="109"/>
      <c r="S382" s="109"/>
      <c r="T382" s="109"/>
      <c r="U382" s="109"/>
      <c r="V382" s="109"/>
      <c r="W382" s="109"/>
      <c r="X382" s="109"/>
      <c r="Y382" s="109"/>
      <c r="Z382" s="109"/>
    </row>
    <row r="383">
      <c r="A383" s="109"/>
      <c r="B383" s="109"/>
      <c r="C383" s="109"/>
      <c r="D383" s="109"/>
      <c r="E383" s="109"/>
      <c r="F383" s="109"/>
      <c r="G383" s="356"/>
      <c r="H383" s="109"/>
      <c r="I383" s="109"/>
      <c r="J383" s="109"/>
      <c r="K383" s="109"/>
      <c r="L383" s="109"/>
      <c r="M383" s="109"/>
      <c r="N383" s="109"/>
      <c r="O383" s="109"/>
      <c r="P383" s="357"/>
      <c r="Q383" s="109"/>
      <c r="R383" s="109"/>
      <c r="S383" s="109"/>
      <c r="T383" s="109"/>
      <c r="U383" s="109"/>
      <c r="V383" s="109"/>
      <c r="W383" s="109"/>
      <c r="X383" s="109"/>
      <c r="Y383" s="109"/>
      <c r="Z383" s="109"/>
    </row>
    <row r="384">
      <c r="A384" s="109"/>
      <c r="B384" s="109"/>
      <c r="C384" s="109"/>
      <c r="D384" s="109"/>
      <c r="E384" s="109"/>
      <c r="F384" s="109"/>
      <c r="G384" s="356"/>
      <c r="H384" s="109"/>
      <c r="I384" s="109"/>
      <c r="J384" s="109"/>
      <c r="K384" s="109"/>
      <c r="L384" s="109"/>
      <c r="M384" s="109"/>
      <c r="N384" s="109"/>
      <c r="O384" s="109"/>
      <c r="P384" s="357"/>
      <c r="Q384" s="109"/>
      <c r="R384" s="109"/>
      <c r="S384" s="109"/>
      <c r="T384" s="109"/>
      <c r="U384" s="109"/>
      <c r="V384" s="109"/>
      <c r="W384" s="109"/>
      <c r="X384" s="109"/>
      <c r="Y384" s="109"/>
      <c r="Z384" s="109"/>
    </row>
    <row r="385">
      <c r="A385" s="109"/>
      <c r="B385" s="109"/>
      <c r="C385" s="109"/>
      <c r="D385" s="109"/>
      <c r="E385" s="109"/>
      <c r="F385" s="109"/>
      <c r="G385" s="356"/>
      <c r="H385" s="109"/>
      <c r="I385" s="109"/>
      <c r="J385" s="109"/>
      <c r="K385" s="109"/>
      <c r="L385" s="109"/>
      <c r="M385" s="109"/>
      <c r="N385" s="109"/>
      <c r="O385" s="109"/>
      <c r="P385" s="357"/>
      <c r="Q385" s="109"/>
      <c r="R385" s="109"/>
      <c r="S385" s="109"/>
      <c r="T385" s="109"/>
      <c r="U385" s="109"/>
      <c r="V385" s="109"/>
      <c r="W385" s="109"/>
      <c r="X385" s="109"/>
      <c r="Y385" s="109"/>
      <c r="Z385" s="109"/>
    </row>
    <row r="386">
      <c r="A386" s="109"/>
      <c r="B386" s="109"/>
      <c r="C386" s="109"/>
      <c r="D386" s="109"/>
      <c r="E386" s="109"/>
      <c r="F386" s="109"/>
      <c r="G386" s="356"/>
      <c r="H386" s="109"/>
      <c r="I386" s="109"/>
      <c r="J386" s="109"/>
      <c r="K386" s="109"/>
      <c r="L386" s="109"/>
      <c r="M386" s="109"/>
      <c r="N386" s="109"/>
      <c r="O386" s="109"/>
      <c r="P386" s="357"/>
      <c r="Q386" s="109"/>
      <c r="R386" s="109"/>
      <c r="S386" s="109"/>
      <c r="T386" s="109"/>
      <c r="U386" s="109"/>
      <c r="V386" s="109"/>
      <c r="W386" s="109"/>
      <c r="X386" s="109"/>
      <c r="Y386" s="109"/>
      <c r="Z386" s="109"/>
    </row>
    <row r="387">
      <c r="A387" s="109"/>
      <c r="B387" s="109"/>
      <c r="C387" s="109"/>
      <c r="D387" s="109"/>
      <c r="E387" s="109"/>
      <c r="F387" s="109"/>
      <c r="G387" s="356"/>
      <c r="H387" s="109"/>
      <c r="I387" s="109"/>
      <c r="J387" s="109"/>
      <c r="K387" s="109"/>
      <c r="L387" s="109"/>
      <c r="M387" s="109"/>
      <c r="N387" s="109"/>
      <c r="O387" s="109"/>
      <c r="P387" s="357"/>
      <c r="Q387" s="109"/>
      <c r="R387" s="109"/>
      <c r="S387" s="109"/>
      <c r="T387" s="109"/>
      <c r="U387" s="109"/>
      <c r="V387" s="109"/>
      <c r="W387" s="109"/>
      <c r="X387" s="109"/>
      <c r="Y387" s="109"/>
      <c r="Z387" s="109"/>
    </row>
    <row r="388">
      <c r="A388" s="109"/>
      <c r="B388" s="109"/>
      <c r="C388" s="109"/>
      <c r="D388" s="109"/>
      <c r="E388" s="109"/>
      <c r="F388" s="109"/>
      <c r="G388" s="356"/>
      <c r="H388" s="109"/>
      <c r="I388" s="109"/>
      <c r="J388" s="109"/>
      <c r="K388" s="109"/>
      <c r="L388" s="109"/>
      <c r="M388" s="109"/>
      <c r="N388" s="109"/>
      <c r="O388" s="109"/>
      <c r="P388" s="357"/>
      <c r="Q388" s="109"/>
      <c r="R388" s="109"/>
      <c r="S388" s="109"/>
      <c r="T388" s="109"/>
      <c r="U388" s="109"/>
      <c r="V388" s="109"/>
      <c r="W388" s="109"/>
      <c r="X388" s="109"/>
      <c r="Y388" s="109"/>
      <c r="Z388" s="109"/>
    </row>
    <row r="389">
      <c r="A389" s="109"/>
      <c r="B389" s="109"/>
      <c r="C389" s="109"/>
      <c r="D389" s="109"/>
      <c r="E389" s="109"/>
      <c r="F389" s="109"/>
      <c r="G389" s="356"/>
      <c r="H389" s="109"/>
      <c r="I389" s="109"/>
      <c r="J389" s="109"/>
      <c r="K389" s="109"/>
      <c r="L389" s="109"/>
      <c r="M389" s="109"/>
      <c r="N389" s="109"/>
      <c r="O389" s="109"/>
      <c r="P389" s="357"/>
      <c r="Q389" s="109"/>
      <c r="R389" s="109"/>
      <c r="S389" s="109"/>
      <c r="T389" s="109"/>
      <c r="U389" s="109"/>
      <c r="V389" s="109"/>
      <c r="W389" s="109"/>
      <c r="X389" s="109"/>
      <c r="Y389" s="109"/>
      <c r="Z389" s="109"/>
    </row>
    <row r="390">
      <c r="A390" s="109"/>
      <c r="B390" s="109"/>
      <c r="C390" s="109"/>
      <c r="D390" s="109"/>
      <c r="E390" s="109"/>
      <c r="F390" s="109"/>
      <c r="G390" s="356"/>
      <c r="H390" s="109"/>
      <c r="I390" s="109"/>
      <c r="J390" s="109"/>
      <c r="K390" s="109"/>
      <c r="L390" s="109"/>
      <c r="M390" s="109"/>
      <c r="N390" s="109"/>
      <c r="O390" s="109"/>
      <c r="P390" s="357"/>
      <c r="Q390" s="109"/>
      <c r="R390" s="109"/>
      <c r="S390" s="109"/>
      <c r="T390" s="109"/>
      <c r="U390" s="109"/>
      <c r="V390" s="109"/>
      <c r="W390" s="109"/>
      <c r="X390" s="109"/>
      <c r="Y390" s="109"/>
      <c r="Z390" s="109"/>
    </row>
    <row r="391">
      <c r="A391" s="109"/>
      <c r="B391" s="109"/>
      <c r="C391" s="109"/>
      <c r="D391" s="109"/>
      <c r="E391" s="109"/>
      <c r="F391" s="109"/>
      <c r="G391" s="356"/>
      <c r="H391" s="109"/>
      <c r="I391" s="109"/>
      <c r="J391" s="109"/>
      <c r="K391" s="109"/>
      <c r="L391" s="109"/>
      <c r="M391" s="109"/>
      <c r="N391" s="109"/>
      <c r="O391" s="109"/>
      <c r="P391" s="357"/>
      <c r="Q391" s="109"/>
      <c r="R391" s="109"/>
      <c r="S391" s="109"/>
      <c r="T391" s="109"/>
      <c r="U391" s="109"/>
      <c r="V391" s="109"/>
      <c r="W391" s="109"/>
      <c r="X391" s="109"/>
      <c r="Y391" s="109"/>
      <c r="Z391" s="109"/>
    </row>
    <row r="392">
      <c r="A392" s="109"/>
      <c r="B392" s="109"/>
      <c r="C392" s="109"/>
      <c r="D392" s="109"/>
      <c r="E392" s="109"/>
      <c r="F392" s="109"/>
      <c r="G392" s="356"/>
      <c r="H392" s="109"/>
      <c r="I392" s="109"/>
      <c r="J392" s="109"/>
      <c r="K392" s="109"/>
      <c r="L392" s="109"/>
      <c r="M392" s="109"/>
      <c r="N392" s="109"/>
      <c r="O392" s="109"/>
      <c r="P392" s="357"/>
      <c r="Q392" s="109"/>
      <c r="R392" s="109"/>
      <c r="S392" s="109"/>
      <c r="T392" s="109"/>
      <c r="U392" s="109"/>
      <c r="V392" s="109"/>
      <c r="W392" s="109"/>
      <c r="X392" s="109"/>
      <c r="Y392" s="109"/>
      <c r="Z392" s="109"/>
    </row>
    <row r="393">
      <c r="A393" s="109"/>
      <c r="B393" s="109"/>
      <c r="C393" s="109"/>
      <c r="D393" s="109"/>
      <c r="E393" s="109"/>
      <c r="F393" s="109"/>
      <c r="G393" s="356"/>
      <c r="H393" s="109"/>
      <c r="I393" s="109"/>
      <c r="J393" s="109"/>
      <c r="K393" s="109"/>
      <c r="L393" s="109"/>
      <c r="M393" s="109"/>
      <c r="N393" s="109"/>
      <c r="O393" s="109"/>
      <c r="P393" s="357"/>
      <c r="Q393" s="109"/>
      <c r="R393" s="109"/>
      <c r="S393" s="109"/>
      <c r="T393" s="109"/>
      <c r="U393" s="109"/>
      <c r="V393" s="109"/>
      <c r="W393" s="109"/>
      <c r="X393" s="109"/>
      <c r="Y393" s="109"/>
      <c r="Z393" s="109"/>
    </row>
    <row r="394">
      <c r="A394" s="109"/>
      <c r="B394" s="109"/>
      <c r="C394" s="109"/>
      <c r="D394" s="109"/>
      <c r="E394" s="109"/>
      <c r="F394" s="109"/>
      <c r="G394" s="356"/>
      <c r="H394" s="109"/>
      <c r="I394" s="109"/>
      <c r="J394" s="109"/>
      <c r="K394" s="109"/>
      <c r="L394" s="109"/>
      <c r="M394" s="109"/>
      <c r="N394" s="109"/>
      <c r="O394" s="109"/>
      <c r="P394" s="357"/>
      <c r="Q394" s="109"/>
      <c r="R394" s="109"/>
      <c r="S394" s="109"/>
      <c r="T394" s="109"/>
      <c r="U394" s="109"/>
      <c r="V394" s="109"/>
      <c r="W394" s="109"/>
      <c r="X394" s="109"/>
      <c r="Y394" s="109"/>
      <c r="Z394" s="109"/>
    </row>
    <row r="395">
      <c r="A395" s="109"/>
      <c r="B395" s="109"/>
      <c r="C395" s="109"/>
      <c r="D395" s="109"/>
      <c r="E395" s="109"/>
      <c r="F395" s="109"/>
      <c r="G395" s="356"/>
      <c r="H395" s="109"/>
      <c r="I395" s="109"/>
      <c r="J395" s="109"/>
      <c r="K395" s="109"/>
      <c r="L395" s="109"/>
      <c r="M395" s="109"/>
      <c r="N395" s="109"/>
      <c r="O395" s="109"/>
      <c r="P395" s="357"/>
      <c r="Q395" s="109"/>
      <c r="R395" s="109"/>
      <c r="S395" s="109"/>
      <c r="T395" s="109"/>
      <c r="U395" s="109"/>
      <c r="V395" s="109"/>
      <c r="W395" s="109"/>
      <c r="X395" s="109"/>
      <c r="Y395" s="109"/>
      <c r="Z395" s="109"/>
    </row>
    <row r="396">
      <c r="A396" s="109"/>
      <c r="B396" s="109"/>
      <c r="C396" s="109"/>
      <c r="D396" s="109"/>
      <c r="E396" s="109"/>
      <c r="F396" s="109"/>
      <c r="G396" s="356"/>
      <c r="H396" s="109"/>
      <c r="I396" s="109"/>
      <c r="J396" s="109"/>
      <c r="K396" s="109"/>
      <c r="L396" s="109"/>
      <c r="M396" s="109"/>
      <c r="N396" s="109"/>
      <c r="O396" s="109"/>
      <c r="P396" s="357"/>
      <c r="Q396" s="109"/>
      <c r="R396" s="109"/>
      <c r="S396" s="109"/>
      <c r="T396" s="109"/>
      <c r="U396" s="109"/>
      <c r="V396" s="109"/>
      <c r="W396" s="109"/>
      <c r="X396" s="109"/>
      <c r="Y396" s="109"/>
      <c r="Z396" s="109"/>
    </row>
    <row r="397">
      <c r="A397" s="109"/>
      <c r="B397" s="109"/>
      <c r="C397" s="109"/>
      <c r="D397" s="109"/>
      <c r="E397" s="109"/>
      <c r="F397" s="109"/>
      <c r="G397" s="356"/>
      <c r="H397" s="109"/>
      <c r="I397" s="109"/>
      <c r="J397" s="109"/>
      <c r="K397" s="109"/>
      <c r="L397" s="109"/>
      <c r="M397" s="109"/>
      <c r="N397" s="109"/>
      <c r="O397" s="109"/>
      <c r="P397" s="357"/>
      <c r="Q397" s="109"/>
      <c r="R397" s="109"/>
      <c r="S397" s="109"/>
      <c r="T397" s="109"/>
      <c r="U397" s="109"/>
      <c r="V397" s="109"/>
      <c r="W397" s="109"/>
      <c r="X397" s="109"/>
      <c r="Y397" s="109"/>
      <c r="Z397" s="109"/>
    </row>
    <row r="398">
      <c r="A398" s="109"/>
      <c r="B398" s="109"/>
      <c r="C398" s="109"/>
      <c r="D398" s="109"/>
      <c r="E398" s="109"/>
      <c r="F398" s="109"/>
      <c r="G398" s="356"/>
      <c r="H398" s="109"/>
      <c r="I398" s="109"/>
      <c r="J398" s="109"/>
      <c r="K398" s="109"/>
      <c r="L398" s="109"/>
      <c r="M398" s="109"/>
      <c r="N398" s="109"/>
      <c r="O398" s="109"/>
      <c r="P398" s="357"/>
      <c r="Q398" s="109"/>
      <c r="R398" s="109"/>
      <c r="S398" s="109"/>
      <c r="T398" s="109"/>
      <c r="U398" s="109"/>
      <c r="V398" s="109"/>
      <c r="W398" s="109"/>
      <c r="X398" s="109"/>
      <c r="Y398" s="109"/>
      <c r="Z398" s="109"/>
    </row>
    <row r="399">
      <c r="A399" s="109"/>
      <c r="B399" s="109"/>
      <c r="C399" s="109"/>
      <c r="D399" s="109"/>
      <c r="E399" s="109"/>
      <c r="F399" s="109"/>
      <c r="G399" s="356"/>
      <c r="H399" s="109"/>
      <c r="I399" s="109"/>
      <c r="J399" s="109"/>
      <c r="K399" s="109"/>
      <c r="L399" s="109"/>
      <c r="M399" s="109"/>
      <c r="N399" s="109"/>
      <c r="O399" s="109"/>
      <c r="P399" s="357"/>
      <c r="Q399" s="109"/>
      <c r="R399" s="109"/>
      <c r="S399" s="109"/>
      <c r="T399" s="109"/>
      <c r="U399" s="109"/>
      <c r="V399" s="109"/>
      <c r="W399" s="109"/>
      <c r="X399" s="109"/>
      <c r="Y399" s="109"/>
      <c r="Z399" s="109"/>
    </row>
    <row r="400">
      <c r="A400" s="109"/>
      <c r="B400" s="109"/>
      <c r="C400" s="109"/>
      <c r="D400" s="109"/>
      <c r="E400" s="109"/>
      <c r="F400" s="109"/>
      <c r="G400" s="356"/>
      <c r="H400" s="109"/>
      <c r="I400" s="109"/>
      <c r="J400" s="109"/>
      <c r="K400" s="109"/>
      <c r="L400" s="109"/>
      <c r="M400" s="109"/>
      <c r="N400" s="109"/>
      <c r="O400" s="109"/>
      <c r="P400" s="357"/>
      <c r="Q400" s="109"/>
      <c r="R400" s="109"/>
      <c r="S400" s="109"/>
      <c r="T400" s="109"/>
      <c r="U400" s="109"/>
      <c r="V400" s="109"/>
      <c r="W400" s="109"/>
      <c r="X400" s="109"/>
      <c r="Y400" s="109"/>
      <c r="Z400" s="109"/>
    </row>
    <row r="401">
      <c r="A401" s="109"/>
      <c r="B401" s="109"/>
      <c r="C401" s="109"/>
      <c r="D401" s="109"/>
      <c r="E401" s="109"/>
      <c r="F401" s="109"/>
      <c r="G401" s="356"/>
      <c r="H401" s="109"/>
      <c r="I401" s="109"/>
      <c r="J401" s="109"/>
      <c r="K401" s="109"/>
      <c r="L401" s="109"/>
      <c r="M401" s="109"/>
      <c r="N401" s="109"/>
      <c r="O401" s="109"/>
      <c r="P401" s="357"/>
      <c r="Q401" s="109"/>
      <c r="R401" s="109"/>
      <c r="S401" s="109"/>
      <c r="T401" s="109"/>
      <c r="U401" s="109"/>
      <c r="V401" s="109"/>
      <c r="W401" s="109"/>
      <c r="X401" s="109"/>
      <c r="Y401" s="109"/>
      <c r="Z401" s="109"/>
    </row>
    <row r="402">
      <c r="A402" s="109"/>
      <c r="B402" s="109"/>
      <c r="C402" s="109"/>
      <c r="D402" s="109"/>
      <c r="E402" s="109"/>
      <c r="F402" s="109"/>
      <c r="G402" s="356"/>
      <c r="H402" s="109"/>
      <c r="I402" s="109"/>
      <c r="J402" s="109"/>
      <c r="K402" s="109"/>
      <c r="L402" s="109"/>
      <c r="M402" s="109"/>
      <c r="N402" s="109"/>
      <c r="O402" s="109"/>
      <c r="P402" s="357"/>
      <c r="Q402" s="109"/>
      <c r="R402" s="109"/>
      <c r="S402" s="109"/>
      <c r="T402" s="109"/>
      <c r="U402" s="109"/>
      <c r="V402" s="109"/>
      <c r="W402" s="109"/>
      <c r="X402" s="109"/>
      <c r="Y402" s="109"/>
      <c r="Z402" s="109"/>
    </row>
    <row r="403">
      <c r="A403" s="109"/>
      <c r="B403" s="109"/>
      <c r="C403" s="109"/>
      <c r="D403" s="109"/>
      <c r="E403" s="109"/>
      <c r="F403" s="109"/>
      <c r="G403" s="356"/>
      <c r="H403" s="109"/>
      <c r="I403" s="109"/>
      <c r="J403" s="109"/>
      <c r="K403" s="109"/>
      <c r="L403" s="109"/>
      <c r="M403" s="109"/>
      <c r="N403" s="109"/>
      <c r="O403" s="109"/>
      <c r="P403" s="357"/>
      <c r="Q403" s="109"/>
      <c r="R403" s="109"/>
      <c r="S403" s="109"/>
      <c r="T403" s="109"/>
      <c r="U403" s="109"/>
      <c r="V403" s="109"/>
      <c r="W403" s="109"/>
      <c r="X403" s="109"/>
      <c r="Y403" s="109"/>
      <c r="Z403" s="109"/>
    </row>
    <row r="404">
      <c r="A404" s="109"/>
      <c r="B404" s="109"/>
      <c r="C404" s="109"/>
      <c r="D404" s="109"/>
      <c r="E404" s="109"/>
      <c r="F404" s="109"/>
      <c r="G404" s="356"/>
      <c r="H404" s="109"/>
      <c r="I404" s="109"/>
      <c r="J404" s="109"/>
      <c r="K404" s="109"/>
      <c r="L404" s="109"/>
      <c r="M404" s="109"/>
      <c r="N404" s="109"/>
      <c r="O404" s="109"/>
      <c r="P404" s="357"/>
      <c r="Q404" s="109"/>
      <c r="R404" s="109"/>
      <c r="S404" s="109"/>
      <c r="T404" s="109"/>
      <c r="U404" s="109"/>
      <c r="V404" s="109"/>
      <c r="W404" s="109"/>
      <c r="X404" s="109"/>
      <c r="Y404" s="109"/>
      <c r="Z404" s="109"/>
    </row>
    <row r="405">
      <c r="A405" s="109"/>
      <c r="B405" s="109"/>
      <c r="C405" s="109"/>
      <c r="D405" s="109"/>
      <c r="E405" s="109"/>
      <c r="F405" s="109"/>
      <c r="G405" s="356"/>
      <c r="H405" s="109"/>
      <c r="I405" s="109"/>
      <c r="J405" s="109"/>
      <c r="K405" s="109"/>
      <c r="L405" s="109"/>
      <c r="M405" s="109"/>
      <c r="N405" s="109"/>
      <c r="O405" s="109"/>
      <c r="P405" s="357"/>
      <c r="Q405" s="109"/>
      <c r="R405" s="109"/>
      <c r="S405" s="109"/>
      <c r="T405" s="109"/>
      <c r="U405" s="109"/>
      <c r="V405" s="109"/>
      <c r="W405" s="109"/>
      <c r="X405" s="109"/>
      <c r="Y405" s="109"/>
      <c r="Z405" s="109"/>
    </row>
    <row r="406">
      <c r="A406" s="109"/>
      <c r="B406" s="109"/>
      <c r="C406" s="109"/>
      <c r="D406" s="109"/>
      <c r="E406" s="109"/>
      <c r="F406" s="109"/>
      <c r="G406" s="356"/>
      <c r="H406" s="109"/>
      <c r="I406" s="109"/>
      <c r="J406" s="109"/>
      <c r="K406" s="109"/>
      <c r="L406" s="109"/>
      <c r="M406" s="109"/>
      <c r="N406" s="109"/>
      <c r="O406" s="109"/>
      <c r="P406" s="357"/>
      <c r="Q406" s="109"/>
      <c r="R406" s="109"/>
      <c r="S406" s="109"/>
      <c r="T406" s="109"/>
      <c r="U406" s="109"/>
      <c r="V406" s="109"/>
      <c r="W406" s="109"/>
      <c r="X406" s="109"/>
      <c r="Y406" s="109"/>
      <c r="Z406" s="109"/>
    </row>
    <row r="407">
      <c r="A407" s="109"/>
      <c r="B407" s="109"/>
      <c r="C407" s="109"/>
      <c r="D407" s="109"/>
      <c r="E407" s="109"/>
      <c r="F407" s="109"/>
      <c r="G407" s="356"/>
      <c r="H407" s="109"/>
      <c r="I407" s="109"/>
      <c r="J407" s="109"/>
      <c r="K407" s="109"/>
      <c r="L407" s="109"/>
      <c r="M407" s="109"/>
      <c r="N407" s="109"/>
      <c r="O407" s="109"/>
      <c r="P407" s="357"/>
      <c r="Q407" s="109"/>
      <c r="R407" s="109"/>
      <c r="S407" s="109"/>
      <c r="T407" s="109"/>
      <c r="U407" s="109"/>
      <c r="V407" s="109"/>
      <c r="W407" s="109"/>
      <c r="X407" s="109"/>
      <c r="Y407" s="109"/>
      <c r="Z407" s="109"/>
    </row>
    <row r="408">
      <c r="A408" s="109"/>
      <c r="B408" s="109"/>
      <c r="C408" s="109"/>
      <c r="D408" s="109"/>
      <c r="E408" s="109"/>
      <c r="F408" s="109"/>
      <c r="G408" s="356"/>
      <c r="H408" s="109"/>
      <c r="I408" s="109"/>
      <c r="J408" s="109"/>
      <c r="K408" s="109"/>
      <c r="L408" s="109"/>
      <c r="M408" s="109"/>
      <c r="N408" s="109"/>
      <c r="O408" s="109"/>
      <c r="P408" s="357"/>
      <c r="Q408" s="109"/>
      <c r="R408" s="109"/>
      <c r="S408" s="109"/>
      <c r="T408" s="109"/>
      <c r="U408" s="109"/>
      <c r="V408" s="109"/>
      <c r="W408" s="109"/>
      <c r="X408" s="109"/>
      <c r="Y408" s="109"/>
      <c r="Z408" s="109"/>
    </row>
    <row r="409">
      <c r="A409" s="109"/>
      <c r="B409" s="109"/>
      <c r="C409" s="109"/>
      <c r="D409" s="109"/>
      <c r="E409" s="109"/>
      <c r="F409" s="109"/>
      <c r="G409" s="356"/>
      <c r="H409" s="109"/>
      <c r="I409" s="109"/>
      <c r="J409" s="109"/>
      <c r="K409" s="109"/>
      <c r="L409" s="109"/>
      <c r="M409" s="109"/>
      <c r="N409" s="109"/>
      <c r="O409" s="109"/>
      <c r="P409" s="357"/>
      <c r="Q409" s="109"/>
      <c r="R409" s="109"/>
      <c r="S409" s="109"/>
      <c r="T409" s="109"/>
      <c r="U409" s="109"/>
      <c r="V409" s="109"/>
      <c r="W409" s="109"/>
      <c r="X409" s="109"/>
      <c r="Y409" s="109"/>
      <c r="Z409" s="109"/>
    </row>
    <row r="410">
      <c r="A410" s="109"/>
      <c r="B410" s="109"/>
      <c r="C410" s="109"/>
      <c r="D410" s="109"/>
      <c r="E410" s="109"/>
      <c r="F410" s="109"/>
      <c r="G410" s="356"/>
      <c r="H410" s="109"/>
      <c r="I410" s="109"/>
      <c r="J410" s="109"/>
      <c r="K410" s="109"/>
      <c r="L410" s="109"/>
      <c r="M410" s="109"/>
      <c r="N410" s="109"/>
      <c r="O410" s="109"/>
      <c r="P410" s="357"/>
      <c r="Q410" s="109"/>
      <c r="R410" s="109"/>
      <c r="S410" s="109"/>
      <c r="T410" s="109"/>
      <c r="U410" s="109"/>
      <c r="V410" s="109"/>
      <c r="W410" s="109"/>
      <c r="X410" s="109"/>
      <c r="Y410" s="109"/>
      <c r="Z410" s="109"/>
    </row>
    <row r="411">
      <c r="A411" s="109"/>
      <c r="B411" s="109"/>
      <c r="C411" s="109"/>
      <c r="D411" s="109"/>
      <c r="E411" s="109"/>
      <c r="F411" s="109"/>
      <c r="G411" s="356"/>
      <c r="H411" s="109"/>
      <c r="I411" s="109"/>
      <c r="J411" s="109"/>
      <c r="K411" s="109"/>
      <c r="L411" s="109"/>
      <c r="M411" s="109"/>
      <c r="N411" s="109"/>
      <c r="O411" s="109"/>
      <c r="P411" s="357"/>
      <c r="Q411" s="109"/>
      <c r="R411" s="109"/>
      <c r="S411" s="109"/>
      <c r="T411" s="109"/>
      <c r="U411" s="109"/>
      <c r="V411" s="109"/>
      <c r="W411" s="109"/>
      <c r="X411" s="109"/>
      <c r="Y411" s="109"/>
      <c r="Z411" s="109"/>
    </row>
    <row r="412">
      <c r="A412" s="109"/>
      <c r="B412" s="109"/>
      <c r="C412" s="109"/>
      <c r="D412" s="109"/>
      <c r="E412" s="109"/>
      <c r="F412" s="109"/>
      <c r="G412" s="356"/>
      <c r="H412" s="109"/>
      <c r="I412" s="109"/>
      <c r="J412" s="109"/>
      <c r="K412" s="109"/>
      <c r="L412" s="109"/>
      <c r="M412" s="109"/>
      <c r="N412" s="109"/>
      <c r="O412" s="109"/>
      <c r="P412" s="357"/>
      <c r="Q412" s="109"/>
      <c r="R412" s="109"/>
      <c r="S412" s="109"/>
      <c r="T412" s="109"/>
      <c r="U412" s="109"/>
      <c r="V412" s="109"/>
      <c r="W412" s="109"/>
      <c r="X412" s="109"/>
      <c r="Y412" s="109"/>
      <c r="Z412" s="109"/>
    </row>
    <row r="413">
      <c r="A413" s="109"/>
      <c r="B413" s="109"/>
      <c r="C413" s="109"/>
      <c r="D413" s="109"/>
      <c r="E413" s="109"/>
      <c r="F413" s="109"/>
      <c r="G413" s="356"/>
      <c r="H413" s="109"/>
      <c r="I413" s="109"/>
      <c r="J413" s="109"/>
      <c r="K413" s="109"/>
      <c r="L413" s="109"/>
      <c r="M413" s="109"/>
      <c r="N413" s="109"/>
      <c r="O413" s="109"/>
      <c r="P413" s="357"/>
      <c r="Q413" s="109"/>
      <c r="R413" s="109"/>
      <c r="S413" s="109"/>
      <c r="T413" s="109"/>
      <c r="U413" s="109"/>
      <c r="V413" s="109"/>
      <c r="W413" s="109"/>
      <c r="X413" s="109"/>
      <c r="Y413" s="109"/>
      <c r="Z413" s="109"/>
    </row>
    <row r="414">
      <c r="A414" s="109"/>
      <c r="B414" s="109"/>
      <c r="C414" s="109"/>
      <c r="D414" s="109"/>
      <c r="E414" s="109"/>
      <c r="F414" s="109"/>
      <c r="G414" s="356"/>
      <c r="H414" s="109"/>
      <c r="I414" s="109"/>
      <c r="J414" s="109"/>
      <c r="K414" s="109"/>
      <c r="L414" s="109"/>
      <c r="M414" s="109"/>
      <c r="N414" s="109"/>
      <c r="O414" s="109"/>
      <c r="P414" s="357"/>
      <c r="Q414" s="109"/>
      <c r="R414" s="109"/>
      <c r="S414" s="109"/>
      <c r="T414" s="109"/>
      <c r="U414" s="109"/>
      <c r="V414" s="109"/>
      <c r="W414" s="109"/>
      <c r="X414" s="109"/>
      <c r="Y414" s="109"/>
      <c r="Z414" s="109"/>
    </row>
    <row r="415">
      <c r="A415" s="109"/>
      <c r="B415" s="109"/>
      <c r="C415" s="109"/>
      <c r="D415" s="109"/>
      <c r="E415" s="109"/>
      <c r="F415" s="109"/>
      <c r="G415" s="356"/>
      <c r="H415" s="109"/>
      <c r="I415" s="109"/>
      <c r="J415" s="109"/>
      <c r="K415" s="109"/>
      <c r="L415" s="109"/>
      <c r="M415" s="109"/>
      <c r="N415" s="109"/>
      <c r="O415" s="109"/>
      <c r="P415" s="357"/>
      <c r="Q415" s="109"/>
      <c r="R415" s="109"/>
      <c r="S415" s="109"/>
      <c r="T415" s="109"/>
      <c r="U415" s="109"/>
      <c r="V415" s="109"/>
      <c r="W415" s="109"/>
      <c r="X415" s="109"/>
      <c r="Y415" s="109"/>
      <c r="Z415" s="109"/>
    </row>
    <row r="416">
      <c r="A416" s="109"/>
      <c r="B416" s="109"/>
      <c r="C416" s="109"/>
      <c r="D416" s="109"/>
      <c r="E416" s="109"/>
      <c r="F416" s="109"/>
      <c r="G416" s="356"/>
      <c r="H416" s="109"/>
      <c r="I416" s="109"/>
      <c r="J416" s="109"/>
      <c r="K416" s="109"/>
      <c r="L416" s="109"/>
      <c r="M416" s="109"/>
      <c r="N416" s="109"/>
      <c r="O416" s="109"/>
      <c r="P416" s="357"/>
      <c r="Q416" s="109"/>
      <c r="R416" s="109"/>
      <c r="S416" s="109"/>
      <c r="T416" s="109"/>
      <c r="U416" s="109"/>
      <c r="V416" s="109"/>
      <c r="W416" s="109"/>
      <c r="X416" s="109"/>
      <c r="Y416" s="109"/>
      <c r="Z416" s="109"/>
    </row>
    <row r="417">
      <c r="A417" s="109"/>
      <c r="B417" s="109"/>
      <c r="C417" s="109"/>
      <c r="D417" s="109"/>
      <c r="E417" s="109"/>
      <c r="F417" s="109"/>
      <c r="G417" s="356"/>
      <c r="H417" s="109"/>
      <c r="I417" s="109"/>
      <c r="J417" s="109"/>
      <c r="K417" s="109"/>
      <c r="L417" s="109"/>
      <c r="M417" s="109"/>
      <c r="N417" s="109"/>
      <c r="O417" s="109"/>
      <c r="P417" s="357"/>
      <c r="Q417" s="109"/>
      <c r="R417" s="109"/>
      <c r="S417" s="109"/>
      <c r="T417" s="109"/>
      <c r="U417" s="109"/>
      <c r="V417" s="109"/>
      <c r="W417" s="109"/>
      <c r="X417" s="109"/>
      <c r="Y417" s="109"/>
      <c r="Z417" s="109"/>
    </row>
    <row r="418">
      <c r="A418" s="109"/>
      <c r="B418" s="109"/>
      <c r="C418" s="109"/>
      <c r="D418" s="109"/>
      <c r="E418" s="109"/>
      <c r="F418" s="109"/>
      <c r="G418" s="356"/>
      <c r="H418" s="109"/>
      <c r="I418" s="109"/>
      <c r="J418" s="109"/>
      <c r="K418" s="109"/>
      <c r="L418" s="109"/>
      <c r="M418" s="109"/>
      <c r="N418" s="109"/>
      <c r="O418" s="109"/>
      <c r="P418" s="357"/>
      <c r="Q418" s="109"/>
      <c r="R418" s="109"/>
      <c r="S418" s="109"/>
      <c r="T418" s="109"/>
      <c r="U418" s="109"/>
      <c r="V418" s="109"/>
      <c r="W418" s="109"/>
      <c r="X418" s="109"/>
      <c r="Y418" s="109"/>
      <c r="Z418" s="109"/>
    </row>
    <row r="419">
      <c r="A419" s="109"/>
      <c r="B419" s="109"/>
      <c r="C419" s="109"/>
      <c r="D419" s="109"/>
      <c r="E419" s="109"/>
      <c r="F419" s="109"/>
      <c r="G419" s="356"/>
      <c r="H419" s="109"/>
      <c r="I419" s="109"/>
      <c r="J419" s="109"/>
      <c r="K419" s="109"/>
      <c r="L419" s="109"/>
      <c r="M419" s="109"/>
      <c r="N419" s="109"/>
      <c r="O419" s="109"/>
      <c r="P419" s="357"/>
      <c r="Q419" s="109"/>
      <c r="R419" s="109"/>
      <c r="S419" s="109"/>
      <c r="T419" s="109"/>
      <c r="U419" s="109"/>
      <c r="V419" s="109"/>
      <c r="W419" s="109"/>
      <c r="X419" s="109"/>
      <c r="Y419" s="109"/>
      <c r="Z419" s="109"/>
    </row>
    <row r="420">
      <c r="A420" s="109"/>
      <c r="B420" s="109"/>
      <c r="C420" s="109"/>
      <c r="D420" s="109"/>
      <c r="E420" s="109"/>
      <c r="F420" s="109"/>
      <c r="G420" s="356"/>
      <c r="H420" s="109"/>
      <c r="I420" s="109"/>
      <c r="J420" s="109"/>
      <c r="K420" s="109"/>
      <c r="L420" s="109"/>
      <c r="M420" s="109"/>
      <c r="N420" s="109"/>
      <c r="O420" s="109"/>
      <c r="P420" s="357"/>
      <c r="Q420" s="109"/>
      <c r="R420" s="109"/>
      <c r="S420" s="109"/>
      <c r="T420" s="109"/>
      <c r="U420" s="109"/>
      <c r="V420" s="109"/>
      <c r="W420" s="109"/>
      <c r="X420" s="109"/>
      <c r="Y420" s="109"/>
      <c r="Z420" s="109"/>
    </row>
    <row r="421">
      <c r="A421" s="109"/>
      <c r="B421" s="109"/>
      <c r="C421" s="109"/>
      <c r="D421" s="109"/>
      <c r="E421" s="109"/>
      <c r="F421" s="109"/>
      <c r="G421" s="356"/>
      <c r="H421" s="109"/>
      <c r="I421" s="109"/>
      <c r="J421" s="109"/>
      <c r="K421" s="109"/>
      <c r="L421" s="109"/>
      <c r="M421" s="109"/>
      <c r="N421" s="109"/>
      <c r="O421" s="109"/>
      <c r="P421" s="357"/>
      <c r="Q421" s="109"/>
      <c r="R421" s="109"/>
      <c r="S421" s="109"/>
      <c r="T421" s="109"/>
      <c r="U421" s="109"/>
      <c r="V421" s="109"/>
      <c r="W421" s="109"/>
      <c r="X421" s="109"/>
      <c r="Y421" s="109"/>
      <c r="Z421" s="109"/>
    </row>
    <row r="422">
      <c r="A422" s="109"/>
      <c r="B422" s="109"/>
      <c r="C422" s="109"/>
      <c r="D422" s="109"/>
      <c r="E422" s="109"/>
      <c r="F422" s="109"/>
      <c r="G422" s="356"/>
      <c r="H422" s="109"/>
      <c r="I422" s="109"/>
      <c r="J422" s="109"/>
      <c r="K422" s="109"/>
      <c r="L422" s="109"/>
      <c r="M422" s="109"/>
      <c r="N422" s="109"/>
      <c r="O422" s="109"/>
      <c r="P422" s="357"/>
      <c r="Q422" s="109"/>
      <c r="R422" s="109"/>
      <c r="S422" s="109"/>
      <c r="T422" s="109"/>
      <c r="U422" s="109"/>
      <c r="V422" s="109"/>
      <c r="W422" s="109"/>
      <c r="X422" s="109"/>
      <c r="Y422" s="109"/>
      <c r="Z422" s="109"/>
    </row>
    <row r="423">
      <c r="A423" s="109"/>
      <c r="B423" s="109"/>
      <c r="C423" s="109"/>
      <c r="D423" s="109"/>
      <c r="E423" s="109"/>
      <c r="F423" s="109"/>
      <c r="G423" s="356"/>
      <c r="H423" s="109"/>
      <c r="I423" s="109"/>
      <c r="J423" s="109"/>
      <c r="K423" s="109"/>
      <c r="L423" s="109"/>
      <c r="M423" s="109"/>
      <c r="N423" s="109"/>
      <c r="O423" s="109"/>
      <c r="P423" s="357"/>
      <c r="Q423" s="109"/>
      <c r="R423" s="109"/>
      <c r="S423" s="109"/>
      <c r="T423" s="109"/>
      <c r="U423" s="109"/>
      <c r="V423" s="109"/>
      <c r="W423" s="109"/>
      <c r="X423" s="109"/>
      <c r="Y423" s="109"/>
      <c r="Z423" s="109"/>
    </row>
    <row r="424">
      <c r="A424" s="109"/>
      <c r="B424" s="109"/>
      <c r="C424" s="109"/>
      <c r="D424" s="109"/>
      <c r="E424" s="109"/>
      <c r="F424" s="109"/>
      <c r="G424" s="356"/>
      <c r="H424" s="109"/>
      <c r="I424" s="109"/>
      <c r="J424" s="109"/>
      <c r="K424" s="109"/>
      <c r="L424" s="109"/>
      <c r="M424" s="109"/>
      <c r="N424" s="109"/>
      <c r="O424" s="109"/>
      <c r="P424" s="357"/>
      <c r="Q424" s="109"/>
      <c r="R424" s="109"/>
      <c r="S424" s="109"/>
      <c r="T424" s="109"/>
      <c r="U424" s="109"/>
      <c r="V424" s="109"/>
      <c r="W424" s="109"/>
      <c r="X424" s="109"/>
      <c r="Y424" s="109"/>
      <c r="Z424" s="109"/>
    </row>
    <row r="425">
      <c r="A425" s="109"/>
      <c r="B425" s="109"/>
      <c r="C425" s="109"/>
      <c r="D425" s="109"/>
      <c r="E425" s="109"/>
      <c r="F425" s="109"/>
      <c r="G425" s="356"/>
      <c r="H425" s="109"/>
      <c r="I425" s="109"/>
      <c r="J425" s="109"/>
      <c r="K425" s="109"/>
      <c r="L425" s="109"/>
      <c r="M425" s="109"/>
      <c r="N425" s="109"/>
      <c r="O425" s="109"/>
      <c r="P425" s="357"/>
      <c r="Q425" s="109"/>
      <c r="R425" s="109"/>
      <c r="S425" s="109"/>
      <c r="T425" s="109"/>
      <c r="U425" s="109"/>
      <c r="V425" s="109"/>
      <c r="W425" s="109"/>
      <c r="X425" s="109"/>
      <c r="Y425" s="109"/>
      <c r="Z425" s="109"/>
    </row>
    <row r="426">
      <c r="A426" s="109"/>
      <c r="B426" s="109"/>
      <c r="C426" s="109"/>
      <c r="D426" s="109"/>
      <c r="E426" s="109"/>
      <c r="F426" s="109"/>
      <c r="G426" s="356"/>
      <c r="H426" s="109"/>
      <c r="I426" s="109"/>
      <c r="J426" s="109"/>
      <c r="K426" s="109"/>
      <c r="L426" s="109"/>
      <c r="M426" s="109"/>
      <c r="N426" s="109"/>
      <c r="O426" s="109"/>
      <c r="P426" s="357"/>
      <c r="Q426" s="109"/>
      <c r="R426" s="109"/>
      <c r="S426" s="109"/>
      <c r="T426" s="109"/>
      <c r="U426" s="109"/>
      <c r="V426" s="109"/>
      <c r="W426" s="109"/>
      <c r="X426" s="109"/>
      <c r="Y426" s="109"/>
      <c r="Z426" s="109"/>
    </row>
    <row r="427">
      <c r="A427" s="109"/>
      <c r="B427" s="109"/>
      <c r="C427" s="109"/>
      <c r="D427" s="109"/>
      <c r="E427" s="109"/>
      <c r="F427" s="109"/>
      <c r="G427" s="356"/>
      <c r="H427" s="109"/>
      <c r="I427" s="109"/>
      <c r="J427" s="109"/>
      <c r="K427" s="109"/>
      <c r="L427" s="109"/>
      <c r="M427" s="109"/>
      <c r="N427" s="109"/>
      <c r="O427" s="109"/>
      <c r="P427" s="357"/>
      <c r="Q427" s="109"/>
      <c r="R427" s="109"/>
      <c r="S427" s="109"/>
      <c r="T427" s="109"/>
      <c r="U427" s="109"/>
      <c r="V427" s="109"/>
      <c r="W427" s="109"/>
      <c r="X427" s="109"/>
      <c r="Y427" s="109"/>
      <c r="Z427" s="109"/>
    </row>
    <row r="428">
      <c r="A428" s="109"/>
      <c r="B428" s="109"/>
      <c r="C428" s="109"/>
      <c r="D428" s="109"/>
      <c r="E428" s="109"/>
      <c r="F428" s="109"/>
      <c r="G428" s="356"/>
      <c r="H428" s="109"/>
      <c r="I428" s="109"/>
      <c r="J428" s="109"/>
      <c r="K428" s="109"/>
      <c r="L428" s="109"/>
      <c r="M428" s="109"/>
      <c r="N428" s="109"/>
      <c r="O428" s="109"/>
      <c r="P428" s="357"/>
      <c r="Q428" s="109"/>
      <c r="R428" s="109"/>
      <c r="S428" s="109"/>
      <c r="T428" s="109"/>
      <c r="U428" s="109"/>
      <c r="V428" s="109"/>
      <c r="W428" s="109"/>
      <c r="X428" s="109"/>
      <c r="Y428" s="109"/>
      <c r="Z428" s="109"/>
    </row>
    <row r="429">
      <c r="A429" s="109"/>
      <c r="B429" s="109"/>
      <c r="C429" s="109"/>
      <c r="D429" s="109"/>
      <c r="E429" s="109"/>
      <c r="F429" s="109"/>
      <c r="G429" s="356"/>
      <c r="H429" s="109"/>
      <c r="I429" s="109"/>
      <c r="J429" s="109"/>
      <c r="K429" s="109"/>
      <c r="L429" s="109"/>
      <c r="M429" s="109"/>
      <c r="N429" s="109"/>
      <c r="O429" s="109"/>
      <c r="P429" s="357"/>
      <c r="Q429" s="109"/>
      <c r="R429" s="109"/>
      <c r="S429" s="109"/>
      <c r="T429" s="109"/>
      <c r="U429" s="109"/>
      <c r="V429" s="109"/>
      <c r="W429" s="109"/>
      <c r="X429" s="109"/>
      <c r="Y429" s="109"/>
      <c r="Z429" s="109"/>
    </row>
    <row r="430">
      <c r="A430" s="109"/>
      <c r="B430" s="109"/>
      <c r="C430" s="109"/>
      <c r="D430" s="109"/>
      <c r="E430" s="109"/>
      <c r="F430" s="109"/>
      <c r="G430" s="356"/>
      <c r="H430" s="109"/>
      <c r="I430" s="109"/>
      <c r="J430" s="109"/>
      <c r="K430" s="109"/>
      <c r="L430" s="109"/>
      <c r="M430" s="109"/>
      <c r="N430" s="109"/>
      <c r="O430" s="109"/>
      <c r="P430" s="357"/>
      <c r="Q430" s="109"/>
      <c r="R430" s="109"/>
      <c r="S430" s="109"/>
      <c r="T430" s="109"/>
      <c r="U430" s="109"/>
      <c r="V430" s="109"/>
      <c r="W430" s="109"/>
      <c r="X430" s="109"/>
      <c r="Y430" s="109"/>
      <c r="Z430" s="109"/>
    </row>
    <row r="431">
      <c r="A431" s="109"/>
      <c r="B431" s="109"/>
      <c r="C431" s="109"/>
      <c r="D431" s="109"/>
      <c r="E431" s="109"/>
      <c r="F431" s="109"/>
      <c r="G431" s="356"/>
      <c r="H431" s="109"/>
      <c r="I431" s="109"/>
      <c r="J431" s="109"/>
      <c r="K431" s="109"/>
      <c r="L431" s="109"/>
      <c r="M431" s="109"/>
      <c r="N431" s="109"/>
      <c r="O431" s="109"/>
      <c r="P431" s="357"/>
      <c r="Q431" s="109"/>
      <c r="R431" s="109"/>
      <c r="S431" s="109"/>
      <c r="T431" s="109"/>
      <c r="U431" s="109"/>
      <c r="V431" s="109"/>
      <c r="W431" s="109"/>
      <c r="X431" s="109"/>
      <c r="Y431" s="109"/>
      <c r="Z431" s="109"/>
    </row>
    <row r="432">
      <c r="A432" s="109"/>
      <c r="B432" s="109"/>
      <c r="C432" s="109"/>
      <c r="D432" s="109"/>
      <c r="E432" s="109"/>
      <c r="F432" s="109"/>
      <c r="G432" s="356"/>
      <c r="H432" s="109"/>
      <c r="I432" s="109"/>
      <c r="J432" s="109"/>
      <c r="K432" s="109"/>
      <c r="L432" s="109"/>
      <c r="M432" s="109"/>
      <c r="N432" s="109"/>
      <c r="O432" s="109"/>
      <c r="P432" s="357"/>
      <c r="Q432" s="109"/>
      <c r="R432" s="109"/>
      <c r="S432" s="109"/>
      <c r="T432" s="109"/>
      <c r="U432" s="109"/>
      <c r="V432" s="109"/>
      <c r="W432" s="109"/>
      <c r="X432" s="109"/>
      <c r="Y432" s="109"/>
      <c r="Z432" s="109"/>
    </row>
    <row r="433">
      <c r="A433" s="109"/>
      <c r="B433" s="109"/>
      <c r="C433" s="109"/>
      <c r="D433" s="109"/>
      <c r="E433" s="109"/>
      <c r="F433" s="109"/>
      <c r="G433" s="356"/>
      <c r="H433" s="109"/>
      <c r="I433" s="109"/>
      <c r="J433" s="109"/>
      <c r="K433" s="109"/>
      <c r="L433" s="109"/>
      <c r="M433" s="109"/>
      <c r="N433" s="109"/>
      <c r="O433" s="109"/>
      <c r="P433" s="357"/>
      <c r="Q433" s="109"/>
      <c r="R433" s="109"/>
      <c r="S433" s="109"/>
      <c r="T433" s="109"/>
      <c r="U433" s="109"/>
      <c r="V433" s="109"/>
      <c r="W433" s="109"/>
      <c r="X433" s="109"/>
      <c r="Y433" s="109"/>
      <c r="Z433" s="109"/>
    </row>
    <row r="434">
      <c r="A434" s="109"/>
      <c r="B434" s="109"/>
      <c r="C434" s="109"/>
      <c r="D434" s="109"/>
      <c r="E434" s="109"/>
      <c r="F434" s="109"/>
      <c r="G434" s="356"/>
      <c r="H434" s="109"/>
      <c r="I434" s="109"/>
      <c r="J434" s="109"/>
      <c r="K434" s="109"/>
      <c r="L434" s="109"/>
      <c r="M434" s="109"/>
      <c r="N434" s="109"/>
      <c r="O434" s="109"/>
      <c r="P434" s="357"/>
      <c r="Q434" s="109"/>
      <c r="R434" s="109"/>
      <c r="S434" s="109"/>
      <c r="T434" s="109"/>
      <c r="U434" s="109"/>
      <c r="V434" s="109"/>
      <c r="W434" s="109"/>
      <c r="X434" s="109"/>
      <c r="Y434" s="109"/>
      <c r="Z434" s="109"/>
    </row>
    <row r="435">
      <c r="A435" s="109"/>
      <c r="B435" s="109"/>
      <c r="C435" s="109"/>
      <c r="D435" s="109"/>
      <c r="E435" s="109"/>
      <c r="F435" s="109"/>
      <c r="G435" s="356"/>
      <c r="H435" s="109"/>
      <c r="I435" s="109"/>
      <c r="J435" s="109"/>
      <c r="K435" s="109"/>
      <c r="L435" s="109"/>
      <c r="M435" s="109"/>
      <c r="N435" s="109"/>
      <c r="O435" s="109"/>
      <c r="P435" s="357"/>
      <c r="Q435" s="109"/>
      <c r="R435" s="109"/>
      <c r="S435" s="109"/>
      <c r="T435" s="109"/>
      <c r="U435" s="109"/>
      <c r="V435" s="109"/>
      <c r="W435" s="109"/>
      <c r="X435" s="109"/>
      <c r="Y435" s="109"/>
      <c r="Z435" s="109"/>
    </row>
    <row r="436">
      <c r="A436" s="109"/>
      <c r="B436" s="109"/>
      <c r="C436" s="109"/>
      <c r="D436" s="109"/>
      <c r="E436" s="109"/>
      <c r="F436" s="109"/>
      <c r="G436" s="356"/>
      <c r="H436" s="109"/>
      <c r="I436" s="109"/>
      <c r="J436" s="109"/>
      <c r="K436" s="109"/>
      <c r="L436" s="109"/>
      <c r="M436" s="109"/>
      <c r="N436" s="109"/>
      <c r="O436" s="109"/>
      <c r="P436" s="357"/>
      <c r="Q436" s="109"/>
      <c r="R436" s="109"/>
      <c r="S436" s="109"/>
      <c r="T436" s="109"/>
      <c r="U436" s="109"/>
      <c r="V436" s="109"/>
      <c r="W436" s="109"/>
      <c r="X436" s="109"/>
      <c r="Y436" s="109"/>
      <c r="Z436" s="109"/>
    </row>
    <row r="437">
      <c r="A437" s="109"/>
      <c r="B437" s="109"/>
      <c r="C437" s="109"/>
      <c r="D437" s="109"/>
      <c r="E437" s="109"/>
      <c r="F437" s="109"/>
      <c r="G437" s="356"/>
      <c r="H437" s="109"/>
      <c r="I437" s="109"/>
      <c r="J437" s="109"/>
      <c r="K437" s="109"/>
      <c r="L437" s="109"/>
      <c r="M437" s="109"/>
      <c r="N437" s="109"/>
      <c r="O437" s="109"/>
      <c r="P437" s="357"/>
      <c r="Q437" s="109"/>
      <c r="R437" s="109"/>
      <c r="S437" s="109"/>
      <c r="T437" s="109"/>
      <c r="U437" s="109"/>
      <c r="V437" s="109"/>
      <c r="W437" s="109"/>
      <c r="X437" s="109"/>
      <c r="Y437" s="109"/>
      <c r="Z437" s="109"/>
    </row>
    <row r="438">
      <c r="A438" s="109"/>
      <c r="B438" s="109"/>
      <c r="C438" s="109"/>
      <c r="D438" s="109"/>
      <c r="E438" s="109"/>
      <c r="F438" s="109"/>
      <c r="G438" s="356"/>
      <c r="H438" s="109"/>
      <c r="I438" s="109"/>
      <c r="J438" s="109"/>
      <c r="K438" s="109"/>
      <c r="L438" s="109"/>
      <c r="M438" s="109"/>
      <c r="N438" s="109"/>
      <c r="O438" s="109"/>
      <c r="P438" s="357"/>
      <c r="Q438" s="109"/>
      <c r="R438" s="109"/>
      <c r="S438" s="109"/>
      <c r="T438" s="109"/>
      <c r="U438" s="109"/>
      <c r="V438" s="109"/>
      <c r="W438" s="109"/>
      <c r="X438" s="109"/>
      <c r="Y438" s="109"/>
      <c r="Z438" s="109"/>
    </row>
    <row r="439">
      <c r="A439" s="109"/>
      <c r="B439" s="109"/>
      <c r="C439" s="109"/>
      <c r="D439" s="109"/>
      <c r="E439" s="109"/>
      <c r="F439" s="109"/>
      <c r="G439" s="356"/>
      <c r="H439" s="109"/>
      <c r="I439" s="109"/>
      <c r="J439" s="109"/>
      <c r="K439" s="109"/>
      <c r="L439" s="109"/>
      <c r="M439" s="109"/>
      <c r="N439" s="109"/>
      <c r="O439" s="109"/>
      <c r="P439" s="357"/>
      <c r="Q439" s="109"/>
      <c r="R439" s="109"/>
      <c r="S439" s="109"/>
      <c r="T439" s="109"/>
      <c r="U439" s="109"/>
      <c r="V439" s="109"/>
      <c r="W439" s="109"/>
      <c r="X439" s="109"/>
      <c r="Y439" s="109"/>
      <c r="Z439" s="109"/>
    </row>
    <row r="440">
      <c r="A440" s="109"/>
      <c r="B440" s="109"/>
      <c r="C440" s="109"/>
      <c r="D440" s="109"/>
      <c r="E440" s="109"/>
      <c r="F440" s="109"/>
      <c r="G440" s="356"/>
      <c r="H440" s="109"/>
      <c r="I440" s="109"/>
      <c r="J440" s="109"/>
      <c r="K440" s="109"/>
      <c r="L440" s="109"/>
      <c r="M440" s="109"/>
      <c r="N440" s="109"/>
      <c r="O440" s="109"/>
      <c r="P440" s="357"/>
      <c r="Q440" s="109"/>
      <c r="R440" s="109"/>
      <c r="S440" s="109"/>
      <c r="T440" s="109"/>
      <c r="U440" s="109"/>
      <c r="V440" s="109"/>
      <c r="W440" s="109"/>
      <c r="X440" s="109"/>
      <c r="Y440" s="109"/>
      <c r="Z440" s="109"/>
    </row>
    <row r="441">
      <c r="A441" s="109"/>
      <c r="B441" s="109"/>
      <c r="C441" s="109"/>
      <c r="D441" s="109"/>
      <c r="E441" s="109"/>
      <c r="F441" s="109"/>
      <c r="G441" s="356"/>
      <c r="H441" s="109"/>
      <c r="I441" s="109"/>
      <c r="J441" s="109"/>
      <c r="K441" s="109"/>
      <c r="L441" s="109"/>
      <c r="M441" s="109"/>
      <c r="N441" s="109"/>
      <c r="O441" s="109"/>
      <c r="P441" s="357"/>
      <c r="Q441" s="109"/>
      <c r="R441" s="109"/>
      <c r="S441" s="109"/>
      <c r="T441" s="109"/>
      <c r="U441" s="109"/>
      <c r="V441" s="109"/>
      <c r="W441" s="109"/>
      <c r="X441" s="109"/>
      <c r="Y441" s="109"/>
      <c r="Z441" s="109"/>
    </row>
    <row r="442">
      <c r="A442" s="109"/>
      <c r="B442" s="109"/>
      <c r="C442" s="109"/>
      <c r="D442" s="109"/>
      <c r="E442" s="109"/>
      <c r="F442" s="109"/>
      <c r="G442" s="356"/>
      <c r="H442" s="109"/>
      <c r="I442" s="109"/>
      <c r="J442" s="109"/>
      <c r="K442" s="109"/>
      <c r="L442" s="109"/>
      <c r="M442" s="109"/>
      <c r="N442" s="109"/>
      <c r="O442" s="109"/>
      <c r="P442" s="357"/>
      <c r="Q442" s="109"/>
      <c r="R442" s="109"/>
      <c r="S442" s="109"/>
      <c r="T442" s="109"/>
      <c r="U442" s="109"/>
      <c r="V442" s="109"/>
      <c r="W442" s="109"/>
      <c r="X442" s="109"/>
      <c r="Y442" s="109"/>
      <c r="Z442" s="109"/>
    </row>
    <row r="443">
      <c r="A443" s="109"/>
      <c r="B443" s="109"/>
      <c r="C443" s="109"/>
      <c r="D443" s="109"/>
      <c r="E443" s="109"/>
      <c r="F443" s="109"/>
      <c r="G443" s="356"/>
      <c r="H443" s="109"/>
      <c r="I443" s="109"/>
      <c r="J443" s="109"/>
      <c r="K443" s="109"/>
      <c r="L443" s="109"/>
      <c r="M443" s="109"/>
      <c r="N443" s="109"/>
      <c r="O443" s="109"/>
      <c r="P443" s="357"/>
      <c r="Q443" s="109"/>
      <c r="R443" s="109"/>
      <c r="S443" s="109"/>
      <c r="T443" s="109"/>
      <c r="U443" s="109"/>
      <c r="V443" s="109"/>
      <c r="W443" s="109"/>
      <c r="X443" s="109"/>
      <c r="Y443" s="109"/>
      <c r="Z443" s="109"/>
    </row>
    <row r="444">
      <c r="A444" s="109"/>
      <c r="B444" s="109"/>
      <c r="C444" s="109"/>
      <c r="D444" s="109"/>
      <c r="E444" s="109"/>
      <c r="F444" s="109"/>
      <c r="G444" s="356"/>
      <c r="H444" s="109"/>
      <c r="I444" s="109"/>
      <c r="J444" s="109"/>
      <c r="K444" s="109"/>
      <c r="L444" s="109"/>
      <c r="M444" s="109"/>
      <c r="N444" s="109"/>
      <c r="O444" s="109"/>
      <c r="P444" s="357"/>
      <c r="Q444" s="109"/>
      <c r="R444" s="109"/>
      <c r="S444" s="109"/>
      <c r="T444" s="109"/>
      <c r="U444" s="109"/>
      <c r="V444" s="109"/>
      <c r="W444" s="109"/>
      <c r="X444" s="109"/>
      <c r="Y444" s="109"/>
      <c r="Z444" s="109"/>
    </row>
    <row r="445">
      <c r="A445" s="109"/>
      <c r="B445" s="109"/>
      <c r="C445" s="109"/>
      <c r="D445" s="109"/>
      <c r="E445" s="109"/>
      <c r="F445" s="109"/>
      <c r="G445" s="356"/>
      <c r="H445" s="109"/>
      <c r="I445" s="109"/>
      <c r="J445" s="109"/>
      <c r="K445" s="109"/>
      <c r="L445" s="109"/>
      <c r="M445" s="109"/>
      <c r="N445" s="109"/>
      <c r="O445" s="109"/>
      <c r="P445" s="357"/>
      <c r="Q445" s="109"/>
      <c r="R445" s="109"/>
      <c r="S445" s="109"/>
      <c r="T445" s="109"/>
      <c r="U445" s="109"/>
      <c r="V445" s="109"/>
      <c r="W445" s="109"/>
      <c r="X445" s="109"/>
      <c r="Y445" s="109"/>
      <c r="Z445" s="109"/>
    </row>
    <row r="446">
      <c r="A446" s="109"/>
      <c r="B446" s="109"/>
      <c r="C446" s="109"/>
      <c r="D446" s="109"/>
      <c r="E446" s="109"/>
      <c r="F446" s="109"/>
      <c r="G446" s="356"/>
      <c r="H446" s="109"/>
      <c r="I446" s="109"/>
      <c r="J446" s="109"/>
      <c r="K446" s="109"/>
      <c r="L446" s="109"/>
      <c r="M446" s="109"/>
      <c r="N446" s="109"/>
      <c r="O446" s="109"/>
      <c r="P446" s="357"/>
      <c r="Q446" s="109"/>
      <c r="R446" s="109"/>
      <c r="S446" s="109"/>
      <c r="T446" s="109"/>
      <c r="U446" s="109"/>
      <c r="V446" s="109"/>
      <c r="W446" s="109"/>
      <c r="X446" s="109"/>
      <c r="Y446" s="109"/>
      <c r="Z446" s="109"/>
    </row>
    <row r="447">
      <c r="A447" s="109"/>
      <c r="B447" s="109"/>
      <c r="C447" s="109"/>
      <c r="D447" s="109"/>
      <c r="E447" s="109"/>
      <c r="F447" s="109"/>
      <c r="G447" s="356"/>
      <c r="H447" s="109"/>
      <c r="I447" s="109"/>
      <c r="J447" s="109"/>
      <c r="K447" s="109"/>
      <c r="L447" s="109"/>
      <c r="M447" s="109"/>
      <c r="N447" s="109"/>
      <c r="O447" s="109"/>
      <c r="P447" s="357"/>
      <c r="Q447" s="109"/>
      <c r="R447" s="109"/>
      <c r="S447" s="109"/>
      <c r="T447" s="109"/>
      <c r="U447" s="109"/>
      <c r="V447" s="109"/>
      <c r="W447" s="109"/>
      <c r="X447" s="109"/>
      <c r="Y447" s="109"/>
      <c r="Z447" s="109"/>
    </row>
    <row r="448">
      <c r="A448" s="109"/>
      <c r="B448" s="109"/>
      <c r="C448" s="109"/>
      <c r="D448" s="109"/>
      <c r="E448" s="109"/>
      <c r="F448" s="109"/>
      <c r="G448" s="356"/>
      <c r="H448" s="109"/>
      <c r="I448" s="109"/>
      <c r="J448" s="109"/>
      <c r="K448" s="109"/>
      <c r="L448" s="109"/>
      <c r="M448" s="109"/>
      <c r="N448" s="109"/>
      <c r="O448" s="109"/>
      <c r="P448" s="357"/>
      <c r="Q448" s="109"/>
      <c r="R448" s="109"/>
      <c r="S448" s="109"/>
      <c r="T448" s="109"/>
      <c r="U448" s="109"/>
      <c r="V448" s="109"/>
      <c r="W448" s="109"/>
      <c r="X448" s="109"/>
      <c r="Y448" s="109"/>
      <c r="Z448" s="109"/>
    </row>
    <row r="449">
      <c r="A449" s="109"/>
      <c r="B449" s="109"/>
      <c r="C449" s="109"/>
      <c r="D449" s="109"/>
      <c r="E449" s="109"/>
      <c r="F449" s="109"/>
      <c r="G449" s="356"/>
      <c r="H449" s="109"/>
      <c r="I449" s="109"/>
      <c r="J449" s="109"/>
      <c r="K449" s="109"/>
      <c r="L449" s="109"/>
      <c r="M449" s="109"/>
      <c r="N449" s="109"/>
      <c r="O449" s="109"/>
      <c r="P449" s="357"/>
      <c r="Q449" s="109"/>
      <c r="R449" s="109"/>
      <c r="S449" s="109"/>
      <c r="T449" s="109"/>
      <c r="U449" s="109"/>
      <c r="V449" s="109"/>
      <c r="W449" s="109"/>
      <c r="X449" s="109"/>
      <c r="Y449" s="109"/>
      <c r="Z449" s="109"/>
    </row>
    <row r="450">
      <c r="A450" s="109"/>
      <c r="B450" s="109"/>
      <c r="C450" s="109"/>
      <c r="D450" s="109"/>
      <c r="E450" s="109"/>
      <c r="F450" s="109"/>
      <c r="G450" s="356"/>
      <c r="H450" s="109"/>
      <c r="I450" s="109"/>
      <c r="J450" s="109"/>
      <c r="K450" s="109"/>
      <c r="L450" s="109"/>
      <c r="M450" s="109"/>
      <c r="N450" s="109"/>
      <c r="O450" s="109"/>
      <c r="P450" s="357"/>
      <c r="Q450" s="109"/>
      <c r="R450" s="109"/>
      <c r="S450" s="109"/>
      <c r="T450" s="109"/>
      <c r="U450" s="109"/>
      <c r="V450" s="109"/>
      <c r="W450" s="109"/>
      <c r="X450" s="109"/>
      <c r="Y450" s="109"/>
      <c r="Z450" s="109"/>
    </row>
    <row r="451">
      <c r="A451" s="109"/>
      <c r="B451" s="109"/>
      <c r="C451" s="109"/>
      <c r="D451" s="109"/>
      <c r="E451" s="109"/>
      <c r="F451" s="109"/>
      <c r="G451" s="356"/>
      <c r="H451" s="109"/>
      <c r="I451" s="109"/>
      <c r="J451" s="109"/>
      <c r="K451" s="109"/>
      <c r="L451" s="109"/>
      <c r="M451" s="109"/>
      <c r="N451" s="109"/>
      <c r="O451" s="109"/>
      <c r="P451" s="357"/>
      <c r="Q451" s="109"/>
      <c r="R451" s="109"/>
      <c r="S451" s="109"/>
      <c r="T451" s="109"/>
      <c r="U451" s="109"/>
      <c r="V451" s="109"/>
      <c r="W451" s="109"/>
      <c r="X451" s="109"/>
      <c r="Y451" s="109"/>
      <c r="Z451" s="109"/>
    </row>
    <row r="452">
      <c r="A452" s="109"/>
      <c r="B452" s="109"/>
      <c r="C452" s="109"/>
      <c r="D452" s="109"/>
      <c r="E452" s="109"/>
      <c r="F452" s="109"/>
      <c r="G452" s="356"/>
      <c r="H452" s="109"/>
      <c r="I452" s="109"/>
      <c r="J452" s="109"/>
      <c r="K452" s="109"/>
      <c r="L452" s="109"/>
      <c r="M452" s="109"/>
      <c r="N452" s="109"/>
      <c r="O452" s="109"/>
      <c r="P452" s="357"/>
      <c r="Q452" s="109"/>
      <c r="R452" s="109"/>
      <c r="S452" s="109"/>
      <c r="T452" s="109"/>
      <c r="U452" s="109"/>
      <c r="V452" s="109"/>
      <c r="W452" s="109"/>
      <c r="X452" s="109"/>
      <c r="Y452" s="109"/>
      <c r="Z452" s="109"/>
    </row>
    <row r="453">
      <c r="A453" s="109"/>
      <c r="B453" s="109"/>
      <c r="C453" s="109"/>
      <c r="D453" s="109"/>
      <c r="E453" s="109"/>
      <c r="F453" s="109"/>
      <c r="G453" s="356"/>
      <c r="H453" s="109"/>
      <c r="I453" s="109"/>
      <c r="J453" s="109"/>
      <c r="K453" s="109"/>
      <c r="L453" s="109"/>
      <c r="M453" s="109"/>
      <c r="N453" s="109"/>
      <c r="O453" s="109"/>
      <c r="P453" s="357"/>
      <c r="Q453" s="109"/>
      <c r="R453" s="109"/>
      <c r="S453" s="109"/>
      <c r="T453" s="109"/>
      <c r="U453" s="109"/>
      <c r="V453" s="109"/>
      <c r="W453" s="109"/>
      <c r="X453" s="109"/>
      <c r="Y453" s="109"/>
      <c r="Z453" s="109"/>
    </row>
    <row r="454">
      <c r="A454" s="109"/>
      <c r="B454" s="109"/>
      <c r="C454" s="109"/>
      <c r="D454" s="109"/>
      <c r="E454" s="109"/>
      <c r="F454" s="109"/>
      <c r="G454" s="356"/>
      <c r="H454" s="109"/>
      <c r="I454" s="109"/>
      <c r="J454" s="109"/>
      <c r="K454" s="109"/>
      <c r="L454" s="109"/>
      <c r="M454" s="109"/>
      <c r="N454" s="109"/>
      <c r="O454" s="109"/>
      <c r="P454" s="357"/>
      <c r="Q454" s="109"/>
      <c r="R454" s="109"/>
      <c r="S454" s="109"/>
      <c r="T454" s="109"/>
      <c r="U454" s="109"/>
      <c r="V454" s="109"/>
      <c r="W454" s="109"/>
      <c r="X454" s="109"/>
      <c r="Y454" s="109"/>
      <c r="Z454" s="109"/>
    </row>
    <row r="455">
      <c r="A455" s="109"/>
      <c r="B455" s="109"/>
      <c r="C455" s="109"/>
      <c r="D455" s="109"/>
      <c r="E455" s="109"/>
      <c r="F455" s="109"/>
      <c r="G455" s="356"/>
      <c r="H455" s="109"/>
      <c r="I455" s="109"/>
      <c r="J455" s="109"/>
      <c r="K455" s="109"/>
      <c r="L455" s="109"/>
      <c r="M455" s="109"/>
      <c r="N455" s="109"/>
      <c r="O455" s="109"/>
      <c r="P455" s="357"/>
      <c r="Q455" s="109"/>
      <c r="R455" s="109"/>
      <c r="S455" s="109"/>
      <c r="T455" s="109"/>
      <c r="U455" s="109"/>
      <c r="V455" s="109"/>
      <c r="W455" s="109"/>
      <c r="X455" s="109"/>
      <c r="Y455" s="109"/>
      <c r="Z455" s="109"/>
    </row>
    <row r="456">
      <c r="A456" s="109"/>
      <c r="B456" s="109"/>
      <c r="C456" s="109"/>
      <c r="D456" s="109"/>
      <c r="E456" s="109"/>
      <c r="F456" s="109"/>
      <c r="G456" s="356"/>
      <c r="H456" s="109"/>
      <c r="I456" s="109"/>
      <c r="J456" s="109"/>
      <c r="K456" s="109"/>
      <c r="L456" s="109"/>
      <c r="M456" s="109"/>
      <c r="N456" s="109"/>
      <c r="O456" s="109"/>
      <c r="P456" s="357"/>
      <c r="Q456" s="109"/>
      <c r="R456" s="109"/>
      <c r="S456" s="109"/>
      <c r="T456" s="109"/>
      <c r="U456" s="109"/>
      <c r="V456" s="109"/>
      <c r="W456" s="109"/>
      <c r="X456" s="109"/>
      <c r="Y456" s="109"/>
      <c r="Z456" s="109"/>
    </row>
    <row r="457">
      <c r="A457" s="109"/>
      <c r="B457" s="109"/>
      <c r="C457" s="109"/>
      <c r="D457" s="109"/>
      <c r="E457" s="109"/>
      <c r="F457" s="109"/>
      <c r="G457" s="356"/>
      <c r="H457" s="109"/>
      <c r="I457" s="109"/>
      <c r="J457" s="109"/>
      <c r="K457" s="109"/>
      <c r="L457" s="109"/>
      <c r="M457" s="109"/>
      <c r="N457" s="109"/>
      <c r="O457" s="109"/>
      <c r="P457" s="357"/>
      <c r="Q457" s="109"/>
      <c r="R457" s="109"/>
      <c r="S457" s="109"/>
      <c r="T457" s="109"/>
      <c r="U457" s="109"/>
      <c r="V457" s="109"/>
      <c r="W457" s="109"/>
      <c r="X457" s="109"/>
      <c r="Y457" s="109"/>
      <c r="Z457" s="109"/>
    </row>
    <row r="458">
      <c r="A458" s="109"/>
      <c r="B458" s="109"/>
      <c r="C458" s="109"/>
      <c r="D458" s="109"/>
      <c r="E458" s="109"/>
      <c r="F458" s="109"/>
      <c r="G458" s="356"/>
      <c r="H458" s="109"/>
      <c r="I458" s="109"/>
      <c r="J458" s="109"/>
      <c r="K458" s="109"/>
      <c r="L458" s="109"/>
      <c r="M458" s="109"/>
      <c r="N458" s="109"/>
      <c r="O458" s="109"/>
      <c r="P458" s="357"/>
      <c r="Q458" s="109"/>
      <c r="R458" s="109"/>
      <c r="S458" s="109"/>
      <c r="T458" s="109"/>
      <c r="U458" s="109"/>
      <c r="V458" s="109"/>
      <c r="W458" s="109"/>
      <c r="X458" s="109"/>
      <c r="Y458" s="109"/>
      <c r="Z458" s="109"/>
    </row>
    <row r="459">
      <c r="A459" s="109"/>
      <c r="B459" s="109"/>
      <c r="C459" s="109"/>
      <c r="D459" s="109"/>
      <c r="E459" s="109"/>
      <c r="F459" s="109"/>
      <c r="G459" s="356"/>
      <c r="H459" s="109"/>
      <c r="I459" s="109"/>
      <c r="J459" s="109"/>
      <c r="K459" s="109"/>
      <c r="L459" s="109"/>
      <c r="M459" s="109"/>
      <c r="N459" s="109"/>
      <c r="O459" s="109"/>
      <c r="P459" s="357"/>
      <c r="Q459" s="109"/>
      <c r="R459" s="109"/>
      <c r="S459" s="109"/>
      <c r="T459" s="109"/>
      <c r="U459" s="109"/>
      <c r="V459" s="109"/>
      <c r="W459" s="109"/>
      <c r="X459" s="109"/>
      <c r="Y459" s="109"/>
      <c r="Z459" s="109"/>
    </row>
    <row r="460">
      <c r="A460" s="109"/>
      <c r="B460" s="109"/>
      <c r="C460" s="109"/>
      <c r="D460" s="109"/>
      <c r="E460" s="109"/>
      <c r="F460" s="109"/>
      <c r="G460" s="356"/>
      <c r="H460" s="109"/>
      <c r="I460" s="109"/>
      <c r="J460" s="109"/>
      <c r="K460" s="109"/>
      <c r="L460" s="109"/>
      <c r="M460" s="109"/>
      <c r="N460" s="109"/>
      <c r="O460" s="109"/>
      <c r="P460" s="357"/>
      <c r="Q460" s="109"/>
      <c r="R460" s="109"/>
      <c r="S460" s="109"/>
      <c r="T460" s="109"/>
      <c r="U460" s="109"/>
      <c r="V460" s="109"/>
      <c r="W460" s="109"/>
      <c r="X460" s="109"/>
      <c r="Y460" s="109"/>
      <c r="Z460" s="109"/>
    </row>
    <row r="461">
      <c r="A461" s="109"/>
      <c r="B461" s="109"/>
      <c r="C461" s="109"/>
      <c r="D461" s="109"/>
      <c r="E461" s="109"/>
      <c r="F461" s="109"/>
      <c r="G461" s="356"/>
      <c r="H461" s="109"/>
      <c r="I461" s="109"/>
      <c r="J461" s="109"/>
      <c r="K461" s="109"/>
      <c r="L461" s="109"/>
      <c r="M461" s="109"/>
      <c r="N461" s="109"/>
      <c r="O461" s="109"/>
      <c r="P461" s="357"/>
      <c r="Q461" s="109"/>
      <c r="R461" s="109"/>
      <c r="S461" s="109"/>
      <c r="T461" s="109"/>
      <c r="U461" s="109"/>
      <c r="V461" s="109"/>
      <c r="W461" s="109"/>
      <c r="X461" s="109"/>
      <c r="Y461" s="109"/>
      <c r="Z461" s="109"/>
    </row>
    <row r="462">
      <c r="A462" s="109"/>
      <c r="B462" s="109"/>
      <c r="C462" s="109"/>
      <c r="D462" s="109"/>
      <c r="E462" s="109"/>
      <c r="F462" s="109"/>
      <c r="G462" s="356"/>
      <c r="H462" s="109"/>
      <c r="I462" s="109"/>
      <c r="J462" s="109"/>
      <c r="K462" s="109"/>
      <c r="L462" s="109"/>
      <c r="M462" s="109"/>
      <c r="N462" s="109"/>
      <c r="O462" s="109"/>
      <c r="P462" s="357"/>
      <c r="Q462" s="109"/>
      <c r="R462" s="109"/>
      <c r="S462" s="109"/>
      <c r="T462" s="109"/>
      <c r="U462" s="109"/>
      <c r="V462" s="109"/>
      <c r="W462" s="109"/>
      <c r="X462" s="109"/>
      <c r="Y462" s="109"/>
      <c r="Z462" s="109"/>
    </row>
    <row r="463">
      <c r="A463" s="109"/>
      <c r="B463" s="109"/>
      <c r="C463" s="109"/>
      <c r="D463" s="109"/>
      <c r="E463" s="109"/>
      <c r="F463" s="109"/>
      <c r="G463" s="356"/>
      <c r="H463" s="109"/>
      <c r="I463" s="109"/>
      <c r="J463" s="109"/>
      <c r="K463" s="109"/>
      <c r="L463" s="109"/>
      <c r="M463" s="109"/>
      <c r="N463" s="109"/>
      <c r="O463" s="109"/>
      <c r="P463" s="357"/>
      <c r="Q463" s="109"/>
      <c r="R463" s="109"/>
      <c r="S463" s="109"/>
      <c r="T463" s="109"/>
      <c r="U463" s="109"/>
      <c r="V463" s="109"/>
      <c r="W463" s="109"/>
      <c r="X463" s="109"/>
      <c r="Y463" s="109"/>
      <c r="Z463" s="109"/>
    </row>
    <row r="464">
      <c r="A464" s="109"/>
      <c r="B464" s="109"/>
      <c r="C464" s="109"/>
      <c r="D464" s="109"/>
      <c r="E464" s="109"/>
      <c r="F464" s="109"/>
      <c r="G464" s="356"/>
      <c r="H464" s="109"/>
      <c r="I464" s="109"/>
      <c r="J464" s="109"/>
      <c r="K464" s="109"/>
      <c r="L464" s="109"/>
      <c r="M464" s="109"/>
      <c r="N464" s="109"/>
      <c r="O464" s="109"/>
      <c r="P464" s="357"/>
      <c r="Q464" s="109"/>
      <c r="R464" s="109"/>
      <c r="S464" s="109"/>
      <c r="T464" s="109"/>
      <c r="U464" s="109"/>
      <c r="V464" s="109"/>
      <c r="W464" s="109"/>
      <c r="X464" s="109"/>
      <c r="Y464" s="109"/>
      <c r="Z464" s="109"/>
    </row>
    <row r="465">
      <c r="A465" s="109"/>
      <c r="B465" s="109"/>
      <c r="C465" s="109"/>
      <c r="D465" s="109"/>
      <c r="E465" s="109"/>
      <c r="F465" s="109"/>
      <c r="G465" s="356"/>
      <c r="H465" s="109"/>
      <c r="I465" s="109"/>
      <c r="J465" s="109"/>
      <c r="K465" s="109"/>
      <c r="L465" s="109"/>
      <c r="M465" s="109"/>
      <c r="N465" s="109"/>
      <c r="O465" s="109"/>
      <c r="P465" s="357"/>
      <c r="Q465" s="109"/>
      <c r="R465" s="109"/>
      <c r="S465" s="109"/>
      <c r="T465" s="109"/>
      <c r="U465" s="109"/>
      <c r="V465" s="109"/>
      <c r="W465" s="109"/>
      <c r="X465" s="109"/>
      <c r="Y465" s="109"/>
      <c r="Z465" s="109"/>
    </row>
    <row r="466">
      <c r="A466" s="109"/>
      <c r="B466" s="109"/>
      <c r="C466" s="109"/>
      <c r="D466" s="109"/>
      <c r="E466" s="109"/>
      <c r="F466" s="109"/>
      <c r="G466" s="356"/>
      <c r="H466" s="109"/>
      <c r="I466" s="109"/>
      <c r="J466" s="109"/>
      <c r="K466" s="109"/>
      <c r="L466" s="109"/>
      <c r="M466" s="109"/>
      <c r="N466" s="109"/>
      <c r="O466" s="109"/>
      <c r="P466" s="357"/>
      <c r="Q466" s="109"/>
      <c r="R466" s="109"/>
      <c r="S466" s="109"/>
      <c r="T466" s="109"/>
      <c r="U466" s="109"/>
      <c r="V466" s="109"/>
      <c r="W466" s="109"/>
      <c r="X466" s="109"/>
      <c r="Y466" s="109"/>
      <c r="Z466" s="109"/>
    </row>
    <row r="467">
      <c r="A467" s="109"/>
      <c r="B467" s="109"/>
      <c r="C467" s="109"/>
      <c r="D467" s="109"/>
      <c r="E467" s="109"/>
      <c r="F467" s="109"/>
      <c r="G467" s="356"/>
      <c r="H467" s="109"/>
      <c r="I467" s="109"/>
      <c r="J467" s="109"/>
      <c r="K467" s="109"/>
      <c r="L467" s="109"/>
      <c r="M467" s="109"/>
      <c r="N467" s="109"/>
      <c r="O467" s="109"/>
      <c r="P467" s="357"/>
      <c r="Q467" s="109"/>
      <c r="R467" s="109"/>
      <c r="S467" s="109"/>
      <c r="T467" s="109"/>
      <c r="U467" s="109"/>
      <c r="V467" s="109"/>
      <c r="W467" s="109"/>
      <c r="X467" s="109"/>
      <c r="Y467" s="109"/>
      <c r="Z467" s="109"/>
    </row>
    <row r="468">
      <c r="A468" s="109"/>
      <c r="B468" s="109"/>
      <c r="C468" s="109"/>
      <c r="D468" s="109"/>
      <c r="E468" s="109"/>
      <c r="F468" s="109"/>
      <c r="G468" s="356"/>
      <c r="H468" s="109"/>
      <c r="I468" s="109"/>
      <c r="J468" s="109"/>
      <c r="K468" s="109"/>
      <c r="L468" s="109"/>
      <c r="M468" s="109"/>
      <c r="N468" s="109"/>
      <c r="O468" s="109"/>
      <c r="P468" s="357"/>
      <c r="Q468" s="109"/>
      <c r="R468" s="109"/>
      <c r="S468" s="109"/>
      <c r="T468" s="109"/>
      <c r="U468" s="109"/>
      <c r="V468" s="109"/>
      <c r="W468" s="109"/>
      <c r="X468" s="109"/>
      <c r="Y468" s="109"/>
      <c r="Z468" s="109"/>
    </row>
    <row r="469">
      <c r="A469" s="109"/>
      <c r="B469" s="109"/>
      <c r="C469" s="109"/>
      <c r="D469" s="109"/>
      <c r="E469" s="109"/>
      <c r="F469" s="109"/>
      <c r="G469" s="356"/>
      <c r="H469" s="109"/>
      <c r="I469" s="109"/>
      <c r="J469" s="109"/>
      <c r="K469" s="109"/>
      <c r="L469" s="109"/>
      <c r="M469" s="109"/>
      <c r="N469" s="109"/>
      <c r="O469" s="109"/>
      <c r="P469" s="357"/>
      <c r="Q469" s="109"/>
      <c r="R469" s="109"/>
      <c r="S469" s="109"/>
      <c r="T469" s="109"/>
      <c r="U469" s="109"/>
      <c r="V469" s="109"/>
      <c r="W469" s="109"/>
      <c r="X469" s="109"/>
      <c r="Y469" s="109"/>
      <c r="Z469" s="109"/>
    </row>
    <row r="470">
      <c r="A470" s="109"/>
      <c r="B470" s="109"/>
      <c r="C470" s="109"/>
      <c r="D470" s="109"/>
      <c r="E470" s="109"/>
      <c r="F470" s="109"/>
      <c r="G470" s="356"/>
      <c r="H470" s="109"/>
      <c r="I470" s="109"/>
      <c r="J470" s="109"/>
      <c r="K470" s="109"/>
      <c r="L470" s="109"/>
      <c r="M470" s="109"/>
      <c r="N470" s="109"/>
      <c r="O470" s="109"/>
      <c r="P470" s="357"/>
      <c r="Q470" s="109"/>
      <c r="R470" s="109"/>
      <c r="S470" s="109"/>
      <c r="T470" s="109"/>
      <c r="U470" s="109"/>
      <c r="V470" s="109"/>
      <c r="W470" s="109"/>
      <c r="X470" s="109"/>
      <c r="Y470" s="109"/>
      <c r="Z470" s="109"/>
    </row>
    <row r="471">
      <c r="A471" s="109"/>
      <c r="B471" s="109"/>
      <c r="C471" s="109"/>
      <c r="D471" s="109"/>
      <c r="E471" s="109"/>
      <c r="F471" s="109"/>
      <c r="G471" s="356"/>
      <c r="H471" s="109"/>
      <c r="I471" s="109"/>
      <c r="J471" s="109"/>
      <c r="K471" s="109"/>
      <c r="L471" s="109"/>
      <c r="M471" s="109"/>
      <c r="N471" s="109"/>
      <c r="O471" s="109"/>
      <c r="P471" s="357"/>
      <c r="Q471" s="109"/>
      <c r="R471" s="109"/>
      <c r="S471" s="109"/>
      <c r="T471" s="109"/>
      <c r="U471" s="109"/>
      <c r="V471" s="109"/>
      <c r="W471" s="109"/>
      <c r="X471" s="109"/>
      <c r="Y471" s="109"/>
      <c r="Z471" s="109"/>
    </row>
    <row r="472">
      <c r="A472" s="109"/>
      <c r="B472" s="109"/>
      <c r="C472" s="109"/>
      <c r="D472" s="109"/>
      <c r="E472" s="109"/>
      <c r="F472" s="109"/>
      <c r="G472" s="356"/>
      <c r="H472" s="109"/>
      <c r="I472" s="109"/>
      <c r="J472" s="109"/>
      <c r="K472" s="109"/>
      <c r="L472" s="109"/>
      <c r="M472" s="109"/>
      <c r="N472" s="109"/>
      <c r="O472" s="109"/>
      <c r="P472" s="357"/>
      <c r="Q472" s="109"/>
      <c r="R472" s="109"/>
      <c r="S472" s="109"/>
      <c r="T472" s="109"/>
      <c r="U472" s="109"/>
      <c r="V472" s="109"/>
      <c r="W472" s="109"/>
      <c r="X472" s="109"/>
      <c r="Y472" s="109"/>
      <c r="Z472" s="109"/>
    </row>
    <row r="473">
      <c r="A473" s="109"/>
      <c r="B473" s="109"/>
      <c r="C473" s="109"/>
      <c r="D473" s="109"/>
      <c r="E473" s="109"/>
      <c r="F473" s="109"/>
      <c r="G473" s="356"/>
      <c r="H473" s="109"/>
      <c r="I473" s="109"/>
      <c r="J473" s="109"/>
      <c r="K473" s="109"/>
      <c r="L473" s="109"/>
      <c r="M473" s="109"/>
      <c r="N473" s="109"/>
      <c r="O473" s="109"/>
      <c r="P473" s="357"/>
      <c r="Q473" s="109"/>
      <c r="R473" s="109"/>
      <c r="S473" s="109"/>
      <c r="T473" s="109"/>
      <c r="U473" s="109"/>
      <c r="V473" s="109"/>
      <c r="W473" s="109"/>
      <c r="X473" s="109"/>
      <c r="Y473" s="109"/>
      <c r="Z473" s="109"/>
    </row>
    <row r="474">
      <c r="A474" s="109"/>
      <c r="B474" s="109"/>
      <c r="C474" s="109"/>
      <c r="D474" s="109"/>
      <c r="E474" s="109"/>
      <c r="F474" s="109"/>
      <c r="G474" s="356"/>
      <c r="H474" s="109"/>
      <c r="I474" s="109"/>
      <c r="J474" s="109"/>
      <c r="K474" s="109"/>
      <c r="L474" s="109"/>
      <c r="M474" s="109"/>
      <c r="N474" s="109"/>
      <c r="O474" s="109"/>
      <c r="P474" s="357"/>
      <c r="Q474" s="109"/>
      <c r="R474" s="109"/>
      <c r="S474" s="109"/>
      <c r="T474" s="109"/>
      <c r="U474" s="109"/>
      <c r="V474" s="109"/>
      <c r="W474" s="109"/>
      <c r="X474" s="109"/>
      <c r="Y474" s="109"/>
      <c r="Z474" s="109"/>
    </row>
    <row r="475">
      <c r="A475" s="109"/>
      <c r="B475" s="109"/>
      <c r="C475" s="109"/>
      <c r="D475" s="109"/>
      <c r="E475" s="109"/>
      <c r="F475" s="109"/>
      <c r="G475" s="356"/>
      <c r="H475" s="109"/>
      <c r="I475" s="109"/>
      <c r="J475" s="109"/>
      <c r="K475" s="109"/>
      <c r="L475" s="109"/>
      <c r="M475" s="109"/>
      <c r="N475" s="109"/>
      <c r="O475" s="109"/>
      <c r="P475" s="357"/>
      <c r="Q475" s="109"/>
      <c r="R475" s="109"/>
      <c r="S475" s="109"/>
      <c r="T475" s="109"/>
      <c r="U475" s="109"/>
      <c r="V475" s="109"/>
      <c r="W475" s="109"/>
      <c r="X475" s="109"/>
      <c r="Y475" s="109"/>
      <c r="Z475" s="109"/>
    </row>
    <row r="476">
      <c r="A476" s="109"/>
      <c r="B476" s="109"/>
      <c r="C476" s="109"/>
      <c r="D476" s="109"/>
      <c r="E476" s="109"/>
      <c r="F476" s="109"/>
      <c r="G476" s="356"/>
      <c r="H476" s="109"/>
      <c r="I476" s="109"/>
      <c r="J476" s="109"/>
      <c r="K476" s="109"/>
      <c r="L476" s="109"/>
      <c r="M476" s="109"/>
      <c r="N476" s="109"/>
      <c r="O476" s="109"/>
      <c r="P476" s="357"/>
      <c r="Q476" s="109"/>
      <c r="R476" s="109"/>
      <c r="S476" s="109"/>
      <c r="T476" s="109"/>
      <c r="U476" s="109"/>
      <c r="V476" s="109"/>
      <c r="W476" s="109"/>
      <c r="X476" s="109"/>
      <c r="Y476" s="109"/>
      <c r="Z476" s="109"/>
    </row>
    <row r="477">
      <c r="A477" s="109"/>
      <c r="B477" s="109"/>
      <c r="C477" s="109"/>
      <c r="D477" s="109"/>
      <c r="E477" s="109"/>
      <c r="F477" s="109"/>
      <c r="G477" s="356"/>
      <c r="H477" s="109"/>
      <c r="I477" s="109"/>
      <c r="J477" s="109"/>
      <c r="K477" s="109"/>
      <c r="L477" s="109"/>
      <c r="M477" s="109"/>
      <c r="N477" s="109"/>
      <c r="O477" s="109"/>
      <c r="P477" s="357"/>
      <c r="Q477" s="109"/>
      <c r="R477" s="109"/>
      <c r="S477" s="109"/>
      <c r="T477" s="109"/>
      <c r="U477" s="109"/>
      <c r="V477" s="109"/>
      <c r="W477" s="109"/>
      <c r="X477" s="109"/>
      <c r="Y477" s="109"/>
      <c r="Z477" s="109"/>
    </row>
    <row r="478">
      <c r="A478" s="109"/>
      <c r="B478" s="109"/>
      <c r="C478" s="109"/>
      <c r="D478" s="109"/>
      <c r="E478" s="109"/>
      <c r="F478" s="109"/>
      <c r="G478" s="356"/>
      <c r="H478" s="109"/>
      <c r="I478" s="109"/>
      <c r="J478" s="109"/>
      <c r="K478" s="109"/>
      <c r="L478" s="109"/>
      <c r="M478" s="109"/>
      <c r="N478" s="109"/>
      <c r="O478" s="109"/>
      <c r="P478" s="357"/>
      <c r="Q478" s="109"/>
      <c r="R478" s="109"/>
      <c r="S478" s="109"/>
      <c r="T478" s="109"/>
      <c r="U478" s="109"/>
      <c r="V478" s="109"/>
      <c r="W478" s="109"/>
      <c r="X478" s="109"/>
      <c r="Y478" s="109"/>
      <c r="Z478" s="109"/>
    </row>
    <row r="479">
      <c r="A479" s="109"/>
      <c r="B479" s="109"/>
      <c r="C479" s="109"/>
      <c r="D479" s="109"/>
      <c r="E479" s="109"/>
      <c r="F479" s="109"/>
      <c r="G479" s="356"/>
      <c r="H479" s="109"/>
      <c r="I479" s="109"/>
      <c r="J479" s="109"/>
      <c r="K479" s="109"/>
      <c r="L479" s="109"/>
      <c r="M479" s="109"/>
      <c r="N479" s="109"/>
      <c r="O479" s="109"/>
      <c r="P479" s="357"/>
      <c r="Q479" s="109"/>
      <c r="R479" s="109"/>
      <c r="S479" s="109"/>
      <c r="T479" s="109"/>
      <c r="U479" s="109"/>
      <c r="V479" s="109"/>
      <c r="W479" s="109"/>
      <c r="X479" s="109"/>
      <c r="Y479" s="109"/>
      <c r="Z479" s="109"/>
    </row>
    <row r="480">
      <c r="A480" s="109"/>
      <c r="B480" s="109"/>
      <c r="C480" s="109"/>
      <c r="D480" s="109"/>
      <c r="E480" s="109"/>
      <c r="F480" s="109"/>
      <c r="G480" s="356"/>
      <c r="H480" s="109"/>
      <c r="I480" s="109"/>
      <c r="J480" s="109"/>
      <c r="K480" s="109"/>
      <c r="L480" s="109"/>
      <c r="M480" s="109"/>
      <c r="N480" s="109"/>
      <c r="O480" s="109"/>
      <c r="P480" s="357"/>
      <c r="Q480" s="109"/>
      <c r="R480" s="109"/>
      <c r="S480" s="109"/>
      <c r="T480" s="109"/>
      <c r="U480" s="109"/>
      <c r="V480" s="109"/>
      <c r="W480" s="109"/>
      <c r="X480" s="109"/>
      <c r="Y480" s="109"/>
      <c r="Z480" s="109"/>
    </row>
    <row r="481">
      <c r="A481" s="109"/>
      <c r="B481" s="109"/>
      <c r="C481" s="109"/>
      <c r="D481" s="109"/>
      <c r="E481" s="109"/>
      <c r="F481" s="109"/>
      <c r="G481" s="356"/>
      <c r="H481" s="109"/>
      <c r="I481" s="109"/>
      <c r="J481" s="109"/>
      <c r="K481" s="109"/>
      <c r="L481" s="109"/>
      <c r="M481" s="109"/>
      <c r="N481" s="109"/>
      <c r="O481" s="109"/>
      <c r="P481" s="357"/>
      <c r="Q481" s="109"/>
      <c r="R481" s="109"/>
      <c r="S481" s="109"/>
      <c r="T481" s="109"/>
      <c r="U481" s="109"/>
      <c r="V481" s="109"/>
      <c r="W481" s="109"/>
      <c r="X481" s="109"/>
      <c r="Y481" s="109"/>
      <c r="Z481" s="109"/>
    </row>
    <row r="482">
      <c r="A482" s="109"/>
      <c r="B482" s="109"/>
      <c r="C482" s="109"/>
      <c r="D482" s="109"/>
      <c r="E482" s="109"/>
      <c r="F482" s="109"/>
      <c r="G482" s="356"/>
      <c r="H482" s="109"/>
      <c r="I482" s="109"/>
      <c r="J482" s="109"/>
      <c r="K482" s="109"/>
      <c r="L482" s="109"/>
      <c r="M482" s="109"/>
      <c r="N482" s="109"/>
      <c r="O482" s="109"/>
      <c r="P482" s="357"/>
      <c r="Q482" s="109"/>
      <c r="R482" s="109"/>
      <c r="S482" s="109"/>
      <c r="T482" s="109"/>
      <c r="U482" s="109"/>
      <c r="V482" s="109"/>
      <c r="W482" s="109"/>
      <c r="X482" s="109"/>
      <c r="Y482" s="109"/>
      <c r="Z482" s="109"/>
    </row>
    <row r="483">
      <c r="A483" s="109"/>
      <c r="B483" s="109"/>
      <c r="C483" s="109"/>
      <c r="D483" s="109"/>
      <c r="E483" s="109"/>
      <c r="F483" s="109"/>
      <c r="G483" s="356"/>
      <c r="H483" s="109"/>
      <c r="I483" s="109"/>
      <c r="J483" s="109"/>
      <c r="K483" s="109"/>
      <c r="L483" s="109"/>
      <c r="M483" s="109"/>
      <c r="N483" s="109"/>
      <c r="O483" s="109"/>
      <c r="P483" s="357"/>
      <c r="Q483" s="109"/>
      <c r="R483" s="109"/>
      <c r="S483" s="109"/>
      <c r="T483" s="109"/>
      <c r="U483" s="109"/>
      <c r="V483" s="109"/>
      <c r="W483" s="109"/>
      <c r="X483" s="109"/>
      <c r="Y483" s="109"/>
      <c r="Z483" s="109"/>
    </row>
    <row r="484">
      <c r="A484" s="109"/>
      <c r="B484" s="109"/>
      <c r="C484" s="109"/>
      <c r="D484" s="109"/>
      <c r="E484" s="109"/>
      <c r="F484" s="109"/>
      <c r="G484" s="356"/>
      <c r="H484" s="109"/>
      <c r="I484" s="109"/>
      <c r="J484" s="109"/>
      <c r="K484" s="109"/>
      <c r="L484" s="109"/>
      <c r="M484" s="109"/>
      <c r="N484" s="109"/>
      <c r="O484" s="109"/>
      <c r="P484" s="357"/>
      <c r="Q484" s="109"/>
      <c r="R484" s="109"/>
      <c r="S484" s="109"/>
      <c r="T484" s="109"/>
      <c r="U484" s="109"/>
      <c r="V484" s="109"/>
      <c r="W484" s="109"/>
      <c r="X484" s="109"/>
      <c r="Y484" s="109"/>
      <c r="Z484" s="109"/>
    </row>
    <row r="485">
      <c r="A485" s="109"/>
      <c r="B485" s="109"/>
      <c r="C485" s="109"/>
      <c r="D485" s="109"/>
      <c r="E485" s="109"/>
      <c r="F485" s="109"/>
      <c r="G485" s="356"/>
      <c r="H485" s="109"/>
      <c r="I485" s="109"/>
      <c r="J485" s="109"/>
      <c r="K485" s="109"/>
      <c r="L485" s="109"/>
      <c r="M485" s="109"/>
      <c r="N485" s="109"/>
      <c r="O485" s="109"/>
      <c r="P485" s="357"/>
      <c r="Q485" s="109"/>
      <c r="R485" s="109"/>
      <c r="S485" s="109"/>
      <c r="T485" s="109"/>
      <c r="U485" s="109"/>
      <c r="V485" s="109"/>
      <c r="W485" s="109"/>
      <c r="X485" s="109"/>
      <c r="Y485" s="109"/>
      <c r="Z485" s="109"/>
    </row>
    <row r="486">
      <c r="A486" s="109"/>
      <c r="B486" s="109"/>
      <c r="C486" s="109"/>
      <c r="D486" s="109"/>
      <c r="E486" s="109"/>
      <c r="F486" s="109"/>
      <c r="G486" s="356"/>
      <c r="H486" s="109"/>
      <c r="I486" s="109"/>
      <c r="J486" s="109"/>
      <c r="K486" s="109"/>
      <c r="L486" s="109"/>
      <c r="M486" s="109"/>
      <c r="N486" s="109"/>
      <c r="O486" s="109"/>
      <c r="P486" s="357"/>
      <c r="Q486" s="109"/>
      <c r="R486" s="109"/>
      <c r="S486" s="109"/>
      <c r="T486" s="109"/>
      <c r="U486" s="109"/>
      <c r="V486" s="109"/>
      <c r="W486" s="109"/>
      <c r="X486" s="109"/>
      <c r="Y486" s="109"/>
      <c r="Z486" s="109"/>
    </row>
    <row r="487">
      <c r="A487" s="109"/>
      <c r="B487" s="109"/>
      <c r="C487" s="109"/>
      <c r="D487" s="109"/>
      <c r="E487" s="109"/>
      <c r="F487" s="109"/>
      <c r="G487" s="356"/>
      <c r="H487" s="109"/>
      <c r="I487" s="109"/>
      <c r="J487" s="109"/>
      <c r="K487" s="109"/>
      <c r="L487" s="109"/>
      <c r="M487" s="109"/>
      <c r="N487" s="109"/>
      <c r="O487" s="109"/>
      <c r="P487" s="357"/>
      <c r="Q487" s="109"/>
      <c r="R487" s="109"/>
      <c r="S487" s="109"/>
      <c r="T487" s="109"/>
      <c r="U487" s="109"/>
      <c r="V487" s="109"/>
      <c r="W487" s="109"/>
      <c r="X487" s="109"/>
      <c r="Y487" s="109"/>
      <c r="Z487" s="109"/>
    </row>
    <row r="488">
      <c r="A488" s="109"/>
      <c r="B488" s="109"/>
      <c r="C488" s="109"/>
      <c r="D488" s="109"/>
      <c r="E488" s="109"/>
      <c r="F488" s="109"/>
      <c r="G488" s="356"/>
      <c r="H488" s="109"/>
      <c r="I488" s="109"/>
      <c r="J488" s="109"/>
      <c r="K488" s="109"/>
      <c r="L488" s="109"/>
      <c r="M488" s="109"/>
      <c r="N488" s="109"/>
      <c r="O488" s="109"/>
      <c r="P488" s="357"/>
      <c r="Q488" s="109"/>
      <c r="R488" s="109"/>
      <c r="S488" s="109"/>
      <c r="T488" s="109"/>
      <c r="U488" s="109"/>
      <c r="V488" s="109"/>
      <c r="W488" s="109"/>
      <c r="X488" s="109"/>
      <c r="Y488" s="109"/>
      <c r="Z488" s="109"/>
    </row>
    <row r="489">
      <c r="A489" s="109"/>
      <c r="B489" s="109"/>
      <c r="C489" s="109"/>
      <c r="D489" s="109"/>
      <c r="E489" s="109"/>
      <c r="F489" s="109"/>
      <c r="G489" s="356"/>
      <c r="H489" s="109"/>
      <c r="I489" s="109"/>
      <c r="J489" s="109"/>
      <c r="K489" s="109"/>
      <c r="L489" s="109"/>
      <c r="M489" s="109"/>
      <c r="N489" s="109"/>
      <c r="O489" s="109"/>
      <c r="P489" s="357"/>
      <c r="Q489" s="109"/>
      <c r="R489" s="109"/>
      <c r="S489" s="109"/>
      <c r="T489" s="109"/>
      <c r="U489" s="109"/>
      <c r="V489" s="109"/>
      <c r="W489" s="109"/>
      <c r="X489" s="109"/>
      <c r="Y489" s="109"/>
      <c r="Z489" s="109"/>
    </row>
    <row r="490">
      <c r="A490" s="109"/>
      <c r="B490" s="109"/>
      <c r="C490" s="109"/>
      <c r="D490" s="109"/>
      <c r="E490" s="109"/>
      <c r="F490" s="109"/>
      <c r="G490" s="356"/>
      <c r="H490" s="109"/>
      <c r="I490" s="109"/>
      <c r="J490" s="109"/>
      <c r="K490" s="109"/>
      <c r="L490" s="109"/>
      <c r="M490" s="109"/>
      <c r="N490" s="109"/>
      <c r="O490" s="109"/>
      <c r="P490" s="357"/>
      <c r="Q490" s="109"/>
      <c r="R490" s="109"/>
      <c r="S490" s="109"/>
      <c r="T490" s="109"/>
      <c r="U490" s="109"/>
      <c r="V490" s="109"/>
      <c r="W490" s="109"/>
      <c r="X490" s="109"/>
      <c r="Y490" s="109"/>
      <c r="Z490" s="109"/>
    </row>
    <row r="491">
      <c r="A491" s="109"/>
      <c r="B491" s="109"/>
      <c r="C491" s="109"/>
      <c r="D491" s="109"/>
      <c r="E491" s="109"/>
      <c r="F491" s="109"/>
      <c r="G491" s="356"/>
      <c r="H491" s="109"/>
      <c r="I491" s="109"/>
      <c r="J491" s="109"/>
      <c r="K491" s="109"/>
      <c r="L491" s="109"/>
      <c r="M491" s="109"/>
      <c r="N491" s="109"/>
      <c r="O491" s="109"/>
      <c r="P491" s="357"/>
      <c r="Q491" s="109"/>
      <c r="R491" s="109"/>
      <c r="S491" s="109"/>
      <c r="T491" s="109"/>
      <c r="U491" s="109"/>
      <c r="V491" s="109"/>
      <c r="W491" s="109"/>
      <c r="X491" s="109"/>
      <c r="Y491" s="109"/>
      <c r="Z491" s="109"/>
    </row>
    <row r="492">
      <c r="A492" s="109"/>
      <c r="B492" s="109"/>
      <c r="C492" s="109"/>
      <c r="D492" s="109"/>
      <c r="E492" s="109"/>
      <c r="F492" s="109"/>
      <c r="G492" s="356"/>
      <c r="H492" s="109"/>
      <c r="I492" s="109"/>
      <c r="J492" s="109"/>
      <c r="K492" s="109"/>
      <c r="L492" s="109"/>
      <c r="M492" s="109"/>
      <c r="N492" s="109"/>
      <c r="O492" s="109"/>
      <c r="P492" s="357"/>
      <c r="Q492" s="109"/>
      <c r="R492" s="109"/>
      <c r="S492" s="109"/>
      <c r="T492" s="109"/>
      <c r="U492" s="109"/>
      <c r="V492" s="109"/>
      <c r="W492" s="109"/>
      <c r="X492" s="109"/>
      <c r="Y492" s="109"/>
      <c r="Z492" s="109"/>
    </row>
    <row r="493">
      <c r="A493" s="109"/>
      <c r="B493" s="109"/>
      <c r="C493" s="109"/>
      <c r="D493" s="109"/>
      <c r="E493" s="109"/>
      <c r="F493" s="109"/>
      <c r="G493" s="356"/>
      <c r="H493" s="109"/>
      <c r="I493" s="109"/>
      <c r="J493" s="109"/>
      <c r="K493" s="109"/>
      <c r="L493" s="109"/>
      <c r="M493" s="109"/>
      <c r="N493" s="109"/>
      <c r="O493" s="109"/>
      <c r="P493" s="357"/>
      <c r="Q493" s="109"/>
      <c r="R493" s="109"/>
      <c r="S493" s="109"/>
      <c r="T493" s="109"/>
      <c r="U493" s="109"/>
      <c r="V493" s="109"/>
      <c r="W493" s="109"/>
      <c r="X493" s="109"/>
      <c r="Y493" s="109"/>
      <c r="Z493" s="109"/>
    </row>
    <row r="494">
      <c r="A494" s="109"/>
      <c r="B494" s="109"/>
      <c r="C494" s="109"/>
      <c r="D494" s="109"/>
      <c r="E494" s="109"/>
      <c r="F494" s="109"/>
      <c r="G494" s="356"/>
      <c r="H494" s="109"/>
      <c r="I494" s="109"/>
      <c r="J494" s="109"/>
      <c r="K494" s="109"/>
      <c r="L494" s="109"/>
      <c r="M494" s="109"/>
      <c r="N494" s="109"/>
      <c r="O494" s="109"/>
      <c r="P494" s="357"/>
      <c r="Q494" s="109"/>
      <c r="R494" s="109"/>
      <c r="S494" s="109"/>
      <c r="T494" s="109"/>
      <c r="U494" s="109"/>
      <c r="V494" s="109"/>
      <c r="W494" s="109"/>
      <c r="X494" s="109"/>
      <c r="Y494" s="109"/>
      <c r="Z494" s="109"/>
    </row>
    <row r="495">
      <c r="A495" s="109"/>
      <c r="B495" s="109"/>
      <c r="C495" s="109"/>
      <c r="D495" s="109"/>
      <c r="E495" s="109"/>
      <c r="F495" s="109"/>
      <c r="G495" s="356"/>
      <c r="H495" s="109"/>
      <c r="I495" s="109"/>
      <c r="J495" s="109"/>
      <c r="K495" s="109"/>
      <c r="L495" s="109"/>
      <c r="M495" s="109"/>
      <c r="N495" s="109"/>
      <c r="O495" s="109"/>
      <c r="P495" s="357"/>
      <c r="Q495" s="109"/>
      <c r="R495" s="109"/>
      <c r="S495" s="109"/>
      <c r="T495" s="109"/>
      <c r="U495" s="109"/>
      <c r="V495" s="109"/>
      <c r="W495" s="109"/>
      <c r="X495" s="109"/>
      <c r="Y495" s="109"/>
      <c r="Z495" s="109"/>
    </row>
    <row r="496">
      <c r="A496" s="109"/>
      <c r="B496" s="109"/>
      <c r="C496" s="109"/>
      <c r="D496" s="109"/>
      <c r="E496" s="109"/>
      <c r="F496" s="109"/>
      <c r="G496" s="356"/>
      <c r="H496" s="109"/>
      <c r="I496" s="109"/>
      <c r="J496" s="109"/>
      <c r="K496" s="109"/>
      <c r="L496" s="109"/>
      <c r="M496" s="109"/>
      <c r="N496" s="109"/>
      <c r="O496" s="109"/>
      <c r="P496" s="357"/>
      <c r="Q496" s="109"/>
      <c r="R496" s="109"/>
      <c r="S496" s="109"/>
      <c r="T496" s="109"/>
      <c r="U496" s="109"/>
      <c r="V496" s="109"/>
      <c r="W496" s="109"/>
      <c r="X496" s="109"/>
      <c r="Y496" s="109"/>
      <c r="Z496" s="109"/>
    </row>
    <row r="497">
      <c r="A497" s="109"/>
      <c r="B497" s="109"/>
      <c r="C497" s="109"/>
      <c r="D497" s="109"/>
      <c r="E497" s="109"/>
      <c r="F497" s="109"/>
      <c r="G497" s="356"/>
      <c r="H497" s="109"/>
      <c r="I497" s="109"/>
      <c r="J497" s="109"/>
      <c r="K497" s="109"/>
      <c r="L497" s="109"/>
      <c r="M497" s="109"/>
      <c r="N497" s="109"/>
      <c r="O497" s="109"/>
      <c r="P497" s="357"/>
      <c r="Q497" s="109"/>
      <c r="R497" s="109"/>
      <c r="S497" s="109"/>
      <c r="T497" s="109"/>
      <c r="U497" s="109"/>
      <c r="V497" s="109"/>
      <c r="W497" s="109"/>
      <c r="X497" s="109"/>
      <c r="Y497" s="109"/>
      <c r="Z497" s="109"/>
    </row>
    <row r="498">
      <c r="A498" s="109"/>
      <c r="B498" s="109"/>
      <c r="C498" s="109"/>
      <c r="D498" s="109"/>
      <c r="E498" s="109"/>
      <c r="F498" s="109"/>
      <c r="G498" s="356"/>
      <c r="H498" s="109"/>
      <c r="I498" s="109"/>
      <c r="J498" s="109"/>
      <c r="K498" s="109"/>
      <c r="L498" s="109"/>
      <c r="M498" s="109"/>
      <c r="N498" s="109"/>
      <c r="O498" s="109"/>
      <c r="P498" s="357"/>
      <c r="Q498" s="109"/>
      <c r="R498" s="109"/>
      <c r="S498" s="109"/>
      <c r="T498" s="109"/>
      <c r="U498" s="109"/>
      <c r="V498" s="109"/>
      <c r="W498" s="109"/>
      <c r="X498" s="109"/>
      <c r="Y498" s="109"/>
      <c r="Z498" s="109"/>
    </row>
    <row r="499">
      <c r="A499" s="109"/>
      <c r="B499" s="109"/>
      <c r="C499" s="109"/>
      <c r="D499" s="109"/>
      <c r="E499" s="109"/>
      <c r="F499" s="109"/>
      <c r="G499" s="356"/>
      <c r="H499" s="109"/>
      <c r="I499" s="109"/>
      <c r="J499" s="109"/>
      <c r="K499" s="109"/>
      <c r="L499" s="109"/>
      <c r="M499" s="109"/>
      <c r="N499" s="109"/>
      <c r="O499" s="109"/>
      <c r="P499" s="357"/>
      <c r="Q499" s="109"/>
      <c r="R499" s="109"/>
      <c r="S499" s="109"/>
      <c r="T499" s="109"/>
      <c r="U499" s="109"/>
      <c r="V499" s="109"/>
      <c r="W499" s="109"/>
      <c r="X499" s="109"/>
      <c r="Y499" s="109"/>
      <c r="Z499" s="109"/>
    </row>
    <row r="500">
      <c r="A500" s="109"/>
      <c r="B500" s="109"/>
      <c r="C500" s="109"/>
      <c r="D500" s="109"/>
      <c r="E500" s="109"/>
      <c r="F500" s="109"/>
      <c r="G500" s="356"/>
      <c r="H500" s="109"/>
      <c r="I500" s="109"/>
      <c r="J500" s="109"/>
      <c r="K500" s="109"/>
      <c r="L500" s="109"/>
      <c r="M500" s="109"/>
      <c r="N500" s="109"/>
      <c r="O500" s="109"/>
      <c r="P500" s="357"/>
      <c r="Q500" s="109"/>
      <c r="R500" s="109"/>
      <c r="S500" s="109"/>
      <c r="T500" s="109"/>
      <c r="U500" s="109"/>
      <c r="V500" s="109"/>
      <c r="W500" s="109"/>
      <c r="X500" s="109"/>
      <c r="Y500" s="109"/>
      <c r="Z500" s="109"/>
    </row>
    <row r="501">
      <c r="A501" s="109"/>
      <c r="B501" s="109"/>
      <c r="C501" s="109"/>
      <c r="D501" s="109"/>
      <c r="E501" s="109"/>
      <c r="F501" s="109"/>
      <c r="G501" s="356"/>
      <c r="H501" s="109"/>
      <c r="I501" s="109"/>
      <c r="J501" s="109"/>
      <c r="K501" s="109"/>
      <c r="L501" s="109"/>
      <c r="M501" s="109"/>
      <c r="N501" s="109"/>
      <c r="O501" s="109"/>
      <c r="P501" s="357"/>
      <c r="Q501" s="109"/>
      <c r="R501" s="109"/>
      <c r="S501" s="109"/>
      <c r="T501" s="109"/>
      <c r="U501" s="109"/>
      <c r="V501" s="109"/>
      <c r="W501" s="109"/>
      <c r="X501" s="109"/>
      <c r="Y501" s="109"/>
      <c r="Z501" s="109"/>
    </row>
    <row r="502">
      <c r="A502" s="109"/>
      <c r="B502" s="109"/>
      <c r="C502" s="109"/>
      <c r="D502" s="109"/>
      <c r="E502" s="109"/>
      <c r="F502" s="109"/>
      <c r="G502" s="356"/>
      <c r="H502" s="109"/>
      <c r="I502" s="109"/>
      <c r="J502" s="109"/>
      <c r="K502" s="109"/>
      <c r="L502" s="109"/>
      <c r="M502" s="109"/>
      <c r="N502" s="109"/>
      <c r="O502" s="109"/>
      <c r="P502" s="357"/>
      <c r="Q502" s="109"/>
      <c r="R502" s="109"/>
      <c r="S502" s="109"/>
      <c r="T502" s="109"/>
      <c r="U502" s="109"/>
      <c r="V502" s="109"/>
      <c r="W502" s="109"/>
      <c r="X502" s="109"/>
      <c r="Y502" s="109"/>
      <c r="Z502" s="109"/>
    </row>
    <row r="503">
      <c r="A503" s="109"/>
      <c r="B503" s="109"/>
      <c r="C503" s="109"/>
      <c r="D503" s="109"/>
      <c r="E503" s="109"/>
      <c r="F503" s="109"/>
      <c r="G503" s="356"/>
      <c r="H503" s="109"/>
      <c r="I503" s="109"/>
      <c r="J503" s="109"/>
      <c r="K503" s="109"/>
      <c r="L503" s="109"/>
      <c r="M503" s="109"/>
      <c r="N503" s="109"/>
      <c r="O503" s="109"/>
      <c r="P503" s="357"/>
      <c r="Q503" s="109"/>
      <c r="R503" s="109"/>
      <c r="S503" s="109"/>
      <c r="T503" s="109"/>
      <c r="U503" s="109"/>
      <c r="V503" s="109"/>
      <c r="W503" s="109"/>
      <c r="X503" s="109"/>
      <c r="Y503" s="109"/>
      <c r="Z503" s="109"/>
    </row>
    <row r="504">
      <c r="A504" s="109"/>
      <c r="B504" s="109"/>
      <c r="C504" s="109"/>
      <c r="D504" s="109"/>
      <c r="E504" s="109"/>
      <c r="F504" s="109"/>
      <c r="G504" s="356"/>
      <c r="H504" s="109"/>
      <c r="I504" s="109"/>
      <c r="J504" s="109"/>
      <c r="K504" s="109"/>
      <c r="L504" s="109"/>
      <c r="M504" s="109"/>
      <c r="N504" s="109"/>
      <c r="O504" s="109"/>
      <c r="P504" s="357"/>
      <c r="Q504" s="109"/>
      <c r="R504" s="109"/>
      <c r="S504" s="109"/>
      <c r="T504" s="109"/>
      <c r="U504" s="109"/>
      <c r="V504" s="109"/>
      <c r="W504" s="109"/>
      <c r="X504" s="109"/>
      <c r="Y504" s="109"/>
      <c r="Z504" s="109"/>
    </row>
    <row r="505">
      <c r="A505" s="109"/>
      <c r="B505" s="109"/>
      <c r="C505" s="109"/>
      <c r="D505" s="109"/>
      <c r="E505" s="109"/>
      <c r="F505" s="109"/>
      <c r="G505" s="356"/>
      <c r="H505" s="109"/>
      <c r="I505" s="109"/>
      <c r="J505" s="109"/>
      <c r="K505" s="109"/>
      <c r="L505" s="109"/>
      <c r="M505" s="109"/>
      <c r="N505" s="109"/>
      <c r="O505" s="109"/>
      <c r="P505" s="357"/>
      <c r="Q505" s="109"/>
      <c r="R505" s="109"/>
      <c r="S505" s="109"/>
      <c r="T505" s="109"/>
      <c r="U505" s="109"/>
      <c r="V505" s="109"/>
      <c r="W505" s="109"/>
      <c r="X505" s="109"/>
      <c r="Y505" s="109"/>
      <c r="Z505" s="109"/>
    </row>
    <row r="506">
      <c r="A506" s="109"/>
      <c r="B506" s="109"/>
      <c r="C506" s="109"/>
      <c r="D506" s="109"/>
      <c r="E506" s="109"/>
      <c r="F506" s="109"/>
      <c r="G506" s="356"/>
      <c r="H506" s="109"/>
      <c r="I506" s="109"/>
      <c r="J506" s="109"/>
      <c r="K506" s="109"/>
      <c r="L506" s="109"/>
      <c r="M506" s="109"/>
      <c r="N506" s="109"/>
      <c r="O506" s="109"/>
      <c r="P506" s="357"/>
      <c r="Q506" s="109"/>
      <c r="R506" s="109"/>
      <c r="S506" s="109"/>
      <c r="T506" s="109"/>
      <c r="U506" s="109"/>
      <c r="V506" s="109"/>
      <c r="W506" s="109"/>
      <c r="X506" s="109"/>
      <c r="Y506" s="109"/>
      <c r="Z506" s="109"/>
    </row>
    <row r="507">
      <c r="A507" s="109"/>
      <c r="B507" s="109"/>
      <c r="C507" s="109"/>
      <c r="D507" s="109"/>
      <c r="E507" s="109"/>
      <c r="F507" s="109"/>
      <c r="G507" s="356"/>
      <c r="H507" s="109"/>
      <c r="I507" s="109"/>
      <c r="J507" s="109"/>
      <c r="K507" s="109"/>
      <c r="L507" s="109"/>
      <c r="M507" s="109"/>
      <c r="N507" s="109"/>
      <c r="O507" s="109"/>
      <c r="P507" s="357"/>
      <c r="Q507" s="109"/>
      <c r="R507" s="109"/>
      <c r="S507" s="109"/>
      <c r="T507" s="109"/>
      <c r="U507" s="109"/>
      <c r="V507" s="109"/>
      <c r="W507" s="109"/>
      <c r="X507" s="109"/>
      <c r="Y507" s="109"/>
      <c r="Z507" s="109"/>
    </row>
    <row r="508">
      <c r="A508" s="109"/>
      <c r="B508" s="109"/>
      <c r="C508" s="109"/>
      <c r="D508" s="109"/>
      <c r="E508" s="109"/>
      <c r="F508" s="109"/>
      <c r="G508" s="356"/>
      <c r="H508" s="109"/>
      <c r="I508" s="109"/>
      <c r="J508" s="109"/>
      <c r="K508" s="109"/>
      <c r="L508" s="109"/>
      <c r="M508" s="109"/>
      <c r="N508" s="109"/>
      <c r="O508" s="109"/>
      <c r="P508" s="357"/>
      <c r="Q508" s="109"/>
      <c r="R508" s="109"/>
      <c r="S508" s="109"/>
      <c r="T508" s="109"/>
      <c r="U508" s="109"/>
      <c r="V508" s="109"/>
      <c r="W508" s="109"/>
      <c r="X508" s="109"/>
      <c r="Y508" s="109"/>
      <c r="Z508" s="109"/>
    </row>
    <row r="509">
      <c r="A509" s="109"/>
      <c r="B509" s="109"/>
      <c r="C509" s="109"/>
      <c r="D509" s="109"/>
      <c r="E509" s="109"/>
      <c r="F509" s="109"/>
      <c r="G509" s="356"/>
      <c r="H509" s="109"/>
      <c r="I509" s="109"/>
      <c r="J509" s="109"/>
      <c r="K509" s="109"/>
      <c r="L509" s="109"/>
      <c r="M509" s="109"/>
      <c r="N509" s="109"/>
      <c r="O509" s="109"/>
      <c r="P509" s="357"/>
      <c r="Q509" s="109"/>
      <c r="R509" s="109"/>
      <c r="S509" s="109"/>
      <c r="T509" s="109"/>
      <c r="U509" s="109"/>
      <c r="V509" s="109"/>
      <c r="W509" s="109"/>
      <c r="X509" s="109"/>
      <c r="Y509" s="109"/>
      <c r="Z509" s="109"/>
    </row>
    <row r="510">
      <c r="A510" s="109"/>
      <c r="B510" s="109"/>
      <c r="C510" s="109"/>
      <c r="D510" s="109"/>
      <c r="E510" s="109"/>
      <c r="F510" s="109"/>
      <c r="G510" s="356"/>
      <c r="H510" s="109"/>
      <c r="I510" s="109"/>
      <c r="J510" s="109"/>
      <c r="K510" s="109"/>
      <c r="L510" s="109"/>
      <c r="M510" s="109"/>
      <c r="N510" s="109"/>
      <c r="O510" s="109"/>
      <c r="P510" s="357"/>
      <c r="Q510" s="109"/>
      <c r="R510" s="109"/>
      <c r="S510" s="109"/>
      <c r="T510" s="109"/>
      <c r="U510" s="109"/>
      <c r="V510" s="109"/>
      <c r="W510" s="109"/>
      <c r="X510" s="109"/>
      <c r="Y510" s="109"/>
      <c r="Z510" s="109"/>
    </row>
    <row r="511">
      <c r="A511" s="109"/>
      <c r="B511" s="109"/>
      <c r="C511" s="109"/>
      <c r="D511" s="109"/>
      <c r="E511" s="109"/>
      <c r="F511" s="109"/>
      <c r="G511" s="356"/>
      <c r="H511" s="109"/>
      <c r="I511" s="109"/>
      <c r="J511" s="109"/>
      <c r="K511" s="109"/>
      <c r="L511" s="109"/>
      <c r="M511" s="109"/>
      <c r="N511" s="109"/>
      <c r="O511" s="109"/>
      <c r="P511" s="357"/>
      <c r="Q511" s="109"/>
      <c r="R511" s="109"/>
      <c r="S511" s="109"/>
      <c r="T511" s="109"/>
      <c r="U511" s="109"/>
      <c r="V511" s="109"/>
      <c r="W511" s="109"/>
      <c r="X511" s="109"/>
      <c r="Y511" s="109"/>
      <c r="Z511" s="109"/>
    </row>
    <row r="512">
      <c r="A512" s="109"/>
      <c r="B512" s="109"/>
      <c r="C512" s="109"/>
      <c r="D512" s="109"/>
      <c r="E512" s="109"/>
      <c r="F512" s="109"/>
      <c r="G512" s="356"/>
      <c r="H512" s="109"/>
      <c r="I512" s="109"/>
      <c r="J512" s="109"/>
      <c r="K512" s="109"/>
      <c r="L512" s="109"/>
      <c r="M512" s="109"/>
      <c r="N512" s="109"/>
      <c r="O512" s="109"/>
      <c r="P512" s="357"/>
      <c r="Q512" s="109"/>
      <c r="R512" s="109"/>
      <c r="S512" s="109"/>
      <c r="T512" s="109"/>
      <c r="U512" s="109"/>
      <c r="V512" s="109"/>
      <c r="W512" s="109"/>
      <c r="X512" s="109"/>
      <c r="Y512" s="109"/>
      <c r="Z512" s="109"/>
    </row>
    <row r="513">
      <c r="A513" s="109"/>
      <c r="B513" s="109"/>
      <c r="C513" s="109"/>
      <c r="D513" s="109"/>
      <c r="E513" s="109"/>
      <c r="F513" s="109"/>
      <c r="G513" s="356"/>
      <c r="H513" s="109"/>
      <c r="I513" s="109"/>
      <c r="J513" s="109"/>
      <c r="K513" s="109"/>
      <c r="L513" s="109"/>
      <c r="M513" s="109"/>
      <c r="N513" s="109"/>
      <c r="O513" s="109"/>
      <c r="P513" s="357"/>
      <c r="Q513" s="109"/>
      <c r="R513" s="109"/>
      <c r="S513" s="109"/>
      <c r="T513" s="109"/>
      <c r="U513" s="109"/>
      <c r="V513" s="109"/>
      <c r="W513" s="109"/>
      <c r="X513" s="109"/>
      <c r="Y513" s="109"/>
      <c r="Z513" s="109"/>
    </row>
    <row r="514">
      <c r="A514" s="109"/>
      <c r="B514" s="109"/>
      <c r="C514" s="109"/>
      <c r="D514" s="109"/>
      <c r="E514" s="109"/>
      <c r="F514" s="109"/>
      <c r="G514" s="356"/>
      <c r="H514" s="109"/>
      <c r="I514" s="109"/>
      <c r="J514" s="109"/>
      <c r="K514" s="109"/>
      <c r="L514" s="109"/>
      <c r="M514" s="109"/>
      <c r="N514" s="109"/>
      <c r="O514" s="109"/>
      <c r="P514" s="357"/>
      <c r="Q514" s="109"/>
      <c r="R514" s="109"/>
      <c r="S514" s="109"/>
      <c r="T514" s="109"/>
      <c r="U514" s="109"/>
      <c r="V514" s="109"/>
      <c r="W514" s="109"/>
      <c r="X514" s="109"/>
      <c r="Y514" s="109"/>
      <c r="Z514" s="109"/>
    </row>
    <row r="515">
      <c r="A515" s="109"/>
      <c r="B515" s="109"/>
      <c r="C515" s="109"/>
      <c r="D515" s="109"/>
      <c r="E515" s="109"/>
      <c r="F515" s="109"/>
      <c r="G515" s="356"/>
      <c r="H515" s="109"/>
      <c r="I515" s="109"/>
      <c r="J515" s="109"/>
      <c r="K515" s="109"/>
      <c r="L515" s="109"/>
      <c r="M515" s="109"/>
      <c r="N515" s="109"/>
      <c r="O515" s="109"/>
      <c r="P515" s="357"/>
      <c r="Q515" s="109"/>
      <c r="R515" s="109"/>
      <c r="S515" s="109"/>
      <c r="T515" s="109"/>
      <c r="U515" s="109"/>
      <c r="V515" s="109"/>
      <c r="W515" s="109"/>
      <c r="X515" s="109"/>
      <c r="Y515" s="109"/>
      <c r="Z515" s="109"/>
    </row>
    <row r="516">
      <c r="A516" s="109"/>
      <c r="B516" s="109"/>
      <c r="C516" s="109"/>
      <c r="D516" s="109"/>
      <c r="E516" s="109"/>
      <c r="F516" s="109"/>
      <c r="G516" s="356"/>
      <c r="H516" s="109"/>
      <c r="I516" s="109"/>
      <c r="J516" s="109"/>
      <c r="K516" s="109"/>
      <c r="L516" s="109"/>
      <c r="M516" s="109"/>
      <c r="N516" s="109"/>
      <c r="O516" s="109"/>
      <c r="P516" s="357"/>
      <c r="Q516" s="109"/>
      <c r="R516" s="109"/>
      <c r="S516" s="109"/>
      <c r="T516" s="109"/>
      <c r="U516" s="109"/>
      <c r="V516" s="109"/>
      <c r="W516" s="109"/>
      <c r="X516" s="109"/>
      <c r="Y516" s="109"/>
      <c r="Z516" s="109"/>
    </row>
    <row r="517">
      <c r="A517" s="109"/>
      <c r="B517" s="109"/>
      <c r="C517" s="109"/>
      <c r="D517" s="109"/>
      <c r="E517" s="109"/>
      <c r="F517" s="109"/>
      <c r="G517" s="356"/>
      <c r="H517" s="109"/>
      <c r="I517" s="109"/>
      <c r="J517" s="109"/>
      <c r="K517" s="109"/>
      <c r="L517" s="109"/>
      <c r="M517" s="109"/>
      <c r="N517" s="109"/>
      <c r="O517" s="109"/>
      <c r="P517" s="357"/>
      <c r="Q517" s="109"/>
      <c r="R517" s="109"/>
      <c r="S517" s="109"/>
      <c r="T517" s="109"/>
      <c r="U517" s="109"/>
      <c r="V517" s="109"/>
      <c r="W517" s="109"/>
      <c r="X517" s="109"/>
      <c r="Y517" s="109"/>
      <c r="Z517" s="109"/>
    </row>
    <row r="518">
      <c r="A518" s="109"/>
      <c r="B518" s="109"/>
      <c r="C518" s="109"/>
      <c r="D518" s="109"/>
      <c r="E518" s="109"/>
      <c r="F518" s="109"/>
      <c r="G518" s="356"/>
      <c r="H518" s="109"/>
      <c r="I518" s="109"/>
      <c r="J518" s="109"/>
      <c r="K518" s="109"/>
      <c r="L518" s="109"/>
      <c r="M518" s="109"/>
      <c r="N518" s="109"/>
      <c r="O518" s="109"/>
      <c r="P518" s="357"/>
      <c r="Q518" s="109"/>
      <c r="R518" s="109"/>
      <c r="S518" s="109"/>
      <c r="T518" s="109"/>
      <c r="U518" s="109"/>
      <c r="V518" s="109"/>
      <c r="W518" s="109"/>
      <c r="X518" s="109"/>
      <c r="Y518" s="109"/>
      <c r="Z518" s="109"/>
    </row>
    <row r="519">
      <c r="A519" s="109"/>
      <c r="B519" s="109"/>
      <c r="C519" s="109"/>
      <c r="D519" s="109"/>
      <c r="E519" s="109"/>
      <c r="F519" s="109"/>
      <c r="G519" s="356"/>
      <c r="H519" s="109"/>
      <c r="I519" s="109"/>
      <c r="J519" s="109"/>
      <c r="K519" s="109"/>
      <c r="L519" s="109"/>
      <c r="M519" s="109"/>
      <c r="N519" s="109"/>
      <c r="O519" s="109"/>
      <c r="P519" s="357"/>
      <c r="Q519" s="109"/>
      <c r="R519" s="109"/>
      <c r="S519" s="109"/>
      <c r="T519" s="109"/>
      <c r="U519" s="109"/>
      <c r="V519" s="109"/>
      <c r="W519" s="109"/>
      <c r="X519" s="109"/>
      <c r="Y519" s="109"/>
      <c r="Z519" s="109"/>
    </row>
    <row r="520">
      <c r="A520" s="109"/>
      <c r="B520" s="109"/>
      <c r="C520" s="109"/>
      <c r="D520" s="109"/>
      <c r="E520" s="109"/>
      <c r="F520" s="109"/>
      <c r="G520" s="356"/>
      <c r="H520" s="109"/>
      <c r="I520" s="109"/>
      <c r="J520" s="109"/>
      <c r="K520" s="109"/>
      <c r="L520" s="109"/>
      <c r="M520" s="109"/>
      <c r="N520" s="109"/>
      <c r="O520" s="109"/>
      <c r="P520" s="357"/>
      <c r="Q520" s="109"/>
      <c r="R520" s="109"/>
      <c r="S520" s="109"/>
      <c r="T520" s="109"/>
      <c r="U520" s="109"/>
      <c r="V520" s="109"/>
      <c r="W520" s="109"/>
      <c r="X520" s="109"/>
      <c r="Y520" s="109"/>
      <c r="Z520" s="109"/>
    </row>
    <row r="521">
      <c r="A521" s="109"/>
      <c r="B521" s="109"/>
      <c r="C521" s="109"/>
      <c r="D521" s="109"/>
      <c r="E521" s="109"/>
      <c r="F521" s="109"/>
      <c r="G521" s="356"/>
      <c r="H521" s="109"/>
      <c r="I521" s="109"/>
      <c r="J521" s="109"/>
      <c r="K521" s="109"/>
      <c r="L521" s="109"/>
      <c r="M521" s="109"/>
      <c r="N521" s="109"/>
      <c r="O521" s="109"/>
      <c r="P521" s="357"/>
      <c r="Q521" s="109"/>
      <c r="R521" s="109"/>
      <c r="S521" s="109"/>
      <c r="T521" s="109"/>
      <c r="U521" s="109"/>
      <c r="V521" s="109"/>
      <c r="W521" s="109"/>
      <c r="X521" s="109"/>
      <c r="Y521" s="109"/>
      <c r="Z521" s="109"/>
    </row>
    <row r="522">
      <c r="A522" s="109"/>
      <c r="B522" s="109"/>
      <c r="C522" s="109"/>
      <c r="D522" s="109"/>
      <c r="E522" s="109"/>
      <c r="F522" s="109"/>
      <c r="G522" s="356"/>
      <c r="H522" s="109"/>
      <c r="I522" s="109"/>
      <c r="J522" s="109"/>
      <c r="K522" s="109"/>
      <c r="L522" s="109"/>
      <c r="M522" s="109"/>
      <c r="N522" s="109"/>
      <c r="O522" s="109"/>
      <c r="P522" s="357"/>
      <c r="Q522" s="109"/>
      <c r="R522" s="109"/>
      <c r="S522" s="109"/>
      <c r="T522" s="109"/>
      <c r="U522" s="109"/>
      <c r="V522" s="109"/>
      <c r="W522" s="109"/>
      <c r="X522" s="109"/>
      <c r="Y522" s="109"/>
      <c r="Z522" s="109"/>
    </row>
    <row r="523">
      <c r="A523" s="109"/>
      <c r="B523" s="109"/>
      <c r="C523" s="109"/>
      <c r="D523" s="109"/>
      <c r="E523" s="109"/>
      <c r="F523" s="109"/>
      <c r="G523" s="356"/>
      <c r="H523" s="109"/>
      <c r="I523" s="109"/>
      <c r="J523" s="109"/>
      <c r="K523" s="109"/>
      <c r="L523" s="109"/>
      <c r="M523" s="109"/>
      <c r="N523" s="109"/>
      <c r="O523" s="109"/>
      <c r="P523" s="357"/>
      <c r="Q523" s="109"/>
      <c r="R523" s="109"/>
      <c r="S523" s="109"/>
      <c r="T523" s="109"/>
      <c r="U523" s="109"/>
      <c r="V523" s="109"/>
      <c r="W523" s="109"/>
      <c r="X523" s="109"/>
      <c r="Y523" s="109"/>
      <c r="Z523" s="109"/>
    </row>
    <row r="524">
      <c r="A524" s="109"/>
      <c r="B524" s="109"/>
      <c r="C524" s="109"/>
      <c r="D524" s="109"/>
      <c r="E524" s="109"/>
      <c r="F524" s="109"/>
      <c r="G524" s="356"/>
      <c r="H524" s="109"/>
      <c r="I524" s="109"/>
      <c r="J524" s="109"/>
      <c r="K524" s="109"/>
      <c r="L524" s="109"/>
      <c r="M524" s="109"/>
      <c r="N524" s="109"/>
      <c r="O524" s="109"/>
      <c r="P524" s="357"/>
      <c r="Q524" s="109"/>
      <c r="R524" s="109"/>
      <c r="S524" s="109"/>
      <c r="T524" s="109"/>
      <c r="U524" s="109"/>
      <c r="V524" s="109"/>
      <c r="W524" s="109"/>
      <c r="X524" s="109"/>
      <c r="Y524" s="109"/>
      <c r="Z524" s="109"/>
    </row>
    <row r="525">
      <c r="A525" s="109"/>
      <c r="B525" s="109"/>
      <c r="C525" s="109"/>
      <c r="D525" s="109"/>
      <c r="E525" s="109"/>
      <c r="F525" s="109"/>
      <c r="G525" s="356"/>
      <c r="H525" s="109"/>
      <c r="I525" s="109"/>
      <c r="J525" s="109"/>
      <c r="K525" s="109"/>
      <c r="L525" s="109"/>
      <c r="M525" s="109"/>
      <c r="N525" s="109"/>
      <c r="O525" s="109"/>
      <c r="P525" s="357"/>
      <c r="Q525" s="109"/>
      <c r="R525" s="109"/>
      <c r="S525" s="109"/>
      <c r="T525" s="109"/>
      <c r="U525" s="109"/>
      <c r="V525" s="109"/>
      <c r="W525" s="109"/>
      <c r="X525" s="109"/>
      <c r="Y525" s="109"/>
      <c r="Z525" s="109"/>
    </row>
    <row r="526">
      <c r="A526" s="109"/>
      <c r="B526" s="109"/>
      <c r="C526" s="109"/>
      <c r="D526" s="109"/>
      <c r="E526" s="109"/>
      <c r="F526" s="109"/>
      <c r="G526" s="356"/>
      <c r="H526" s="109"/>
      <c r="I526" s="109"/>
      <c r="J526" s="109"/>
      <c r="K526" s="109"/>
      <c r="L526" s="109"/>
      <c r="M526" s="109"/>
      <c r="N526" s="109"/>
      <c r="O526" s="109"/>
      <c r="P526" s="357"/>
      <c r="Q526" s="109"/>
      <c r="R526" s="109"/>
      <c r="S526" s="109"/>
      <c r="T526" s="109"/>
      <c r="U526" s="109"/>
      <c r="V526" s="109"/>
      <c r="W526" s="109"/>
      <c r="X526" s="109"/>
      <c r="Y526" s="109"/>
      <c r="Z526" s="109"/>
    </row>
    <row r="527">
      <c r="A527" s="109"/>
      <c r="B527" s="109"/>
      <c r="C527" s="109"/>
      <c r="D527" s="109"/>
      <c r="E527" s="109"/>
      <c r="F527" s="109"/>
      <c r="G527" s="356"/>
      <c r="H527" s="109"/>
      <c r="I527" s="109"/>
      <c r="J527" s="109"/>
      <c r="K527" s="109"/>
      <c r="L527" s="109"/>
      <c r="M527" s="109"/>
      <c r="N527" s="109"/>
      <c r="O527" s="109"/>
      <c r="P527" s="357"/>
      <c r="Q527" s="109"/>
      <c r="R527" s="109"/>
      <c r="S527" s="109"/>
      <c r="T527" s="109"/>
      <c r="U527" s="109"/>
      <c r="V527" s="109"/>
      <c r="W527" s="109"/>
      <c r="X527" s="109"/>
      <c r="Y527" s="109"/>
      <c r="Z527" s="109"/>
    </row>
    <row r="528">
      <c r="A528" s="109"/>
      <c r="B528" s="109"/>
      <c r="C528" s="109"/>
      <c r="D528" s="109"/>
      <c r="E528" s="109"/>
      <c r="F528" s="109"/>
      <c r="G528" s="356"/>
      <c r="H528" s="109"/>
      <c r="I528" s="109"/>
      <c r="J528" s="109"/>
      <c r="K528" s="109"/>
      <c r="L528" s="109"/>
      <c r="M528" s="109"/>
      <c r="N528" s="109"/>
      <c r="O528" s="109"/>
      <c r="P528" s="357"/>
      <c r="Q528" s="109"/>
      <c r="R528" s="109"/>
      <c r="S528" s="109"/>
      <c r="T528" s="109"/>
      <c r="U528" s="109"/>
      <c r="V528" s="109"/>
      <c r="W528" s="109"/>
      <c r="X528" s="109"/>
      <c r="Y528" s="109"/>
      <c r="Z528" s="109"/>
    </row>
    <row r="529">
      <c r="A529" s="109"/>
      <c r="B529" s="109"/>
      <c r="C529" s="109"/>
      <c r="D529" s="109"/>
      <c r="E529" s="109"/>
      <c r="F529" s="109"/>
      <c r="G529" s="356"/>
      <c r="H529" s="109"/>
      <c r="I529" s="109"/>
      <c r="J529" s="109"/>
      <c r="K529" s="109"/>
      <c r="L529" s="109"/>
      <c r="M529" s="109"/>
      <c r="N529" s="109"/>
      <c r="O529" s="109"/>
      <c r="P529" s="357"/>
      <c r="Q529" s="109"/>
      <c r="R529" s="109"/>
      <c r="S529" s="109"/>
      <c r="T529" s="109"/>
      <c r="U529" s="109"/>
      <c r="V529" s="109"/>
      <c r="W529" s="109"/>
      <c r="X529" s="109"/>
      <c r="Y529" s="109"/>
      <c r="Z529" s="109"/>
    </row>
    <row r="530">
      <c r="A530" s="109"/>
      <c r="B530" s="109"/>
      <c r="C530" s="109"/>
      <c r="D530" s="109"/>
      <c r="E530" s="109"/>
      <c r="F530" s="109"/>
      <c r="G530" s="356"/>
      <c r="H530" s="109"/>
      <c r="I530" s="109"/>
      <c r="J530" s="109"/>
      <c r="K530" s="109"/>
      <c r="L530" s="109"/>
      <c r="M530" s="109"/>
      <c r="N530" s="109"/>
      <c r="O530" s="109"/>
      <c r="P530" s="357"/>
      <c r="Q530" s="109"/>
      <c r="R530" s="109"/>
      <c r="S530" s="109"/>
      <c r="T530" s="109"/>
      <c r="U530" s="109"/>
      <c r="V530" s="109"/>
      <c r="W530" s="109"/>
      <c r="X530" s="109"/>
      <c r="Y530" s="109"/>
      <c r="Z530" s="109"/>
    </row>
    <row r="531">
      <c r="A531" s="109"/>
      <c r="B531" s="109"/>
      <c r="C531" s="109"/>
      <c r="D531" s="109"/>
      <c r="E531" s="109"/>
      <c r="F531" s="109"/>
      <c r="G531" s="356"/>
      <c r="H531" s="109"/>
      <c r="I531" s="109"/>
      <c r="J531" s="109"/>
      <c r="K531" s="109"/>
      <c r="L531" s="109"/>
      <c r="M531" s="109"/>
      <c r="N531" s="109"/>
      <c r="O531" s="109"/>
      <c r="P531" s="357"/>
      <c r="Q531" s="109"/>
      <c r="R531" s="109"/>
      <c r="S531" s="109"/>
      <c r="T531" s="109"/>
      <c r="U531" s="109"/>
      <c r="V531" s="109"/>
      <c r="W531" s="109"/>
      <c r="X531" s="109"/>
      <c r="Y531" s="109"/>
      <c r="Z531" s="109"/>
    </row>
    <row r="532">
      <c r="A532" s="109"/>
      <c r="B532" s="109"/>
      <c r="C532" s="109"/>
      <c r="D532" s="109"/>
      <c r="E532" s="109"/>
      <c r="F532" s="109"/>
      <c r="G532" s="356"/>
      <c r="H532" s="109"/>
      <c r="I532" s="109"/>
      <c r="J532" s="109"/>
      <c r="K532" s="109"/>
      <c r="L532" s="109"/>
      <c r="M532" s="109"/>
      <c r="N532" s="109"/>
      <c r="O532" s="109"/>
      <c r="P532" s="357"/>
      <c r="Q532" s="109"/>
      <c r="R532" s="109"/>
      <c r="S532" s="109"/>
      <c r="T532" s="109"/>
      <c r="U532" s="109"/>
      <c r="V532" s="109"/>
      <c r="W532" s="109"/>
      <c r="X532" s="109"/>
      <c r="Y532" s="109"/>
      <c r="Z532" s="109"/>
    </row>
    <row r="533">
      <c r="A533" s="109"/>
      <c r="B533" s="109"/>
      <c r="C533" s="109"/>
      <c r="D533" s="109"/>
      <c r="E533" s="109"/>
      <c r="F533" s="109"/>
      <c r="G533" s="356"/>
      <c r="H533" s="109"/>
      <c r="I533" s="109"/>
      <c r="J533" s="109"/>
      <c r="K533" s="109"/>
      <c r="L533" s="109"/>
      <c r="M533" s="109"/>
      <c r="N533" s="109"/>
      <c r="O533" s="109"/>
      <c r="P533" s="357"/>
      <c r="Q533" s="109"/>
      <c r="R533" s="109"/>
      <c r="S533" s="109"/>
      <c r="T533" s="109"/>
      <c r="U533" s="109"/>
      <c r="V533" s="109"/>
      <c r="W533" s="109"/>
      <c r="X533" s="109"/>
      <c r="Y533" s="109"/>
      <c r="Z533" s="109"/>
    </row>
    <row r="534">
      <c r="A534" s="109"/>
      <c r="B534" s="109"/>
      <c r="C534" s="109"/>
      <c r="D534" s="109"/>
      <c r="E534" s="109"/>
      <c r="F534" s="109"/>
      <c r="G534" s="356"/>
      <c r="H534" s="109"/>
      <c r="I534" s="109"/>
      <c r="J534" s="109"/>
      <c r="K534" s="109"/>
      <c r="L534" s="109"/>
      <c r="M534" s="109"/>
      <c r="N534" s="109"/>
      <c r="O534" s="109"/>
      <c r="P534" s="357"/>
      <c r="Q534" s="109"/>
      <c r="R534" s="109"/>
      <c r="S534" s="109"/>
      <c r="T534" s="109"/>
      <c r="U534" s="109"/>
      <c r="V534" s="109"/>
      <c r="W534" s="109"/>
      <c r="X534" s="109"/>
      <c r="Y534" s="109"/>
      <c r="Z534" s="109"/>
    </row>
    <row r="535">
      <c r="A535" s="109"/>
      <c r="B535" s="109"/>
      <c r="C535" s="109"/>
      <c r="D535" s="109"/>
      <c r="E535" s="109"/>
      <c r="F535" s="109"/>
      <c r="G535" s="356"/>
      <c r="H535" s="109"/>
      <c r="I535" s="109"/>
      <c r="J535" s="109"/>
      <c r="K535" s="109"/>
      <c r="L535" s="109"/>
      <c r="M535" s="109"/>
      <c r="N535" s="109"/>
      <c r="O535" s="109"/>
      <c r="P535" s="357"/>
      <c r="Q535" s="109"/>
      <c r="R535" s="109"/>
      <c r="S535" s="109"/>
      <c r="T535" s="109"/>
      <c r="U535" s="109"/>
      <c r="V535" s="109"/>
      <c r="W535" s="109"/>
      <c r="X535" s="109"/>
      <c r="Y535" s="109"/>
      <c r="Z535" s="109"/>
    </row>
    <row r="536">
      <c r="A536" s="109"/>
      <c r="B536" s="109"/>
      <c r="C536" s="109"/>
      <c r="D536" s="109"/>
      <c r="E536" s="109"/>
      <c r="F536" s="109"/>
      <c r="G536" s="356"/>
      <c r="H536" s="109"/>
      <c r="I536" s="109"/>
      <c r="J536" s="109"/>
      <c r="K536" s="109"/>
      <c r="L536" s="109"/>
      <c r="M536" s="109"/>
      <c r="N536" s="109"/>
      <c r="O536" s="109"/>
      <c r="P536" s="357"/>
      <c r="Q536" s="109"/>
      <c r="R536" s="109"/>
      <c r="S536" s="109"/>
      <c r="T536" s="109"/>
      <c r="U536" s="109"/>
      <c r="V536" s="109"/>
      <c r="W536" s="109"/>
      <c r="X536" s="109"/>
      <c r="Y536" s="109"/>
      <c r="Z536" s="109"/>
    </row>
    <row r="537">
      <c r="A537" s="109"/>
      <c r="B537" s="109"/>
      <c r="C537" s="109"/>
      <c r="D537" s="109"/>
      <c r="E537" s="109"/>
      <c r="F537" s="109"/>
      <c r="G537" s="356"/>
      <c r="H537" s="109"/>
      <c r="I537" s="109"/>
      <c r="J537" s="109"/>
      <c r="K537" s="109"/>
      <c r="L537" s="109"/>
      <c r="M537" s="109"/>
      <c r="N537" s="109"/>
      <c r="O537" s="109"/>
      <c r="P537" s="357"/>
      <c r="Q537" s="109"/>
      <c r="R537" s="109"/>
      <c r="S537" s="109"/>
      <c r="T537" s="109"/>
      <c r="U537" s="109"/>
      <c r="V537" s="109"/>
      <c r="W537" s="109"/>
      <c r="X537" s="109"/>
      <c r="Y537" s="109"/>
      <c r="Z537" s="109"/>
    </row>
    <row r="538">
      <c r="A538" s="109"/>
      <c r="B538" s="109"/>
      <c r="C538" s="109"/>
      <c r="D538" s="109"/>
      <c r="E538" s="109"/>
      <c r="F538" s="109"/>
      <c r="G538" s="356"/>
      <c r="H538" s="109"/>
      <c r="I538" s="109"/>
      <c r="J538" s="109"/>
      <c r="K538" s="109"/>
      <c r="L538" s="109"/>
      <c r="M538" s="109"/>
      <c r="N538" s="109"/>
      <c r="O538" s="109"/>
      <c r="P538" s="357"/>
      <c r="Q538" s="109"/>
      <c r="R538" s="109"/>
      <c r="S538" s="109"/>
      <c r="T538" s="109"/>
      <c r="U538" s="109"/>
      <c r="V538" s="109"/>
      <c r="W538" s="109"/>
      <c r="X538" s="109"/>
      <c r="Y538" s="109"/>
      <c r="Z538" s="109"/>
    </row>
    <row r="539">
      <c r="A539" s="109"/>
      <c r="B539" s="109"/>
      <c r="C539" s="109"/>
      <c r="D539" s="109"/>
      <c r="E539" s="109"/>
      <c r="F539" s="109"/>
      <c r="G539" s="356"/>
      <c r="H539" s="109"/>
      <c r="I539" s="109"/>
      <c r="J539" s="109"/>
      <c r="K539" s="109"/>
      <c r="L539" s="109"/>
      <c r="M539" s="109"/>
      <c r="N539" s="109"/>
      <c r="O539" s="109"/>
      <c r="P539" s="357"/>
      <c r="Q539" s="109"/>
      <c r="R539" s="109"/>
      <c r="S539" s="109"/>
      <c r="T539" s="109"/>
      <c r="U539" s="109"/>
      <c r="V539" s="109"/>
      <c r="W539" s="109"/>
      <c r="X539" s="109"/>
      <c r="Y539" s="109"/>
      <c r="Z539" s="109"/>
    </row>
    <row r="540">
      <c r="A540" s="109"/>
      <c r="B540" s="109"/>
      <c r="C540" s="109"/>
      <c r="D540" s="109"/>
      <c r="E540" s="109"/>
      <c r="F540" s="109"/>
      <c r="G540" s="356"/>
      <c r="H540" s="109"/>
      <c r="I540" s="109"/>
      <c r="J540" s="109"/>
      <c r="K540" s="109"/>
      <c r="L540" s="109"/>
      <c r="M540" s="109"/>
      <c r="N540" s="109"/>
      <c r="O540" s="109"/>
      <c r="P540" s="357"/>
      <c r="Q540" s="109"/>
      <c r="R540" s="109"/>
      <c r="S540" s="109"/>
      <c r="T540" s="109"/>
      <c r="U540" s="109"/>
      <c r="V540" s="109"/>
      <c r="W540" s="109"/>
      <c r="X540" s="109"/>
      <c r="Y540" s="109"/>
      <c r="Z540" s="109"/>
    </row>
    <row r="541">
      <c r="A541" s="109"/>
      <c r="B541" s="109"/>
      <c r="C541" s="109"/>
      <c r="D541" s="109"/>
      <c r="E541" s="109"/>
      <c r="F541" s="109"/>
      <c r="G541" s="356"/>
      <c r="H541" s="109"/>
      <c r="I541" s="109"/>
      <c r="J541" s="109"/>
      <c r="K541" s="109"/>
      <c r="L541" s="109"/>
      <c r="M541" s="109"/>
      <c r="N541" s="109"/>
      <c r="O541" s="109"/>
      <c r="P541" s="357"/>
      <c r="Q541" s="109"/>
      <c r="R541" s="109"/>
      <c r="S541" s="109"/>
      <c r="T541" s="109"/>
      <c r="U541" s="109"/>
      <c r="V541" s="109"/>
      <c r="W541" s="109"/>
      <c r="X541" s="109"/>
      <c r="Y541" s="109"/>
      <c r="Z541" s="109"/>
    </row>
    <row r="542">
      <c r="A542" s="109"/>
      <c r="B542" s="109"/>
      <c r="C542" s="109"/>
      <c r="D542" s="109"/>
      <c r="E542" s="109"/>
      <c r="F542" s="109"/>
      <c r="G542" s="356"/>
      <c r="H542" s="109"/>
      <c r="I542" s="109"/>
      <c r="J542" s="109"/>
      <c r="K542" s="109"/>
      <c r="L542" s="109"/>
      <c r="M542" s="109"/>
      <c r="N542" s="109"/>
      <c r="O542" s="109"/>
      <c r="P542" s="357"/>
      <c r="Q542" s="109"/>
      <c r="R542" s="109"/>
      <c r="S542" s="109"/>
      <c r="T542" s="109"/>
      <c r="U542" s="109"/>
      <c r="V542" s="109"/>
      <c r="W542" s="109"/>
      <c r="X542" s="109"/>
      <c r="Y542" s="109"/>
      <c r="Z542" s="109"/>
    </row>
    <row r="543">
      <c r="A543" s="109"/>
      <c r="B543" s="109"/>
      <c r="C543" s="109"/>
      <c r="D543" s="109"/>
      <c r="E543" s="109"/>
      <c r="F543" s="109"/>
      <c r="G543" s="356"/>
      <c r="H543" s="109"/>
      <c r="I543" s="109"/>
      <c r="J543" s="109"/>
      <c r="K543" s="109"/>
      <c r="L543" s="109"/>
      <c r="M543" s="109"/>
      <c r="N543" s="109"/>
      <c r="O543" s="109"/>
      <c r="P543" s="357"/>
      <c r="Q543" s="109"/>
      <c r="R543" s="109"/>
      <c r="S543" s="109"/>
      <c r="T543" s="109"/>
      <c r="U543" s="109"/>
      <c r="V543" s="109"/>
      <c r="W543" s="109"/>
      <c r="X543" s="109"/>
      <c r="Y543" s="109"/>
      <c r="Z543" s="109"/>
    </row>
    <row r="544">
      <c r="A544" s="109"/>
      <c r="B544" s="109"/>
      <c r="C544" s="109"/>
      <c r="D544" s="109"/>
      <c r="E544" s="109"/>
      <c r="F544" s="109"/>
      <c r="G544" s="356"/>
      <c r="H544" s="109"/>
      <c r="I544" s="109"/>
      <c r="J544" s="109"/>
      <c r="K544" s="109"/>
      <c r="L544" s="109"/>
      <c r="M544" s="109"/>
      <c r="N544" s="109"/>
      <c r="O544" s="109"/>
      <c r="P544" s="357"/>
      <c r="Q544" s="109"/>
      <c r="R544" s="109"/>
      <c r="S544" s="109"/>
      <c r="T544" s="109"/>
      <c r="U544" s="109"/>
      <c r="V544" s="109"/>
      <c r="W544" s="109"/>
      <c r="X544" s="109"/>
      <c r="Y544" s="109"/>
      <c r="Z544" s="109"/>
    </row>
    <row r="545">
      <c r="A545" s="109"/>
      <c r="B545" s="109"/>
      <c r="C545" s="109"/>
      <c r="D545" s="109"/>
      <c r="E545" s="109"/>
      <c r="F545" s="109"/>
      <c r="G545" s="356"/>
      <c r="H545" s="109"/>
      <c r="I545" s="109"/>
      <c r="J545" s="109"/>
      <c r="K545" s="109"/>
      <c r="L545" s="109"/>
      <c r="M545" s="109"/>
      <c r="N545" s="109"/>
      <c r="O545" s="109"/>
      <c r="P545" s="357"/>
      <c r="Q545" s="109"/>
      <c r="R545" s="109"/>
      <c r="S545" s="109"/>
      <c r="T545" s="109"/>
      <c r="U545" s="109"/>
      <c r="V545" s="109"/>
      <c r="W545" s="109"/>
      <c r="X545" s="109"/>
      <c r="Y545" s="109"/>
      <c r="Z545" s="109"/>
    </row>
    <row r="546">
      <c r="A546" s="109"/>
      <c r="B546" s="109"/>
      <c r="C546" s="109"/>
      <c r="D546" s="109"/>
      <c r="E546" s="109"/>
      <c r="F546" s="109"/>
      <c r="G546" s="356"/>
      <c r="H546" s="109"/>
      <c r="I546" s="109"/>
      <c r="J546" s="109"/>
      <c r="K546" s="109"/>
      <c r="L546" s="109"/>
      <c r="M546" s="109"/>
      <c r="N546" s="109"/>
      <c r="O546" s="109"/>
      <c r="P546" s="357"/>
      <c r="Q546" s="109"/>
      <c r="R546" s="109"/>
      <c r="S546" s="109"/>
      <c r="T546" s="109"/>
      <c r="U546" s="109"/>
      <c r="V546" s="109"/>
      <c r="W546" s="109"/>
      <c r="X546" s="109"/>
      <c r="Y546" s="109"/>
      <c r="Z546" s="109"/>
    </row>
    <row r="547">
      <c r="A547" s="109"/>
      <c r="B547" s="109"/>
      <c r="C547" s="109"/>
      <c r="D547" s="109"/>
      <c r="E547" s="109"/>
      <c r="F547" s="109"/>
      <c r="G547" s="356"/>
      <c r="H547" s="109"/>
      <c r="I547" s="109"/>
      <c r="J547" s="109"/>
      <c r="K547" s="109"/>
      <c r="L547" s="109"/>
      <c r="M547" s="109"/>
      <c r="N547" s="109"/>
      <c r="O547" s="109"/>
      <c r="P547" s="357"/>
      <c r="Q547" s="109"/>
      <c r="R547" s="109"/>
      <c r="S547" s="109"/>
      <c r="T547" s="109"/>
      <c r="U547" s="109"/>
      <c r="V547" s="109"/>
      <c r="W547" s="109"/>
      <c r="X547" s="109"/>
      <c r="Y547" s="109"/>
      <c r="Z547" s="109"/>
    </row>
    <row r="548">
      <c r="A548" s="109"/>
      <c r="B548" s="109"/>
      <c r="C548" s="109"/>
      <c r="D548" s="109"/>
      <c r="E548" s="109"/>
      <c r="F548" s="109"/>
      <c r="G548" s="356"/>
      <c r="H548" s="109"/>
      <c r="I548" s="109"/>
      <c r="J548" s="109"/>
      <c r="K548" s="109"/>
      <c r="L548" s="109"/>
      <c r="M548" s="109"/>
      <c r="N548" s="109"/>
      <c r="O548" s="109"/>
      <c r="P548" s="357"/>
      <c r="Q548" s="109"/>
      <c r="R548" s="109"/>
      <c r="S548" s="109"/>
      <c r="T548" s="109"/>
      <c r="U548" s="109"/>
      <c r="V548" s="109"/>
      <c r="W548" s="109"/>
      <c r="X548" s="109"/>
      <c r="Y548" s="109"/>
      <c r="Z548" s="109"/>
    </row>
    <row r="549">
      <c r="A549" s="109"/>
      <c r="B549" s="109"/>
      <c r="C549" s="109"/>
      <c r="D549" s="109"/>
      <c r="E549" s="109"/>
      <c r="F549" s="109"/>
      <c r="G549" s="356"/>
      <c r="H549" s="109"/>
      <c r="I549" s="109"/>
      <c r="J549" s="109"/>
      <c r="K549" s="109"/>
      <c r="L549" s="109"/>
      <c r="M549" s="109"/>
      <c r="N549" s="109"/>
      <c r="O549" s="109"/>
      <c r="P549" s="357"/>
      <c r="Q549" s="109"/>
      <c r="R549" s="109"/>
      <c r="S549" s="109"/>
      <c r="T549" s="109"/>
      <c r="U549" s="109"/>
      <c r="V549" s="109"/>
      <c r="W549" s="109"/>
      <c r="X549" s="109"/>
      <c r="Y549" s="109"/>
      <c r="Z549" s="109"/>
    </row>
    <row r="550">
      <c r="A550" s="109"/>
      <c r="B550" s="109"/>
      <c r="C550" s="109"/>
      <c r="D550" s="109"/>
      <c r="E550" s="109"/>
      <c r="F550" s="109"/>
      <c r="G550" s="356"/>
      <c r="H550" s="109"/>
      <c r="I550" s="109"/>
      <c r="J550" s="109"/>
      <c r="K550" s="109"/>
      <c r="L550" s="109"/>
      <c r="M550" s="109"/>
      <c r="N550" s="109"/>
      <c r="O550" s="109"/>
      <c r="P550" s="357"/>
      <c r="Q550" s="109"/>
      <c r="R550" s="109"/>
      <c r="S550" s="109"/>
      <c r="T550" s="109"/>
      <c r="U550" s="109"/>
      <c r="V550" s="109"/>
      <c r="W550" s="109"/>
      <c r="X550" s="109"/>
      <c r="Y550" s="109"/>
      <c r="Z550" s="109"/>
    </row>
    <row r="551">
      <c r="A551" s="109"/>
      <c r="B551" s="109"/>
      <c r="C551" s="109"/>
      <c r="D551" s="109"/>
      <c r="E551" s="109"/>
      <c r="F551" s="109"/>
      <c r="G551" s="356"/>
      <c r="H551" s="109"/>
      <c r="I551" s="109"/>
      <c r="J551" s="109"/>
      <c r="K551" s="109"/>
      <c r="L551" s="109"/>
      <c r="M551" s="109"/>
      <c r="N551" s="109"/>
      <c r="O551" s="109"/>
      <c r="P551" s="357"/>
      <c r="Q551" s="109"/>
      <c r="R551" s="109"/>
      <c r="S551" s="109"/>
      <c r="T551" s="109"/>
      <c r="U551" s="109"/>
      <c r="V551" s="109"/>
      <c r="W551" s="109"/>
      <c r="X551" s="109"/>
      <c r="Y551" s="109"/>
      <c r="Z551" s="109"/>
    </row>
    <row r="552">
      <c r="A552" s="109"/>
      <c r="B552" s="109"/>
      <c r="C552" s="109"/>
      <c r="D552" s="109"/>
      <c r="E552" s="109"/>
      <c r="F552" s="109"/>
      <c r="G552" s="356"/>
      <c r="H552" s="109"/>
      <c r="I552" s="109"/>
      <c r="J552" s="109"/>
      <c r="K552" s="109"/>
      <c r="L552" s="109"/>
      <c r="M552" s="109"/>
      <c r="N552" s="109"/>
      <c r="O552" s="109"/>
      <c r="P552" s="357"/>
      <c r="Q552" s="109"/>
      <c r="R552" s="109"/>
      <c r="S552" s="109"/>
      <c r="T552" s="109"/>
      <c r="U552" s="109"/>
      <c r="V552" s="109"/>
      <c r="W552" s="109"/>
      <c r="X552" s="109"/>
      <c r="Y552" s="109"/>
      <c r="Z552" s="109"/>
    </row>
    <row r="553">
      <c r="A553" s="109"/>
      <c r="B553" s="109"/>
      <c r="C553" s="109"/>
      <c r="D553" s="109"/>
      <c r="E553" s="109"/>
      <c r="F553" s="109"/>
      <c r="G553" s="356"/>
      <c r="H553" s="109"/>
      <c r="I553" s="109"/>
      <c r="J553" s="109"/>
      <c r="K553" s="109"/>
      <c r="L553" s="109"/>
      <c r="M553" s="109"/>
      <c r="N553" s="109"/>
      <c r="O553" s="109"/>
      <c r="P553" s="357"/>
      <c r="Q553" s="109"/>
      <c r="R553" s="109"/>
      <c r="S553" s="109"/>
      <c r="T553" s="109"/>
      <c r="U553" s="109"/>
      <c r="V553" s="109"/>
      <c r="W553" s="109"/>
      <c r="X553" s="109"/>
      <c r="Y553" s="109"/>
      <c r="Z553" s="109"/>
    </row>
    <row r="554">
      <c r="A554" s="109"/>
      <c r="B554" s="109"/>
      <c r="C554" s="109"/>
      <c r="D554" s="109"/>
      <c r="E554" s="109"/>
      <c r="F554" s="109"/>
      <c r="G554" s="356"/>
      <c r="H554" s="109"/>
      <c r="I554" s="109"/>
      <c r="J554" s="109"/>
      <c r="K554" s="109"/>
      <c r="L554" s="109"/>
      <c r="M554" s="109"/>
      <c r="N554" s="109"/>
      <c r="O554" s="109"/>
      <c r="P554" s="357"/>
      <c r="Q554" s="109"/>
      <c r="R554" s="109"/>
      <c r="S554" s="109"/>
      <c r="T554" s="109"/>
      <c r="U554" s="109"/>
      <c r="V554" s="109"/>
      <c r="W554" s="109"/>
      <c r="X554" s="109"/>
      <c r="Y554" s="109"/>
      <c r="Z554" s="109"/>
    </row>
    <row r="555">
      <c r="A555" s="109"/>
      <c r="B555" s="109"/>
      <c r="C555" s="109"/>
      <c r="D555" s="109"/>
      <c r="E555" s="109"/>
      <c r="F555" s="109"/>
      <c r="G555" s="356"/>
      <c r="H555" s="109"/>
      <c r="I555" s="109"/>
      <c r="J555" s="109"/>
      <c r="K555" s="109"/>
      <c r="L555" s="109"/>
      <c r="M555" s="109"/>
      <c r="N555" s="109"/>
      <c r="O555" s="109"/>
      <c r="P555" s="357"/>
      <c r="Q555" s="109"/>
      <c r="R555" s="109"/>
      <c r="S555" s="109"/>
      <c r="T555" s="109"/>
      <c r="U555" s="109"/>
      <c r="V555" s="109"/>
      <c r="W555" s="109"/>
      <c r="X555" s="109"/>
      <c r="Y555" s="109"/>
      <c r="Z555" s="109"/>
    </row>
    <row r="556">
      <c r="A556" s="109"/>
      <c r="B556" s="109"/>
      <c r="C556" s="109"/>
      <c r="D556" s="109"/>
      <c r="E556" s="109"/>
      <c r="F556" s="109"/>
      <c r="G556" s="356"/>
      <c r="H556" s="109"/>
      <c r="I556" s="109"/>
      <c r="J556" s="109"/>
      <c r="K556" s="109"/>
      <c r="L556" s="109"/>
      <c r="M556" s="109"/>
      <c r="N556" s="109"/>
      <c r="O556" s="109"/>
      <c r="P556" s="357"/>
      <c r="Q556" s="109"/>
      <c r="R556" s="109"/>
      <c r="S556" s="109"/>
      <c r="T556" s="109"/>
      <c r="U556" s="109"/>
      <c r="V556" s="109"/>
      <c r="W556" s="109"/>
      <c r="X556" s="109"/>
      <c r="Y556" s="109"/>
      <c r="Z556" s="109"/>
    </row>
    <row r="557">
      <c r="A557" s="109"/>
      <c r="B557" s="109"/>
      <c r="C557" s="109"/>
      <c r="D557" s="109"/>
      <c r="E557" s="109"/>
      <c r="F557" s="109"/>
      <c r="G557" s="356"/>
      <c r="H557" s="109"/>
      <c r="I557" s="109"/>
      <c r="J557" s="109"/>
      <c r="K557" s="109"/>
      <c r="L557" s="109"/>
      <c r="M557" s="109"/>
      <c r="N557" s="109"/>
      <c r="O557" s="109"/>
      <c r="P557" s="357"/>
      <c r="Q557" s="109"/>
      <c r="R557" s="109"/>
      <c r="S557" s="109"/>
      <c r="T557" s="109"/>
      <c r="U557" s="109"/>
      <c r="V557" s="109"/>
      <c r="W557" s="109"/>
      <c r="X557" s="109"/>
      <c r="Y557" s="109"/>
      <c r="Z557" s="109"/>
    </row>
    <row r="558">
      <c r="A558" s="109"/>
      <c r="B558" s="109"/>
      <c r="C558" s="109"/>
      <c r="D558" s="109"/>
      <c r="E558" s="109"/>
      <c r="F558" s="109"/>
      <c r="G558" s="356"/>
      <c r="H558" s="109"/>
      <c r="I558" s="109"/>
      <c r="J558" s="109"/>
      <c r="K558" s="109"/>
      <c r="L558" s="109"/>
      <c r="M558" s="109"/>
      <c r="N558" s="109"/>
      <c r="O558" s="109"/>
      <c r="P558" s="357"/>
      <c r="Q558" s="109"/>
      <c r="R558" s="109"/>
      <c r="S558" s="109"/>
      <c r="T558" s="109"/>
      <c r="U558" s="109"/>
      <c r="V558" s="109"/>
      <c r="W558" s="109"/>
      <c r="X558" s="109"/>
      <c r="Y558" s="109"/>
      <c r="Z558" s="109"/>
    </row>
    <row r="559">
      <c r="A559" s="109"/>
      <c r="B559" s="109"/>
      <c r="C559" s="109"/>
      <c r="D559" s="109"/>
      <c r="E559" s="109"/>
      <c r="F559" s="109"/>
      <c r="G559" s="356"/>
      <c r="H559" s="109"/>
      <c r="I559" s="109"/>
      <c r="J559" s="109"/>
      <c r="K559" s="109"/>
      <c r="L559" s="109"/>
      <c r="M559" s="109"/>
      <c r="N559" s="109"/>
      <c r="O559" s="109"/>
      <c r="P559" s="357"/>
      <c r="Q559" s="109"/>
      <c r="R559" s="109"/>
      <c r="S559" s="109"/>
      <c r="T559" s="109"/>
      <c r="U559" s="109"/>
      <c r="V559" s="109"/>
      <c r="W559" s="109"/>
      <c r="X559" s="109"/>
      <c r="Y559" s="109"/>
      <c r="Z559" s="109"/>
    </row>
    <row r="560">
      <c r="A560" s="109"/>
      <c r="B560" s="109"/>
      <c r="C560" s="109"/>
      <c r="D560" s="109"/>
      <c r="E560" s="109"/>
      <c r="F560" s="109"/>
      <c r="G560" s="356"/>
      <c r="H560" s="109"/>
      <c r="I560" s="109"/>
      <c r="J560" s="109"/>
      <c r="K560" s="109"/>
      <c r="L560" s="109"/>
      <c r="M560" s="109"/>
      <c r="N560" s="109"/>
      <c r="O560" s="109"/>
      <c r="P560" s="357"/>
      <c r="Q560" s="109"/>
      <c r="R560" s="109"/>
      <c r="S560" s="109"/>
      <c r="T560" s="109"/>
      <c r="U560" s="109"/>
      <c r="V560" s="109"/>
      <c r="W560" s="109"/>
      <c r="X560" s="109"/>
      <c r="Y560" s="109"/>
      <c r="Z560" s="109"/>
    </row>
    <row r="561">
      <c r="A561" s="109"/>
      <c r="B561" s="109"/>
      <c r="C561" s="109"/>
      <c r="D561" s="109"/>
      <c r="E561" s="109"/>
      <c r="F561" s="109"/>
      <c r="G561" s="356"/>
      <c r="H561" s="109"/>
      <c r="I561" s="109"/>
      <c r="J561" s="109"/>
      <c r="K561" s="109"/>
      <c r="L561" s="109"/>
      <c r="M561" s="109"/>
      <c r="N561" s="109"/>
      <c r="O561" s="109"/>
      <c r="P561" s="357"/>
      <c r="Q561" s="109"/>
      <c r="R561" s="109"/>
      <c r="S561" s="109"/>
      <c r="T561" s="109"/>
      <c r="U561" s="109"/>
      <c r="V561" s="109"/>
      <c r="W561" s="109"/>
      <c r="X561" s="109"/>
      <c r="Y561" s="109"/>
      <c r="Z561" s="109"/>
    </row>
    <row r="562">
      <c r="A562" s="109"/>
      <c r="B562" s="109"/>
      <c r="C562" s="109"/>
      <c r="D562" s="109"/>
      <c r="E562" s="109"/>
      <c r="F562" s="109"/>
      <c r="G562" s="356"/>
      <c r="H562" s="109"/>
      <c r="I562" s="109"/>
      <c r="J562" s="109"/>
      <c r="K562" s="109"/>
      <c r="L562" s="109"/>
      <c r="M562" s="109"/>
      <c r="N562" s="109"/>
      <c r="O562" s="109"/>
      <c r="P562" s="357"/>
      <c r="Q562" s="109"/>
      <c r="R562" s="109"/>
      <c r="S562" s="109"/>
      <c r="T562" s="109"/>
      <c r="U562" s="109"/>
      <c r="V562" s="109"/>
      <c r="W562" s="109"/>
      <c r="X562" s="109"/>
      <c r="Y562" s="109"/>
      <c r="Z562" s="109"/>
    </row>
    <row r="563">
      <c r="A563" s="109"/>
      <c r="B563" s="109"/>
      <c r="C563" s="109"/>
      <c r="D563" s="109"/>
      <c r="E563" s="109"/>
      <c r="F563" s="109"/>
      <c r="G563" s="356"/>
      <c r="H563" s="109"/>
      <c r="I563" s="109"/>
      <c r="J563" s="109"/>
      <c r="K563" s="109"/>
      <c r="L563" s="109"/>
      <c r="M563" s="109"/>
      <c r="N563" s="109"/>
      <c r="O563" s="109"/>
      <c r="P563" s="357"/>
      <c r="Q563" s="109"/>
      <c r="R563" s="109"/>
      <c r="S563" s="109"/>
      <c r="T563" s="109"/>
      <c r="U563" s="109"/>
      <c r="V563" s="109"/>
      <c r="W563" s="109"/>
      <c r="X563" s="109"/>
      <c r="Y563" s="109"/>
      <c r="Z563" s="109"/>
    </row>
    <row r="564">
      <c r="A564" s="109"/>
      <c r="B564" s="109"/>
      <c r="C564" s="109"/>
      <c r="D564" s="109"/>
      <c r="E564" s="109"/>
      <c r="F564" s="109"/>
      <c r="G564" s="356"/>
      <c r="H564" s="109"/>
      <c r="I564" s="109"/>
      <c r="J564" s="109"/>
      <c r="K564" s="109"/>
      <c r="L564" s="109"/>
      <c r="M564" s="109"/>
      <c r="N564" s="109"/>
      <c r="O564" s="109"/>
      <c r="P564" s="357"/>
      <c r="Q564" s="109"/>
      <c r="R564" s="109"/>
      <c r="S564" s="109"/>
      <c r="T564" s="109"/>
      <c r="U564" s="109"/>
      <c r="V564" s="109"/>
      <c r="W564" s="109"/>
      <c r="X564" s="109"/>
      <c r="Y564" s="109"/>
      <c r="Z564" s="109"/>
    </row>
    <row r="565">
      <c r="A565" s="109"/>
      <c r="B565" s="109"/>
      <c r="C565" s="109"/>
      <c r="D565" s="109"/>
      <c r="E565" s="109"/>
      <c r="F565" s="109"/>
      <c r="G565" s="356"/>
      <c r="H565" s="109"/>
      <c r="I565" s="109"/>
      <c r="J565" s="109"/>
      <c r="K565" s="109"/>
      <c r="L565" s="109"/>
      <c r="M565" s="109"/>
      <c r="N565" s="109"/>
      <c r="O565" s="109"/>
      <c r="P565" s="357"/>
      <c r="Q565" s="109"/>
      <c r="R565" s="109"/>
      <c r="S565" s="109"/>
      <c r="T565" s="109"/>
      <c r="U565" s="109"/>
      <c r="V565" s="109"/>
      <c r="W565" s="109"/>
      <c r="X565" s="109"/>
      <c r="Y565" s="109"/>
      <c r="Z565" s="109"/>
    </row>
    <row r="566">
      <c r="A566" s="109"/>
      <c r="B566" s="109"/>
      <c r="C566" s="109"/>
      <c r="D566" s="109"/>
      <c r="E566" s="109"/>
      <c r="F566" s="109"/>
      <c r="G566" s="356"/>
      <c r="H566" s="109"/>
      <c r="I566" s="109"/>
      <c r="J566" s="109"/>
      <c r="K566" s="109"/>
      <c r="L566" s="109"/>
      <c r="M566" s="109"/>
      <c r="N566" s="109"/>
      <c r="O566" s="109"/>
      <c r="P566" s="357"/>
      <c r="Q566" s="109"/>
      <c r="R566" s="109"/>
      <c r="S566" s="109"/>
      <c r="T566" s="109"/>
      <c r="U566" s="109"/>
      <c r="V566" s="109"/>
      <c r="W566" s="109"/>
      <c r="X566" s="109"/>
      <c r="Y566" s="109"/>
      <c r="Z566" s="109"/>
    </row>
    <row r="567">
      <c r="A567" s="109"/>
      <c r="B567" s="109"/>
      <c r="C567" s="109"/>
      <c r="D567" s="109"/>
      <c r="E567" s="109"/>
      <c r="F567" s="109"/>
      <c r="G567" s="356"/>
      <c r="H567" s="109"/>
      <c r="I567" s="109"/>
      <c r="J567" s="109"/>
      <c r="K567" s="109"/>
      <c r="L567" s="109"/>
      <c r="M567" s="109"/>
      <c r="N567" s="109"/>
      <c r="O567" s="109"/>
      <c r="P567" s="357"/>
      <c r="Q567" s="109"/>
      <c r="R567" s="109"/>
      <c r="S567" s="109"/>
      <c r="T567" s="109"/>
      <c r="U567" s="109"/>
      <c r="V567" s="109"/>
      <c r="W567" s="109"/>
      <c r="X567" s="109"/>
      <c r="Y567" s="109"/>
      <c r="Z567" s="109"/>
    </row>
    <row r="568">
      <c r="A568" s="109"/>
      <c r="B568" s="109"/>
      <c r="C568" s="109"/>
      <c r="D568" s="109"/>
      <c r="E568" s="109"/>
      <c r="F568" s="109"/>
      <c r="G568" s="356"/>
      <c r="H568" s="109"/>
      <c r="I568" s="109"/>
      <c r="J568" s="109"/>
      <c r="K568" s="109"/>
      <c r="L568" s="109"/>
      <c r="M568" s="109"/>
      <c r="N568" s="109"/>
      <c r="O568" s="109"/>
      <c r="P568" s="357"/>
      <c r="Q568" s="109"/>
      <c r="R568" s="109"/>
      <c r="S568" s="109"/>
      <c r="T568" s="109"/>
      <c r="U568" s="109"/>
      <c r="V568" s="109"/>
      <c r="W568" s="109"/>
      <c r="X568" s="109"/>
      <c r="Y568" s="109"/>
      <c r="Z568" s="109"/>
    </row>
    <row r="569">
      <c r="A569" s="109"/>
      <c r="B569" s="109"/>
      <c r="C569" s="109"/>
      <c r="D569" s="109"/>
      <c r="E569" s="109"/>
      <c r="F569" s="109"/>
      <c r="G569" s="356"/>
      <c r="H569" s="109"/>
      <c r="I569" s="109"/>
      <c r="J569" s="109"/>
      <c r="K569" s="109"/>
      <c r="L569" s="109"/>
      <c r="M569" s="109"/>
      <c r="N569" s="109"/>
      <c r="O569" s="109"/>
      <c r="P569" s="357"/>
      <c r="Q569" s="109"/>
      <c r="R569" s="109"/>
      <c r="S569" s="109"/>
      <c r="T569" s="109"/>
      <c r="U569" s="109"/>
      <c r="V569" s="109"/>
      <c r="W569" s="109"/>
      <c r="X569" s="109"/>
      <c r="Y569" s="109"/>
      <c r="Z569" s="109"/>
    </row>
    <row r="570">
      <c r="A570" s="109"/>
      <c r="B570" s="109"/>
      <c r="C570" s="109"/>
      <c r="D570" s="109"/>
      <c r="E570" s="109"/>
      <c r="F570" s="109"/>
      <c r="G570" s="356"/>
      <c r="H570" s="109"/>
      <c r="I570" s="109"/>
      <c r="J570" s="109"/>
      <c r="K570" s="109"/>
      <c r="L570" s="109"/>
      <c r="M570" s="109"/>
      <c r="N570" s="109"/>
      <c r="O570" s="109"/>
      <c r="P570" s="357"/>
      <c r="Q570" s="109"/>
      <c r="R570" s="109"/>
      <c r="S570" s="109"/>
      <c r="T570" s="109"/>
      <c r="U570" s="109"/>
      <c r="V570" s="109"/>
      <c r="W570" s="109"/>
      <c r="X570" s="109"/>
      <c r="Y570" s="109"/>
      <c r="Z570" s="109"/>
    </row>
    <row r="571">
      <c r="A571" s="109"/>
      <c r="B571" s="109"/>
      <c r="C571" s="109"/>
      <c r="D571" s="109"/>
      <c r="E571" s="109"/>
      <c r="F571" s="109"/>
      <c r="G571" s="356"/>
      <c r="H571" s="109"/>
      <c r="I571" s="109"/>
      <c r="J571" s="109"/>
      <c r="K571" s="109"/>
      <c r="L571" s="109"/>
      <c r="M571" s="109"/>
      <c r="N571" s="109"/>
      <c r="O571" s="109"/>
      <c r="P571" s="357"/>
      <c r="Q571" s="109"/>
      <c r="R571" s="109"/>
      <c r="S571" s="109"/>
      <c r="T571" s="109"/>
      <c r="U571" s="109"/>
      <c r="V571" s="109"/>
      <c r="W571" s="109"/>
      <c r="X571" s="109"/>
      <c r="Y571" s="109"/>
      <c r="Z571" s="109"/>
    </row>
    <row r="572">
      <c r="A572" s="109"/>
      <c r="B572" s="109"/>
      <c r="C572" s="109"/>
      <c r="D572" s="109"/>
      <c r="E572" s="109"/>
      <c r="F572" s="109"/>
      <c r="G572" s="356"/>
      <c r="H572" s="109"/>
      <c r="I572" s="109"/>
      <c r="J572" s="109"/>
      <c r="K572" s="109"/>
      <c r="L572" s="109"/>
      <c r="M572" s="109"/>
      <c r="N572" s="109"/>
      <c r="O572" s="109"/>
      <c r="P572" s="357"/>
      <c r="Q572" s="109"/>
      <c r="R572" s="109"/>
      <c r="S572" s="109"/>
      <c r="T572" s="109"/>
      <c r="U572" s="109"/>
      <c r="V572" s="109"/>
      <c r="W572" s="109"/>
      <c r="X572" s="109"/>
      <c r="Y572" s="109"/>
      <c r="Z572" s="109"/>
    </row>
    <row r="573">
      <c r="A573" s="109"/>
      <c r="B573" s="109"/>
      <c r="C573" s="109"/>
      <c r="D573" s="109"/>
      <c r="E573" s="109"/>
      <c r="F573" s="109"/>
      <c r="G573" s="356"/>
      <c r="H573" s="109"/>
      <c r="I573" s="109"/>
      <c r="J573" s="109"/>
      <c r="K573" s="109"/>
      <c r="L573" s="109"/>
      <c r="M573" s="109"/>
      <c r="N573" s="109"/>
      <c r="O573" s="109"/>
      <c r="P573" s="357"/>
      <c r="Q573" s="109"/>
      <c r="R573" s="109"/>
      <c r="S573" s="109"/>
      <c r="T573" s="109"/>
      <c r="U573" s="109"/>
      <c r="V573" s="109"/>
      <c r="W573" s="109"/>
      <c r="X573" s="109"/>
      <c r="Y573" s="109"/>
      <c r="Z573" s="109"/>
    </row>
    <row r="574">
      <c r="A574" s="109"/>
      <c r="B574" s="109"/>
      <c r="C574" s="109"/>
      <c r="D574" s="109"/>
      <c r="E574" s="109"/>
      <c r="F574" s="109"/>
      <c r="G574" s="356"/>
      <c r="H574" s="109"/>
      <c r="I574" s="109"/>
      <c r="J574" s="109"/>
      <c r="K574" s="109"/>
      <c r="L574" s="109"/>
      <c r="M574" s="109"/>
      <c r="N574" s="109"/>
      <c r="O574" s="109"/>
      <c r="P574" s="357"/>
      <c r="Q574" s="109"/>
      <c r="R574" s="109"/>
      <c r="S574" s="109"/>
      <c r="T574" s="109"/>
      <c r="U574" s="109"/>
      <c r="V574" s="109"/>
      <c r="W574" s="109"/>
      <c r="X574" s="109"/>
      <c r="Y574" s="109"/>
      <c r="Z574" s="109"/>
    </row>
    <row r="575">
      <c r="A575" s="109"/>
      <c r="B575" s="109"/>
      <c r="C575" s="109"/>
      <c r="D575" s="109"/>
      <c r="E575" s="109"/>
      <c r="F575" s="109"/>
      <c r="G575" s="356"/>
      <c r="H575" s="109"/>
      <c r="I575" s="109"/>
      <c r="J575" s="109"/>
      <c r="K575" s="109"/>
      <c r="L575" s="109"/>
      <c r="M575" s="109"/>
      <c r="N575" s="109"/>
      <c r="O575" s="109"/>
      <c r="P575" s="357"/>
      <c r="Q575" s="109"/>
      <c r="R575" s="109"/>
      <c r="S575" s="109"/>
      <c r="T575" s="109"/>
      <c r="U575" s="109"/>
      <c r="V575" s="109"/>
      <c r="W575" s="109"/>
      <c r="X575" s="109"/>
      <c r="Y575" s="109"/>
      <c r="Z575" s="109"/>
    </row>
    <row r="576">
      <c r="A576" s="109"/>
      <c r="B576" s="109"/>
      <c r="C576" s="109"/>
      <c r="D576" s="109"/>
      <c r="E576" s="109"/>
      <c r="F576" s="109"/>
      <c r="G576" s="356"/>
      <c r="H576" s="109"/>
      <c r="I576" s="109"/>
      <c r="J576" s="109"/>
      <c r="K576" s="109"/>
      <c r="L576" s="109"/>
      <c r="M576" s="109"/>
      <c r="N576" s="109"/>
      <c r="O576" s="109"/>
      <c r="P576" s="357"/>
      <c r="Q576" s="109"/>
      <c r="R576" s="109"/>
      <c r="S576" s="109"/>
      <c r="T576" s="109"/>
      <c r="U576" s="109"/>
      <c r="V576" s="109"/>
      <c r="W576" s="109"/>
      <c r="X576" s="109"/>
      <c r="Y576" s="109"/>
      <c r="Z576" s="109"/>
    </row>
    <row r="577">
      <c r="A577" s="109"/>
      <c r="B577" s="109"/>
      <c r="C577" s="109"/>
      <c r="D577" s="109"/>
      <c r="E577" s="109"/>
      <c r="F577" s="109"/>
      <c r="G577" s="356"/>
      <c r="H577" s="109"/>
      <c r="I577" s="109"/>
      <c r="J577" s="109"/>
      <c r="K577" s="109"/>
      <c r="L577" s="109"/>
      <c r="M577" s="109"/>
      <c r="N577" s="109"/>
      <c r="O577" s="109"/>
      <c r="P577" s="357"/>
      <c r="Q577" s="109"/>
      <c r="R577" s="109"/>
      <c r="S577" s="109"/>
      <c r="T577" s="109"/>
      <c r="U577" s="109"/>
      <c r="V577" s="109"/>
      <c r="W577" s="109"/>
      <c r="X577" s="109"/>
      <c r="Y577" s="109"/>
      <c r="Z577" s="109"/>
    </row>
    <row r="578">
      <c r="A578" s="109"/>
      <c r="B578" s="109"/>
      <c r="C578" s="109"/>
      <c r="D578" s="109"/>
      <c r="E578" s="109"/>
      <c r="F578" s="109"/>
      <c r="G578" s="356"/>
      <c r="H578" s="109"/>
      <c r="I578" s="109"/>
      <c r="J578" s="109"/>
      <c r="K578" s="109"/>
      <c r="L578" s="109"/>
      <c r="M578" s="109"/>
      <c r="N578" s="109"/>
      <c r="O578" s="109"/>
      <c r="P578" s="357"/>
      <c r="Q578" s="109"/>
      <c r="R578" s="109"/>
      <c r="S578" s="109"/>
      <c r="T578" s="109"/>
      <c r="U578" s="109"/>
      <c r="V578" s="109"/>
      <c r="W578" s="109"/>
      <c r="X578" s="109"/>
      <c r="Y578" s="109"/>
      <c r="Z578" s="109"/>
    </row>
    <row r="579">
      <c r="A579" s="109"/>
      <c r="B579" s="109"/>
      <c r="C579" s="109"/>
      <c r="D579" s="109"/>
      <c r="E579" s="109"/>
      <c r="F579" s="109"/>
      <c r="G579" s="356"/>
      <c r="H579" s="109"/>
      <c r="I579" s="109"/>
      <c r="J579" s="109"/>
      <c r="K579" s="109"/>
      <c r="L579" s="109"/>
      <c r="M579" s="109"/>
      <c r="N579" s="109"/>
      <c r="O579" s="109"/>
      <c r="P579" s="357"/>
      <c r="Q579" s="109"/>
      <c r="R579" s="109"/>
      <c r="S579" s="109"/>
      <c r="T579" s="109"/>
      <c r="U579" s="109"/>
      <c r="V579" s="109"/>
      <c r="W579" s="109"/>
      <c r="X579" s="109"/>
      <c r="Y579" s="109"/>
      <c r="Z579" s="109"/>
    </row>
    <row r="580">
      <c r="A580" s="109"/>
      <c r="B580" s="109"/>
      <c r="C580" s="109"/>
      <c r="D580" s="109"/>
      <c r="E580" s="109"/>
      <c r="F580" s="109"/>
      <c r="G580" s="356"/>
      <c r="H580" s="109"/>
      <c r="I580" s="109"/>
      <c r="J580" s="109"/>
      <c r="K580" s="109"/>
      <c r="L580" s="109"/>
      <c r="M580" s="109"/>
      <c r="N580" s="109"/>
      <c r="O580" s="109"/>
      <c r="P580" s="357"/>
      <c r="Q580" s="109"/>
      <c r="R580" s="109"/>
      <c r="S580" s="109"/>
      <c r="T580" s="109"/>
      <c r="U580" s="109"/>
      <c r="V580" s="109"/>
      <c r="W580" s="109"/>
      <c r="X580" s="109"/>
      <c r="Y580" s="109"/>
      <c r="Z580" s="109"/>
    </row>
    <row r="581">
      <c r="A581" s="109"/>
      <c r="B581" s="109"/>
      <c r="C581" s="109"/>
      <c r="D581" s="109"/>
      <c r="E581" s="109"/>
      <c r="F581" s="109"/>
      <c r="G581" s="356"/>
      <c r="H581" s="109"/>
      <c r="I581" s="109"/>
      <c r="J581" s="109"/>
      <c r="K581" s="109"/>
      <c r="L581" s="109"/>
      <c r="M581" s="109"/>
      <c r="N581" s="109"/>
      <c r="O581" s="109"/>
      <c r="P581" s="357"/>
      <c r="Q581" s="109"/>
      <c r="R581" s="109"/>
      <c r="S581" s="109"/>
      <c r="T581" s="109"/>
      <c r="U581" s="109"/>
      <c r="V581" s="109"/>
      <c r="W581" s="109"/>
      <c r="X581" s="109"/>
      <c r="Y581" s="109"/>
      <c r="Z581" s="109"/>
    </row>
    <row r="582">
      <c r="A582" s="109"/>
      <c r="B582" s="109"/>
      <c r="C582" s="109"/>
      <c r="D582" s="109"/>
      <c r="E582" s="109"/>
      <c r="F582" s="109"/>
      <c r="G582" s="356"/>
      <c r="H582" s="109"/>
      <c r="I582" s="109"/>
      <c r="J582" s="109"/>
      <c r="K582" s="109"/>
      <c r="L582" s="109"/>
      <c r="M582" s="109"/>
      <c r="N582" s="109"/>
      <c r="O582" s="109"/>
      <c r="P582" s="357"/>
      <c r="Q582" s="109"/>
      <c r="R582" s="109"/>
      <c r="S582" s="109"/>
      <c r="T582" s="109"/>
      <c r="U582" s="109"/>
      <c r="V582" s="109"/>
      <c r="W582" s="109"/>
      <c r="X582" s="109"/>
      <c r="Y582" s="109"/>
      <c r="Z582" s="109"/>
    </row>
    <row r="583">
      <c r="A583" s="109"/>
      <c r="B583" s="109"/>
      <c r="C583" s="109"/>
      <c r="D583" s="109"/>
      <c r="E583" s="109"/>
      <c r="F583" s="109"/>
      <c r="G583" s="356"/>
      <c r="H583" s="109"/>
      <c r="I583" s="109"/>
      <c r="J583" s="109"/>
      <c r="K583" s="109"/>
      <c r="L583" s="109"/>
      <c r="M583" s="109"/>
      <c r="N583" s="109"/>
      <c r="O583" s="109"/>
      <c r="P583" s="357"/>
      <c r="Q583" s="109"/>
      <c r="R583" s="109"/>
      <c r="S583" s="109"/>
      <c r="T583" s="109"/>
      <c r="U583" s="109"/>
      <c r="V583" s="109"/>
      <c r="W583" s="109"/>
      <c r="X583" s="109"/>
      <c r="Y583" s="109"/>
      <c r="Z583" s="109"/>
    </row>
    <row r="584">
      <c r="A584" s="109"/>
      <c r="B584" s="109"/>
      <c r="C584" s="109"/>
      <c r="D584" s="109"/>
      <c r="E584" s="109"/>
      <c r="F584" s="109"/>
      <c r="G584" s="356"/>
      <c r="H584" s="109"/>
      <c r="I584" s="109"/>
      <c r="J584" s="109"/>
      <c r="K584" s="109"/>
      <c r="L584" s="109"/>
      <c r="M584" s="109"/>
      <c r="N584" s="109"/>
      <c r="O584" s="109"/>
      <c r="P584" s="357"/>
      <c r="Q584" s="109"/>
      <c r="R584" s="109"/>
      <c r="S584" s="109"/>
      <c r="T584" s="109"/>
      <c r="U584" s="109"/>
      <c r="V584" s="109"/>
      <c r="W584" s="109"/>
      <c r="X584" s="109"/>
      <c r="Y584" s="109"/>
      <c r="Z584" s="109"/>
    </row>
    <row r="585">
      <c r="A585" s="109"/>
      <c r="B585" s="109"/>
      <c r="C585" s="109"/>
      <c r="D585" s="109"/>
      <c r="E585" s="109"/>
      <c r="F585" s="109"/>
      <c r="G585" s="356"/>
      <c r="H585" s="109"/>
      <c r="I585" s="109"/>
      <c r="J585" s="109"/>
      <c r="K585" s="109"/>
      <c r="L585" s="109"/>
      <c r="M585" s="109"/>
      <c r="N585" s="109"/>
      <c r="O585" s="109"/>
      <c r="P585" s="357"/>
      <c r="Q585" s="109"/>
      <c r="R585" s="109"/>
      <c r="S585" s="109"/>
      <c r="T585" s="109"/>
      <c r="U585" s="109"/>
      <c r="V585" s="109"/>
      <c r="W585" s="109"/>
      <c r="X585" s="109"/>
      <c r="Y585" s="109"/>
      <c r="Z585" s="109"/>
    </row>
    <row r="586">
      <c r="A586" s="109"/>
      <c r="B586" s="109"/>
      <c r="C586" s="109"/>
      <c r="D586" s="109"/>
      <c r="E586" s="109"/>
      <c r="F586" s="109"/>
      <c r="G586" s="356"/>
      <c r="H586" s="109"/>
      <c r="I586" s="109"/>
      <c r="J586" s="109"/>
      <c r="K586" s="109"/>
      <c r="L586" s="109"/>
      <c r="M586" s="109"/>
      <c r="N586" s="109"/>
      <c r="O586" s="109"/>
      <c r="P586" s="357"/>
      <c r="Q586" s="109"/>
      <c r="R586" s="109"/>
      <c r="S586" s="109"/>
      <c r="T586" s="109"/>
      <c r="U586" s="109"/>
      <c r="V586" s="109"/>
      <c r="W586" s="109"/>
      <c r="X586" s="109"/>
      <c r="Y586" s="109"/>
      <c r="Z586" s="109"/>
    </row>
    <row r="587">
      <c r="A587" s="109"/>
      <c r="B587" s="109"/>
      <c r="C587" s="109"/>
      <c r="D587" s="109"/>
      <c r="E587" s="109"/>
      <c r="F587" s="109"/>
      <c r="G587" s="356"/>
      <c r="H587" s="109"/>
      <c r="I587" s="109"/>
      <c r="J587" s="109"/>
      <c r="K587" s="109"/>
      <c r="L587" s="109"/>
      <c r="M587" s="109"/>
      <c r="N587" s="109"/>
      <c r="O587" s="109"/>
      <c r="P587" s="357"/>
      <c r="Q587" s="109"/>
      <c r="R587" s="109"/>
      <c r="S587" s="109"/>
      <c r="T587" s="109"/>
      <c r="U587" s="109"/>
      <c r="V587" s="109"/>
      <c r="W587" s="109"/>
      <c r="X587" s="109"/>
      <c r="Y587" s="109"/>
      <c r="Z587" s="109"/>
    </row>
    <row r="588">
      <c r="A588" s="109"/>
      <c r="B588" s="109"/>
      <c r="C588" s="109"/>
      <c r="D588" s="109"/>
      <c r="E588" s="109"/>
      <c r="F588" s="109"/>
      <c r="G588" s="356"/>
      <c r="H588" s="109"/>
      <c r="I588" s="109"/>
      <c r="J588" s="109"/>
      <c r="K588" s="109"/>
      <c r="L588" s="109"/>
      <c r="M588" s="109"/>
      <c r="N588" s="109"/>
      <c r="O588" s="109"/>
      <c r="P588" s="357"/>
      <c r="Q588" s="109"/>
      <c r="R588" s="109"/>
      <c r="S588" s="109"/>
      <c r="T588" s="109"/>
      <c r="U588" s="109"/>
      <c r="V588" s="109"/>
      <c r="W588" s="109"/>
      <c r="X588" s="109"/>
      <c r="Y588" s="109"/>
      <c r="Z588" s="109"/>
    </row>
    <row r="589">
      <c r="A589" s="109"/>
      <c r="B589" s="109"/>
      <c r="C589" s="109"/>
      <c r="D589" s="109"/>
      <c r="E589" s="109"/>
      <c r="F589" s="109"/>
      <c r="G589" s="356"/>
      <c r="H589" s="109"/>
      <c r="I589" s="109"/>
      <c r="J589" s="109"/>
      <c r="K589" s="109"/>
      <c r="L589" s="109"/>
      <c r="M589" s="109"/>
      <c r="N589" s="109"/>
      <c r="O589" s="109"/>
      <c r="P589" s="357"/>
      <c r="Q589" s="109"/>
      <c r="R589" s="109"/>
      <c r="S589" s="109"/>
      <c r="T589" s="109"/>
      <c r="U589" s="109"/>
      <c r="V589" s="109"/>
      <c r="W589" s="109"/>
      <c r="X589" s="109"/>
      <c r="Y589" s="109"/>
      <c r="Z589" s="109"/>
    </row>
    <row r="590">
      <c r="A590" s="109"/>
      <c r="B590" s="109"/>
      <c r="C590" s="109"/>
      <c r="D590" s="109"/>
      <c r="E590" s="109"/>
      <c r="F590" s="109"/>
      <c r="G590" s="356"/>
      <c r="H590" s="109"/>
      <c r="I590" s="109"/>
      <c r="J590" s="109"/>
      <c r="K590" s="109"/>
      <c r="L590" s="109"/>
      <c r="M590" s="109"/>
      <c r="N590" s="109"/>
      <c r="O590" s="109"/>
      <c r="P590" s="357"/>
      <c r="Q590" s="109"/>
      <c r="R590" s="109"/>
      <c r="S590" s="109"/>
      <c r="T590" s="109"/>
      <c r="U590" s="109"/>
      <c r="V590" s="109"/>
      <c r="W590" s="109"/>
      <c r="X590" s="109"/>
      <c r="Y590" s="109"/>
      <c r="Z590" s="109"/>
    </row>
    <row r="591">
      <c r="A591" s="109"/>
      <c r="B591" s="109"/>
      <c r="C591" s="109"/>
      <c r="D591" s="109"/>
      <c r="E591" s="109"/>
      <c r="F591" s="109"/>
      <c r="G591" s="356"/>
      <c r="H591" s="109"/>
      <c r="I591" s="109"/>
      <c r="J591" s="109"/>
      <c r="K591" s="109"/>
      <c r="L591" s="109"/>
      <c r="M591" s="109"/>
      <c r="N591" s="109"/>
      <c r="O591" s="109"/>
      <c r="P591" s="357"/>
      <c r="Q591" s="109"/>
      <c r="R591" s="109"/>
      <c r="S591" s="109"/>
      <c r="T591" s="109"/>
      <c r="U591" s="109"/>
      <c r="V591" s="109"/>
      <c r="W591" s="109"/>
      <c r="X591" s="109"/>
      <c r="Y591" s="109"/>
      <c r="Z591" s="109"/>
    </row>
    <row r="592">
      <c r="A592" s="109"/>
      <c r="B592" s="109"/>
      <c r="C592" s="109"/>
      <c r="D592" s="109"/>
      <c r="E592" s="109"/>
      <c r="F592" s="109"/>
      <c r="G592" s="356"/>
      <c r="H592" s="109"/>
      <c r="I592" s="109"/>
      <c r="J592" s="109"/>
      <c r="K592" s="109"/>
      <c r="L592" s="109"/>
      <c r="M592" s="109"/>
      <c r="N592" s="109"/>
      <c r="O592" s="109"/>
      <c r="P592" s="357"/>
      <c r="Q592" s="109"/>
      <c r="R592" s="109"/>
      <c r="S592" s="109"/>
      <c r="T592" s="109"/>
      <c r="U592" s="109"/>
      <c r="V592" s="109"/>
      <c r="W592" s="109"/>
      <c r="X592" s="109"/>
      <c r="Y592" s="109"/>
      <c r="Z592" s="109"/>
    </row>
    <row r="593">
      <c r="A593" s="109"/>
      <c r="B593" s="109"/>
      <c r="C593" s="109"/>
      <c r="D593" s="109"/>
      <c r="E593" s="109"/>
      <c r="F593" s="109"/>
      <c r="G593" s="356"/>
      <c r="H593" s="109"/>
      <c r="I593" s="109"/>
      <c r="J593" s="109"/>
      <c r="K593" s="109"/>
      <c r="L593" s="109"/>
      <c r="M593" s="109"/>
      <c r="N593" s="109"/>
      <c r="O593" s="109"/>
      <c r="P593" s="357"/>
      <c r="Q593" s="109"/>
      <c r="R593" s="109"/>
      <c r="S593" s="109"/>
      <c r="T593" s="109"/>
      <c r="U593" s="109"/>
      <c r="V593" s="109"/>
      <c r="W593" s="109"/>
      <c r="X593" s="109"/>
      <c r="Y593" s="109"/>
      <c r="Z593" s="109"/>
    </row>
    <row r="594">
      <c r="A594" s="109"/>
      <c r="B594" s="109"/>
      <c r="C594" s="109"/>
      <c r="D594" s="109"/>
      <c r="E594" s="109"/>
      <c r="F594" s="109"/>
      <c r="G594" s="356"/>
      <c r="H594" s="109"/>
      <c r="I594" s="109"/>
      <c r="J594" s="109"/>
      <c r="K594" s="109"/>
      <c r="L594" s="109"/>
      <c r="M594" s="109"/>
      <c r="N594" s="109"/>
      <c r="O594" s="109"/>
      <c r="P594" s="357"/>
      <c r="Q594" s="109"/>
      <c r="R594" s="109"/>
      <c r="S594" s="109"/>
      <c r="T594" s="109"/>
      <c r="U594" s="109"/>
      <c r="V594" s="109"/>
      <c r="W594" s="109"/>
      <c r="X594" s="109"/>
      <c r="Y594" s="109"/>
      <c r="Z594" s="109"/>
    </row>
    <row r="595">
      <c r="A595" s="109"/>
      <c r="B595" s="109"/>
      <c r="C595" s="109"/>
      <c r="D595" s="109"/>
      <c r="E595" s="109"/>
      <c r="F595" s="109"/>
      <c r="G595" s="356"/>
      <c r="H595" s="109"/>
      <c r="I595" s="109"/>
      <c r="J595" s="109"/>
      <c r="K595" s="109"/>
      <c r="L595" s="109"/>
      <c r="M595" s="109"/>
      <c r="N595" s="109"/>
      <c r="O595" s="109"/>
      <c r="P595" s="357"/>
      <c r="Q595" s="109"/>
      <c r="R595" s="109"/>
      <c r="S595" s="109"/>
      <c r="T595" s="109"/>
      <c r="U595" s="109"/>
      <c r="V595" s="109"/>
      <c r="W595" s="109"/>
      <c r="X595" s="109"/>
      <c r="Y595" s="109"/>
      <c r="Z595" s="109"/>
    </row>
    <row r="596">
      <c r="A596" s="109"/>
      <c r="B596" s="109"/>
      <c r="C596" s="109"/>
      <c r="D596" s="109"/>
      <c r="E596" s="109"/>
      <c r="F596" s="109"/>
      <c r="G596" s="356"/>
      <c r="H596" s="109"/>
      <c r="I596" s="109"/>
      <c r="J596" s="109"/>
      <c r="K596" s="109"/>
      <c r="L596" s="109"/>
      <c r="M596" s="109"/>
      <c r="N596" s="109"/>
      <c r="O596" s="109"/>
      <c r="P596" s="357"/>
      <c r="Q596" s="109"/>
      <c r="R596" s="109"/>
      <c r="S596" s="109"/>
      <c r="T596" s="109"/>
      <c r="U596" s="109"/>
      <c r="V596" s="109"/>
      <c r="W596" s="109"/>
      <c r="X596" s="109"/>
      <c r="Y596" s="109"/>
      <c r="Z596" s="109"/>
    </row>
    <row r="597">
      <c r="A597" s="109"/>
      <c r="B597" s="109"/>
      <c r="C597" s="109"/>
      <c r="D597" s="109"/>
      <c r="E597" s="109"/>
      <c r="F597" s="109"/>
      <c r="G597" s="356"/>
      <c r="H597" s="109"/>
      <c r="I597" s="109"/>
      <c r="J597" s="109"/>
      <c r="K597" s="109"/>
      <c r="L597" s="109"/>
      <c r="M597" s="109"/>
      <c r="N597" s="109"/>
      <c r="O597" s="109"/>
      <c r="P597" s="357"/>
      <c r="Q597" s="109"/>
      <c r="R597" s="109"/>
      <c r="S597" s="109"/>
      <c r="T597" s="109"/>
      <c r="U597" s="109"/>
      <c r="V597" s="109"/>
      <c r="W597" s="109"/>
      <c r="X597" s="109"/>
      <c r="Y597" s="109"/>
      <c r="Z597" s="109"/>
    </row>
    <row r="598">
      <c r="A598" s="109"/>
      <c r="B598" s="109"/>
      <c r="C598" s="109"/>
      <c r="D598" s="109"/>
      <c r="E598" s="109"/>
      <c r="F598" s="109"/>
      <c r="G598" s="356"/>
      <c r="H598" s="109"/>
      <c r="I598" s="109"/>
      <c r="J598" s="109"/>
      <c r="K598" s="109"/>
      <c r="L598" s="109"/>
      <c r="M598" s="109"/>
      <c r="N598" s="109"/>
      <c r="O598" s="109"/>
      <c r="P598" s="357"/>
      <c r="Q598" s="109"/>
      <c r="R598" s="109"/>
      <c r="S598" s="109"/>
      <c r="T598" s="109"/>
      <c r="U598" s="109"/>
      <c r="V598" s="109"/>
      <c r="W598" s="109"/>
      <c r="X598" s="109"/>
      <c r="Y598" s="109"/>
      <c r="Z598" s="109"/>
    </row>
    <row r="599">
      <c r="A599" s="109"/>
      <c r="B599" s="109"/>
      <c r="C599" s="109"/>
      <c r="D599" s="109"/>
      <c r="E599" s="109"/>
      <c r="F599" s="109"/>
      <c r="G599" s="356"/>
      <c r="H599" s="109"/>
      <c r="I599" s="109"/>
      <c r="J599" s="109"/>
      <c r="K599" s="109"/>
      <c r="L599" s="109"/>
      <c r="M599" s="109"/>
      <c r="N599" s="109"/>
      <c r="O599" s="109"/>
      <c r="P599" s="357"/>
      <c r="Q599" s="109"/>
      <c r="R599" s="109"/>
      <c r="S599" s="109"/>
      <c r="T599" s="109"/>
      <c r="U599" s="109"/>
      <c r="V599" s="109"/>
      <c r="W599" s="109"/>
      <c r="X599" s="109"/>
      <c r="Y599" s="109"/>
      <c r="Z599" s="109"/>
    </row>
    <row r="600">
      <c r="A600" s="109"/>
      <c r="B600" s="109"/>
      <c r="C600" s="109"/>
      <c r="D600" s="109"/>
      <c r="E600" s="109"/>
      <c r="F600" s="109"/>
      <c r="G600" s="356"/>
      <c r="H600" s="109"/>
      <c r="I600" s="109"/>
      <c r="J600" s="109"/>
      <c r="K600" s="109"/>
      <c r="L600" s="109"/>
      <c r="M600" s="109"/>
      <c r="N600" s="109"/>
      <c r="O600" s="109"/>
      <c r="P600" s="357"/>
      <c r="Q600" s="109"/>
      <c r="R600" s="109"/>
      <c r="S600" s="109"/>
      <c r="T600" s="109"/>
      <c r="U600" s="109"/>
      <c r="V600" s="109"/>
      <c r="W600" s="109"/>
      <c r="X600" s="109"/>
      <c r="Y600" s="109"/>
      <c r="Z600" s="109"/>
    </row>
    <row r="601">
      <c r="A601" s="109"/>
      <c r="B601" s="109"/>
      <c r="C601" s="109"/>
      <c r="D601" s="109"/>
      <c r="E601" s="109"/>
      <c r="F601" s="109"/>
      <c r="G601" s="356"/>
      <c r="H601" s="109"/>
      <c r="I601" s="109"/>
      <c r="J601" s="109"/>
      <c r="K601" s="109"/>
      <c r="L601" s="109"/>
      <c r="M601" s="109"/>
      <c r="N601" s="109"/>
      <c r="O601" s="109"/>
      <c r="P601" s="357"/>
      <c r="Q601" s="109"/>
      <c r="R601" s="109"/>
      <c r="S601" s="109"/>
      <c r="T601" s="109"/>
      <c r="U601" s="109"/>
      <c r="V601" s="109"/>
      <c r="W601" s="109"/>
      <c r="X601" s="109"/>
      <c r="Y601" s="109"/>
      <c r="Z601" s="109"/>
    </row>
    <row r="602">
      <c r="A602" s="109"/>
      <c r="B602" s="109"/>
      <c r="C602" s="109"/>
      <c r="D602" s="109"/>
      <c r="E602" s="109"/>
      <c r="F602" s="109"/>
      <c r="G602" s="356"/>
      <c r="H602" s="109"/>
      <c r="I602" s="109"/>
      <c r="J602" s="109"/>
      <c r="K602" s="109"/>
      <c r="L602" s="109"/>
      <c r="M602" s="109"/>
      <c r="N602" s="109"/>
      <c r="O602" s="109"/>
      <c r="P602" s="357"/>
      <c r="Q602" s="109"/>
      <c r="R602" s="109"/>
      <c r="S602" s="109"/>
      <c r="T602" s="109"/>
      <c r="U602" s="109"/>
      <c r="V602" s="109"/>
      <c r="W602" s="109"/>
      <c r="X602" s="109"/>
      <c r="Y602" s="109"/>
      <c r="Z602" s="109"/>
    </row>
    <row r="603">
      <c r="A603" s="109"/>
      <c r="B603" s="109"/>
      <c r="C603" s="109"/>
      <c r="D603" s="109"/>
      <c r="E603" s="109"/>
      <c r="F603" s="109"/>
      <c r="G603" s="356"/>
      <c r="H603" s="109"/>
      <c r="I603" s="109"/>
      <c r="J603" s="109"/>
      <c r="K603" s="109"/>
      <c r="L603" s="109"/>
      <c r="M603" s="109"/>
      <c r="N603" s="109"/>
      <c r="O603" s="109"/>
      <c r="P603" s="357"/>
      <c r="Q603" s="109"/>
      <c r="R603" s="109"/>
      <c r="S603" s="109"/>
      <c r="T603" s="109"/>
      <c r="U603" s="109"/>
      <c r="V603" s="109"/>
      <c r="W603" s="109"/>
      <c r="X603" s="109"/>
      <c r="Y603" s="109"/>
      <c r="Z603" s="109"/>
    </row>
    <row r="604">
      <c r="A604" s="109"/>
      <c r="B604" s="109"/>
      <c r="C604" s="109"/>
      <c r="D604" s="109"/>
      <c r="E604" s="109"/>
      <c r="F604" s="109"/>
      <c r="G604" s="356"/>
      <c r="H604" s="109"/>
      <c r="I604" s="109"/>
      <c r="J604" s="109"/>
      <c r="K604" s="109"/>
      <c r="L604" s="109"/>
      <c r="M604" s="109"/>
      <c r="N604" s="109"/>
      <c r="O604" s="109"/>
      <c r="P604" s="357"/>
      <c r="Q604" s="109"/>
      <c r="R604" s="109"/>
      <c r="S604" s="109"/>
      <c r="T604" s="109"/>
      <c r="U604" s="109"/>
      <c r="V604" s="109"/>
      <c r="W604" s="109"/>
      <c r="X604" s="109"/>
      <c r="Y604" s="109"/>
      <c r="Z604" s="109"/>
    </row>
    <row r="605">
      <c r="A605" s="109"/>
      <c r="B605" s="109"/>
      <c r="C605" s="109"/>
      <c r="D605" s="109"/>
      <c r="E605" s="109"/>
      <c r="F605" s="109"/>
      <c r="G605" s="356"/>
      <c r="H605" s="109"/>
      <c r="I605" s="109"/>
      <c r="J605" s="109"/>
      <c r="K605" s="109"/>
      <c r="L605" s="109"/>
      <c r="M605" s="109"/>
      <c r="N605" s="109"/>
      <c r="O605" s="109"/>
      <c r="P605" s="357"/>
      <c r="Q605" s="109"/>
      <c r="R605" s="109"/>
      <c r="S605" s="109"/>
      <c r="T605" s="109"/>
      <c r="U605" s="109"/>
      <c r="V605" s="109"/>
      <c r="W605" s="109"/>
      <c r="X605" s="109"/>
      <c r="Y605" s="109"/>
      <c r="Z605" s="109"/>
    </row>
    <row r="606">
      <c r="A606" s="109"/>
      <c r="B606" s="109"/>
      <c r="C606" s="109"/>
      <c r="D606" s="109"/>
      <c r="E606" s="109"/>
      <c r="F606" s="109"/>
      <c r="G606" s="356"/>
      <c r="H606" s="109"/>
      <c r="I606" s="109"/>
      <c r="J606" s="109"/>
      <c r="K606" s="109"/>
      <c r="L606" s="109"/>
      <c r="M606" s="109"/>
      <c r="N606" s="109"/>
      <c r="O606" s="109"/>
      <c r="P606" s="357"/>
      <c r="Q606" s="109"/>
      <c r="R606" s="109"/>
      <c r="S606" s="109"/>
      <c r="T606" s="109"/>
      <c r="U606" s="109"/>
      <c r="V606" s="109"/>
      <c r="W606" s="109"/>
      <c r="X606" s="109"/>
      <c r="Y606" s="109"/>
      <c r="Z606" s="109"/>
    </row>
    <row r="607">
      <c r="A607" s="109"/>
      <c r="B607" s="109"/>
      <c r="C607" s="109"/>
      <c r="D607" s="109"/>
      <c r="E607" s="109"/>
      <c r="F607" s="109"/>
      <c r="G607" s="356"/>
      <c r="H607" s="109"/>
      <c r="I607" s="109"/>
      <c r="J607" s="109"/>
      <c r="K607" s="109"/>
      <c r="L607" s="109"/>
      <c r="M607" s="109"/>
      <c r="N607" s="109"/>
      <c r="O607" s="109"/>
      <c r="P607" s="357"/>
      <c r="Q607" s="109"/>
      <c r="R607" s="109"/>
      <c r="S607" s="109"/>
      <c r="T607" s="109"/>
      <c r="U607" s="109"/>
      <c r="V607" s="109"/>
      <c r="W607" s="109"/>
      <c r="X607" s="109"/>
      <c r="Y607" s="109"/>
      <c r="Z607" s="109"/>
    </row>
    <row r="608">
      <c r="A608" s="109"/>
      <c r="B608" s="109"/>
      <c r="C608" s="109"/>
      <c r="D608" s="109"/>
      <c r="E608" s="109"/>
      <c r="F608" s="109"/>
      <c r="G608" s="356"/>
      <c r="H608" s="109"/>
      <c r="I608" s="109"/>
      <c r="J608" s="109"/>
      <c r="K608" s="109"/>
      <c r="L608" s="109"/>
      <c r="M608" s="109"/>
      <c r="N608" s="109"/>
      <c r="O608" s="109"/>
      <c r="P608" s="357"/>
      <c r="Q608" s="109"/>
      <c r="R608" s="109"/>
      <c r="S608" s="109"/>
      <c r="T608" s="109"/>
      <c r="U608" s="109"/>
      <c r="V608" s="109"/>
      <c r="W608" s="109"/>
      <c r="X608" s="109"/>
      <c r="Y608" s="109"/>
      <c r="Z608" s="109"/>
    </row>
    <row r="609">
      <c r="A609" s="109"/>
      <c r="B609" s="109"/>
      <c r="C609" s="109"/>
      <c r="D609" s="109"/>
      <c r="E609" s="109"/>
      <c r="F609" s="109"/>
      <c r="G609" s="356"/>
      <c r="H609" s="109"/>
      <c r="I609" s="109"/>
      <c r="J609" s="109"/>
      <c r="K609" s="109"/>
      <c r="L609" s="109"/>
      <c r="M609" s="109"/>
      <c r="N609" s="109"/>
      <c r="O609" s="109"/>
      <c r="P609" s="357"/>
      <c r="Q609" s="109"/>
      <c r="R609" s="109"/>
      <c r="S609" s="109"/>
      <c r="T609" s="109"/>
      <c r="U609" s="109"/>
      <c r="V609" s="109"/>
      <c r="W609" s="109"/>
      <c r="X609" s="109"/>
      <c r="Y609" s="109"/>
      <c r="Z609" s="109"/>
    </row>
    <row r="610">
      <c r="A610" s="109"/>
      <c r="B610" s="109"/>
      <c r="C610" s="109"/>
      <c r="D610" s="109"/>
      <c r="E610" s="109"/>
      <c r="F610" s="109"/>
      <c r="G610" s="356"/>
      <c r="H610" s="109"/>
      <c r="I610" s="109"/>
      <c r="J610" s="109"/>
      <c r="K610" s="109"/>
      <c r="L610" s="109"/>
      <c r="M610" s="109"/>
      <c r="N610" s="109"/>
      <c r="O610" s="109"/>
      <c r="P610" s="357"/>
      <c r="Q610" s="109"/>
      <c r="R610" s="109"/>
      <c r="S610" s="109"/>
      <c r="T610" s="109"/>
      <c r="U610" s="109"/>
      <c r="V610" s="109"/>
      <c r="W610" s="109"/>
      <c r="X610" s="109"/>
      <c r="Y610" s="109"/>
      <c r="Z610" s="109"/>
    </row>
    <row r="611">
      <c r="A611" s="109"/>
      <c r="B611" s="109"/>
      <c r="C611" s="109"/>
      <c r="D611" s="109"/>
      <c r="E611" s="109"/>
      <c r="F611" s="109"/>
      <c r="G611" s="356"/>
      <c r="H611" s="109"/>
      <c r="I611" s="109"/>
      <c r="J611" s="109"/>
      <c r="K611" s="109"/>
      <c r="L611" s="109"/>
      <c r="M611" s="109"/>
      <c r="N611" s="109"/>
      <c r="O611" s="109"/>
      <c r="P611" s="357"/>
      <c r="Q611" s="109"/>
      <c r="R611" s="109"/>
      <c r="S611" s="109"/>
      <c r="T611" s="109"/>
      <c r="U611" s="109"/>
      <c r="V611" s="109"/>
      <c r="W611" s="109"/>
      <c r="X611" s="109"/>
      <c r="Y611" s="109"/>
      <c r="Z611" s="109"/>
    </row>
    <row r="612">
      <c r="A612" s="109"/>
      <c r="B612" s="109"/>
      <c r="C612" s="109"/>
      <c r="D612" s="109"/>
      <c r="E612" s="109"/>
      <c r="F612" s="109"/>
      <c r="G612" s="356"/>
      <c r="H612" s="109"/>
      <c r="I612" s="109"/>
      <c r="J612" s="109"/>
      <c r="K612" s="109"/>
      <c r="L612" s="109"/>
      <c r="M612" s="109"/>
      <c r="N612" s="109"/>
      <c r="O612" s="109"/>
      <c r="P612" s="357"/>
      <c r="Q612" s="109"/>
      <c r="R612" s="109"/>
      <c r="S612" s="109"/>
      <c r="T612" s="109"/>
      <c r="U612" s="109"/>
      <c r="V612" s="109"/>
      <c r="W612" s="109"/>
      <c r="X612" s="109"/>
      <c r="Y612" s="109"/>
      <c r="Z612" s="109"/>
    </row>
    <row r="613">
      <c r="A613" s="109"/>
      <c r="B613" s="109"/>
      <c r="C613" s="109"/>
      <c r="D613" s="109"/>
      <c r="E613" s="109"/>
      <c r="F613" s="109"/>
      <c r="G613" s="356"/>
      <c r="H613" s="109"/>
      <c r="I613" s="109"/>
      <c r="J613" s="109"/>
      <c r="K613" s="109"/>
      <c r="L613" s="109"/>
      <c r="M613" s="109"/>
      <c r="N613" s="109"/>
      <c r="O613" s="109"/>
      <c r="P613" s="357"/>
      <c r="Q613" s="109"/>
      <c r="R613" s="109"/>
      <c r="S613" s="109"/>
      <c r="T613" s="109"/>
      <c r="U613" s="109"/>
      <c r="V613" s="109"/>
      <c r="W613" s="109"/>
      <c r="X613" s="109"/>
      <c r="Y613" s="109"/>
      <c r="Z613" s="109"/>
    </row>
    <row r="614">
      <c r="A614" s="109"/>
      <c r="B614" s="109"/>
      <c r="C614" s="109"/>
      <c r="D614" s="109"/>
      <c r="E614" s="109"/>
      <c r="F614" s="109"/>
      <c r="G614" s="356"/>
      <c r="H614" s="109"/>
      <c r="I614" s="109"/>
      <c r="J614" s="109"/>
      <c r="K614" s="109"/>
      <c r="L614" s="109"/>
      <c r="M614" s="109"/>
      <c r="N614" s="109"/>
      <c r="O614" s="109"/>
      <c r="P614" s="357"/>
      <c r="Q614" s="109"/>
      <c r="R614" s="109"/>
      <c r="S614" s="109"/>
      <c r="T614" s="109"/>
      <c r="U614" s="109"/>
      <c r="V614" s="109"/>
      <c r="W614" s="109"/>
      <c r="X614" s="109"/>
      <c r="Y614" s="109"/>
      <c r="Z614" s="109"/>
    </row>
    <row r="615">
      <c r="A615" s="109"/>
      <c r="B615" s="109"/>
      <c r="C615" s="109"/>
      <c r="D615" s="109"/>
      <c r="E615" s="109"/>
      <c r="F615" s="109"/>
      <c r="G615" s="356"/>
      <c r="H615" s="109"/>
      <c r="I615" s="109"/>
      <c r="J615" s="109"/>
      <c r="K615" s="109"/>
      <c r="L615" s="109"/>
      <c r="M615" s="109"/>
      <c r="N615" s="109"/>
      <c r="O615" s="109"/>
      <c r="P615" s="357"/>
      <c r="Q615" s="109"/>
      <c r="R615" s="109"/>
      <c r="S615" s="109"/>
      <c r="T615" s="109"/>
      <c r="U615" s="109"/>
      <c r="V615" s="109"/>
      <c r="W615" s="109"/>
      <c r="X615" s="109"/>
      <c r="Y615" s="109"/>
      <c r="Z615" s="109"/>
    </row>
    <row r="616">
      <c r="A616" s="109"/>
      <c r="B616" s="109"/>
      <c r="C616" s="109"/>
      <c r="D616" s="109"/>
      <c r="E616" s="109"/>
      <c r="F616" s="109"/>
      <c r="G616" s="356"/>
      <c r="H616" s="109"/>
      <c r="I616" s="109"/>
      <c r="J616" s="109"/>
      <c r="K616" s="109"/>
      <c r="L616" s="109"/>
      <c r="M616" s="109"/>
      <c r="N616" s="109"/>
      <c r="O616" s="109"/>
      <c r="P616" s="357"/>
      <c r="Q616" s="109"/>
      <c r="R616" s="109"/>
      <c r="S616" s="109"/>
      <c r="T616" s="109"/>
      <c r="U616" s="109"/>
      <c r="V616" s="109"/>
      <c r="W616" s="109"/>
      <c r="X616" s="109"/>
      <c r="Y616" s="109"/>
      <c r="Z616" s="109"/>
    </row>
    <row r="617">
      <c r="A617" s="109"/>
      <c r="B617" s="109"/>
      <c r="C617" s="109"/>
      <c r="D617" s="109"/>
      <c r="E617" s="109"/>
      <c r="F617" s="109"/>
      <c r="G617" s="356"/>
      <c r="H617" s="109"/>
      <c r="I617" s="109"/>
      <c r="J617" s="109"/>
      <c r="K617" s="109"/>
      <c r="L617" s="109"/>
      <c r="M617" s="109"/>
      <c r="N617" s="109"/>
      <c r="O617" s="109"/>
      <c r="P617" s="357"/>
      <c r="Q617" s="109"/>
      <c r="R617" s="109"/>
      <c r="S617" s="109"/>
      <c r="T617" s="109"/>
      <c r="U617" s="109"/>
      <c r="V617" s="109"/>
      <c r="W617" s="109"/>
      <c r="X617" s="109"/>
      <c r="Y617" s="109"/>
      <c r="Z617" s="109"/>
    </row>
    <row r="618">
      <c r="A618" s="109"/>
      <c r="B618" s="109"/>
      <c r="C618" s="109"/>
      <c r="D618" s="109"/>
      <c r="E618" s="109"/>
      <c r="F618" s="109"/>
      <c r="G618" s="356"/>
      <c r="H618" s="109"/>
      <c r="I618" s="109"/>
      <c r="J618" s="109"/>
      <c r="K618" s="109"/>
      <c r="L618" s="109"/>
      <c r="M618" s="109"/>
      <c r="N618" s="109"/>
      <c r="O618" s="109"/>
      <c r="P618" s="357"/>
      <c r="Q618" s="109"/>
      <c r="R618" s="109"/>
      <c r="S618" s="109"/>
      <c r="T618" s="109"/>
      <c r="U618" s="109"/>
      <c r="V618" s="109"/>
      <c r="W618" s="109"/>
      <c r="X618" s="109"/>
      <c r="Y618" s="109"/>
      <c r="Z618" s="109"/>
    </row>
    <row r="619">
      <c r="A619" s="109"/>
      <c r="B619" s="109"/>
      <c r="C619" s="109"/>
      <c r="D619" s="109"/>
      <c r="E619" s="109"/>
      <c r="F619" s="109"/>
      <c r="G619" s="356"/>
      <c r="H619" s="109"/>
      <c r="I619" s="109"/>
      <c r="J619" s="109"/>
      <c r="K619" s="109"/>
      <c r="L619" s="109"/>
      <c r="M619" s="109"/>
      <c r="N619" s="109"/>
      <c r="O619" s="109"/>
      <c r="P619" s="357"/>
      <c r="Q619" s="109"/>
      <c r="R619" s="109"/>
      <c r="S619" s="109"/>
      <c r="T619" s="109"/>
      <c r="U619" s="109"/>
      <c r="V619" s="109"/>
      <c r="W619" s="109"/>
      <c r="X619" s="109"/>
      <c r="Y619" s="109"/>
      <c r="Z619" s="109"/>
    </row>
    <row r="620">
      <c r="A620" s="109"/>
      <c r="B620" s="109"/>
      <c r="C620" s="109"/>
      <c r="D620" s="109"/>
      <c r="E620" s="109"/>
      <c r="F620" s="109"/>
      <c r="G620" s="356"/>
      <c r="H620" s="109"/>
      <c r="I620" s="109"/>
      <c r="J620" s="109"/>
      <c r="K620" s="109"/>
      <c r="L620" s="109"/>
      <c r="M620" s="109"/>
      <c r="N620" s="109"/>
      <c r="O620" s="109"/>
      <c r="P620" s="357"/>
      <c r="Q620" s="109"/>
      <c r="R620" s="109"/>
      <c r="S620" s="109"/>
      <c r="T620" s="109"/>
      <c r="U620" s="109"/>
      <c r="V620" s="109"/>
      <c r="W620" s="109"/>
      <c r="X620" s="109"/>
      <c r="Y620" s="109"/>
      <c r="Z620" s="109"/>
    </row>
    <row r="621">
      <c r="A621" s="109"/>
      <c r="B621" s="109"/>
      <c r="C621" s="109"/>
      <c r="D621" s="109"/>
      <c r="E621" s="109"/>
      <c r="F621" s="109"/>
      <c r="G621" s="356"/>
      <c r="H621" s="109"/>
      <c r="I621" s="109"/>
      <c r="J621" s="109"/>
      <c r="K621" s="109"/>
      <c r="L621" s="109"/>
      <c r="M621" s="109"/>
      <c r="N621" s="109"/>
      <c r="O621" s="109"/>
      <c r="P621" s="357"/>
      <c r="Q621" s="109"/>
      <c r="R621" s="109"/>
      <c r="S621" s="109"/>
      <c r="T621" s="109"/>
      <c r="U621" s="109"/>
      <c r="V621" s="109"/>
      <c r="W621" s="109"/>
      <c r="X621" s="109"/>
      <c r="Y621" s="109"/>
      <c r="Z621" s="109"/>
    </row>
    <row r="622">
      <c r="A622" s="109"/>
      <c r="B622" s="109"/>
      <c r="C622" s="109"/>
      <c r="D622" s="109"/>
      <c r="E622" s="109"/>
      <c r="F622" s="109"/>
      <c r="G622" s="356"/>
      <c r="H622" s="109"/>
      <c r="I622" s="109"/>
      <c r="J622" s="109"/>
      <c r="K622" s="109"/>
      <c r="L622" s="109"/>
      <c r="M622" s="109"/>
      <c r="N622" s="109"/>
      <c r="O622" s="109"/>
      <c r="P622" s="357"/>
      <c r="Q622" s="109"/>
      <c r="R622" s="109"/>
      <c r="S622" s="109"/>
      <c r="T622" s="109"/>
      <c r="U622" s="109"/>
      <c r="V622" s="109"/>
      <c r="W622" s="109"/>
      <c r="X622" s="109"/>
      <c r="Y622" s="109"/>
      <c r="Z622" s="109"/>
    </row>
    <row r="623">
      <c r="A623" s="109"/>
      <c r="B623" s="109"/>
      <c r="C623" s="109"/>
      <c r="D623" s="109"/>
      <c r="E623" s="109"/>
      <c r="F623" s="109"/>
      <c r="G623" s="356"/>
      <c r="H623" s="109"/>
      <c r="I623" s="109"/>
      <c r="J623" s="109"/>
      <c r="K623" s="109"/>
      <c r="L623" s="109"/>
      <c r="M623" s="109"/>
      <c r="N623" s="109"/>
      <c r="O623" s="109"/>
      <c r="P623" s="357"/>
      <c r="Q623" s="109"/>
      <c r="R623" s="109"/>
      <c r="S623" s="109"/>
      <c r="T623" s="109"/>
      <c r="U623" s="109"/>
      <c r="V623" s="109"/>
      <c r="W623" s="109"/>
      <c r="X623" s="109"/>
      <c r="Y623" s="109"/>
      <c r="Z623" s="109"/>
    </row>
    <row r="624">
      <c r="A624" s="109"/>
      <c r="B624" s="109"/>
      <c r="C624" s="109"/>
      <c r="D624" s="109"/>
      <c r="E624" s="109"/>
      <c r="F624" s="109"/>
      <c r="G624" s="356"/>
      <c r="H624" s="109"/>
      <c r="I624" s="109"/>
      <c r="J624" s="109"/>
      <c r="K624" s="109"/>
      <c r="L624" s="109"/>
      <c r="M624" s="109"/>
      <c r="N624" s="109"/>
      <c r="O624" s="109"/>
      <c r="P624" s="357"/>
      <c r="Q624" s="109"/>
      <c r="R624" s="109"/>
      <c r="S624" s="109"/>
      <c r="T624" s="109"/>
      <c r="U624" s="109"/>
      <c r="V624" s="109"/>
      <c r="W624" s="109"/>
      <c r="X624" s="109"/>
      <c r="Y624" s="109"/>
      <c r="Z624" s="109"/>
    </row>
    <row r="625">
      <c r="A625" s="109"/>
      <c r="B625" s="109"/>
      <c r="C625" s="109"/>
      <c r="D625" s="109"/>
      <c r="E625" s="109"/>
      <c r="F625" s="109"/>
      <c r="G625" s="356"/>
      <c r="H625" s="109"/>
      <c r="I625" s="109"/>
      <c r="J625" s="109"/>
      <c r="K625" s="109"/>
      <c r="L625" s="109"/>
      <c r="M625" s="109"/>
      <c r="N625" s="109"/>
      <c r="O625" s="109"/>
      <c r="P625" s="357"/>
      <c r="Q625" s="109"/>
      <c r="R625" s="109"/>
      <c r="S625" s="109"/>
      <c r="T625" s="109"/>
      <c r="U625" s="109"/>
      <c r="V625" s="109"/>
      <c r="W625" s="109"/>
      <c r="X625" s="109"/>
      <c r="Y625" s="109"/>
      <c r="Z625" s="109"/>
    </row>
    <row r="626">
      <c r="A626" s="109"/>
      <c r="B626" s="109"/>
      <c r="C626" s="109"/>
      <c r="D626" s="109"/>
      <c r="E626" s="109"/>
      <c r="F626" s="109"/>
      <c r="G626" s="356"/>
      <c r="H626" s="109"/>
      <c r="I626" s="109"/>
      <c r="J626" s="109"/>
      <c r="K626" s="109"/>
      <c r="L626" s="109"/>
      <c r="M626" s="109"/>
      <c r="N626" s="109"/>
      <c r="O626" s="109"/>
      <c r="P626" s="357"/>
      <c r="Q626" s="109"/>
      <c r="R626" s="109"/>
      <c r="S626" s="109"/>
      <c r="T626" s="109"/>
      <c r="U626" s="109"/>
      <c r="V626" s="109"/>
      <c r="W626" s="109"/>
      <c r="X626" s="109"/>
      <c r="Y626" s="109"/>
      <c r="Z626" s="109"/>
    </row>
    <row r="627">
      <c r="A627" s="109"/>
      <c r="B627" s="109"/>
      <c r="C627" s="109"/>
      <c r="D627" s="109"/>
      <c r="E627" s="109"/>
      <c r="F627" s="109"/>
      <c r="G627" s="356"/>
      <c r="H627" s="109"/>
      <c r="I627" s="109"/>
      <c r="J627" s="109"/>
      <c r="K627" s="109"/>
      <c r="L627" s="109"/>
      <c r="M627" s="109"/>
      <c r="N627" s="109"/>
      <c r="O627" s="109"/>
      <c r="P627" s="357"/>
      <c r="Q627" s="109"/>
      <c r="R627" s="109"/>
      <c r="S627" s="109"/>
      <c r="T627" s="109"/>
      <c r="U627" s="109"/>
      <c r="V627" s="109"/>
      <c r="W627" s="109"/>
      <c r="X627" s="109"/>
      <c r="Y627" s="109"/>
      <c r="Z627" s="109"/>
    </row>
    <row r="628">
      <c r="A628" s="109"/>
      <c r="B628" s="109"/>
      <c r="C628" s="109"/>
      <c r="D628" s="109"/>
      <c r="E628" s="109"/>
      <c r="F628" s="109"/>
      <c r="G628" s="356"/>
      <c r="H628" s="109"/>
      <c r="I628" s="109"/>
      <c r="J628" s="109"/>
      <c r="K628" s="109"/>
      <c r="L628" s="109"/>
      <c r="M628" s="109"/>
      <c r="N628" s="109"/>
      <c r="O628" s="109"/>
      <c r="P628" s="357"/>
      <c r="Q628" s="109"/>
      <c r="R628" s="109"/>
      <c r="S628" s="109"/>
      <c r="T628" s="109"/>
      <c r="U628" s="109"/>
      <c r="V628" s="109"/>
      <c r="W628" s="109"/>
      <c r="X628" s="109"/>
      <c r="Y628" s="109"/>
      <c r="Z628" s="109"/>
    </row>
    <row r="629">
      <c r="A629" s="109"/>
      <c r="B629" s="109"/>
      <c r="C629" s="109"/>
      <c r="D629" s="109"/>
      <c r="E629" s="109"/>
      <c r="F629" s="109"/>
      <c r="G629" s="356"/>
      <c r="H629" s="109"/>
      <c r="I629" s="109"/>
      <c r="J629" s="109"/>
      <c r="K629" s="109"/>
      <c r="L629" s="109"/>
      <c r="M629" s="109"/>
      <c r="N629" s="109"/>
      <c r="O629" s="109"/>
      <c r="P629" s="357"/>
      <c r="Q629" s="109"/>
      <c r="R629" s="109"/>
      <c r="S629" s="109"/>
      <c r="T629" s="109"/>
      <c r="U629" s="109"/>
      <c r="V629" s="109"/>
      <c r="W629" s="109"/>
      <c r="X629" s="109"/>
      <c r="Y629" s="109"/>
      <c r="Z629" s="109"/>
    </row>
    <row r="630">
      <c r="A630" s="109"/>
      <c r="B630" s="109"/>
      <c r="C630" s="109"/>
      <c r="D630" s="109"/>
      <c r="E630" s="109"/>
      <c r="F630" s="109"/>
      <c r="G630" s="356"/>
      <c r="H630" s="109"/>
      <c r="I630" s="109"/>
      <c r="J630" s="109"/>
      <c r="K630" s="109"/>
      <c r="L630" s="109"/>
      <c r="M630" s="109"/>
      <c r="N630" s="109"/>
      <c r="O630" s="109"/>
      <c r="P630" s="357"/>
      <c r="Q630" s="109"/>
      <c r="R630" s="109"/>
      <c r="S630" s="109"/>
      <c r="T630" s="109"/>
      <c r="U630" s="109"/>
      <c r="V630" s="109"/>
      <c r="W630" s="109"/>
      <c r="X630" s="109"/>
      <c r="Y630" s="109"/>
      <c r="Z630" s="109"/>
    </row>
    <row r="631">
      <c r="A631" s="109"/>
      <c r="B631" s="109"/>
      <c r="C631" s="109"/>
      <c r="D631" s="109"/>
      <c r="E631" s="109"/>
      <c r="F631" s="109"/>
      <c r="G631" s="356"/>
      <c r="H631" s="109"/>
      <c r="I631" s="109"/>
      <c r="J631" s="109"/>
      <c r="K631" s="109"/>
      <c r="L631" s="109"/>
      <c r="M631" s="109"/>
      <c r="N631" s="109"/>
      <c r="O631" s="109"/>
      <c r="P631" s="357"/>
      <c r="Q631" s="109"/>
      <c r="R631" s="109"/>
      <c r="S631" s="109"/>
      <c r="T631" s="109"/>
      <c r="U631" s="109"/>
      <c r="V631" s="109"/>
      <c r="W631" s="109"/>
      <c r="X631" s="109"/>
      <c r="Y631" s="109"/>
      <c r="Z631" s="109"/>
    </row>
    <row r="632">
      <c r="A632" s="109"/>
      <c r="B632" s="109"/>
      <c r="C632" s="109"/>
      <c r="D632" s="109"/>
      <c r="E632" s="109"/>
      <c r="F632" s="109"/>
      <c r="G632" s="356"/>
      <c r="H632" s="109"/>
      <c r="I632" s="109"/>
      <c r="J632" s="109"/>
      <c r="K632" s="109"/>
      <c r="L632" s="109"/>
      <c r="M632" s="109"/>
      <c r="N632" s="109"/>
      <c r="O632" s="109"/>
      <c r="P632" s="357"/>
      <c r="Q632" s="109"/>
      <c r="R632" s="109"/>
      <c r="S632" s="109"/>
      <c r="T632" s="109"/>
      <c r="U632" s="109"/>
      <c r="V632" s="109"/>
      <c r="W632" s="109"/>
      <c r="X632" s="109"/>
      <c r="Y632" s="109"/>
      <c r="Z632" s="109"/>
    </row>
    <row r="633">
      <c r="A633" s="109"/>
      <c r="B633" s="109"/>
      <c r="C633" s="109"/>
      <c r="D633" s="109"/>
      <c r="E633" s="109"/>
      <c r="F633" s="109"/>
      <c r="G633" s="356"/>
      <c r="H633" s="109"/>
      <c r="I633" s="109"/>
      <c r="J633" s="109"/>
      <c r="K633" s="109"/>
      <c r="L633" s="109"/>
      <c r="M633" s="109"/>
      <c r="N633" s="109"/>
      <c r="O633" s="109"/>
      <c r="P633" s="357"/>
      <c r="Q633" s="109"/>
      <c r="R633" s="109"/>
      <c r="S633" s="109"/>
      <c r="T633" s="109"/>
      <c r="U633" s="109"/>
      <c r="V633" s="109"/>
      <c r="W633" s="109"/>
      <c r="X633" s="109"/>
      <c r="Y633" s="109"/>
      <c r="Z633" s="109"/>
    </row>
    <row r="634">
      <c r="A634" s="109"/>
      <c r="B634" s="109"/>
      <c r="C634" s="109"/>
      <c r="D634" s="109"/>
      <c r="E634" s="109"/>
      <c r="F634" s="109"/>
      <c r="G634" s="356"/>
      <c r="H634" s="109"/>
      <c r="I634" s="109"/>
      <c r="J634" s="109"/>
      <c r="K634" s="109"/>
      <c r="L634" s="109"/>
      <c r="M634" s="109"/>
      <c r="N634" s="109"/>
      <c r="O634" s="109"/>
      <c r="P634" s="357"/>
      <c r="Q634" s="109"/>
      <c r="R634" s="109"/>
      <c r="S634" s="109"/>
      <c r="T634" s="109"/>
      <c r="U634" s="109"/>
      <c r="V634" s="109"/>
      <c r="W634" s="109"/>
      <c r="X634" s="109"/>
      <c r="Y634" s="109"/>
      <c r="Z634" s="109"/>
    </row>
    <row r="635">
      <c r="A635" s="109"/>
      <c r="B635" s="109"/>
      <c r="C635" s="109"/>
      <c r="D635" s="109"/>
      <c r="E635" s="109"/>
      <c r="F635" s="109"/>
      <c r="G635" s="356"/>
      <c r="H635" s="109"/>
      <c r="I635" s="109"/>
      <c r="J635" s="109"/>
      <c r="K635" s="109"/>
      <c r="L635" s="109"/>
      <c r="M635" s="109"/>
      <c r="N635" s="109"/>
      <c r="O635" s="109"/>
      <c r="P635" s="357"/>
      <c r="Q635" s="109"/>
      <c r="R635" s="109"/>
      <c r="S635" s="109"/>
      <c r="T635" s="109"/>
      <c r="U635" s="109"/>
      <c r="V635" s="109"/>
      <c r="W635" s="109"/>
      <c r="X635" s="109"/>
      <c r="Y635" s="109"/>
      <c r="Z635" s="109"/>
    </row>
    <row r="636">
      <c r="A636" s="109"/>
      <c r="B636" s="109"/>
      <c r="C636" s="109"/>
      <c r="D636" s="109"/>
      <c r="E636" s="109"/>
      <c r="F636" s="109"/>
      <c r="G636" s="356"/>
      <c r="H636" s="109"/>
      <c r="I636" s="109"/>
      <c r="J636" s="109"/>
      <c r="K636" s="109"/>
      <c r="L636" s="109"/>
      <c r="M636" s="109"/>
      <c r="N636" s="109"/>
      <c r="O636" s="109"/>
      <c r="P636" s="357"/>
      <c r="Q636" s="109"/>
      <c r="R636" s="109"/>
      <c r="S636" s="109"/>
      <c r="T636" s="109"/>
      <c r="U636" s="109"/>
      <c r="V636" s="109"/>
      <c r="W636" s="109"/>
      <c r="X636" s="109"/>
      <c r="Y636" s="109"/>
      <c r="Z636" s="109"/>
    </row>
    <row r="637">
      <c r="A637" s="109"/>
      <c r="B637" s="109"/>
      <c r="C637" s="109"/>
      <c r="D637" s="109"/>
      <c r="E637" s="109"/>
      <c r="F637" s="109"/>
      <c r="G637" s="356"/>
      <c r="H637" s="109"/>
      <c r="I637" s="109"/>
      <c r="J637" s="109"/>
      <c r="K637" s="109"/>
      <c r="L637" s="109"/>
      <c r="M637" s="109"/>
      <c r="N637" s="109"/>
      <c r="O637" s="109"/>
      <c r="P637" s="357"/>
      <c r="Q637" s="109"/>
      <c r="R637" s="109"/>
      <c r="S637" s="109"/>
      <c r="T637" s="109"/>
      <c r="U637" s="109"/>
      <c r="V637" s="109"/>
      <c r="W637" s="109"/>
      <c r="X637" s="109"/>
      <c r="Y637" s="109"/>
      <c r="Z637" s="109"/>
    </row>
    <row r="638">
      <c r="A638" s="109"/>
      <c r="B638" s="109"/>
      <c r="C638" s="109"/>
      <c r="D638" s="109"/>
      <c r="E638" s="109"/>
      <c r="F638" s="109"/>
      <c r="G638" s="356"/>
      <c r="H638" s="109"/>
      <c r="I638" s="109"/>
      <c r="J638" s="109"/>
      <c r="K638" s="109"/>
      <c r="L638" s="109"/>
      <c r="M638" s="109"/>
      <c r="N638" s="109"/>
      <c r="O638" s="109"/>
      <c r="P638" s="357"/>
      <c r="Q638" s="109"/>
      <c r="R638" s="109"/>
      <c r="S638" s="109"/>
      <c r="T638" s="109"/>
      <c r="U638" s="109"/>
      <c r="V638" s="109"/>
      <c r="W638" s="109"/>
      <c r="X638" s="109"/>
      <c r="Y638" s="109"/>
      <c r="Z638" s="109"/>
    </row>
    <row r="639">
      <c r="A639" s="109"/>
      <c r="B639" s="109"/>
      <c r="C639" s="109"/>
      <c r="D639" s="109"/>
      <c r="E639" s="109"/>
      <c r="F639" s="109"/>
      <c r="G639" s="356"/>
      <c r="H639" s="109"/>
      <c r="I639" s="109"/>
      <c r="J639" s="109"/>
      <c r="K639" s="109"/>
      <c r="L639" s="109"/>
      <c r="M639" s="109"/>
      <c r="N639" s="109"/>
      <c r="O639" s="109"/>
      <c r="P639" s="357"/>
      <c r="Q639" s="109"/>
      <c r="R639" s="109"/>
      <c r="S639" s="109"/>
      <c r="T639" s="109"/>
      <c r="U639" s="109"/>
      <c r="V639" s="109"/>
      <c r="W639" s="109"/>
      <c r="X639" s="109"/>
      <c r="Y639" s="109"/>
      <c r="Z639" s="109"/>
    </row>
    <row r="640">
      <c r="A640" s="109"/>
      <c r="B640" s="109"/>
      <c r="C640" s="109"/>
      <c r="D640" s="109"/>
      <c r="E640" s="109"/>
      <c r="F640" s="109"/>
      <c r="G640" s="356"/>
      <c r="H640" s="109"/>
      <c r="I640" s="109"/>
      <c r="J640" s="109"/>
      <c r="K640" s="109"/>
      <c r="L640" s="109"/>
      <c r="M640" s="109"/>
      <c r="N640" s="109"/>
      <c r="O640" s="109"/>
      <c r="P640" s="357"/>
      <c r="Q640" s="109"/>
      <c r="R640" s="109"/>
      <c r="S640" s="109"/>
      <c r="T640" s="109"/>
      <c r="U640" s="109"/>
      <c r="V640" s="109"/>
      <c r="W640" s="109"/>
      <c r="X640" s="109"/>
      <c r="Y640" s="109"/>
      <c r="Z640" s="109"/>
    </row>
    <row r="641">
      <c r="A641" s="109"/>
      <c r="B641" s="109"/>
      <c r="C641" s="109"/>
      <c r="D641" s="109"/>
      <c r="E641" s="109"/>
      <c r="F641" s="109"/>
      <c r="G641" s="356"/>
      <c r="H641" s="109"/>
      <c r="I641" s="109"/>
      <c r="J641" s="109"/>
      <c r="K641" s="109"/>
      <c r="L641" s="109"/>
      <c r="M641" s="109"/>
      <c r="N641" s="109"/>
      <c r="O641" s="109"/>
      <c r="P641" s="357"/>
      <c r="Q641" s="109"/>
      <c r="R641" s="109"/>
      <c r="S641" s="109"/>
      <c r="T641" s="109"/>
      <c r="U641" s="109"/>
      <c r="V641" s="109"/>
      <c r="W641" s="109"/>
      <c r="X641" s="109"/>
      <c r="Y641" s="109"/>
      <c r="Z641" s="109"/>
    </row>
    <row r="642">
      <c r="A642" s="109"/>
      <c r="B642" s="109"/>
      <c r="C642" s="109"/>
      <c r="D642" s="109"/>
      <c r="E642" s="109"/>
      <c r="F642" s="109"/>
      <c r="G642" s="356"/>
      <c r="H642" s="109"/>
      <c r="I642" s="109"/>
      <c r="J642" s="109"/>
      <c r="K642" s="109"/>
      <c r="L642" s="109"/>
      <c r="M642" s="109"/>
      <c r="N642" s="109"/>
      <c r="O642" s="109"/>
      <c r="P642" s="357"/>
      <c r="Q642" s="109"/>
      <c r="R642" s="109"/>
      <c r="S642" s="109"/>
      <c r="T642" s="109"/>
      <c r="U642" s="109"/>
      <c r="V642" s="109"/>
      <c r="W642" s="109"/>
      <c r="X642" s="109"/>
      <c r="Y642" s="109"/>
      <c r="Z642" s="109"/>
    </row>
    <row r="643">
      <c r="A643" s="109"/>
      <c r="B643" s="109"/>
      <c r="C643" s="109"/>
      <c r="D643" s="109"/>
      <c r="E643" s="109"/>
      <c r="F643" s="109"/>
      <c r="G643" s="356"/>
      <c r="H643" s="109"/>
      <c r="I643" s="109"/>
      <c r="J643" s="109"/>
      <c r="K643" s="109"/>
      <c r="L643" s="109"/>
      <c r="M643" s="109"/>
      <c r="N643" s="109"/>
      <c r="O643" s="109"/>
      <c r="P643" s="357"/>
      <c r="Q643" s="109"/>
      <c r="R643" s="109"/>
      <c r="S643" s="109"/>
      <c r="T643" s="109"/>
      <c r="U643" s="109"/>
      <c r="V643" s="109"/>
      <c r="W643" s="109"/>
      <c r="X643" s="109"/>
      <c r="Y643" s="109"/>
      <c r="Z643" s="109"/>
    </row>
    <row r="644">
      <c r="A644" s="109"/>
      <c r="B644" s="109"/>
      <c r="C644" s="109"/>
      <c r="D644" s="109"/>
      <c r="E644" s="109"/>
      <c r="F644" s="109"/>
      <c r="G644" s="356"/>
      <c r="H644" s="109"/>
      <c r="I644" s="109"/>
      <c r="J644" s="109"/>
      <c r="K644" s="109"/>
      <c r="L644" s="109"/>
      <c r="M644" s="109"/>
      <c r="N644" s="109"/>
      <c r="O644" s="109"/>
      <c r="P644" s="357"/>
      <c r="Q644" s="109"/>
      <c r="R644" s="109"/>
      <c r="S644" s="109"/>
      <c r="T644" s="109"/>
      <c r="U644" s="109"/>
      <c r="V644" s="109"/>
      <c r="W644" s="109"/>
      <c r="X644" s="109"/>
      <c r="Y644" s="109"/>
      <c r="Z644" s="109"/>
    </row>
    <row r="645">
      <c r="A645" s="109"/>
      <c r="B645" s="109"/>
      <c r="C645" s="109"/>
      <c r="D645" s="109"/>
      <c r="E645" s="109"/>
      <c r="F645" s="109"/>
      <c r="G645" s="356"/>
      <c r="H645" s="109"/>
      <c r="I645" s="109"/>
      <c r="J645" s="109"/>
      <c r="K645" s="109"/>
      <c r="L645" s="109"/>
      <c r="M645" s="109"/>
      <c r="N645" s="109"/>
      <c r="O645" s="109"/>
      <c r="P645" s="357"/>
      <c r="Q645" s="109"/>
      <c r="R645" s="109"/>
      <c r="S645" s="109"/>
      <c r="T645" s="109"/>
      <c r="U645" s="109"/>
      <c r="V645" s="109"/>
      <c r="W645" s="109"/>
      <c r="X645" s="109"/>
      <c r="Y645" s="109"/>
      <c r="Z645" s="109"/>
    </row>
    <row r="646">
      <c r="A646" s="109"/>
      <c r="B646" s="109"/>
      <c r="C646" s="109"/>
      <c r="D646" s="109"/>
      <c r="E646" s="109"/>
      <c r="F646" s="109"/>
      <c r="G646" s="356"/>
      <c r="H646" s="109"/>
      <c r="I646" s="109"/>
      <c r="J646" s="109"/>
      <c r="K646" s="109"/>
      <c r="L646" s="109"/>
      <c r="M646" s="109"/>
      <c r="N646" s="109"/>
      <c r="O646" s="109"/>
      <c r="P646" s="357"/>
      <c r="Q646" s="109"/>
      <c r="R646" s="109"/>
      <c r="S646" s="109"/>
      <c r="T646" s="109"/>
      <c r="U646" s="109"/>
      <c r="V646" s="109"/>
      <c r="W646" s="109"/>
      <c r="X646" s="109"/>
      <c r="Y646" s="109"/>
      <c r="Z646" s="109"/>
    </row>
    <row r="647">
      <c r="A647" s="109"/>
      <c r="B647" s="109"/>
      <c r="C647" s="109"/>
      <c r="D647" s="109"/>
      <c r="E647" s="109"/>
      <c r="F647" s="109"/>
      <c r="G647" s="356"/>
      <c r="H647" s="109"/>
      <c r="I647" s="109"/>
      <c r="J647" s="109"/>
      <c r="K647" s="109"/>
      <c r="L647" s="109"/>
      <c r="M647" s="109"/>
      <c r="N647" s="109"/>
      <c r="O647" s="109"/>
      <c r="P647" s="357"/>
      <c r="Q647" s="109"/>
      <c r="R647" s="109"/>
      <c r="S647" s="109"/>
      <c r="T647" s="109"/>
      <c r="U647" s="109"/>
      <c r="V647" s="109"/>
      <c r="W647" s="109"/>
      <c r="X647" s="109"/>
      <c r="Y647" s="109"/>
      <c r="Z647" s="109"/>
    </row>
    <row r="648">
      <c r="A648" s="109"/>
      <c r="B648" s="109"/>
      <c r="C648" s="109"/>
      <c r="D648" s="109"/>
      <c r="E648" s="109"/>
      <c r="F648" s="109"/>
      <c r="G648" s="356"/>
      <c r="H648" s="109"/>
      <c r="I648" s="109"/>
      <c r="J648" s="109"/>
      <c r="K648" s="109"/>
      <c r="L648" s="109"/>
      <c r="M648" s="109"/>
      <c r="N648" s="109"/>
      <c r="O648" s="109"/>
      <c r="P648" s="357"/>
      <c r="Q648" s="109"/>
      <c r="R648" s="109"/>
      <c r="S648" s="109"/>
      <c r="T648" s="109"/>
      <c r="U648" s="109"/>
      <c r="V648" s="109"/>
      <c r="W648" s="109"/>
      <c r="X648" s="109"/>
      <c r="Y648" s="109"/>
      <c r="Z648" s="109"/>
    </row>
    <row r="649">
      <c r="A649" s="109"/>
      <c r="B649" s="109"/>
      <c r="C649" s="109"/>
      <c r="D649" s="109"/>
      <c r="E649" s="109"/>
      <c r="F649" s="109"/>
      <c r="G649" s="356"/>
      <c r="H649" s="109"/>
      <c r="I649" s="109"/>
      <c r="J649" s="109"/>
      <c r="K649" s="109"/>
      <c r="L649" s="109"/>
      <c r="M649" s="109"/>
      <c r="N649" s="109"/>
      <c r="O649" s="109"/>
      <c r="P649" s="357"/>
      <c r="Q649" s="109"/>
      <c r="R649" s="109"/>
      <c r="S649" s="109"/>
      <c r="T649" s="109"/>
      <c r="U649" s="109"/>
      <c r="V649" s="109"/>
      <c r="W649" s="109"/>
      <c r="X649" s="109"/>
      <c r="Y649" s="109"/>
      <c r="Z649" s="109"/>
    </row>
    <row r="650">
      <c r="A650" s="109"/>
      <c r="B650" s="109"/>
      <c r="C650" s="109"/>
      <c r="D650" s="109"/>
      <c r="E650" s="109"/>
      <c r="F650" s="109"/>
      <c r="G650" s="356"/>
      <c r="H650" s="109"/>
      <c r="I650" s="109"/>
      <c r="J650" s="109"/>
      <c r="K650" s="109"/>
      <c r="L650" s="109"/>
      <c r="M650" s="109"/>
      <c r="N650" s="109"/>
      <c r="O650" s="109"/>
      <c r="P650" s="357"/>
      <c r="Q650" s="109"/>
      <c r="R650" s="109"/>
      <c r="S650" s="109"/>
      <c r="T650" s="109"/>
      <c r="U650" s="109"/>
      <c r="V650" s="109"/>
      <c r="W650" s="109"/>
      <c r="X650" s="109"/>
      <c r="Y650" s="109"/>
      <c r="Z650" s="109"/>
    </row>
    <row r="651">
      <c r="A651" s="109"/>
      <c r="B651" s="109"/>
      <c r="C651" s="109"/>
      <c r="D651" s="109"/>
      <c r="E651" s="109"/>
      <c r="F651" s="109"/>
      <c r="G651" s="356"/>
      <c r="H651" s="109"/>
      <c r="I651" s="109"/>
      <c r="J651" s="109"/>
      <c r="K651" s="109"/>
      <c r="L651" s="109"/>
      <c r="M651" s="109"/>
      <c r="N651" s="109"/>
      <c r="O651" s="109"/>
      <c r="P651" s="357"/>
      <c r="Q651" s="109"/>
      <c r="R651" s="109"/>
      <c r="S651" s="109"/>
      <c r="T651" s="109"/>
      <c r="U651" s="109"/>
      <c r="V651" s="109"/>
      <c r="W651" s="109"/>
      <c r="X651" s="109"/>
      <c r="Y651" s="109"/>
      <c r="Z651" s="109"/>
    </row>
    <row r="652">
      <c r="A652" s="109"/>
      <c r="B652" s="109"/>
      <c r="C652" s="109"/>
      <c r="D652" s="109"/>
      <c r="E652" s="109"/>
      <c r="F652" s="109"/>
      <c r="G652" s="356"/>
      <c r="H652" s="109"/>
      <c r="I652" s="109"/>
      <c r="J652" s="109"/>
      <c r="K652" s="109"/>
      <c r="L652" s="109"/>
      <c r="M652" s="109"/>
      <c r="N652" s="109"/>
      <c r="O652" s="109"/>
      <c r="P652" s="357"/>
      <c r="Q652" s="109"/>
      <c r="R652" s="109"/>
      <c r="S652" s="109"/>
      <c r="T652" s="109"/>
      <c r="U652" s="109"/>
      <c r="V652" s="109"/>
      <c r="W652" s="109"/>
      <c r="X652" s="109"/>
      <c r="Y652" s="109"/>
      <c r="Z652" s="109"/>
    </row>
    <row r="653">
      <c r="A653" s="109"/>
      <c r="B653" s="109"/>
      <c r="C653" s="109"/>
      <c r="D653" s="109"/>
      <c r="E653" s="109"/>
      <c r="F653" s="109"/>
      <c r="G653" s="356"/>
      <c r="H653" s="109"/>
      <c r="I653" s="109"/>
      <c r="J653" s="109"/>
      <c r="K653" s="109"/>
      <c r="L653" s="109"/>
      <c r="M653" s="109"/>
      <c r="N653" s="109"/>
      <c r="O653" s="109"/>
      <c r="P653" s="357"/>
      <c r="Q653" s="109"/>
      <c r="R653" s="109"/>
      <c r="S653" s="109"/>
      <c r="T653" s="109"/>
      <c r="U653" s="109"/>
      <c r="V653" s="109"/>
      <c r="W653" s="109"/>
      <c r="X653" s="109"/>
      <c r="Y653" s="109"/>
      <c r="Z653" s="109"/>
    </row>
    <row r="654">
      <c r="A654" s="109"/>
      <c r="B654" s="109"/>
      <c r="C654" s="109"/>
      <c r="D654" s="109"/>
      <c r="E654" s="109"/>
      <c r="F654" s="109"/>
      <c r="G654" s="356"/>
      <c r="H654" s="109"/>
      <c r="I654" s="109"/>
      <c r="J654" s="109"/>
      <c r="K654" s="109"/>
      <c r="L654" s="109"/>
      <c r="M654" s="109"/>
      <c r="N654" s="109"/>
      <c r="O654" s="109"/>
      <c r="P654" s="357"/>
      <c r="Q654" s="109"/>
      <c r="R654" s="109"/>
      <c r="S654" s="109"/>
      <c r="T654" s="109"/>
      <c r="U654" s="109"/>
      <c r="V654" s="109"/>
      <c r="W654" s="109"/>
      <c r="X654" s="109"/>
      <c r="Y654" s="109"/>
      <c r="Z654" s="109"/>
    </row>
    <row r="655">
      <c r="A655" s="109"/>
      <c r="B655" s="109"/>
      <c r="C655" s="109"/>
      <c r="D655" s="109"/>
      <c r="E655" s="109"/>
      <c r="F655" s="109"/>
      <c r="G655" s="356"/>
      <c r="H655" s="109"/>
      <c r="I655" s="109"/>
      <c r="J655" s="109"/>
      <c r="K655" s="109"/>
      <c r="L655" s="109"/>
      <c r="M655" s="109"/>
      <c r="N655" s="109"/>
      <c r="O655" s="109"/>
      <c r="P655" s="357"/>
      <c r="Q655" s="109"/>
      <c r="R655" s="109"/>
      <c r="S655" s="109"/>
      <c r="T655" s="109"/>
      <c r="U655" s="109"/>
      <c r="V655" s="109"/>
      <c r="W655" s="109"/>
      <c r="X655" s="109"/>
      <c r="Y655" s="109"/>
      <c r="Z655" s="109"/>
    </row>
    <row r="656">
      <c r="A656" s="109"/>
      <c r="B656" s="109"/>
      <c r="C656" s="109"/>
      <c r="D656" s="109"/>
      <c r="E656" s="109"/>
      <c r="F656" s="109"/>
      <c r="G656" s="356"/>
      <c r="H656" s="109"/>
      <c r="I656" s="109"/>
      <c r="J656" s="109"/>
      <c r="K656" s="109"/>
      <c r="L656" s="109"/>
      <c r="M656" s="109"/>
      <c r="N656" s="109"/>
      <c r="O656" s="109"/>
      <c r="P656" s="357"/>
      <c r="Q656" s="109"/>
      <c r="R656" s="109"/>
      <c r="S656" s="109"/>
      <c r="T656" s="109"/>
      <c r="U656" s="109"/>
      <c r="V656" s="109"/>
      <c r="W656" s="109"/>
      <c r="X656" s="109"/>
      <c r="Y656" s="109"/>
      <c r="Z656" s="109"/>
    </row>
    <row r="657">
      <c r="A657" s="109"/>
      <c r="B657" s="109"/>
      <c r="C657" s="109"/>
      <c r="D657" s="109"/>
      <c r="E657" s="109"/>
      <c r="F657" s="109"/>
      <c r="G657" s="356"/>
      <c r="H657" s="109"/>
      <c r="I657" s="109"/>
      <c r="J657" s="109"/>
      <c r="K657" s="109"/>
      <c r="L657" s="109"/>
      <c r="M657" s="109"/>
      <c r="N657" s="109"/>
      <c r="O657" s="109"/>
      <c r="P657" s="357"/>
      <c r="Q657" s="109"/>
      <c r="R657" s="109"/>
      <c r="S657" s="109"/>
      <c r="T657" s="109"/>
      <c r="U657" s="109"/>
      <c r="V657" s="109"/>
      <c r="W657" s="109"/>
      <c r="X657" s="109"/>
      <c r="Y657" s="109"/>
      <c r="Z657" s="109"/>
    </row>
    <row r="658">
      <c r="A658" s="109"/>
      <c r="B658" s="109"/>
      <c r="C658" s="109"/>
      <c r="D658" s="109"/>
      <c r="E658" s="109"/>
      <c r="F658" s="109"/>
      <c r="G658" s="356"/>
      <c r="H658" s="109"/>
      <c r="I658" s="109"/>
      <c r="J658" s="109"/>
      <c r="K658" s="109"/>
      <c r="L658" s="109"/>
      <c r="M658" s="109"/>
      <c r="N658" s="109"/>
      <c r="O658" s="109"/>
      <c r="P658" s="357"/>
      <c r="Q658" s="109"/>
      <c r="R658" s="109"/>
      <c r="S658" s="109"/>
      <c r="T658" s="109"/>
      <c r="U658" s="109"/>
      <c r="V658" s="109"/>
      <c r="W658" s="109"/>
      <c r="X658" s="109"/>
      <c r="Y658" s="109"/>
      <c r="Z658" s="109"/>
    </row>
    <row r="659">
      <c r="A659" s="109"/>
      <c r="B659" s="109"/>
      <c r="C659" s="109"/>
      <c r="D659" s="109"/>
      <c r="E659" s="109"/>
      <c r="F659" s="109"/>
      <c r="G659" s="356"/>
      <c r="H659" s="109"/>
      <c r="I659" s="109"/>
      <c r="J659" s="109"/>
      <c r="K659" s="109"/>
      <c r="L659" s="109"/>
      <c r="M659" s="109"/>
      <c r="N659" s="109"/>
      <c r="O659" s="109"/>
      <c r="P659" s="357"/>
      <c r="Q659" s="109"/>
      <c r="R659" s="109"/>
      <c r="S659" s="109"/>
      <c r="T659" s="109"/>
      <c r="U659" s="109"/>
      <c r="V659" s="109"/>
      <c r="W659" s="109"/>
      <c r="X659" s="109"/>
      <c r="Y659" s="109"/>
      <c r="Z659" s="109"/>
    </row>
    <row r="660">
      <c r="A660" s="109"/>
      <c r="B660" s="109"/>
      <c r="C660" s="109"/>
      <c r="D660" s="109"/>
      <c r="E660" s="109"/>
      <c r="F660" s="109"/>
      <c r="G660" s="356"/>
      <c r="H660" s="109"/>
      <c r="I660" s="109"/>
      <c r="J660" s="109"/>
      <c r="K660" s="109"/>
      <c r="L660" s="109"/>
      <c r="M660" s="109"/>
      <c r="N660" s="109"/>
      <c r="O660" s="109"/>
      <c r="P660" s="357"/>
      <c r="Q660" s="109"/>
      <c r="R660" s="109"/>
      <c r="S660" s="109"/>
      <c r="T660" s="109"/>
      <c r="U660" s="109"/>
      <c r="V660" s="109"/>
      <c r="W660" s="109"/>
      <c r="X660" s="109"/>
      <c r="Y660" s="109"/>
      <c r="Z660" s="109"/>
    </row>
    <row r="661">
      <c r="A661" s="109"/>
      <c r="B661" s="109"/>
      <c r="C661" s="109"/>
      <c r="D661" s="109"/>
      <c r="E661" s="109"/>
      <c r="F661" s="109"/>
      <c r="G661" s="356"/>
      <c r="H661" s="109"/>
      <c r="I661" s="109"/>
      <c r="J661" s="109"/>
      <c r="K661" s="109"/>
      <c r="L661" s="109"/>
      <c r="M661" s="109"/>
      <c r="N661" s="109"/>
      <c r="O661" s="109"/>
      <c r="P661" s="357"/>
      <c r="Q661" s="109"/>
      <c r="R661" s="109"/>
      <c r="S661" s="109"/>
      <c r="T661" s="109"/>
      <c r="U661" s="109"/>
      <c r="V661" s="109"/>
      <c r="W661" s="109"/>
      <c r="X661" s="109"/>
      <c r="Y661" s="109"/>
      <c r="Z661" s="109"/>
    </row>
    <row r="662">
      <c r="A662" s="109"/>
      <c r="B662" s="109"/>
      <c r="C662" s="109"/>
      <c r="D662" s="109"/>
      <c r="E662" s="109"/>
      <c r="F662" s="109"/>
      <c r="G662" s="356"/>
      <c r="H662" s="109"/>
      <c r="I662" s="109"/>
      <c r="J662" s="109"/>
      <c r="K662" s="109"/>
      <c r="L662" s="109"/>
      <c r="M662" s="109"/>
      <c r="N662" s="109"/>
      <c r="O662" s="109"/>
      <c r="P662" s="357"/>
      <c r="Q662" s="109"/>
      <c r="R662" s="109"/>
      <c r="S662" s="109"/>
      <c r="T662" s="109"/>
      <c r="U662" s="109"/>
      <c r="V662" s="109"/>
      <c r="W662" s="109"/>
      <c r="X662" s="109"/>
      <c r="Y662" s="109"/>
      <c r="Z662" s="109"/>
    </row>
    <row r="663">
      <c r="A663" s="109"/>
      <c r="B663" s="109"/>
      <c r="C663" s="109"/>
      <c r="D663" s="109"/>
      <c r="E663" s="109"/>
      <c r="F663" s="109"/>
      <c r="G663" s="356"/>
      <c r="H663" s="109"/>
      <c r="I663" s="109"/>
      <c r="J663" s="109"/>
      <c r="K663" s="109"/>
      <c r="L663" s="109"/>
      <c r="M663" s="109"/>
      <c r="N663" s="109"/>
      <c r="O663" s="109"/>
      <c r="P663" s="357"/>
      <c r="Q663" s="109"/>
      <c r="R663" s="109"/>
      <c r="S663" s="109"/>
      <c r="T663" s="109"/>
      <c r="U663" s="109"/>
      <c r="V663" s="109"/>
      <c r="W663" s="109"/>
      <c r="X663" s="109"/>
      <c r="Y663" s="109"/>
      <c r="Z663" s="109"/>
    </row>
    <row r="664">
      <c r="A664" s="109"/>
      <c r="B664" s="109"/>
      <c r="C664" s="109"/>
      <c r="D664" s="109"/>
      <c r="E664" s="109"/>
      <c r="F664" s="109"/>
      <c r="G664" s="356"/>
      <c r="H664" s="109"/>
      <c r="I664" s="109"/>
      <c r="J664" s="109"/>
      <c r="K664" s="109"/>
      <c r="L664" s="109"/>
      <c r="M664" s="109"/>
      <c r="N664" s="109"/>
      <c r="O664" s="109"/>
      <c r="P664" s="357"/>
      <c r="Q664" s="109"/>
      <c r="R664" s="109"/>
      <c r="S664" s="109"/>
      <c r="T664" s="109"/>
      <c r="U664" s="109"/>
      <c r="V664" s="109"/>
      <c r="W664" s="109"/>
      <c r="X664" s="109"/>
      <c r="Y664" s="109"/>
      <c r="Z664" s="109"/>
    </row>
    <row r="665">
      <c r="A665" s="109"/>
      <c r="B665" s="109"/>
      <c r="C665" s="109"/>
      <c r="D665" s="109"/>
      <c r="E665" s="109"/>
      <c r="F665" s="109"/>
      <c r="G665" s="356"/>
      <c r="H665" s="109"/>
      <c r="I665" s="109"/>
      <c r="J665" s="109"/>
      <c r="K665" s="109"/>
      <c r="L665" s="109"/>
      <c r="M665" s="109"/>
      <c r="N665" s="109"/>
      <c r="O665" s="109"/>
      <c r="P665" s="357"/>
      <c r="Q665" s="109"/>
      <c r="R665" s="109"/>
      <c r="S665" s="109"/>
      <c r="T665" s="109"/>
      <c r="U665" s="109"/>
      <c r="V665" s="109"/>
      <c r="W665" s="109"/>
      <c r="X665" s="109"/>
      <c r="Y665" s="109"/>
      <c r="Z665" s="109"/>
    </row>
    <row r="666">
      <c r="A666" s="109"/>
      <c r="B666" s="109"/>
      <c r="C666" s="109"/>
      <c r="D666" s="109"/>
      <c r="E666" s="109"/>
      <c r="F666" s="109"/>
      <c r="G666" s="356"/>
      <c r="H666" s="109"/>
      <c r="I666" s="109"/>
      <c r="J666" s="109"/>
      <c r="K666" s="109"/>
      <c r="L666" s="109"/>
      <c r="M666" s="109"/>
      <c r="N666" s="109"/>
      <c r="O666" s="109"/>
      <c r="P666" s="357"/>
      <c r="Q666" s="109"/>
      <c r="R666" s="109"/>
      <c r="S666" s="109"/>
      <c r="T666" s="109"/>
      <c r="U666" s="109"/>
      <c r="V666" s="109"/>
      <c r="W666" s="109"/>
      <c r="X666" s="109"/>
      <c r="Y666" s="109"/>
      <c r="Z666" s="109"/>
    </row>
    <row r="667">
      <c r="A667" s="109"/>
      <c r="B667" s="109"/>
      <c r="C667" s="109"/>
      <c r="D667" s="109"/>
      <c r="E667" s="109"/>
      <c r="F667" s="109"/>
      <c r="G667" s="356"/>
      <c r="H667" s="109"/>
      <c r="I667" s="109"/>
      <c r="J667" s="109"/>
      <c r="K667" s="109"/>
      <c r="L667" s="109"/>
      <c r="M667" s="109"/>
      <c r="N667" s="109"/>
      <c r="O667" s="109"/>
      <c r="P667" s="357"/>
      <c r="Q667" s="109"/>
      <c r="R667" s="109"/>
      <c r="S667" s="109"/>
      <c r="T667" s="109"/>
      <c r="U667" s="109"/>
      <c r="V667" s="109"/>
      <c r="W667" s="109"/>
      <c r="X667" s="109"/>
      <c r="Y667" s="109"/>
      <c r="Z667" s="109"/>
    </row>
    <row r="668">
      <c r="A668" s="109"/>
      <c r="B668" s="109"/>
      <c r="C668" s="109"/>
      <c r="D668" s="109"/>
      <c r="E668" s="109"/>
      <c r="F668" s="109"/>
      <c r="G668" s="356"/>
      <c r="H668" s="109"/>
      <c r="I668" s="109"/>
      <c r="J668" s="109"/>
      <c r="K668" s="109"/>
      <c r="L668" s="109"/>
      <c r="M668" s="109"/>
      <c r="N668" s="109"/>
      <c r="O668" s="109"/>
      <c r="P668" s="357"/>
      <c r="Q668" s="109"/>
      <c r="R668" s="109"/>
      <c r="S668" s="109"/>
      <c r="T668" s="109"/>
      <c r="U668" s="109"/>
      <c r="V668" s="109"/>
      <c r="W668" s="109"/>
      <c r="X668" s="109"/>
      <c r="Y668" s="109"/>
      <c r="Z668" s="109"/>
    </row>
    <row r="669">
      <c r="A669" s="109"/>
      <c r="B669" s="109"/>
      <c r="C669" s="109"/>
      <c r="D669" s="109"/>
      <c r="E669" s="109"/>
      <c r="F669" s="109"/>
      <c r="G669" s="356"/>
      <c r="H669" s="109"/>
      <c r="I669" s="109"/>
      <c r="J669" s="109"/>
      <c r="K669" s="109"/>
      <c r="L669" s="109"/>
      <c r="M669" s="109"/>
      <c r="N669" s="109"/>
      <c r="O669" s="109"/>
      <c r="P669" s="357"/>
      <c r="Q669" s="109"/>
      <c r="R669" s="109"/>
      <c r="S669" s="109"/>
      <c r="T669" s="109"/>
      <c r="U669" s="109"/>
      <c r="V669" s="109"/>
      <c r="W669" s="109"/>
      <c r="X669" s="109"/>
      <c r="Y669" s="109"/>
      <c r="Z669" s="109"/>
    </row>
    <row r="670">
      <c r="A670" s="109"/>
      <c r="B670" s="109"/>
      <c r="C670" s="109"/>
      <c r="D670" s="109"/>
      <c r="E670" s="109"/>
      <c r="F670" s="109"/>
      <c r="G670" s="356"/>
      <c r="H670" s="109"/>
      <c r="I670" s="109"/>
      <c r="J670" s="109"/>
      <c r="K670" s="109"/>
      <c r="L670" s="109"/>
      <c r="M670" s="109"/>
      <c r="N670" s="109"/>
      <c r="O670" s="109"/>
      <c r="P670" s="357"/>
      <c r="Q670" s="109"/>
      <c r="R670" s="109"/>
      <c r="S670" s="109"/>
      <c r="T670" s="109"/>
      <c r="U670" s="109"/>
      <c r="V670" s="109"/>
      <c r="W670" s="109"/>
      <c r="X670" s="109"/>
      <c r="Y670" s="109"/>
      <c r="Z670" s="109"/>
    </row>
    <row r="671">
      <c r="A671" s="109"/>
      <c r="B671" s="109"/>
      <c r="C671" s="109"/>
      <c r="D671" s="109"/>
      <c r="E671" s="109"/>
      <c r="F671" s="109"/>
      <c r="G671" s="356"/>
      <c r="H671" s="109"/>
      <c r="I671" s="109"/>
      <c r="J671" s="109"/>
      <c r="K671" s="109"/>
      <c r="L671" s="109"/>
      <c r="M671" s="109"/>
      <c r="N671" s="109"/>
      <c r="O671" s="109"/>
      <c r="P671" s="357"/>
      <c r="Q671" s="109"/>
      <c r="R671" s="109"/>
      <c r="S671" s="109"/>
      <c r="T671" s="109"/>
      <c r="U671" s="109"/>
      <c r="V671" s="109"/>
      <c r="W671" s="109"/>
      <c r="X671" s="109"/>
      <c r="Y671" s="109"/>
      <c r="Z671" s="109"/>
    </row>
    <row r="672">
      <c r="A672" s="109"/>
      <c r="B672" s="109"/>
      <c r="C672" s="109"/>
      <c r="D672" s="109"/>
      <c r="E672" s="109"/>
      <c r="F672" s="109"/>
      <c r="G672" s="356"/>
      <c r="H672" s="109"/>
      <c r="I672" s="109"/>
      <c r="J672" s="109"/>
      <c r="K672" s="109"/>
      <c r="L672" s="109"/>
      <c r="M672" s="109"/>
      <c r="N672" s="109"/>
      <c r="O672" s="109"/>
      <c r="P672" s="357"/>
      <c r="Q672" s="109"/>
      <c r="R672" s="109"/>
      <c r="S672" s="109"/>
      <c r="T672" s="109"/>
      <c r="U672" s="109"/>
      <c r="V672" s="109"/>
      <c r="W672" s="109"/>
      <c r="X672" s="109"/>
      <c r="Y672" s="109"/>
      <c r="Z672" s="109"/>
    </row>
    <row r="673">
      <c r="A673" s="109"/>
      <c r="B673" s="109"/>
      <c r="C673" s="109"/>
      <c r="D673" s="109"/>
      <c r="E673" s="109"/>
      <c r="F673" s="109"/>
      <c r="G673" s="356"/>
      <c r="H673" s="109"/>
      <c r="I673" s="109"/>
      <c r="J673" s="109"/>
      <c r="K673" s="109"/>
      <c r="L673" s="109"/>
      <c r="M673" s="109"/>
      <c r="N673" s="109"/>
      <c r="O673" s="109"/>
      <c r="P673" s="357"/>
      <c r="Q673" s="109"/>
      <c r="R673" s="109"/>
      <c r="S673" s="109"/>
      <c r="T673" s="109"/>
      <c r="U673" s="109"/>
      <c r="V673" s="109"/>
      <c r="W673" s="109"/>
      <c r="X673" s="109"/>
      <c r="Y673" s="109"/>
      <c r="Z673" s="109"/>
    </row>
    <row r="674">
      <c r="A674" s="109"/>
      <c r="B674" s="109"/>
      <c r="C674" s="109"/>
      <c r="D674" s="109"/>
      <c r="E674" s="109"/>
      <c r="F674" s="109"/>
      <c r="G674" s="356"/>
      <c r="H674" s="109"/>
      <c r="I674" s="109"/>
      <c r="J674" s="109"/>
      <c r="K674" s="109"/>
      <c r="L674" s="109"/>
      <c r="M674" s="109"/>
      <c r="N674" s="109"/>
      <c r="O674" s="109"/>
      <c r="P674" s="357"/>
      <c r="Q674" s="109"/>
      <c r="R674" s="109"/>
      <c r="S674" s="109"/>
      <c r="T674" s="109"/>
      <c r="U674" s="109"/>
      <c r="V674" s="109"/>
      <c r="W674" s="109"/>
      <c r="X674" s="109"/>
      <c r="Y674" s="109"/>
      <c r="Z674" s="109"/>
    </row>
    <row r="675">
      <c r="A675" s="109"/>
      <c r="B675" s="109"/>
      <c r="C675" s="109"/>
      <c r="D675" s="109"/>
      <c r="E675" s="109"/>
      <c r="F675" s="109"/>
      <c r="G675" s="356"/>
      <c r="H675" s="109"/>
      <c r="I675" s="109"/>
      <c r="J675" s="109"/>
      <c r="K675" s="109"/>
      <c r="L675" s="109"/>
      <c r="M675" s="109"/>
      <c r="N675" s="109"/>
      <c r="O675" s="109"/>
      <c r="P675" s="357"/>
      <c r="Q675" s="109"/>
      <c r="R675" s="109"/>
      <c r="S675" s="109"/>
      <c r="T675" s="109"/>
      <c r="U675" s="109"/>
      <c r="V675" s="109"/>
      <c r="W675" s="109"/>
      <c r="X675" s="109"/>
      <c r="Y675" s="109"/>
      <c r="Z675" s="109"/>
    </row>
    <row r="676">
      <c r="A676" s="109"/>
      <c r="B676" s="109"/>
      <c r="C676" s="109"/>
      <c r="D676" s="109"/>
      <c r="E676" s="109"/>
      <c r="F676" s="109"/>
      <c r="G676" s="356"/>
      <c r="H676" s="109"/>
      <c r="I676" s="109"/>
      <c r="J676" s="109"/>
      <c r="K676" s="109"/>
      <c r="L676" s="109"/>
      <c r="M676" s="109"/>
      <c r="N676" s="109"/>
      <c r="O676" s="109"/>
      <c r="P676" s="357"/>
      <c r="Q676" s="109"/>
      <c r="R676" s="109"/>
      <c r="S676" s="109"/>
      <c r="T676" s="109"/>
      <c r="U676" s="109"/>
      <c r="V676" s="109"/>
      <c r="W676" s="109"/>
      <c r="X676" s="109"/>
      <c r="Y676" s="109"/>
      <c r="Z676" s="109"/>
    </row>
    <row r="677">
      <c r="A677" s="109"/>
      <c r="B677" s="109"/>
      <c r="C677" s="109"/>
      <c r="D677" s="109"/>
      <c r="E677" s="109"/>
      <c r="F677" s="109"/>
      <c r="G677" s="356"/>
      <c r="H677" s="109"/>
      <c r="I677" s="109"/>
      <c r="J677" s="109"/>
      <c r="K677" s="109"/>
      <c r="L677" s="109"/>
      <c r="M677" s="109"/>
      <c r="N677" s="109"/>
      <c r="O677" s="109"/>
      <c r="P677" s="357"/>
      <c r="Q677" s="109"/>
      <c r="R677" s="109"/>
      <c r="S677" s="109"/>
      <c r="T677" s="109"/>
      <c r="U677" s="109"/>
      <c r="V677" s="109"/>
      <c r="W677" s="109"/>
      <c r="X677" s="109"/>
      <c r="Y677" s="109"/>
      <c r="Z677" s="109"/>
    </row>
    <row r="678">
      <c r="A678" s="109"/>
      <c r="B678" s="109"/>
      <c r="C678" s="109"/>
      <c r="D678" s="109"/>
      <c r="E678" s="109"/>
      <c r="F678" s="109"/>
      <c r="G678" s="356"/>
      <c r="H678" s="109"/>
      <c r="I678" s="109"/>
      <c r="J678" s="109"/>
      <c r="K678" s="109"/>
      <c r="L678" s="109"/>
      <c r="M678" s="109"/>
      <c r="N678" s="109"/>
      <c r="O678" s="109"/>
      <c r="P678" s="357"/>
      <c r="Q678" s="109"/>
      <c r="R678" s="109"/>
      <c r="S678" s="109"/>
      <c r="T678" s="109"/>
      <c r="U678" s="109"/>
      <c r="V678" s="109"/>
      <c r="W678" s="109"/>
      <c r="X678" s="109"/>
      <c r="Y678" s="109"/>
      <c r="Z678" s="109"/>
    </row>
    <row r="679">
      <c r="A679" s="109"/>
      <c r="B679" s="109"/>
      <c r="C679" s="109"/>
      <c r="D679" s="109"/>
      <c r="E679" s="109"/>
      <c r="F679" s="109"/>
      <c r="G679" s="356"/>
      <c r="H679" s="109"/>
      <c r="I679" s="109"/>
      <c r="J679" s="109"/>
      <c r="K679" s="109"/>
      <c r="L679" s="109"/>
      <c r="M679" s="109"/>
      <c r="N679" s="109"/>
      <c r="O679" s="109"/>
      <c r="P679" s="357"/>
      <c r="Q679" s="109"/>
      <c r="R679" s="109"/>
      <c r="S679" s="109"/>
      <c r="T679" s="109"/>
      <c r="U679" s="109"/>
      <c r="V679" s="109"/>
      <c r="W679" s="109"/>
      <c r="X679" s="109"/>
      <c r="Y679" s="109"/>
      <c r="Z679" s="109"/>
    </row>
    <row r="680">
      <c r="A680" s="109"/>
      <c r="B680" s="109"/>
      <c r="C680" s="109"/>
      <c r="D680" s="109"/>
      <c r="E680" s="109"/>
      <c r="F680" s="109"/>
      <c r="G680" s="356"/>
      <c r="H680" s="109"/>
      <c r="I680" s="109"/>
      <c r="J680" s="109"/>
      <c r="K680" s="109"/>
      <c r="L680" s="109"/>
      <c r="M680" s="109"/>
      <c r="N680" s="109"/>
      <c r="O680" s="109"/>
      <c r="P680" s="357"/>
      <c r="Q680" s="109"/>
      <c r="R680" s="109"/>
      <c r="S680" s="109"/>
      <c r="T680" s="109"/>
      <c r="U680" s="109"/>
      <c r="V680" s="109"/>
      <c r="W680" s="109"/>
      <c r="X680" s="109"/>
      <c r="Y680" s="109"/>
      <c r="Z680" s="109"/>
    </row>
    <row r="681">
      <c r="A681" s="109"/>
      <c r="B681" s="109"/>
      <c r="C681" s="109"/>
      <c r="D681" s="109"/>
      <c r="E681" s="109"/>
      <c r="F681" s="109"/>
      <c r="G681" s="356"/>
      <c r="H681" s="109"/>
      <c r="I681" s="109"/>
      <c r="J681" s="109"/>
      <c r="K681" s="109"/>
      <c r="L681" s="109"/>
      <c r="M681" s="109"/>
      <c r="N681" s="109"/>
      <c r="O681" s="109"/>
      <c r="P681" s="357"/>
      <c r="Q681" s="109"/>
      <c r="R681" s="109"/>
      <c r="S681" s="109"/>
      <c r="T681" s="109"/>
      <c r="U681" s="109"/>
      <c r="V681" s="109"/>
      <c r="W681" s="109"/>
      <c r="X681" s="109"/>
      <c r="Y681" s="109"/>
      <c r="Z681" s="109"/>
    </row>
    <row r="682">
      <c r="A682" s="109"/>
      <c r="B682" s="109"/>
      <c r="C682" s="109"/>
      <c r="D682" s="109"/>
      <c r="E682" s="109"/>
      <c r="F682" s="109"/>
      <c r="G682" s="356"/>
      <c r="H682" s="109"/>
      <c r="I682" s="109"/>
      <c r="J682" s="109"/>
      <c r="K682" s="109"/>
      <c r="L682" s="109"/>
      <c r="M682" s="109"/>
      <c r="N682" s="109"/>
      <c r="O682" s="109"/>
      <c r="P682" s="357"/>
      <c r="Q682" s="109"/>
      <c r="R682" s="109"/>
      <c r="S682" s="109"/>
      <c r="T682" s="109"/>
      <c r="U682" s="109"/>
      <c r="V682" s="109"/>
      <c r="W682" s="109"/>
      <c r="X682" s="109"/>
      <c r="Y682" s="109"/>
      <c r="Z682" s="109"/>
    </row>
    <row r="683">
      <c r="A683" s="109"/>
      <c r="B683" s="109"/>
      <c r="C683" s="109"/>
      <c r="D683" s="109"/>
      <c r="E683" s="109"/>
      <c r="F683" s="109"/>
      <c r="G683" s="356"/>
      <c r="H683" s="109"/>
      <c r="I683" s="109"/>
      <c r="J683" s="109"/>
      <c r="K683" s="109"/>
      <c r="L683" s="109"/>
      <c r="M683" s="109"/>
      <c r="N683" s="109"/>
      <c r="O683" s="109"/>
      <c r="P683" s="357"/>
      <c r="Q683" s="109"/>
      <c r="R683" s="109"/>
      <c r="S683" s="109"/>
      <c r="T683" s="109"/>
      <c r="U683" s="109"/>
      <c r="V683" s="109"/>
      <c r="W683" s="109"/>
      <c r="X683" s="109"/>
      <c r="Y683" s="109"/>
      <c r="Z683" s="109"/>
    </row>
    <row r="684">
      <c r="A684" s="109"/>
      <c r="B684" s="109"/>
      <c r="C684" s="109"/>
      <c r="D684" s="109"/>
      <c r="E684" s="109"/>
      <c r="F684" s="109"/>
      <c r="G684" s="356"/>
      <c r="H684" s="109"/>
      <c r="I684" s="109"/>
      <c r="J684" s="109"/>
      <c r="K684" s="109"/>
      <c r="L684" s="109"/>
      <c r="M684" s="109"/>
      <c r="N684" s="109"/>
      <c r="O684" s="109"/>
      <c r="P684" s="357"/>
      <c r="Q684" s="109"/>
      <c r="R684" s="109"/>
      <c r="S684" s="109"/>
      <c r="T684" s="109"/>
      <c r="U684" s="109"/>
      <c r="V684" s="109"/>
      <c r="W684" s="109"/>
      <c r="X684" s="109"/>
      <c r="Y684" s="109"/>
      <c r="Z684" s="109"/>
    </row>
    <row r="685">
      <c r="A685" s="109"/>
      <c r="B685" s="109"/>
      <c r="C685" s="109"/>
      <c r="D685" s="109"/>
      <c r="E685" s="109"/>
      <c r="F685" s="109"/>
      <c r="G685" s="356"/>
      <c r="H685" s="109"/>
      <c r="I685" s="109"/>
      <c r="J685" s="109"/>
      <c r="K685" s="109"/>
      <c r="L685" s="109"/>
      <c r="M685" s="109"/>
      <c r="N685" s="109"/>
      <c r="O685" s="109"/>
      <c r="P685" s="357"/>
      <c r="Q685" s="109"/>
      <c r="R685" s="109"/>
      <c r="S685" s="109"/>
      <c r="T685" s="109"/>
      <c r="U685" s="109"/>
      <c r="V685" s="109"/>
      <c r="W685" s="109"/>
      <c r="X685" s="109"/>
      <c r="Y685" s="109"/>
      <c r="Z685" s="109"/>
    </row>
    <row r="686">
      <c r="A686" s="109"/>
      <c r="B686" s="109"/>
      <c r="C686" s="109"/>
      <c r="D686" s="109"/>
      <c r="E686" s="109"/>
      <c r="F686" s="109"/>
      <c r="G686" s="356"/>
      <c r="H686" s="109"/>
      <c r="I686" s="109"/>
      <c r="J686" s="109"/>
      <c r="K686" s="109"/>
      <c r="L686" s="109"/>
      <c r="M686" s="109"/>
      <c r="N686" s="109"/>
      <c r="O686" s="109"/>
      <c r="P686" s="357"/>
      <c r="Q686" s="109"/>
      <c r="R686" s="109"/>
      <c r="S686" s="109"/>
      <c r="T686" s="109"/>
      <c r="U686" s="109"/>
      <c r="V686" s="109"/>
      <c r="W686" s="109"/>
      <c r="X686" s="109"/>
      <c r="Y686" s="109"/>
      <c r="Z686" s="109"/>
    </row>
    <row r="687">
      <c r="A687" s="109"/>
      <c r="B687" s="109"/>
      <c r="C687" s="109"/>
      <c r="D687" s="109"/>
      <c r="E687" s="109"/>
      <c r="F687" s="109"/>
      <c r="G687" s="356"/>
      <c r="H687" s="109"/>
      <c r="I687" s="109"/>
      <c r="J687" s="109"/>
      <c r="K687" s="109"/>
      <c r="L687" s="109"/>
      <c r="M687" s="109"/>
      <c r="N687" s="109"/>
      <c r="O687" s="109"/>
      <c r="P687" s="357"/>
      <c r="Q687" s="109"/>
      <c r="R687" s="109"/>
      <c r="S687" s="109"/>
      <c r="T687" s="109"/>
      <c r="U687" s="109"/>
      <c r="V687" s="109"/>
      <c r="W687" s="109"/>
      <c r="X687" s="109"/>
      <c r="Y687" s="109"/>
      <c r="Z687" s="109"/>
    </row>
    <row r="688">
      <c r="A688" s="109"/>
      <c r="B688" s="109"/>
      <c r="C688" s="109"/>
      <c r="D688" s="109"/>
      <c r="E688" s="109"/>
      <c r="F688" s="109"/>
      <c r="G688" s="356"/>
      <c r="H688" s="109"/>
      <c r="I688" s="109"/>
      <c r="J688" s="109"/>
      <c r="K688" s="109"/>
      <c r="L688" s="109"/>
      <c r="M688" s="109"/>
      <c r="N688" s="109"/>
      <c r="O688" s="109"/>
      <c r="P688" s="357"/>
      <c r="Q688" s="109"/>
      <c r="R688" s="109"/>
      <c r="S688" s="109"/>
      <c r="T688" s="109"/>
      <c r="U688" s="109"/>
      <c r="V688" s="109"/>
      <c r="W688" s="109"/>
      <c r="X688" s="109"/>
      <c r="Y688" s="109"/>
      <c r="Z688" s="109"/>
    </row>
    <row r="689">
      <c r="A689" s="109"/>
      <c r="B689" s="109"/>
      <c r="C689" s="109"/>
      <c r="D689" s="109"/>
      <c r="E689" s="109"/>
      <c r="F689" s="109"/>
      <c r="G689" s="356"/>
      <c r="H689" s="109"/>
      <c r="I689" s="109"/>
      <c r="J689" s="109"/>
      <c r="K689" s="109"/>
      <c r="L689" s="109"/>
      <c r="M689" s="109"/>
      <c r="N689" s="109"/>
      <c r="O689" s="109"/>
      <c r="P689" s="357"/>
      <c r="Q689" s="109"/>
      <c r="R689" s="109"/>
      <c r="S689" s="109"/>
      <c r="T689" s="109"/>
      <c r="U689" s="109"/>
      <c r="V689" s="109"/>
      <c r="W689" s="109"/>
      <c r="X689" s="109"/>
      <c r="Y689" s="109"/>
      <c r="Z689" s="109"/>
    </row>
    <row r="690">
      <c r="A690" s="109"/>
      <c r="B690" s="109"/>
      <c r="C690" s="109"/>
      <c r="D690" s="109"/>
      <c r="E690" s="109"/>
      <c r="F690" s="109"/>
      <c r="G690" s="356"/>
      <c r="H690" s="109"/>
      <c r="I690" s="109"/>
      <c r="J690" s="109"/>
      <c r="K690" s="109"/>
      <c r="L690" s="109"/>
      <c r="M690" s="109"/>
      <c r="N690" s="109"/>
      <c r="O690" s="109"/>
      <c r="P690" s="357"/>
      <c r="Q690" s="109"/>
      <c r="R690" s="109"/>
      <c r="S690" s="109"/>
      <c r="T690" s="109"/>
      <c r="U690" s="109"/>
      <c r="V690" s="109"/>
      <c r="W690" s="109"/>
      <c r="X690" s="109"/>
      <c r="Y690" s="109"/>
      <c r="Z690" s="109"/>
    </row>
    <row r="691">
      <c r="A691" s="109"/>
      <c r="B691" s="109"/>
      <c r="C691" s="109"/>
      <c r="D691" s="109"/>
      <c r="E691" s="109"/>
      <c r="F691" s="109"/>
      <c r="G691" s="356"/>
      <c r="H691" s="109"/>
      <c r="I691" s="109"/>
      <c r="J691" s="109"/>
      <c r="K691" s="109"/>
      <c r="L691" s="109"/>
      <c r="M691" s="109"/>
      <c r="N691" s="109"/>
      <c r="O691" s="109"/>
      <c r="P691" s="357"/>
      <c r="Q691" s="109"/>
      <c r="R691" s="109"/>
      <c r="S691" s="109"/>
      <c r="T691" s="109"/>
      <c r="U691" s="109"/>
      <c r="V691" s="109"/>
      <c r="W691" s="109"/>
      <c r="X691" s="109"/>
      <c r="Y691" s="109"/>
      <c r="Z691" s="109"/>
    </row>
    <row r="692">
      <c r="A692" s="109"/>
      <c r="B692" s="109"/>
      <c r="C692" s="109"/>
      <c r="D692" s="109"/>
      <c r="E692" s="109"/>
      <c r="F692" s="109"/>
      <c r="G692" s="356"/>
      <c r="H692" s="109"/>
      <c r="I692" s="109"/>
      <c r="J692" s="109"/>
      <c r="K692" s="109"/>
      <c r="L692" s="109"/>
      <c r="M692" s="109"/>
      <c r="N692" s="109"/>
      <c r="O692" s="109"/>
      <c r="P692" s="357"/>
      <c r="Q692" s="109"/>
      <c r="R692" s="109"/>
      <c r="S692" s="109"/>
      <c r="T692" s="109"/>
      <c r="U692" s="109"/>
      <c r="V692" s="109"/>
      <c r="W692" s="109"/>
      <c r="X692" s="109"/>
      <c r="Y692" s="109"/>
      <c r="Z692" s="109"/>
    </row>
    <row r="693">
      <c r="A693" s="109"/>
      <c r="B693" s="109"/>
      <c r="C693" s="109"/>
      <c r="D693" s="109"/>
      <c r="E693" s="109"/>
      <c r="F693" s="109"/>
      <c r="G693" s="356"/>
      <c r="H693" s="109"/>
      <c r="I693" s="109"/>
      <c r="J693" s="109"/>
      <c r="K693" s="109"/>
      <c r="L693" s="109"/>
      <c r="M693" s="109"/>
      <c r="N693" s="109"/>
      <c r="O693" s="109"/>
      <c r="P693" s="357"/>
      <c r="Q693" s="109"/>
      <c r="R693" s="109"/>
      <c r="S693" s="109"/>
      <c r="T693" s="109"/>
      <c r="U693" s="109"/>
      <c r="V693" s="109"/>
      <c r="W693" s="109"/>
      <c r="X693" s="109"/>
      <c r="Y693" s="109"/>
      <c r="Z693" s="109"/>
    </row>
    <row r="694">
      <c r="A694" s="109"/>
      <c r="B694" s="109"/>
      <c r="C694" s="109"/>
      <c r="D694" s="109"/>
      <c r="E694" s="109"/>
      <c r="F694" s="109"/>
      <c r="G694" s="356"/>
      <c r="H694" s="109"/>
      <c r="I694" s="109"/>
      <c r="J694" s="109"/>
      <c r="K694" s="109"/>
      <c r="L694" s="109"/>
      <c r="M694" s="109"/>
      <c r="N694" s="109"/>
      <c r="O694" s="109"/>
      <c r="P694" s="357"/>
      <c r="Q694" s="109"/>
      <c r="R694" s="109"/>
      <c r="S694" s="109"/>
      <c r="T694" s="109"/>
      <c r="U694" s="109"/>
      <c r="V694" s="109"/>
      <c r="W694" s="109"/>
      <c r="X694" s="109"/>
      <c r="Y694" s="109"/>
      <c r="Z694" s="109"/>
    </row>
    <row r="695">
      <c r="A695" s="109"/>
      <c r="B695" s="109"/>
      <c r="C695" s="109"/>
      <c r="D695" s="109"/>
      <c r="E695" s="109"/>
      <c r="F695" s="109"/>
      <c r="G695" s="356"/>
      <c r="H695" s="109"/>
      <c r="I695" s="109"/>
      <c r="J695" s="109"/>
      <c r="K695" s="109"/>
      <c r="L695" s="109"/>
      <c r="M695" s="109"/>
      <c r="N695" s="109"/>
      <c r="O695" s="109"/>
      <c r="P695" s="357"/>
      <c r="Q695" s="109"/>
      <c r="R695" s="109"/>
      <c r="S695" s="109"/>
      <c r="T695" s="109"/>
      <c r="U695" s="109"/>
      <c r="V695" s="109"/>
      <c r="W695" s="109"/>
      <c r="X695" s="109"/>
      <c r="Y695" s="109"/>
      <c r="Z695" s="109"/>
    </row>
    <row r="696">
      <c r="A696" s="109"/>
      <c r="B696" s="109"/>
      <c r="C696" s="109"/>
      <c r="D696" s="109"/>
      <c r="E696" s="109"/>
      <c r="F696" s="109"/>
      <c r="G696" s="356"/>
      <c r="H696" s="109"/>
      <c r="I696" s="109"/>
      <c r="J696" s="109"/>
      <c r="K696" s="109"/>
      <c r="L696" s="109"/>
      <c r="M696" s="109"/>
      <c r="N696" s="109"/>
      <c r="O696" s="109"/>
      <c r="P696" s="357"/>
      <c r="Q696" s="109"/>
      <c r="R696" s="109"/>
      <c r="S696" s="109"/>
      <c r="T696" s="109"/>
      <c r="U696" s="109"/>
      <c r="V696" s="109"/>
      <c r="W696" s="109"/>
      <c r="X696" s="109"/>
      <c r="Y696" s="109"/>
      <c r="Z696" s="109"/>
    </row>
    <row r="697">
      <c r="A697" s="109"/>
      <c r="B697" s="109"/>
      <c r="C697" s="109"/>
      <c r="D697" s="109"/>
      <c r="E697" s="109"/>
      <c r="F697" s="109"/>
      <c r="G697" s="356"/>
      <c r="H697" s="109"/>
      <c r="I697" s="109"/>
      <c r="J697" s="109"/>
      <c r="K697" s="109"/>
      <c r="L697" s="109"/>
      <c r="M697" s="109"/>
      <c r="N697" s="109"/>
      <c r="O697" s="109"/>
      <c r="P697" s="357"/>
      <c r="Q697" s="109"/>
      <c r="R697" s="109"/>
      <c r="S697" s="109"/>
      <c r="T697" s="109"/>
      <c r="U697" s="109"/>
      <c r="V697" s="109"/>
      <c r="W697" s="109"/>
      <c r="X697" s="109"/>
      <c r="Y697" s="109"/>
      <c r="Z697" s="109"/>
    </row>
    <row r="698">
      <c r="A698" s="109"/>
      <c r="B698" s="109"/>
      <c r="C698" s="109"/>
      <c r="D698" s="109"/>
      <c r="E698" s="109"/>
      <c r="F698" s="109"/>
      <c r="G698" s="356"/>
      <c r="H698" s="109"/>
      <c r="I698" s="109"/>
      <c r="J698" s="109"/>
      <c r="K698" s="109"/>
      <c r="L698" s="109"/>
      <c r="M698" s="109"/>
      <c r="N698" s="109"/>
      <c r="O698" s="109"/>
      <c r="P698" s="357"/>
      <c r="Q698" s="109"/>
      <c r="R698" s="109"/>
      <c r="S698" s="109"/>
      <c r="T698" s="109"/>
      <c r="U698" s="109"/>
      <c r="V698" s="109"/>
      <c r="W698" s="109"/>
      <c r="X698" s="109"/>
      <c r="Y698" s="109"/>
      <c r="Z698" s="109"/>
    </row>
    <row r="699">
      <c r="A699" s="109"/>
      <c r="B699" s="109"/>
      <c r="C699" s="109"/>
      <c r="D699" s="109"/>
      <c r="E699" s="109"/>
      <c r="F699" s="109"/>
      <c r="G699" s="356"/>
      <c r="H699" s="109"/>
      <c r="I699" s="109"/>
      <c r="J699" s="109"/>
      <c r="K699" s="109"/>
      <c r="L699" s="109"/>
      <c r="M699" s="109"/>
      <c r="N699" s="109"/>
      <c r="O699" s="109"/>
      <c r="P699" s="357"/>
      <c r="Q699" s="109"/>
      <c r="R699" s="109"/>
      <c r="S699" s="109"/>
      <c r="T699" s="109"/>
      <c r="U699" s="109"/>
      <c r="V699" s="109"/>
      <c r="W699" s="109"/>
      <c r="X699" s="109"/>
      <c r="Y699" s="109"/>
      <c r="Z699" s="109"/>
    </row>
    <row r="700">
      <c r="A700" s="109"/>
      <c r="B700" s="109"/>
      <c r="C700" s="109"/>
      <c r="D700" s="109"/>
      <c r="E700" s="109"/>
      <c r="F700" s="109"/>
      <c r="G700" s="356"/>
      <c r="H700" s="109"/>
      <c r="I700" s="109"/>
      <c r="J700" s="109"/>
      <c r="K700" s="109"/>
      <c r="L700" s="109"/>
      <c r="M700" s="109"/>
      <c r="N700" s="109"/>
      <c r="O700" s="109"/>
      <c r="P700" s="357"/>
      <c r="Q700" s="109"/>
      <c r="R700" s="109"/>
      <c r="S700" s="109"/>
      <c r="T700" s="109"/>
      <c r="U700" s="109"/>
      <c r="V700" s="109"/>
      <c r="W700" s="109"/>
      <c r="X700" s="109"/>
      <c r="Y700" s="109"/>
      <c r="Z700" s="109"/>
    </row>
    <row r="701">
      <c r="A701" s="109"/>
      <c r="B701" s="109"/>
      <c r="C701" s="109"/>
      <c r="D701" s="109"/>
      <c r="E701" s="109"/>
      <c r="F701" s="109"/>
      <c r="G701" s="356"/>
      <c r="H701" s="109"/>
      <c r="I701" s="109"/>
      <c r="J701" s="109"/>
      <c r="K701" s="109"/>
      <c r="L701" s="109"/>
      <c r="M701" s="109"/>
      <c r="N701" s="109"/>
      <c r="O701" s="109"/>
      <c r="P701" s="357"/>
      <c r="Q701" s="109"/>
      <c r="R701" s="109"/>
      <c r="S701" s="109"/>
      <c r="T701" s="109"/>
      <c r="U701" s="109"/>
      <c r="V701" s="109"/>
      <c r="W701" s="109"/>
      <c r="X701" s="109"/>
      <c r="Y701" s="109"/>
      <c r="Z701" s="109"/>
    </row>
    <row r="702">
      <c r="A702" s="109"/>
      <c r="B702" s="109"/>
      <c r="C702" s="109"/>
      <c r="D702" s="109"/>
      <c r="E702" s="109"/>
      <c r="F702" s="109"/>
      <c r="G702" s="356"/>
      <c r="H702" s="109"/>
      <c r="I702" s="109"/>
      <c r="J702" s="109"/>
      <c r="K702" s="109"/>
      <c r="L702" s="109"/>
      <c r="M702" s="109"/>
      <c r="N702" s="109"/>
      <c r="O702" s="109"/>
      <c r="P702" s="357"/>
      <c r="Q702" s="109"/>
      <c r="R702" s="109"/>
      <c r="S702" s="109"/>
      <c r="T702" s="109"/>
      <c r="U702" s="109"/>
      <c r="V702" s="109"/>
      <c r="W702" s="109"/>
      <c r="X702" s="109"/>
      <c r="Y702" s="109"/>
      <c r="Z702" s="109"/>
    </row>
    <row r="703">
      <c r="A703" s="109"/>
      <c r="B703" s="109"/>
      <c r="C703" s="109"/>
      <c r="D703" s="109"/>
      <c r="E703" s="109"/>
      <c r="F703" s="109"/>
      <c r="G703" s="356"/>
      <c r="H703" s="109"/>
      <c r="I703" s="109"/>
      <c r="J703" s="109"/>
      <c r="K703" s="109"/>
      <c r="L703" s="109"/>
      <c r="M703" s="109"/>
      <c r="N703" s="109"/>
      <c r="O703" s="109"/>
      <c r="P703" s="357"/>
      <c r="Q703" s="109"/>
      <c r="R703" s="109"/>
      <c r="S703" s="109"/>
      <c r="T703" s="109"/>
      <c r="U703" s="109"/>
      <c r="V703" s="109"/>
      <c r="W703" s="109"/>
      <c r="X703" s="109"/>
      <c r="Y703" s="109"/>
      <c r="Z703" s="109"/>
    </row>
    <row r="704">
      <c r="A704" s="109"/>
      <c r="B704" s="109"/>
      <c r="C704" s="109"/>
      <c r="D704" s="109"/>
      <c r="E704" s="109"/>
      <c r="F704" s="109"/>
      <c r="G704" s="356"/>
      <c r="H704" s="109"/>
      <c r="I704" s="109"/>
      <c r="J704" s="109"/>
      <c r="K704" s="109"/>
      <c r="L704" s="109"/>
      <c r="M704" s="109"/>
      <c r="N704" s="109"/>
      <c r="O704" s="109"/>
      <c r="P704" s="357"/>
      <c r="Q704" s="109"/>
      <c r="R704" s="109"/>
      <c r="S704" s="109"/>
      <c r="T704" s="109"/>
      <c r="U704" s="109"/>
      <c r="V704" s="109"/>
      <c r="W704" s="109"/>
      <c r="X704" s="109"/>
      <c r="Y704" s="109"/>
      <c r="Z704" s="109"/>
    </row>
    <row r="705">
      <c r="A705" s="109"/>
      <c r="B705" s="109"/>
      <c r="C705" s="109"/>
      <c r="D705" s="109"/>
      <c r="E705" s="109"/>
      <c r="F705" s="109"/>
      <c r="G705" s="356"/>
      <c r="H705" s="109"/>
      <c r="I705" s="109"/>
      <c r="J705" s="109"/>
      <c r="K705" s="109"/>
      <c r="L705" s="109"/>
      <c r="M705" s="109"/>
      <c r="N705" s="109"/>
      <c r="O705" s="109"/>
      <c r="P705" s="357"/>
      <c r="Q705" s="109"/>
      <c r="R705" s="109"/>
      <c r="S705" s="109"/>
      <c r="T705" s="109"/>
      <c r="U705" s="109"/>
      <c r="V705" s="109"/>
      <c r="W705" s="109"/>
      <c r="X705" s="109"/>
      <c r="Y705" s="109"/>
      <c r="Z705" s="109"/>
    </row>
    <row r="706">
      <c r="A706" s="109"/>
      <c r="B706" s="109"/>
      <c r="C706" s="109"/>
      <c r="D706" s="109"/>
      <c r="E706" s="109"/>
      <c r="F706" s="109"/>
      <c r="G706" s="356"/>
      <c r="H706" s="109"/>
      <c r="I706" s="109"/>
      <c r="J706" s="109"/>
      <c r="K706" s="109"/>
      <c r="L706" s="109"/>
      <c r="M706" s="109"/>
      <c r="N706" s="109"/>
      <c r="O706" s="109"/>
      <c r="P706" s="357"/>
      <c r="Q706" s="109"/>
      <c r="R706" s="109"/>
      <c r="S706" s="109"/>
      <c r="T706" s="109"/>
      <c r="U706" s="109"/>
      <c r="V706" s="109"/>
      <c r="W706" s="109"/>
      <c r="X706" s="109"/>
      <c r="Y706" s="109"/>
      <c r="Z706" s="109"/>
    </row>
    <row r="707">
      <c r="A707" s="109"/>
      <c r="B707" s="109"/>
      <c r="C707" s="109"/>
      <c r="D707" s="109"/>
      <c r="E707" s="109"/>
      <c r="F707" s="109"/>
      <c r="G707" s="356"/>
      <c r="H707" s="109"/>
      <c r="I707" s="109"/>
      <c r="J707" s="109"/>
      <c r="K707" s="109"/>
      <c r="L707" s="109"/>
      <c r="M707" s="109"/>
      <c r="N707" s="109"/>
      <c r="O707" s="109"/>
      <c r="P707" s="357"/>
      <c r="Q707" s="109"/>
      <c r="R707" s="109"/>
      <c r="S707" s="109"/>
      <c r="T707" s="109"/>
      <c r="U707" s="109"/>
      <c r="V707" s="109"/>
      <c r="W707" s="109"/>
      <c r="X707" s="109"/>
      <c r="Y707" s="109"/>
      <c r="Z707" s="109"/>
    </row>
    <row r="708">
      <c r="A708" s="109"/>
      <c r="B708" s="109"/>
      <c r="C708" s="109"/>
      <c r="D708" s="109"/>
      <c r="E708" s="109"/>
      <c r="F708" s="109"/>
      <c r="G708" s="356"/>
      <c r="H708" s="109"/>
      <c r="I708" s="109"/>
      <c r="J708" s="109"/>
      <c r="K708" s="109"/>
      <c r="L708" s="109"/>
      <c r="M708" s="109"/>
      <c r="N708" s="109"/>
      <c r="O708" s="109"/>
      <c r="P708" s="357"/>
      <c r="Q708" s="109"/>
      <c r="R708" s="109"/>
      <c r="S708" s="109"/>
      <c r="T708" s="109"/>
      <c r="U708" s="109"/>
      <c r="V708" s="109"/>
      <c r="W708" s="109"/>
      <c r="X708" s="109"/>
      <c r="Y708" s="109"/>
      <c r="Z708" s="109"/>
    </row>
    <row r="709">
      <c r="A709" s="109"/>
      <c r="B709" s="109"/>
      <c r="C709" s="109"/>
      <c r="D709" s="109"/>
      <c r="E709" s="109"/>
      <c r="F709" s="109"/>
      <c r="G709" s="356"/>
      <c r="H709" s="109"/>
      <c r="I709" s="109"/>
      <c r="J709" s="109"/>
      <c r="K709" s="109"/>
      <c r="L709" s="109"/>
      <c r="M709" s="109"/>
      <c r="N709" s="109"/>
      <c r="O709" s="109"/>
      <c r="P709" s="357"/>
      <c r="Q709" s="109"/>
      <c r="R709" s="109"/>
      <c r="S709" s="109"/>
      <c r="T709" s="109"/>
      <c r="U709" s="109"/>
      <c r="V709" s="109"/>
      <c r="W709" s="109"/>
      <c r="X709" s="109"/>
      <c r="Y709" s="109"/>
      <c r="Z709" s="109"/>
    </row>
    <row r="710">
      <c r="A710" s="109"/>
      <c r="B710" s="109"/>
      <c r="C710" s="109"/>
      <c r="D710" s="109"/>
      <c r="E710" s="109"/>
      <c r="F710" s="109"/>
      <c r="G710" s="356"/>
      <c r="H710" s="109"/>
      <c r="I710" s="109"/>
      <c r="J710" s="109"/>
      <c r="K710" s="109"/>
      <c r="L710" s="109"/>
      <c r="M710" s="109"/>
      <c r="N710" s="109"/>
      <c r="O710" s="109"/>
      <c r="P710" s="357"/>
      <c r="Q710" s="109"/>
      <c r="R710" s="109"/>
      <c r="S710" s="109"/>
      <c r="T710" s="109"/>
      <c r="U710" s="109"/>
      <c r="V710" s="109"/>
      <c r="W710" s="109"/>
      <c r="X710" s="109"/>
      <c r="Y710" s="109"/>
      <c r="Z710" s="109"/>
    </row>
    <row r="711">
      <c r="A711" s="109"/>
      <c r="B711" s="109"/>
      <c r="C711" s="109"/>
      <c r="D711" s="109"/>
      <c r="E711" s="109"/>
      <c r="F711" s="109"/>
      <c r="G711" s="356"/>
      <c r="H711" s="109"/>
      <c r="I711" s="109"/>
      <c r="J711" s="109"/>
      <c r="K711" s="109"/>
      <c r="L711" s="109"/>
      <c r="M711" s="109"/>
      <c r="N711" s="109"/>
      <c r="O711" s="109"/>
      <c r="P711" s="357"/>
      <c r="Q711" s="109"/>
      <c r="R711" s="109"/>
      <c r="S711" s="109"/>
      <c r="T711" s="109"/>
      <c r="U711" s="109"/>
      <c r="V711" s="109"/>
      <c r="W711" s="109"/>
      <c r="X711" s="109"/>
      <c r="Y711" s="109"/>
      <c r="Z711" s="109"/>
    </row>
    <row r="712">
      <c r="A712" s="109"/>
      <c r="B712" s="109"/>
      <c r="C712" s="109"/>
      <c r="D712" s="109"/>
      <c r="E712" s="109"/>
      <c r="F712" s="109"/>
      <c r="G712" s="356"/>
      <c r="H712" s="109"/>
      <c r="I712" s="109"/>
      <c r="J712" s="109"/>
      <c r="K712" s="109"/>
      <c r="L712" s="109"/>
      <c r="M712" s="109"/>
      <c r="N712" s="109"/>
      <c r="O712" s="109"/>
      <c r="P712" s="357"/>
      <c r="Q712" s="109"/>
      <c r="R712" s="109"/>
      <c r="S712" s="109"/>
      <c r="T712" s="109"/>
      <c r="U712" s="109"/>
      <c r="V712" s="109"/>
      <c r="W712" s="109"/>
      <c r="X712" s="109"/>
      <c r="Y712" s="109"/>
      <c r="Z712" s="109"/>
    </row>
    <row r="713">
      <c r="A713" s="109"/>
      <c r="B713" s="109"/>
      <c r="C713" s="109"/>
      <c r="D713" s="109"/>
      <c r="E713" s="109"/>
      <c r="F713" s="109"/>
      <c r="G713" s="356"/>
      <c r="H713" s="109"/>
      <c r="I713" s="109"/>
      <c r="J713" s="109"/>
      <c r="K713" s="109"/>
      <c r="L713" s="109"/>
      <c r="M713" s="109"/>
      <c r="N713" s="109"/>
      <c r="O713" s="109"/>
      <c r="P713" s="357"/>
      <c r="Q713" s="109"/>
      <c r="R713" s="109"/>
      <c r="S713" s="109"/>
      <c r="T713" s="109"/>
      <c r="U713" s="109"/>
      <c r="V713" s="109"/>
      <c r="W713" s="109"/>
      <c r="X713" s="109"/>
      <c r="Y713" s="109"/>
      <c r="Z713" s="109"/>
    </row>
    <row r="714">
      <c r="A714" s="109"/>
      <c r="B714" s="109"/>
      <c r="C714" s="109"/>
      <c r="D714" s="109"/>
      <c r="E714" s="109"/>
      <c r="F714" s="109"/>
      <c r="G714" s="356"/>
      <c r="H714" s="109"/>
      <c r="I714" s="109"/>
      <c r="J714" s="109"/>
      <c r="K714" s="109"/>
      <c r="L714" s="109"/>
      <c r="M714" s="109"/>
      <c r="N714" s="109"/>
      <c r="O714" s="109"/>
      <c r="P714" s="357"/>
      <c r="Q714" s="109"/>
      <c r="R714" s="109"/>
      <c r="S714" s="109"/>
      <c r="T714" s="109"/>
      <c r="U714" s="109"/>
      <c r="V714" s="109"/>
      <c r="W714" s="109"/>
      <c r="X714" s="109"/>
      <c r="Y714" s="109"/>
      <c r="Z714" s="109"/>
    </row>
    <row r="715">
      <c r="A715" s="109"/>
      <c r="B715" s="109"/>
      <c r="C715" s="109"/>
      <c r="D715" s="109"/>
      <c r="E715" s="109"/>
      <c r="F715" s="109"/>
      <c r="G715" s="356"/>
      <c r="H715" s="109"/>
      <c r="I715" s="109"/>
      <c r="J715" s="109"/>
      <c r="K715" s="109"/>
      <c r="L715" s="109"/>
      <c r="M715" s="109"/>
      <c r="N715" s="109"/>
      <c r="O715" s="109"/>
      <c r="P715" s="357"/>
      <c r="Q715" s="109"/>
      <c r="R715" s="109"/>
      <c r="S715" s="109"/>
      <c r="T715" s="109"/>
      <c r="U715" s="109"/>
      <c r="V715" s="109"/>
      <c r="W715" s="109"/>
      <c r="X715" s="109"/>
      <c r="Y715" s="109"/>
      <c r="Z715" s="109"/>
    </row>
    <row r="716">
      <c r="A716" s="109"/>
      <c r="B716" s="109"/>
      <c r="C716" s="109"/>
      <c r="D716" s="109"/>
      <c r="E716" s="109"/>
      <c r="F716" s="109"/>
      <c r="G716" s="356"/>
      <c r="H716" s="109"/>
      <c r="I716" s="109"/>
      <c r="J716" s="109"/>
      <c r="K716" s="109"/>
      <c r="L716" s="109"/>
      <c r="M716" s="109"/>
      <c r="N716" s="109"/>
      <c r="O716" s="109"/>
      <c r="P716" s="357"/>
      <c r="Q716" s="109"/>
      <c r="R716" s="109"/>
      <c r="S716" s="109"/>
      <c r="T716" s="109"/>
      <c r="U716" s="109"/>
      <c r="V716" s="109"/>
      <c r="W716" s="109"/>
      <c r="X716" s="109"/>
      <c r="Y716" s="109"/>
      <c r="Z716" s="109"/>
    </row>
    <row r="717">
      <c r="A717" s="109"/>
      <c r="B717" s="109"/>
      <c r="C717" s="109"/>
      <c r="D717" s="109"/>
      <c r="E717" s="109"/>
      <c r="F717" s="109"/>
      <c r="G717" s="356"/>
      <c r="H717" s="109"/>
      <c r="I717" s="109"/>
      <c r="J717" s="109"/>
      <c r="K717" s="109"/>
      <c r="L717" s="109"/>
      <c r="M717" s="109"/>
      <c r="N717" s="109"/>
      <c r="O717" s="109"/>
      <c r="P717" s="357"/>
      <c r="Q717" s="109"/>
      <c r="R717" s="109"/>
      <c r="S717" s="109"/>
      <c r="T717" s="109"/>
      <c r="U717" s="109"/>
      <c r="V717" s="109"/>
      <c r="W717" s="109"/>
      <c r="X717" s="109"/>
      <c r="Y717" s="109"/>
      <c r="Z717" s="109"/>
    </row>
    <row r="718">
      <c r="A718" s="109"/>
      <c r="B718" s="109"/>
      <c r="C718" s="109"/>
      <c r="D718" s="109"/>
      <c r="E718" s="109"/>
      <c r="F718" s="109"/>
      <c r="G718" s="356"/>
      <c r="H718" s="109"/>
      <c r="I718" s="109"/>
      <c r="J718" s="109"/>
      <c r="K718" s="109"/>
      <c r="L718" s="109"/>
      <c r="M718" s="109"/>
      <c r="N718" s="109"/>
      <c r="O718" s="109"/>
      <c r="P718" s="357"/>
      <c r="Q718" s="109"/>
      <c r="R718" s="109"/>
      <c r="S718" s="109"/>
      <c r="T718" s="109"/>
      <c r="U718" s="109"/>
      <c r="V718" s="109"/>
      <c r="W718" s="109"/>
      <c r="X718" s="109"/>
      <c r="Y718" s="109"/>
      <c r="Z718" s="109"/>
    </row>
    <row r="719">
      <c r="A719" s="109"/>
      <c r="B719" s="109"/>
      <c r="C719" s="109"/>
      <c r="D719" s="109"/>
      <c r="E719" s="109"/>
      <c r="F719" s="109"/>
      <c r="G719" s="356"/>
      <c r="H719" s="109"/>
      <c r="I719" s="109"/>
      <c r="J719" s="109"/>
      <c r="K719" s="109"/>
      <c r="L719" s="109"/>
      <c r="M719" s="109"/>
      <c r="N719" s="109"/>
      <c r="O719" s="109"/>
      <c r="P719" s="357"/>
      <c r="Q719" s="109"/>
      <c r="R719" s="109"/>
      <c r="S719" s="109"/>
      <c r="T719" s="109"/>
      <c r="U719" s="109"/>
      <c r="V719" s="109"/>
      <c r="W719" s="109"/>
      <c r="X719" s="109"/>
      <c r="Y719" s="109"/>
      <c r="Z719" s="109"/>
    </row>
    <row r="720">
      <c r="A720" s="109"/>
      <c r="B720" s="109"/>
      <c r="C720" s="109"/>
      <c r="D720" s="109"/>
      <c r="E720" s="109"/>
      <c r="F720" s="109"/>
      <c r="G720" s="356"/>
      <c r="H720" s="109"/>
      <c r="I720" s="109"/>
      <c r="J720" s="109"/>
      <c r="K720" s="109"/>
      <c r="L720" s="109"/>
      <c r="M720" s="109"/>
      <c r="N720" s="109"/>
      <c r="O720" s="109"/>
      <c r="P720" s="357"/>
      <c r="Q720" s="109"/>
      <c r="R720" s="109"/>
      <c r="S720" s="109"/>
      <c r="T720" s="109"/>
      <c r="U720" s="109"/>
      <c r="V720" s="109"/>
      <c r="W720" s="109"/>
      <c r="X720" s="109"/>
      <c r="Y720" s="109"/>
      <c r="Z720" s="109"/>
    </row>
    <row r="721">
      <c r="A721" s="109"/>
      <c r="B721" s="109"/>
      <c r="C721" s="109"/>
      <c r="D721" s="109"/>
      <c r="E721" s="109"/>
      <c r="F721" s="109"/>
      <c r="G721" s="356"/>
      <c r="H721" s="109"/>
      <c r="I721" s="109"/>
      <c r="J721" s="109"/>
      <c r="K721" s="109"/>
      <c r="L721" s="109"/>
      <c r="M721" s="109"/>
      <c r="N721" s="109"/>
      <c r="O721" s="109"/>
      <c r="P721" s="357"/>
      <c r="Q721" s="109"/>
      <c r="R721" s="109"/>
      <c r="S721" s="109"/>
      <c r="T721" s="109"/>
      <c r="U721" s="109"/>
      <c r="V721" s="109"/>
      <c r="W721" s="109"/>
      <c r="X721" s="109"/>
      <c r="Y721" s="109"/>
      <c r="Z721" s="109"/>
    </row>
    <row r="722">
      <c r="A722" s="109"/>
      <c r="B722" s="109"/>
      <c r="C722" s="109"/>
      <c r="D722" s="109"/>
      <c r="E722" s="109"/>
      <c r="F722" s="109"/>
      <c r="G722" s="356"/>
      <c r="H722" s="109"/>
      <c r="I722" s="109"/>
      <c r="J722" s="109"/>
      <c r="K722" s="109"/>
      <c r="L722" s="109"/>
      <c r="M722" s="109"/>
      <c r="N722" s="109"/>
      <c r="O722" s="109"/>
      <c r="P722" s="357"/>
      <c r="Q722" s="109"/>
      <c r="R722" s="109"/>
      <c r="S722" s="109"/>
      <c r="T722" s="109"/>
      <c r="U722" s="109"/>
      <c r="V722" s="109"/>
      <c r="W722" s="109"/>
      <c r="X722" s="109"/>
      <c r="Y722" s="109"/>
      <c r="Z722" s="109"/>
    </row>
    <row r="723">
      <c r="A723" s="109"/>
      <c r="B723" s="109"/>
      <c r="C723" s="109"/>
      <c r="D723" s="109"/>
      <c r="E723" s="109"/>
      <c r="F723" s="109"/>
      <c r="G723" s="356"/>
      <c r="H723" s="109"/>
      <c r="I723" s="109"/>
      <c r="J723" s="109"/>
      <c r="K723" s="109"/>
      <c r="L723" s="109"/>
      <c r="M723" s="109"/>
      <c r="N723" s="109"/>
      <c r="O723" s="109"/>
      <c r="P723" s="357"/>
      <c r="Q723" s="109"/>
      <c r="R723" s="109"/>
      <c r="S723" s="109"/>
      <c r="T723" s="109"/>
      <c r="U723" s="109"/>
      <c r="V723" s="109"/>
      <c r="W723" s="109"/>
      <c r="X723" s="109"/>
      <c r="Y723" s="109"/>
      <c r="Z723" s="109"/>
    </row>
    <row r="724">
      <c r="A724" s="109"/>
      <c r="B724" s="109"/>
      <c r="C724" s="109"/>
      <c r="D724" s="109"/>
      <c r="E724" s="109"/>
      <c r="F724" s="109"/>
      <c r="G724" s="356"/>
      <c r="H724" s="109"/>
      <c r="I724" s="109"/>
      <c r="J724" s="109"/>
      <c r="K724" s="109"/>
      <c r="L724" s="109"/>
      <c r="M724" s="109"/>
      <c r="N724" s="109"/>
      <c r="O724" s="109"/>
      <c r="P724" s="357"/>
      <c r="Q724" s="109"/>
      <c r="R724" s="109"/>
      <c r="S724" s="109"/>
      <c r="T724" s="109"/>
      <c r="U724" s="109"/>
      <c r="V724" s="109"/>
      <c r="W724" s="109"/>
      <c r="X724" s="109"/>
      <c r="Y724" s="109"/>
      <c r="Z724" s="109"/>
    </row>
    <row r="725">
      <c r="A725" s="109"/>
      <c r="B725" s="109"/>
      <c r="C725" s="109"/>
      <c r="D725" s="109"/>
      <c r="E725" s="109"/>
      <c r="F725" s="109"/>
      <c r="G725" s="356"/>
      <c r="H725" s="109"/>
      <c r="I725" s="109"/>
      <c r="J725" s="109"/>
      <c r="K725" s="109"/>
      <c r="L725" s="109"/>
      <c r="M725" s="109"/>
      <c r="N725" s="109"/>
      <c r="O725" s="109"/>
      <c r="P725" s="357"/>
      <c r="Q725" s="109"/>
      <c r="R725" s="109"/>
      <c r="S725" s="109"/>
      <c r="T725" s="109"/>
      <c r="U725" s="109"/>
      <c r="V725" s="109"/>
      <c r="W725" s="109"/>
      <c r="X725" s="109"/>
      <c r="Y725" s="109"/>
      <c r="Z725" s="109"/>
    </row>
    <row r="726">
      <c r="A726" s="109"/>
      <c r="B726" s="109"/>
      <c r="C726" s="109"/>
      <c r="D726" s="109"/>
      <c r="E726" s="109"/>
      <c r="F726" s="109"/>
      <c r="G726" s="356"/>
      <c r="H726" s="109"/>
      <c r="I726" s="109"/>
      <c r="J726" s="109"/>
      <c r="K726" s="109"/>
      <c r="L726" s="109"/>
      <c r="M726" s="109"/>
      <c r="N726" s="109"/>
      <c r="O726" s="109"/>
      <c r="P726" s="357"/>
      <c r="Q726" s="109"/>
      <c r="R726" s="109"/>
      <c r="S726" s="109"/>
      <c r="T726" s="109"/>
      <c r="U726" s="109"/>
      <c r="V726" s="109"/>
      <c r="W726" s="109"/>
      <c r="X726" s="109"/>
      <c r="Y726" s="109"/>
      <c r="Z726" s="109"/>
    </row>
    <row r="727">
      <c r="A727" s="109"/>
      <c r="B727" s="109"/>
      <c r="C727" s="109"/>
      <c r="D727" s="109"/>
      <c r="E727" s="109"/>
      <c r="F727" s="109"/>
      <c r="G727" s="356"/>
      <c r="H727" s="109"/>
      <c r="I727" s="109"/>
      <c r="J727" s="109"/>
      <c r="K727" s="109"/>
      <c r="L727" s="109"/>
      <c r="M727" s="109"/>
      <c r="N727" s="109"/>
      <c r="O727" s="109"/>
      <c r="P727" s="357"/>
      <c r="Q727" s="109"/>
      <c r="R727" s="109"/>
      <c r="S727" s="109"/>
      <c r="T727" s="109"/>
      <c r="U727" s="109"/>
      <c r="V727" s="109"/>
      <c r="W727" s="109"/>
      <c r="X727" s="109"/>
      <c r="Y727" s="109"/>
      <c r="Z727" s="109"/>
    </row>
    <row r="728">
      <c r="A728" s="109"/>
      <c r="B728" s="109"/>
      <c r="C728" s="109"/>
      <c r="D728" s="109"/>
      <c r="E728" s="109"/>
      <c r="F728" s="109"/>
      <c r="G728" s="356"/>
      <c r="H728" s="109"/>
      <c r="I728" s="109"/>
      <c r="J728" s="109"/>
      <c r="K728" s="109"/>
      <c r="L728" s="109"/>
      <c r="M728" s="109"/>
      <c r="N728" s="109"/>
      <c r="O728" s="109"/>
      <c r="P728" s="357"/>
      <c r="Q728" s="109"/>
      <c r="R728" s="109"/>
      <c r="S728" s="109"/>
      <c r="T728" s="109"/>
      <c r="U728" s="109"/>
      <c r="V728" s="109"/>
      <c r="W728" s="109"/>
      <c r="X728" s="109"/>
      <c r="Y728" s="109"/>
      <c r="Z728" s="109"/>
    </row>
    <row r="729">
      <c r="A729" s="109"/>
      <c r="B729" s="109"/>
      <c r="C729" s="109"/>
      <c r="D729" s="109"/>
      <c r="E729" s="109"/>
      <c r="F729" s="109"/>
      <c r="G729" s="356"/>
      <c r="H729" s="109"/>
      <c r="I729" s="109"/>
      <c r="J729" s="109"/>
      <c r="K729" s="109"/>
      <c r="L729" s="109"/>
      <c r="M729" s="109"/>
      <c r="N729" s="109"/>
      <c r="O729" s="109"/>
      <c r="P729" s="357"/>
      <c r="Q729" s="109"/>
      <c r="R729" s="109"/>
      <c r="S729" s="109"/>
      <c r="T729" s="109"/>
      <c r="U729" s="109"/>
      <c r="V729" s="109"/>
      <c r="W729" s="109"/>
      <c r="X729" s="109"/>
      <c r="Y729" s="109"/>
      <c r="Z729" s="109"/>
    </row>
    <row r="730">
      <c r="A730" s="109"/>
      <c r="B730" s="109"/>
      <c r="C730" s="109"/>
      <c r="D730" s="109"/>
      <c r="E730" s="109"/>
      <c r="F730" s="109"/>
      <c r="G730" s="356"/>
      <c r="H730" s="109"/>
      <c r="I730" s="109"/>
      <c r="J730" s="109"/>
      <c r="K730" s="109"/>
      <c r="L730" s="109"/>
      <c r="M730" s="109"/>
      <c r="N730" s="109"/>
      <c r="O730" s="109"/>
      <c r="P730" s="357"/>
      <c r="Q730" s="109"/>
      <c r="R730" s="109"/>
      <c r="S730" s="109"/>
      <c r="T730" s="109"/>
      <c r="U730" s="109"/>
      <c r="V730" s="109"/>
      <c r="W730" s="109"/>
      <c r="X730" s="109"/>
      <c r="Y730" s="109"/>
      <c r="Z730" s="109"/>
    </row>
    <row r="731">
      <c r="A731" s="109"/>
      <c r="B731" s="109"/>
      <c r="C731" s="109"/>
      <c r="D731" s="109"/>
      <c r="E731" s="109"/>
      <c r="F731" s="109"/>
      <c r="G731" s="356"/>
      <c r="H731" s="109"/>
      <c r="I731" s="109"/>
      <c r="J731" s="109"/>
      <c r="K731" s="109"/>
      <c r="L731" s="109"/>
      <c r="M731" s="109"/>
      <c r="N731" s="109"/>
      <c r="O731" s="109"/>
      <c r="P731" s="357"/>
      <c r="Q731" s="109"/>
      <c r="R731" s="109"/>
      <c r="S731" s="109"/>
      <c r="T731" s="109"/>
      <c r="U731" s="109"/>
      <c r="V731" s="109"/>
      <c r="W731" s="109"/>
      <c r="X731" s="109"/>
      <c r="Y731" s="109"/>
      <c r="Z731" s="109"/>
    </row>
    <row r="732">
      <c r="A732" s="109"/>
      <c r="B732" s="109"/>
      <c r="C732" s="109"/>
      <c r="D732" s="109"/>
      <c r="E732" s="109"/>
      <c r="F732" s="109"/>
      <c r="G732" s="356"/>
      <c r="H732" s="109"/>
      <c r="I732" s="109"/>
      <c r="J732" s="109"/>
      <c r="K732" s="109"/>
      <c r="L732" s="109"/>
      <c r="M732" s="109"/>
      <c r="N732" s="109"/>
      <c r="O732" s="109"/>
      <c r="P732" s="357"/>
      <c r="Q732" s="109"/>
      <c r="R732" s="109"/>
      <c r="S732" s="109"/>
      <c r="T732" s="109"/>
      <c r="U732" s="109"/>
      <c r="V732" s="109"/>
      <c r="W732" s="109"/>
      <c r="X732" s="109"/>
      <c r="Y732" s="109"/>
      <c r="Z732" s="109"/>
    </row>
    <row r="733">
      <c r="A733" s="109"/>
      <c r="B733" s="109"/>
      <c r="C733" s="109"/>
      <c r="D733" s="109"/>
      <c r="E733" s="109"/>
      <c r="F733" s="109"/>
      <c r="G733" s="356"/>
      <c r="H733" s="109"/>
      <c r="I733" s="109"/>
      <c r="J733" s="109"/>
      <c r="K733" s="109"/>
      <c r="L733" s="109"/>
      <c r="M733" s="109"/>
      <c r="N733" s="109"/>
      <c r="O733" s="109"/>
      <c r="P733" s="357"/>
      <c r="Q733" s="109"/>
      <c r="R733" s="109"/>
      <c r="S733" s="109"/>
      <c r="T733" s="109"/>
      <c r="U733" s="109"/>
      <c r="V733" s="109"/>
      <c r="W733" s="109"/>
      <c r="X733" s="109"/>
      <c r="Y733" s="109"/>
      <c r="Z733" s="109"/>
    </row>
    <row r="734">
      <c r="A734" s="109"/>
      <c r="B734" s="109"/>
      <c r="C734" s="109"/>
      <c r="D734" s="109"/>
      <c r="E734" s="109"/>
      <c r="F734" s="109"/>
      <c r="G734" s="356"/>
      <c r="H734" s="109"/>
      <c r="I734" s="109"/>
      <c r="J734" s="109"/>
      <c r="K734" s="109"/>
      <c r="L734" s="109"/>
      <c r="M734" s="109"/>
      <c r="N734" s="109"/>
      <c r="O734" s="109"/>
      <c r="P734" s="357"/>
      <c r="Q734" s="109"/>
      <c r="R734" s="109"/>
      <c r="S734" s="109"/>
      <c r="T734" s="109"/>
      <c r="U734" s="109"/>
      <c r="V734" s="109"/>
      <c r="W734" s="109"/>
      <c r="X734" s="109"/>
      <c r="Y734" s="109"/>
      <c r="Z734" s="109"/>
    </row>
    <row r="735">
      <c r="A735" s="109"/>
      <c r="B735" s="109"/>
      <c r="C735" s="109"/>
      <c r="D735" s="109"/>
      <c r="E735" s="109"/>
      <c r="F735" s="109"/>
      <c r="G735" s="356"/>
      <c r="H735" s="109"/>
      <c r="I735" s="109"/>
      <c r="J735" s="109"/>
      <c r="K735" s="109"/>
      <c r="L735" s="109"/>
      <c r="M735" s="109"/>
      <c r="N735" s="109"/>
      <c r="O735" s="109"/>
      <c r="P735" s="357"/>
      <c r="Q735" s="109"/>
      <c r="R735" s="109"/>
      <c r="S735" s="109"/>
      <c r="T735" s="109"/>
      <c r="U735" s="109"/>
      <c r="V735" s="109"/>
      <c r="W735" s="109"/>
      <c r="X735" s="109"/>
      <c r="Y735" s="109"/>
      <c r="Z735" s="109"/>
    </row>
    <row r="736">
      <c r="A736" s="109"/>
      <c r="B736" s="109"/>
      <c r="C736" s="109"/>
      <c r="D736" s="109"/>
      <c r="E736" s="109"/>
      <c r="F736" s="109"/>
      <c r="G736" s="356"/>
      <c r="H736" s="109"/>
      <c r="I736" s="109"/>
      <c r="J736" s="109"/>
      <c r="K736" s="109"/>
      <c r="L736" s="109"/>
      <c r="M736" s="109"/>
      <c r="N736" s="109"/>
      <c r="O736" s="109"/>
      <c r="P736" s="357"/>
      <c r="Q736" s="109"/>
      <c r="R736" s="109"/>
      <c r="S736" s="109"/>
      <c r="T736" s="109"/>
      <c r="U736" s="109"/>
      <c r="V736" s="109"/>
      <c r="W736" s="109"/>
      <c r="X736" s="109"/>
      <c r="Y736" s="109"/>
      <c r="Z736" s="109"/>
    </row>
    <row r="737">
      <c r="A737" s="109"/>
      <c r="B737" s="109"/>
      <c r="C737" s="109"/>
      <c r="D737" s="109"/>
      <c r="E737" s="109"/>
      <c r="F737" s="109"/>
      <c r="G737" s="356"/>
      <c r="H737" s="109"/>
      <c r="I737" s="109"/>
      <c r="J737" s="109"/>
      <c r="K737" s="109"/>
      <c r="L737" s="109"/>
      <c r="M737" s="109"/>
      <c r="N737" s="109"/>
      <c r="O737" s="109"/>
      <c r="P737" s="357"/>
      <c r="Q737" s="109"/>
      <c r="R737" s="109"/>
      <c r="S737" s="109"/>
      <c r="T737" s="109"/>
      <c r="U737" s="109"/>
      <c r="V737" s="109"/>
      <c r="W737" s="109"/>
      <c r="X737" s="109"/>
      <c r="Y737" s="109"/>
      <c r="Z737" s="109"/>
    </row>
    <row r="738">
      <c r="A738" s="109"/>
      <c r="B738" s="109"/>
      <c r="C738" s="109"/>
      <c r="D738" s="109"/>
      <c r="E738" s="109"/>
      <c r="F738" s="109"/>
      <c r="G738" s="356"/>
      <c r="H738" s="109"/>
      <c r="I738" s="109"/>
      <c r="J738" s="109"/>
      <c r="K738" s="109"/>
      <c r="L738" s="109"/>
      <c r="M738" s="109"/>
      <c r="N738" s="109"/>
      <c r="O738" s="109"/>
      <c r="P738" s="357"/>
      <c r="Q738" s="109"/>
      <c r="R738" s="109"/>
      <c r="S738" s="109"/>
      <c r="T738" s="109"/>
      <c r="U738" s="109"/>
      <c r="V738" s="109"/>
      <c r="W738" s="109"/>
      <c r="X738" s="109"/>
      <c r="Y738" s="109"/>
      <c r="Z738" s="109"/>
    </row>
    <row r="739">
      <c r="A739" s="109"/>
      <c r="B739" s="109"/>
      <c r="C739" s="109"/>
      <c r="D739" s="109"/>
      <c r="E739" s="109"/>
      <c r="F739" s="109"/>
      <c r="G739" s="356"/>
      <c r="H739" s="109"/>
      <c r="I739" s="109"/>
      <c r="J739" s="109"/>
      <c r="K739" s="109"/>
      <c r="L739" s="109"/>
      <c r="M739" s="109"/>
      <c r="N739" s="109"/>
      <c r="O739" s="109"/>
      <c r="P739" s="357"/>
      <c r="Q739" s="109"/>
      <c r="R739" s="109"/>
      <c r="S739" s="109"/>
      <c r="T739" s="109"/>
      <c r="U739" s="109"/>
      <c r="V739" s="109"/>
      <c r="W739" s="109"/>
      <c r="X739" s="109"/>
      <c r="Y739" s="109"/>
      <c r="Z739" s="109"/>
    </row>
    <row r="740">
      <c r="A740" s="109"/>
      <c r="B740" s="109"/>
      <c r="C740" s="109"/>
      <c r="D740" s="109"/>
      <c r="E740" s="109"/>
      <c r="F740" s="109"/>
      <c r="G740" s="356"/>
      <c r="H740" s="109"/>
      <c r="I740" s="109"/>
      <c r="J740" s="109"/>
      <c r="K740" s="109"/>
      <c r="L740" s="109"/>
      <c r="M740" s="109"/>
      <c r="N740" s="109"/>
      <c r="O740" s="109"/>
      <c r="P740" s="357"/>
      <c r="Q740" s="109"/>
      <c r="R740" s="109"/>
      <c r="S740" s="109"/>
      <c r="T740" s="109"/>
      <c r="U740" s="109"/>
      <c r="V740" s="109"/>
      <c r="W740" s="109"/>
      <c r="X740" s="109"/>
      <c r="Y740" s="109"/>
      <c r="Z740" s="109"/>
    </row>
    <row r="741">
      <c r="A741" s="109"/>
      <c r="B741" s="109"/>
      <c r="C741" s="109"/>
      <c r="D741" s="109"/>
      <c r="E741" s="109"/>
      <c r="F741" s="109"/>
      <c r="G741" s="356"/>
      <c r="H741" s="109"/>
      <c r="I741" s="109"/>
      <c r="J741" s="109"/>
      <c r="K741" s="109"/>
      <c r="L741" s="109"/>
      <c r="M741" s="109"/>
      <c r="N741" s="109"/>
      <c r="O741" s="109"/>
      <c r="P741" s="357"/>
      <c r="Q741" s="109"/>
      <c r="R741" s="109"/>
      <c r="S741" s="109"/>
      <c r="T741" s="109"/>
      <c r="U741" s="109"/>
      <c r="V741" s="109"/>
      <c r="W741" s="109"/>
      <c r="X741" s="109"/>
      <c r="Y741" s="109"/>
      <c r="Z741" s="109"/>
    </row>
    <row r="742">
      <c r="A742" s="109"/>
      <c r="B742" s="109"/>
      <c r="C742" s="109"/>
      <c r="D742" s="109"/>
      <c r="E742" s="109"/>
      <c r="F742" s="109"/>
      <c r="G742" s="356"/>
      <c r="H742" s="109"/>
      <c r="I742" s="109"/>
      <c r="J742" s="109"/>
      <c r="K742" s="109"/>
      <c r="L742" s="109"/>
      <c r="M742" s="109"/>
      <c r="N742" s="109"/>
      <c r="O742" s="109"/>
      <c r="P742" s="357"/>
      <c r="Q742" s="109"/>
      <c r="R742" s="109"/>
      <c r="S742" s="109"/>
      <c r="T742" s="109"/>
      <c r="U742" s="109"/>
      <c r="V742" s="109"/>
      <c r="W742" s="109"/>
      <c r="X742" s="109"/>
      <c r="Y742" s="109"/>
      <c r="Z742" s="109"/>
    </row>
    <row r="743">
      <c r="A743" s="109"/>
      <c r="B743" s="109"/>
      <c r="C743" s="109"/>
      <c r="D743" s="109"/>
      <c r="E743" s="109"/>
      <c r="F743" s="109"/>
      <c r="G743" s="356"/>
      <c r="H743" s="109"/>
      <c r="I743" s="109"/>
      <c r="J743" s="109"/>
      <c r="K743" s="109"/>
      <c r="L743" s="109"/>
      <c r="M743" s="109"/>
      <c r="N743" s="109"/>
      <c r="O743" s="109"/>
      <c r="P743" s="357"/>
      <c r="Q743" s="109"/>
      <c r="R743" s="109"/>
      <c r="S743" s="109"/>
      <c r="T743" s="109"/>
      <c r="U743" s="109"/>
      <c r="V743" s="109"/>
      <c r="W743" s="109"/>
      <c r="X743" s="109"/>
      <c r="Y743" s="109"/>
      <c r="Z743" s="109"/>
    </row>
    <row r="744">
      <c r="A744" s="109"/>
      <c r="B744" s="109"/>
      <c r="C744" s="109"/>
      <c r="D744" s="109"/>
      <c r="E744" s="109"/>
      <c r="F744" s="109"/>
      <c r="G744" s="356"/>
      <c r="H744" s="109"/>
      <c r="I744" s="109"/>
      <c r="J744" s="109"/>
      <c r="K744" s="109"/>
      <c r="L744" s="109"/>
      <c r="M744" s="109"/>
      <c r="N744" s="109"/>
      <c r="O744" s="109"/>
      <c r="P744" s="357"/>
      <c r="Q744" s="109"/>
      <c r="R744" s="109"/>
      <c r="S744" s="109"/>
      <c r="T744" s="109"/>
      <c r="U744" s="109"/>
      <c r="V744" s="109"/>
      <c r="W744" s="109"/>
      <c r="X744" s="109"/>
      <c r="Y744" s="109"/>
      <c r="Z744" s="109"/>
    </row>
    <row r="745">
      <c r="A745" s="109"/>
      <c r="B745" s="109"/>
      <c r="C745" s="109"/>
      <c r="D745" s="109"/>
      <c r="E745" s="109"/>
      <c r="F745" s="109"/>
      <c r="G745" s="356"/>
      <c r="H745" s="109"/>
      <c r="I745" s="109"/>
      <c r="J745" s="109"/>
      <c r="K745" s="109"/>
      <c r="L745" s="109"/>
      <c r="M745" s="109"/>
      <c r="N745" s="109"/>
      <c r="O745" s="109"/>
      <c r="P745" s="357"/>
      <c r="Q745" s="109"/>
      <c r="R745" s="109"/>
      <c r="S745" s="109"/>
      <c r="T745" s="109"/>
      <c r="U745" s="109"/>
      <c r="V745" s="109"/>
      <c r="W745" s="109"/>
      <c r="X745" s="109"/>
      <c r="Y745" s="109"/>
      <c r="Z745" s="109"/>
    </row>
    <row r="746">
      <c r="A746" s="109"/>
      <c r="B746" s="109"/>
      <c r="C746" s="109"/>
      <c r="D746" s="109"/>
      <c r="E746" s="109"/>
      <c r="F746" s="109"/>
      <c r="G746" s="356"/>
      <c r="H746" s="109"/>
      <c r="I746" s="109"/>
      <c r="J746" s="109"/>
      <c r="K746" s="109"/>
      <c r="L746" s="109"/>
      <c r="M746" s="109"/>
      <c r="N746" s="109"/>
      <c r="O746" s="109"/>
      <c r="P746" s="357"/>
      <c r="Q746" s="109"/>
      <c r="R746" s="109"/>
      <c r="S746" s="109"/>
      <c r="T746" s="109"/>
      <c r="U746" s="109"/>
      <c r="V746" s="109"/>
      <c r="W746" s="109"/>
      <c r="X746" s="109"/>
      <c r="Y746" s="109"/>
      <c r="Z746" s="109"/>
    </row>
    <row r="747">
      <c r="A747" s="109"/>
      <c r="B747" s="109"/>
      <c r="C747" s="109"/>
      <c r="D747" s="109"/>
      <c r="E747" s="109"/>
      <c r="F747" s="109"/>
      <c r="G747" s="356"/>
      <c r="H747" s="109"/>
      <c r="I747" s="109"/>
      <c r="J747" s="109"/>
      <c r="K747" s="109"/>
      <c r="L747" s="109"/>
      <c r="M747" s="109"/>
      <c r="N747" s="109"/>
      <c r="O747" s="109"/>
      <c r="P747" s="357"/>
      <c r="Q747" s="109"/>
      <c r="R747" s="109"/>
      <c r="S747" s="109"/>
      <c r="T747" s="109"/>
      <c r="U747" s="109"/>
      <c r="V747" s="109"/>
      <c r="W747" s="109"/>
      <c r="X747" s="109"/>
      <c r="Y747" s="109"/>
      <c r="Z747" s="109"/>
    </row>
    <row r="748">
      <c r="A748" s="109"/>
      <c r="B748" s="109"/>
      <c r="C748" s="109"/>
      <c r="D748" s="109"/>
      <c r="E748" s="109"/>
      <c r="F748" s="109"/>
      <c r="G748" s="356"/>
      <c r="H748" s="109"/>
      <c r="I748" s="109"/>
      <c r="J748" s="109"/>
      <c r="K748" s="109"/>
      <c r="L748" s="109"/>
      <c r="M748" s="109"/>
      <c r="N748" s="109"/>
      <c r="O748" s="109"/>
      <c r="P748" s="357"/>
      <c r="Q748" s="109"/>
      <c r="R748" s="109"/>
      <c r="S748" s="109"/>
      <c r="T748" s="109"/>
      <c r="U748" s="109"/>
      <c r="V748" s="109"/>
      <c r="W748" s="109"/>
      <c r="X748" s="109"/>
      <c r="Y748" s="109"/>
      <c r="Z748" s="109"/>
    </row>
    <row r="749">
      <c r="A749" s="109"/>
      <c r="B749" s="109"/>
      <c r="C749" s="109"/>
      <c r="D749" s="109"/>
      <c r="E749" s="109"/>
      <c r="F749" s="109"/>
      <c r="G749" s="356"/>
      <c r="H749" s="109"/>
      <c r="I749" s="109"/>
      <c r="J749" s="109"/>
      <c r="K749" s="109"/>
      <c r="L749" s="109"/>
      <c r="M749" s="109"/>
      <c r="N749" s="109"/>
      <c r="O749" s="109"/>
      <c r="P749" s="357"/>
      <c r="Q749" s="109"/>
      <c r="R749" s="109"/>
      <c r="S749" s="109"/>
      <c r="T749" s="109"/>
      <c r="U749" s="109"/>
      <c r="V749" s="109"/>
      <c r="W749" s="109"/>
      <c r="X749" s="109"/>
      <c r="Y749" s="109"/>
      <c r="Z749" s="109"/>
    </row>
    <row r="750">
      <c r="A750" s="109"/>
      <c r="B750" s="109"/>
      <c r="C750" s="109"/>
      <c r="D750" s="109"/>
      <c r="E750" s="109"/>
      <c r="F750" s="109"/>
      <c r="G750" s="356"/>
      <c r="H750" s="109"/>
      <c r="I750" s="109"/>
      <c r="J750" s="109"/>
      <c r="K750" s="109"/>
      <c r="L750" s="109"/>
      <c r="M750" s="109"/>
      <c r="N750" s="109"/>
      <c r="O750" s="109"/>
      <c r="P750" s="357"/>
      <c r="Q750" s="109"/>
      <c r="R750" s="109"/>
      <c r="S750" s="109"/>
      <c r="T750" s="109"/>
      <c r="U750" s="109"/>
      <c r="V750" s="109"/>
      <c r="W750" s="109"/>
      <c r="X750" s="109"/>
      <c r="Y750" s="109"/>
      <c r="Z750" s="109"/>
    </row>
    <row r="751">
      <c r="A751" s="109"/>
      <c r="B751" s="109"/>
      <c r="C751" s="109"/>
      <c r="D751" s="109"/>
      <c r="E751" s="109"/>
      <c r="F751" s="109"/>
      <c r="G751" s="356"/>
      <c r="H751" s="109"/>
      <c r="I751" s="109"/>
      <c r="J751" s="109"/>
      <c r="K751" s="109"/>
      <c r="L751" s="109"/>
      <c r="M751" s="109"/>
      <c r="N751" s="109"/>
      <c r="O751" s="109"/>
      <c r="P751" s="357"/>
      <c r="Q751" s="109"/>
      <c r="R751" s="109"/>
      <c r="S751" s="109"/>
      <c r="T751" s="109"/>
      <c r="U751" s="109"/>
      <c r="V751" s="109"/>
      <c r="W751" s="109"/>
      <c r="X751" s="109"/>
      <c r="Y751" s="109"/>
      <c r="Z751" s="109"/>
    </row>
    <row r="752">
      <c r="A752" s="109"/>
      <c r="B752" s="109"/>
      <c r="C752" s="109"/>
      <c r="D752" s="109"/>
      <c r="E752" s="109"/>
      <c r="F752" s="109"/>
      <c r="G752" s="356"/>
      <c r="H752" s="109"/>
      <c r="I752" s="109"/>
      <c r="J752" s="109"/>
      <c r="K752" s="109"/>
      <c r="L752" s="109"/>
      <c r="M752" s="109"/>
      <c r="N752" s="109"/>
      <c r="O752" s="109"/>
      <c r="P752" s="357"/>
      <c r="Q752" s="109"/>
      <c r="R752" s="109"/>
      <c r="S752" s="109"/>
      <c r="T752" s="109"/>
      <c r="U752" s="109"/>
      <c r="V752" s="109"/>
      <c r="W752" s="109"/>
      <c r="X752" s="109"/>
      <c r="Y752" s="109"/>
      <c r="Z752" s="109"/>
    </row>
    <row r="753">
      <c r="A753" s="109"/>
      <c r="B753" s="109"/>
      <c r="C753" s="109"/>
      <c r="D753" s="109"/>
      <c r="E753" s="109"/>
      <c r="F753" s="109"/>
      <c r="G753" s="356"/>
      <c r="H753" s="109"/>
      <c r="I753" s="109"/>
      <c r="J753" s="109"/>
      <c r="K753" s="109"/>
      <c r="L753" s="109"/>
      <c r="M753" s="109"/>
      <c r="N753" s="109"/>
      <c r="O753" s="109"/>
      <c r="P753" s="357"/>
      <c r="Q753" s="109"/>
      <c r="R753" s="109"/>
      <c r="S753" s="109"/>
      <c r="T753" s="109"/>
      <c r="U753" s="109"/>
      <c r="V753" s="109"/>
      <c r="W753" s="109"/>
      <c r="X753" s="109"/>
      <c r="Y753" s="109"/>
      <c r="Z753" s="109"/>
    </row>
    <row r="754">
      <c r="A754" s="109"/>
      <c r="B754" s="109"/>
      <c r="C754" s="109"/>
      <c r="D754" s="109"/>
      <c r="E754" s="109"/>
      <c r="F754" s="109"/>
      <c r="G754" s="356"/>
      <c r="H754" s="109"/>
      <c r="I754" s="109"/>
      <c r="J754" s="109"/>
      <c r="K754" s="109"/>
      <c r="L754" s="109"/>
      <c r="M754" s="109"/>
      <c r="N754" s="109"/>
      <c r="O754" s="109"/>
      <c r="P754" s="357"/>
      <c r="Q754" s="109"/>
      <c r="R754" s="109"/>
      <c r="S754" s="109"/>
      <c r="T754" s="109"/>
      <c r="U754" s="109"/>
      <c r="V754" s="109"/>
      <c r="W754" s="109"/>
      <c r="X754" s="109"/>
      <c r="Y754" s="109"/>
      <c r="Z754" s="109"/>
    </row>
    <row r="755">
      <c r="A755" s="109"/>
      <c r="B755" s="109"/>
      <c r="C755" s="109"/>
      <c r="D755" s="109"/>
      <c r="E755" s="109"/>
      <c r="F755" s="109"/>
      <c r="G755" s="356"/>
      <c r="H755" s="109"/>
      <c r="I755" s="109"/>
      <c r="J755" s="109"/>
      <c r="K755" s="109"/>
      <c r="L755" s="109"/>
      <c r="M755" s="109"/>
      <c r="N755" s="109"/>
      <c r="O755" s="109"/>
      <c r="P755" s="357"/>
      <c r="Q755" s="109"/>
      <c r="R755" s="109"/>
      <c r="S755" s="109"/>
      <c r="T755" s="109"/>
      <c r="U755" s="109"/>
      <c r="V755" s="109"/>
      <c r="W755" s="109"/>
      <c r="X755" s="109"/>
      <c r="Y755" s="109"/>
      <c r="Z755" s="109"/>
    </row>
    <row r="756">
      <c r="A756" s="109"/>
      <c r="B756" s="109"/>
      <c r="C756" s="109"/>
      <c r="D756" s="109"/>
      <c r="E756" s="109"/>
      <c r="F756" s="109"/>
      <c r="G756" s="356"/>
      <c r="H756" s="109"/>
      <c r="I756" s="109"/>
      <c r="J756" s="109"/>
      <c r="K756" s="109"/>
      <c r="L756" s="109"/>
      <c r="M756" s="109"/>
      <c r="N756" s="109"/>
      <c r="O756" s="109"/>
      <c r="P756" s="357"/>
      <c r="Q756" s="109"/>
      <c r="R756" s="109"/>
      <c r="S756" s="109"/>
      <c r="T756" s="109"/>
      <c r="U756" s="109"/>
      <c r="V756" s="109"/>
      <c r="W756" s="109"/>
      <c r="X756" s="109"/>
      <c r="Y756" s="109"/>
      <c r="Z756" s="109"/>
    </row>
    <row r="757">
      <c r="A757" s="109"/>
      <c r="B757" s="109"/>
      <c r="C757" s="109"/>
      <c r="D757" s="109"/>
      <c r="E757" s="109"/>
      <c r="F757" s="109"/>
      <c r="G757" s="356"/>
      <c r="H757" s="109"/>
      <c r="I757" s="109"/>
      <c r="J757" s="109"/>
      <c r="K757" s="109"/>
      <c r="L757" s="109"/>
      <c r="M757" s="109"/>
      <c r="N757" s="109"/>
      <c r="O757" s="109"/>
      <c r="P757" s="357"/>
      <c r="Q757" s="109"/>
      <c r="R757" s="109"/>
      <c r="S757" s="109"/>
      <c r="T757" s="109"/>
      <c r="U757" s="109"/>
      <c r="V757" s="109"/>
      <c r="W757" s="109"/>
      <c r="X757" s="109"/>
      <c r="Y757" s="109"/>
      <c r="Z757" s="109"/>
    </row>
    <row r="758">
      <c r="A758" s="109"/>
      <c r="B758" s="109"/>
      <c r="C758" s="109"/>
      <c r="D758" s="109"/>
      <c r="E758" s="109"/>
      <c r="F758" s="109"/>
      <c r="G758" s="356"/>
      <c r="H758" s="109"/>
      <c r="I758" s="109"/>
      <c r="J758" s="109"/>
      <c r="K758" s="109"/>
      <c r="L758" s="109"/>
      <c r="M758" s="109"/>
      <c r="N758" s="109"/>
      <c r="O758" s="109"/>
      <c r="P758" s="357"/>
      <c r="Q758" s="109"/>
      <c r="R758" s="109"/>
      <c r="S758" s="109"/>
      <c r="T758" s="109"/>
      <c r="U758" s="109"/>
      <c r="V758" s="109"/>
      <c r="W758" s="109"/>
      <c r="X758" s="109"/>
      <c r="Y758" s="109"/>
      <c r="Z758" s="109"/>
    </row>
    <row r="759">
      <c r="A759" s="109"/>
      <c r="B759" s="109"/>
      <c r="C759" s="109"/>
      <c r="D759" s="109"/>
      <c r="E759" s="109"/>
      <c r="F759" s="109"/>
      <c r="G759" s="356"/>
      <c r="H759" s="109"/>
      <c r="I759" s="109"/>
      <c r="J759" s="109"/>
      <c r="K759" s="109"/>
      <c r="L759" s="109"/>
      <c r="M759" s="109"/>
      <c r="N759" s="109"/>
      <c r="O759" s="109"/>
      <c r="P759" s="357"/>
      <c r="Q759" s="109"/>
      <c r="R759" s="109"/>
      <c r="S759" s="109"/>
      <c r="T759" s="109"/>
      <c r="U759" s="109"/>
      <c r="V759" s="109"/>
      <c r="W759" s="109"/>
      <c r="X759" s="109"/>
      <c r="Y759" s="109"/>
      <c r="Z759" s="109"/>
    </row>
    <row r="760">
      <c r="A760" s="109"/>
      <c r="B760" s="109"/>
      <c r="C760" s="109"/>
      <c r="D760" s="109"/>
      <c r="E760" s="109"/>
      <c r="F760" s="109"/>
      <c r="G760" s="356"/>
      <c r="H760" s="109"/>
      <c r="I760" s="109"/>
      <c r="J760" s="109"/>
      <c r="K760" s="109"/>
      <c r="L760" s="109"/>
      <c r="M760" s="109"/>
      <c r="N760" s="109"/>
      <c r="O760" s="109"/>
      <c r="P760" s="357"/>
      <c r="Q760" s="109"/>
      <c r="R760" s="109"/>
      <c r="S760" s="109"/>
      <c r="T760" s="109"/>
      <c r="U760" s="109"/>
      <c r="V760" s="109"/>
      <c r="W760" s="109"/>
      <c r="X760" s="109"/>
      <c r="Y760" s="109"/>
      <c r="Z760" s="109"/>
    </row>
    <row r="761">
      <c r="A761" s="109"/>
      <c r="B761" s="109"/>
      <c r="C761" s="109"/>
      <c r="D761" s="109"/>
      <c r="E761" s="109"/>
      <c r="F761" s="109"/>
      <c r="G761" s="356"/>
      <c r="H761" s="109"/>
      <c r="I761" s="109"/>
      <c r="J761" s="109"/>
      <c r="K761" s="109"/>
      <c r="L761" s="109"/>
      <c r="M761" s="109"/>
      <c r="N761" s="109"/>
      <c r="O761" s="109"/>
      <c r="P761" s="357"/>
      <c r="Q761" s="109"/>
      <c r="R761" s="109"/>
      <c r="S761" s="109"/>
      <c r="T761" s="109"/>
      <c r="U761" s="109"/>
      <c r="V761" s="109"/>
      <c r="W761" s="109"/>
      <c r="X761" s="109"/>
      <c r="Y761" s="109"/>
      <c r="Z761" s="109"/>
    </row>
    <row r="762">
      <c r="A762" s="109"/>
      <c r="B762" s="109"/>
      <c r="C762" s="109"/>
      <c r="D762" s="109"/>
      <c r="E762" s="109"/>
      <c r="F762" s="109"/>
      <c r="G762" s="356"/>
      <c r="H762" s="109"/>
      <c r="I762" s="109"/>
      <c r="J762" s="109"/>
      <c r="K762" s="109"/>
      <c r="L762" s="109"/>
      <c r="M762" s="109"/>
      <c r="N762" s="109"/>
      <c r="O762" s="109"/>
      <c r="P762" s="357"/>
      <c r="Q762" s="109"/>
      <c r="R762" s="109"/>
      <c r="S762" s="109"/>
      <c r="T762" s="109"/>
      <c r="U762" s="109"/>
      <c r="V762" s="109"/>
      <c r="W762" s="109"/>
      <c r="X762" s="109"/>
      <c r="Y762" s="109"/>
      <c r="Z762" s="109"/>
    </row>
    <row r="763">
      <c r="A763" s="109"/>
      <c r="B763" s="109"/>
      <c r="C763" s="109"/>
      <c r="D763" s="109"/>
      <c r="E763" s="109"/>
      <c r="F763" s="109"/>
      <c r="G763" s="356"/>
      <c r="H763" s="109"/>
      <c r="I763" s="109"/>
      <c r="J763" s="109"/>
      <c r="K763" s="109"/>
      <c r="L763" s="109"/>
      <c r="M763" s="109"/>
      <c r="N763" s="109"/>
      <c r="O763" s="109"/>
      <c r="P763" s="357"/>
      <c r="Q763" s="109"/>
      <c r="R763" s="109"/>
      <c r="S763" s="109"/>
      <c r="T763" s="109"/>
      <c r="U763" s="109"/>
      <c r="V763" s="109"/>
      <c r="W763" s="109"/>
      <c r="X763" s="109"/>
      <c r="Y763" s="109"/>
      <c r="Z763" s="109"/>
    </row>
    <row r="764">
      <c r="A764" s="109"/>
      <c r="B764" s="109"/>
      <c r="C764" s="109"/>
      <c r="D764" s="109"/>
      <c r="E764" s="109"/>
      <c r="F764" s="109"/>
      <c r="G764" s="356"/>
      <c r="H764" s="109"/>
      <c r="I764" s="109"/>
      <c r="J764" s="109"/>
      <c r="K764" s="109"/>
      <c r="L764" s="109"/>
      <c r="M764" s="109"/>
      <c r="N764" s="109"/>
      <c r="O764" s="109"/>
      <c r="P764" s="357"/>
      <c r="Q764" s="109"/>
      <c r="R764" s="109"/>
      <c r="S764" s="109"/>
      <c r="T764" s="109"/>
      <c r="U764" s="109"/>
      <c r="V764" s="109"/>
      <c r="W764" s="109"/>
      <c r="X764" s="109"/>
      <c r="Y764" s="109"/>
      <c r="Z764" s="109"/>
    </row>
    <row r="765">
      <c r="A765" s="109"/>
      <c r="B765" s="109"/>
      <c r="C765" s="109"/>
      <c r="D765" s="109"/>
      <c r="E765" s="109"/>
      <c r="F765" s="109"/>
      <c r="G765" s="356"/>
      <c r="H765" s="109"/>
      <c r="I765" s="109"/>
      <c r="J765" s="109"/>
      <c r="K765" s="109"/>
      <c r="L765" s="109"/>
      <c r="M765" s="109"/>
      <c r="N765" s="109"/>
      <c r="O765" s="109"/>
      <c r="P765" s="357"/>
      <c r="Q765" s="109"/>
      <c r="R765" s="109"/>
      <c r="S765" s="109"/>
      <c r="T765" s="109"/>
      <c r="U765" s="109"/>
      <c r="V765" s="109"/>
      <c r="W765" s="109"/>
      <c r="X765" s="109"/>
      <c r="Y765" s="109"/>
      <c r="Z765" s="109"/>
    </row>
    <row r="766">
      <c r="A766" s="109"/>
      <c r="B766" s="109"/>
      <c r="C766" s="109"/>
      <c r="D766" s="109"/>
      <c r="E766" s="109"/>
      <c r="F766" s="109"/>
      <c r="G766" s="356"/>
      <c r="H766" s="109"/>
      <c r="I766" s="109"/>
      <c r="J766" s="109"/>
      <c r="K766" s="109"/>
      <c r="L766" s="109"/>
      <c r="M766" s="109"/>
      <c r="N766" s="109"/>
      <c r="O766" s="109"/>
      <c r="P766" s="357"/>
      <c r="Q766" s="109"/>
      <c r="R766" s="109"/>
      <c r="S766" s="109"/>
      <c r="T766" s="109"/>
      <c r="U766" s="109"/>
      <c r="V766" s="109"/>
      <c r="W766" s="109"/>
      <c r="X766" s="109"/>
      <c r="Y766" s="109"/>
      <c r="Z766" s="109"/>
    </row>
    <row r="767">
      <c r="A767" s="109"/>
      <c r="B767" s="109"/>
      <c r="C767" s="109"/>
      <c r="D767" s="109"/>
      <c r="E767" s="109"/>
      <c r="F767" s="109"/>
      <c r="G767" s="356"/>
      <c r="H767" s="109"/>
      <c r="I767" s="109"/>
      <c r="J767" s="109"/>
      <c r="K767" s="109"/>
      <c r="L767" s="109"/>
      <c r="M767" s="109"/>
      <c r="N767" s="109"/>
      <c r="O767" s="109"/>
      <c r="P767" s="357"/>
      <c r="Q767" s="109"/>
      <c r="R767" s="109"/>
      <c r="S767" s="109"/>
      <c r="T767" s="109"/>
      <c r="U767" s="109"/>
      <c r="V767" s="109"/>
      <c r="W767" s="109"/>
      <c r="X767" s="109"/>
      <c r="Y767" s="109"/>
      <c r="Z767" s="109"/>
    </row>
    <row r="768">
      <c r="A768" s="109"/>
      <c r="B768" s="109"/>
      <c r="C768" s="109"/>
      <c r="D768" s="109"/>
      <c r="E768" s="109"/>
      <c r="F768" s="109"/>
      <c r="G768" s="356"/>
      <c r="H768" s="109"/>
      <c r="I768" s="109"/>
      <c r="J768" s="109"/>
      <c r="K768" s="109"/>
      <c r="L768" s="109"/>
      <c r="M768" s="109"/>
      <c r="N768" s="109"/>
      <c r="O768" s="109"/>
      <c r="P768" s="357"/>
      <c r="Q768" s="109"/>
      <c r="R768" s="109"/>
      <c r="S768" s="109"/>
      <c r="T768" s="109"/>
      <c r="U768" s="109"/>
      <c r="V768" s="109"/>
      <c r="W768" s="109"/>
      <c r="X768" s="109"/>
      <c r="Y768" s="109"/>
      <c r="Z768" s="109"/>
    </row>
    <row r="769">
      <c r="A769" s="109"/>
      <c r="B769" s="109"/>
      <c r="C769" s="109"/>
      <c r="D769" s="109"/>
      <c r="E769" s="109"/>
      <c r="F769" s="109"/>
      <c r="G769" s="356"/>
      <c r="H769" s="109"/>
      <c r="I769" s="109"/>
      <c r="J769" s="109"/>
      <c r="K769" s="109"/>
      <c r="L769" s="109"/>
      <c r="M769" s="109"/>
      <c r="N769" s="109"/>
      <c r="O769" s="109"/>
      <c r="P769" s="357"/>
      <c r="Q769" s="109"/>
      <c r="R769" s="109"/>
      <c r="S769" s="109"/>
      <c r="T769" s="109"/>
      <c r="U769" s="109"/>
      <c r="V769" s="109"/>
      <c r="W769" s="109"/>
      <c r="X769" s="109"/>
      <c r="Y769" s="109"/>
      <c r="Z769" s="109"/>
    </row>
    <row r="770">
      <c r="A770" s="109"/>
      <c r="B770" s="109"/>
      <c r="C770" s="109"/>
      <c r="D770" s="109"/>
      <c r="E770" s="109"/>
      <c r="F770" s="109"/>
      <c r="G770" s="356"/>
      <c r="H770" s="109"/>
      <c r="I770" s="109"/>
      <c r="J770" s="109"/>
      <c r="K770" s="109"/>
      <c r="L770" s="109"/>
      <c r="M770" s="109"/>
      <c r="N770" s="109"/>
      <c r="O770" s="109"/>
      <c r="P770" s="357"/>
      <c r="Q770" s="109"/>
      <c r="R770" s="109"/>
      <c r="S770" s="109"/>
      <c r="T770" s="109"/>
      <c r="U770" s="109"/>
      <c r="V770" s="109"/>
      <c r="W770" s="109"/>
      <c r="X770" s="109"/>
      <c r="Y770" s="109"/>
      <c r="Z770" s="109"/>
    </row>
    <row r="771">
      <c r="A771" s="109"/>
      <c r="B771" s="109"/>
      <c r="C771" s="109"/>
      <c r="D771" s="109"/>
      <c r="E771" s="109"/>
      <c r="F771" s="109"/>
      <c r="G771" s="356"/>
      <c r="H771" s="109"/>
      <c r="I771" s="109"/>
      <c r="J771" s="109"/>
      <c r="K771" s="109"/>
      <c r="L771" s="109"/>
      <c r="M771" s="109"/>
      <c r="N771" s="109"/>
      <c r="O771" s="109"/>
      <c r="P771" s="357"/>
      <c r="Q771" s="109"/>
      <c r="R771" s="109"/>
      <c r="S771" s="109"/>
      <c r="T771" s="109"/>
      <c r="U771" s="109"/>
      <c r="V771" s="109"/>
      <c r="W771" s="109"/>
      <c r="X771" s="109"/>
      <c r="Y771" s="109"/>
      <c r="Z771" s="109"/>
    </row>
    <row r="772">
      <c r="A772" s="109"/>
      <c r="B772" s="109"/>
      <c r="C772" s="109"/>
      <c r="D772" s="109"/>
      <c r="E772" s="109"/>
      <c r="F772" s="109"/>
      <c r="G772" s="356"/>
      <c r="H772" s="109"/>
      <c r="I772" s="109"/>
      <c r="J772" s="109"/>
      <c r="K772" s="109"/>
      <c r="L772" s="109"/>
      <c r="M772" s="109"/>
      <c r="N772" s="109"/>
      <c r="O772" s="109"/>
      <c r="P772" s="357"/>
      <c r="Q772" s="109"/>
      <c r="R772" s="109"/>
      <c r="S772" s="109"/>
      <c r="T772" s="109"/>
      <c r="U772" s="109"/>
      <c r="V772" s="109"/>
      <c r="W772" s="109"/>
      <c r="X772" s="109"/>
      <c r="Y772" s="109"/>
      <c r="Z772" s="109"/>
    </row>
    <row r="773">
      <c r="A773" s="109"/>
      <c r="B773" s="109"/>
      <c r="C773" s="109"/>
      <c r="D773" s="109"/>
      <c r="E773" s="109"/>
      <c r="F773" s="109"/>
      <c r="G773" s="356"/>
      <c r="H773" s="109"/>
      <c r="I773" s="109"/>
      <c r="J773" s="109"/>
      <c r="K773" s="109"/>
      <c r="L773" s="109"/>
      <c r="M773" s="109"/>
      <c r="N773" s="109"/>
      <c r="O773" s="109"/>
      <c r="P773" s="357"/>
      <c r="Q773" s="109"/>
      <c r="R773" s="109"/>
      <c r="S773" s="109"/>
      <c r="T773" s="109"/>
      <c r="U773" s="109"/>
      <c r="V773" s="109"/>
      <c r="W773" s="109"/>
      <c r="X773" s="109"/>
      <c r="Y773" s="109"/>
      <c r="Z773" s="109"/>
    </row>
    <row r="774">
      <c r="A774" s="109"/>
      <c r="B774" s="109"/>
      <c r="C774" s="109"/>
      <c r="D774" s="109"/>
      <c r="E774" s="109"/>
      <c r="F774" s="109"/>
      <c r="G774" s="356"/>
      <c r="H774" s="109"/>
      <c r="I774" s="109"/>
      <c r="J774" s="109"/>
      <c r="K774" s="109"/>
      <c r="L774" s="109"/>
      <c r="M774" s="109"/>
      <c r="N774" s="109"/>
      <c r="O774" s="109"/>
      <c r="P774" s="357"/>
      <c r="Q774" s="109"/>
      <c r="R774" s="109"/>
      <c r="S774" s="109"/>
      <c r="T774" s="109"/>
      <c r="U774" s="109"/>
      <c r="V774" s="109"/>
      <c r="W774" s="109"/>
      <c r="X774" s="109"/>
      <c r="Y774" s="109"/>
      <c r="Z774" s="109"/>
    </row>
    <row r="775">
      <c r="A775" s="109"/>
      <c r="B775" s="109"/>
      <c r="C775" s="109"/>
      <c r="D775" s="109"/>
      <c r="E775" s="109"/>
      <c r="F775" s="109"/>
      <c r="G775" s="356"/>
      <c r="H775" s="109"/>
      <c r="I775" s="109"/>
      <c r="J775" s="109"/>
      <c r="K775" s="109"/>
      <c r="L775" s="109"/>
      <c r="M775" s="109"/>
      <c r="N775" s="109"/>
      <c r="O775" s="109"/>
      <c r="P775" s="357"/>
      <c r="Q775" s="109"/>
      <c r="R775" s="109"/>
      <c r="S775" s="109"/>
      <c r="T775" s="109"/>
      <c r="U775" s="109"/>
      <c r="V775" s="109"/>
      <c r="W775" s="109"/>
      <c r="X775" s="109"/>
      <c r="Y775" s="109"/>
      <c r="Z775" s="109"/>
    </row>
    <row r="776">
      <c r="A776" s="109"/>
      <c r="B776" s="109"/>
      <c r="C776" s="109"/>
      <c r="D776" s="109"/>
      <c r="E776" s="109"/>
      <c r="F776" s="109"/>
      <c r="G776" s="356"/>
      <c r="H776" s="109"/>
      <c r="I776" s="109"/>
      <c r="J776" s="109"/>
      <c r="K776" s="109"/>
      <c r="L776" s="109"/>
      <c r="M776" s="109"/>
      <c r="N776" s="109"/>
      <c r="O776" s="109"/>
      <c r="P776" s="357"/>
      <c r="Q776" s="109"/>
      <c r="R776" s="109"/>
      <c r="S776" s="109"/>
      <c r="T776" s="109"/>
      <c r="U776" s="109"/>
      <c r="V776" s="109"/>
      <c r="W776" s="109"/>
      <c r="X776" s="109"/>
      <c r="Y776" s="109"/>
      <c r="Z776" s="109"/>
    </row>
    <row r="777">
      <c r="A777" s="109"/>
      <c r="B777" s="109"/>
      <c r="C777" s="109"/>
      <c r="D777" s="109"/>
      <c r="E777" s="109"/>
      <c r="F777" s="109"/>
      <c r="G777" s="356"/>
      <c r="H777" s="109"/>
      <c r="I777" s="109"/>
      <c r="J777" s="109"/>
      <c r="K777" s="109"/>
      <c r="L777" s="109"/>
      <c r="M777" s="109"/>
      <c r="N777" s="109"/>
      <c r="O777" s="109"/>
      <c r="P777" s="357"/>
      <c r="Q777" s="109"/>
      <c r="R777" s="109"/>
      <c r="S777" s="109"/>
      <c r="T777" s="109"/>
      <c r="U777" s="109"/>
      <c r="V777" s="109"/>
      <c r="W777" s="109"/>
      <c r="X777" s="109"/>
      <c r="Y777" s="109"/>
      <c r="Z777" s="109"/>
    </row>
    <row r="778">
      <c r="A778" s="109"/>
      <c r="B778" s="109"/>
      <c r="C778" s="109"/>
      <c r="D778" s="109"/>
      <c r="E778" s="109"/>
      <c r="F778" s="109"/>
      <c r="G778" s="356"/>
      <c r="H778" s="109"/>
      <c r="I778" s="109"/>
      <c r="J778" s="109"/>
      <c r="K778" s="109"/>
      <c r="L778" s="109"/>
      <c r="M778" s="109"/>
      <c r="N778" s="109"/>
      <c r="O778" s="109"/>
      <c r="P778" s="357"/>
      <c r="Q778" s="109"/>
      <c r="R778" s="109"/>
      <c r="S778" s="109"/>
      <c r="T778" s="109"/>
      <c r="U778" s="109"/>
      <c r="V778" s="109"/>
      <c r="W778" s="109"/>
      <c r="X778" s="109"/>
      <c r="Y778" s="109"/>
      <c r="Z778" s="109"/>
    </row>
    <row r="779">
      <c r="A779" s="109"/>
      <c r="B779" s="109"/>
      <c r="C779" s="109"/>
      <c r="D779" s="109"/>
      <c r="E779" s="109"/>
      <c r="F779" s="109"/>
      <c r="G779" s="356"/>
      <c r="H779" s="109"/>
      <c r="I779" s="109"/>
      <c r="J779" s="109"/>
      <c r="K779" s="109"/>
      <c r="L779" s="109"/>
      <c r="M779" s="109"/>
      <c r="N779" s="109"/>
      <c r="O779" s="109"/>
      <c r="P779" s="357"/>
      <c r="Q779" s="109"/>
      <c r="R779" s="109"/>
      <c r="S779" s="109"/>
      <c r="T779" s="109"/>
      <c r="U779" s="109"/>
      <c r="V779" s="109"/>
      <c r="W779" s="109"/>
      <c r="X779" s="109"/>
      <c r="Y779" s="109"/>
      <c r="Z779" s="109"/>
    </row>
    <row r="780">
      <c r="A780" s="109"/>
      <c r="B780" s="109"/>
      <c r="C780" s="109"/>
      <c r="D780" s="109"/>
      <c r="E780" s="109"/>
      <c r="F780" s="109"/>
      <c r="G780" s="356"/>
      <c r="H780" s="109"/>
      <c r="I780" s="109"/>
      <c r="J780" s="109"/>
      <c r="K780" s="109"/>
      <c r="L780" s="109"/>
      <c r="M780" s="109"/>
      <c r="N780" s="109"/>
      <c r="O780" s="109"/>
      <c r="P780" s="357"/>
      <c r="Q780" s="109"/>
      <c r="R780" s="109"/>
      <c r="S780" s="109"/>
      <c r="T780" s="109"/>
      <c r="U780" s="109"/>
      <c r="V780" s="109"/>
      <c r="W780" s="109"/>
      <c r="X780" s="109"/>
      <c r="Y780" s="109"/>
      <c r="Z780" s="109"/>
    </row>
    <row r="781">
      <c r="A781" s="109"/>
      <c r="B781" s="109"/>
      <c r="C781" s="109"/>
      <c r="D781" s="109"/>
      <c r="E781" s="109"/>
      <c r="F781" s="109"/>
      <c r="G781" s="356"/>
      <c r="H781" s="109"/>
      <c r="I781" s="109"/>
      <c r="J781" s="109"/>
      <c r="K781" s="109"/>
      <c r="L781" s="109"/>
      <c r="M781" s="109"/>
      <c r="N781" s="109"/>
      <c r="O781" s="109"/>
      <c r="P781" s="357"/>
      <c r="Q781" s="109"/>
      <c r="R781" s="109"/>
      <c r="S781" s="109"/>
      <c r="T781" s="109"/>
      <c r="U781" s="109"/>
      <c r="V781" s="109"/>
      <c r="W781" s="109"/>
      <c r="X781" s="109"/>
      <c r="Y781" s="109"/>
      <c r="Z781" s="109"/>
    </row>
    <row r="782">
      <c r="A782" s="109"/>
      <c r="B782" s="109"/>
      <c r="C782" s="109"/>
      <c r="D782" s="109"/>
      <c r="E782" s="109"/>
      <c r="F782" s="109"/>
      <c r="G782" s="356"/>
      <c r="H782" s="109"/>
      <c r="I782" s="109"/>
      <c r="J782" s="109"/>
      <c r="K782" s="109"/>
      <c r="L782" s="109"/>
      <c r="M782" s="109"/>
      <c r="N782" s="109"/>
      <c r="O782" s="109"/>
      <c r="P782" s="357"/>
      <c r="Q782" s="109"/>
      <c r="R782" s="109"/>
      <c r="S782" s="109"/>
      <c r="T782" s="109"/>
      <c r="U782" s="109"/>
      <c r="V782" s="109"/>
      <c r="W782" s="109"/>
      <c r="X782" s="109"/>
      <c r="Y782" s="109"/>
      <c r="Z782" s="109"/>
    </row>
    <row r="783">
      <c r="A783" s="109"/>
      <c r="B783" s="109"/>
      <c r="C783" s="109"/>
      <c r="D783" s="109"/>
      <c r="E783" s="109"/>
      <c r="F783" s="109"/>
      <c r="G783" s="356"/>
      <c r="H783" s="109"/>
      <c r="I783" s="109"/>
      <c r="J783" s="109"/>
      <c r="K783" s="109"/>
      <c r="L783" s="109"/>
      <c r="M783" s="109"/>
      <c r="N783" s="109"/>
      <c r="O783" s="109"/>
      <c r="P783" s="357"/>
      <c r="Q783" s="109"/>
      <c r="R783" s="109"/>
      <c r="S783" s="109"/>
      <c r="T783" s="109"/>
      <c r="U783" s="109"/>
      <c r="V783" s="109"/>
      <c r="W783" s="109"/>
      <c r="X783" s="109"/>
      <c r="Y783" s="109"/>
      <c r="Z783" s="109"/>
    </row>
    <row r="784">
      <c r="A784" s="109"/>
      <c r="B784" s="109"/>
      <c r="C784" s="109"/>
      <c r="D784" s="109"/>
      <c r="E784" s="109"/>
      <c r="F784" s="109"/>
      <c r="G784" s="356"/>
      <c r="H784" s="109"/>
      <c r="I784" s="109"/>
      <c r="J784" s="109"/>
      <c r="K784" s="109"/>
      <c r="L784" s="109"/>
      <c r="M784" s="109"/>
      <c r="N784" s="109"/>
      <c r="O784" s="109"/>
      <c r="P784" s="357"/>
      <c r="Q784" s="109"/>
      <c r="R784" s="109"/>
      <c r="S784" s="109"/>
      <c r="T784" s="109"/>
      <c r="U784" s="109"/>
      <c r="V784" s="109"/>
      <c r="W784" s="109"/>
      <c r="X784" s="109"/>
      <c r="Y784" s="109"/>
      <c r="Z784" s="109"/>
    </row>
    <row r="785">
      <c r="A785" s="109"/>
      <c r="B785" s="109"/>
      <c r="C785" s="109"/>
      <c r="D785" s="109"/>
      <c r="E785" s="109"/>
      <c r="F785" s="109"/>
      <c r="G785" s="356"/>
      <c r="H785" s="109"/>
      <c r="I785" s="109"/>
      <c r="J785" s="109"/>
      <c r="K785" s="109"/>
      <c r="L785" s="109"/>
      <c r="M785" s="109"/>
      <c r="N785" s="109"/>
      <c r="O785" s="109"/>
      <c r="P785" s="357"/>
      <c r="Q785" s="109"/>
      <c r="R785" s="109"/>
      <c r="S785" s="109"/>
      <c r="T785" s="109"/>
      <c r="U785" s="109"/>
      <c r="V785" s="109"/>
      <c r="W785" s="109"/>
      <c r="X785" s="109"/>
      <c r="Y785" s="109"/>
      <c r="Z785" s="109"/>
    </row>
    <row r="786">
      <c r="A786" s="109"/>
      <c r="B786" s="109"/>
      <c r="C786" s="109"/>
      <c r="D786" s="109"/>
      <c r="E786" s="109"/>
      <c r="F786" s="109"/>
      <c r="G786" s="356"/>
      <c r="H786" s="109"/>
      <c r="I786" s="109"/>
      <c r="J786" s="109"/>
      <c r="K786" s="109"/>
      <c r="L786" s="109"/>
      <c r="M786" s="109"/>
      <c r="N786" s="109"/>
      <c r="O786" s="109"/>
      <c r="P786" s="357"/>
      <c r="Q786" s="109"/>
      <c r="R786" s="109"/>
      <c r="S786" s="109"/>
      <c r="T786" s="109"/>
      <c r="U786" s="109"/>
      <c r="V786" s="109"/>
      <c r="W786" s="109"/>
      <c r="X786" s="109"/>
      <c r="Y786" s="109"/>
      <c r="Z786" s="109"/>
    </row>
    <row r="787">
      <c r="A787" s="109"/>
      <c r="B787" s="109"/>
      <c r="C787" s="109"/>
      <c r="D787" s="109"/>
      <c r="E787" s="109"/>
      <c r="F787" s="109"/>
      <c r="G787" s="356"/>
      <c r="H787" s="109"/>
      <c r="I787" s="109"/>
      <c r="J787" s="109"/>
      <c r="K787" s="109"/>
      <c r="L787" s="109"/>
      <c r="M787" s="109"/>
      <c r="N787" s="109"/>
      <c r="O787" s="109"/>
      <c r="P787" s="357"/>
      <c r="Q787" s="109"/>
      <c r="R787" s="109"/>
      <c r="S787" s="109"/>
      <c r="T787" s="109"/>
      <c r="U787" s="109"/>
      <c r="V787" s="109"/>
      <c r="W787" s="109"/>
      <c r="X787" s="109"/>
      <c r="Y787" s="109"/>
      <c r="Z787" s="109"/>
    </row>
    <row r="788">
      <c r="A788" s="109"/>
      <c r="B788" s="109"/>
      <c r="C788" s="109"/>
      <c r="D788" s="109"/>
      <c r="E788" s="109"/>
      <c r="F788" s="109"/>
      <c r="G788" s="356"/>
      <c r="H788" s="109"/>
      <c r="I788" s="109"/>
      <c r="J788" s="109"/>
      <c r="K788" s="109"/>
      <c r="L788" s="109"/>
      <c r="M788" s="109"/>
      <c r="N788" s="109"/>
      <c r="O788" s="109"/>
      <c r="P788" s="357"/>
      <c r="Q788" s="109"/>
      <c r="R788" s="109"/>
      <c r="S788" s="109"/>
      <c r="T788" s="109"/>
      <c r="U788" s="109"/>
      <c r="V788" s="109"/>
      <c r="W788" s="109"/>
      <c r="X788" s="109"/>
      <c r="Y788" s="109"/>
      <c r="Z788" s="109"/>
    </row>
    <row r="789">
      <c r="A789" s="109"/>
      <c r="B789" s="109"/>
      <c r="C789" s="109"/>
      <c r="D789" s="109"/>
      <c r="E789" s="109"/>
      <c r="F789" s="109"/>
      <c r="G789" s="356"/>
      <c r="H789" s="109"/>
      <c r="I789" s="109"/>
      <c r="J789" s="109"/>
      <c r="K789" s="109"/>
      <c r="L789" s="109"/>
      <c r="M789" s="109"/>
      <c r="N789" s="109"/>
      <c r="O789" s="109"/>
      <c r="P789" s="357"/>
      <c r="Q789" s="109"/>
      <c r="R789" s="109"/>
      <c r="S789" s="109"/>
      <c r="T789" s="109"/>
      <c r="U789" s="109"/>
      <c r="V789" s="109"/>
      <c r="W789" s="109"/>
      <c r="X789" s="109"/>
      <c r="Y789" s="109"/>
      <c r="Z789" s="109"/>
    </row>
    <row r="790">
      <c r="A790" s="109"/>
      <c r="B790" s="109"/>
      <c r="C790" s="109"/>
      <c r="D790" s="109"/>
      <c r="E790" s="109"/>
      <c r="F790" s="109"/>
      <c r="G790" s="356"/>
      <c r="H790" s="109"/>
      <c r="I790" s="109"/>
      <c r="J790" s="109"/>
      <c r="K790" s="109"/>
      <c r="L790" s="109"/>
      <c r="M790" s="109"/>
      <c r="N790" s="109"/>
      <c r="O790" s="109"/>
      <c r="P790" s="357"/>
      <c r="Q790" s="109"/>
      <c r="R790" s="109"/>
      <c r="S790" s="109"/>
      <c r="T790" s="109"/>
      <c r="U790" s="109"/>
      <c r="V790" s="109"/>
      <c r="W790" s="109"/>
      <c r="X790" s="109"/>
      <c r="Y790" s="109"/>
      <c r="Z790" s="109"/>
    </row>
    <row r="791">
      <c r="A791" s="109"/>
      <c r="B791" s="109"/>
      <c r="C791" s="109"/>
      <c r="D791" s="109"/>
      <c r="E791" s="109"/>
      <c r="F791" s="109"/>
      <c r="G791" s="356"/>
      <c r="H791" s="109"/>
      <c r="I791" s="109"/>
      <c r="J791" s="109"/>
      <c r="K791" s="109"/>
      <c r="L791" s="109"/>
      <c r="M791" s="109"/>
      <c r="N791" s="109"/>
      <c r="O791" s="109"/>
      <c r="P791" s="357"/>
      <c r="Q791" s="109"/>
      <c r="R791" s="109"/>
      <c r="S791" s="109"/>
      <c r="T791" s="109"/>
      <c r="U791" s="109"/>
      <c r="V791" s="109"/>
      <c r="W791" s="109"/>
      <c r="X791" s="109"/>
      <c r="Y791" s="109"/>
      <c r="Z791" s="109"/>
    </row>
    <row r="792">
      <c r="A792" s="109"/>
      <c r="B792" s="109"/>
      <c r="C792" s="109"/>
      <c r="D792" s="109"/>
      <c r="E792" s="109"/>
      <c r="F792" s="109"/>
      <c r="G792" s="356"/>
      <c r="H792" s="109"/>
      <c r="I792" s="109"/>
      <c r="J792" s="109"/>
      <c r="K792" s="109"/>
      <c r="L792" s="109"/>
      <c r="M792" s="109"/>
      <c r="N792" s="109"/>
      <c r="O792" s="109"/>
      <c r="P792" s="357"/>
      <c r="Q792" s="109"/>
      <c r="R792" s="109"/>
      <c r="S792" s="109"/>
      <c r="T792" s="109"/>
      <c r="U792" s="109"/>
      <c r="V792" s="109"/>
      <c r="W792" s="109"/>
      <c r="X792" s="109"/>
      <c r="Y792" s="109"/>
      <c r="Z792" s="109"/>
    </row>
    <row r="793">
      <c r="A793" s="109"/>
      <c r="B793" s="109"/>
      <c r="C793" s="109"/>
      <c r="D793" s="109"/>
      <c r="E793" s="109"/>
      <c r="F793" s="109"/>
      <c r="G793" s="356"/>
      <c r="H793" s="109"/>
      <c r="I793" s="109"/>
      <c r="J793" s="109"/>
      <c r="K793" s="109"/>
      <c r="L793" s="109"/>
      <c r="M793" s="109"/>
      <c r="N793" s="109"/>
      <c r="O793" s="109"/>
      <c r="P793" s="357"/>
      <c r="Q793" s="109"/>
      <c r="R793" s="109"/>
      <c r="S793" s="109"/>
      <c r="T793" s="109"/>
      <c r="U793" s="109"/>
      <c r="V793" s="109"/>
      <c r="W793" s="109"/>
      <c r="X793" s="109"/>
      <c r="Y793" s="109"/>
      <c r="Z793" s="109"/>
    </row>
    <row r="794">
      <c r="A794" s="109"/>
      <c r="B794" s="109"/>
      <c r="C794" s="109"/>
      <c r="D794" s="109"/>
      <c r="E794" s="109"/>
      <c r="F794" s="109"/>
      <c r="G794" s="356"/>
      <c r="H794" s="109"/>
      <c r="I794" s="109"/>
      <c r="J794" s="109"/>
      <c r="K794" s="109"/>
      <c r="L794" s="109"/>
      <c r="M794" s="109"/>
      <c r="N794" s="109"/>
      <c r="O794" s="109"/>
      <c r="P794" s="357"/>
      <c r="Q794" s="109"/>
      <c r="R794" s="109"/>
      <c r="S794" s="109"/>
      <c r="T794" s="109"/>
      <c r="U794" s="109"/>
      <c r="V794" s="109"/>
      <c r="W794" s="109"/>
      <c r="X794" s="109"/>
      <c r="Y794" s="109"/>
      <c r="Z794" s="109"/>
    </row>
    <row r="795">
      <c r="A795" s="109"/>
      <c r="B795" s="109"/>
      <c r="C795" s="109"/>
      <c r="D795" s="109"/>
      <c r="E795" s="109"/>
      <c r="F795" s="109"/>
      <c r="G795" s="356"/>
      <c r="H795" s="109"/>
      <c r="I795" s="109"/>
      <c r="J795" s="109"/>
      <c r="K795" s="109"/>
      <c r="L795" s="109"/>
      <c r="M795" s="109"/>
      <c r="N795" s="109"/>
      <c r="O795" s="109"/>
      <c r="P795" s="357"/>
      <c r="Q795" s="109"/>
      <c r="R795" s="109"/>
      <c r="S795" s="109"/>
      <c r="T795" s="109"/>
      <c r="U795" s="109"/>
      <c r="V795" s="109"/>
      <c r="W795" s="109"/>
      <c r="X795" s="109"/>
      <c r="Y795" s="109"/>
      <c r="Z795" s="109"/>
    </row>
    <row r="796">
      <c r="A796" s="109"/>
      <c r="B796" s="109"/>
      <c r="C796" s="109"/>
      <c r="D796" s="109"/>
      <c r="E796" s="109"/>
      <c r="F796" s="109"/>
      <c r="G796" s="356"/>
      <c r="H796" s="109"/>
      <c r="I796" s="109"/>
      <c r="J796" s="109"/>
      <c r="K796" s="109"/>
      <c r="L796" s="109"/>
      <c r="M796" s="109"/>
      <c r="N796" s="109"/>
      <c r="O796" s="109"/>
      <c r="P796" s="357"/>
      <c r="Q796" s="109"/>
      <c r="R796" s="109"/>
      <c r="S796" s="109"/>
      <c r="T796" s="109"/>
      <c r="U796" s="109"/>
      <c r="V796" s="109"/>
      <c r="W796" s="109"/>
      <c r="X796" s="109"/>
      <c r="Y796" s="109"/>
      <c r="Z796" s="109"/>
    </row>
    <row r="797">
      <c r="A797" s="109"/>
      <c r="B797" s="109"/>
      <c r="C797" s="109"/>
      <c r="D797" s="109"/>
      <c r="E797" s="109"/>
      <c r="F797" s="109"/>
      <c r="G797" s="356"/>
      <c r="H797" s="109"/>
      <c r="I797" s="109"/>
      <c r="J797" s="109"/>
      <c r="K797" s="109"/>
      <c r="L797" s="109"/>
      <c r="M797" s="109"/>
      <c r="N797" s="109"/>
      <c r="O797" s="109"/>
      <c r="P797" s="357"/>
      <c r="Q797" s="109"/>
      <c r="R797" s="109"/>
      <c r="S797" s="109"/>
      <c r="T797" s="109"/>
      <c r="U797" s="109"/>
      <c r="V797" s="109"/>
      <c r="W797" s="109"/>
      <c r="X797" s="109"/>
      <c r="Y797" s="109"/>
      <c r="Z797" s="109"/>
    </row>
    <row r="798">
      <c r="A798" s="109"/>
      <c r="B798" s="109"/>
      <c r="C798" s="109"/>
      <c r="D798" s="109"/>
      <c r="E798" s="109"/>
      <c r="F798" s="109"/>
      <c r="G798" s="356"/>
      <c r="H798" s="109"/>
      <c r="I798" s="109"/>
      <c r="J798" s="109"/>
      <c r="K798" s="109"/>
      <c r="L798" s="109"/>
      <c r="M798" s="109"/>
      <c r="N798" s="109"/>
      <c r="O798" s="109"/>
      <c r="P798" s="357"/>
      <c r="Q798" s="109"/>
      <c r="R798" s="109"/>
      <c r="S798" s="109"/>
      <c r="T798" s="109"/>
      <c r="U798" s="109"/>
      <c r="V798" s="109"/>
      <c r="W798" s="109"/>
      <c r="X798" s="109"/>
      <c r="Y798" s="109"/>
      <c r="Z798" s="109"/>
    </row>
    <row r="799">
      <c r="A799" s="109"/>
      <c r="B799" s="109"/>
      <c r="C799" s="109"/>
      <c r="D799" s="109"/>
      <c r="E799" s="109"/>
      <c r="F799" s="109"/>
      <c r="G799" s="356"/>
      <c r="H799" s="109"/>
      <c r="I799" s="109"/>
      <c r="J799" s="109"/>
      <c r="K799" s="109"/>
      <c r="L799" s="109"/>
      <c r="M799" s="109"/>
      <c r="N799" s="109"/>
      <c r="O799" s="109"/>
      <c r="P799" s="357"/>
      <c r="Q799" s="109"/>
      <c r="R799" s="109"/>
      <c r="S799" s="109"/>
      <c r="T799" s="109"/>
      <c r="U799" s="109"/>
      <c r="V799" s="109"/>
      <c r="W799" s="109"/>
      <c r="X799" s="109"/>
      <c r="Y799" s="109"/>
      <c r="Z799" s="109"/>
    </row>
    <row r="800">
      <c r="A800" s="109"/>
      <c r="B800" s="109"/>
      <c r="C800" s="109"/>
      <c r="D800" s="109"/>
      <c r="E800" s="109"/>
      <c r="F800" s="109"/>
      <c r="G800" s="356"/>
      <c r="H800" s="109"/>
      <c r="I800" s="109"/>
      <c r="J800" s="109"/>
      <c r="K800" s="109"/>
      <c r="L800" s="109"/>
      <c r="M800" s="109"/>
      <c r="N800" s="109"/>
      <c r="O800" s="109"/>
      <c r="P800" s="357"/>
      <c r="Q800" s="109"/>
      <c r="R800" s="109"/>
      <c r="S800" s="109"/>
      <c r="T800" s="109"/>
      <c r="U800" s="109"/>
      <c r="V800" s="109"/>
      <c r="W800" s="109"/>
      <c r="X800" s="109"/>
      <c r="Y800" s="109"/>
      <c r="Z800" s="109"/>
    </row>
    <row r="801">
      <c r="A801" s="109"/>
      <c r="B801" s="109"/>
      <c r="C801" s="109"/>
      <c r="D801" s="109"/>
      <c r="E801" s="109"/>
      <c r="F801" s="109"/>
      <c r="G801" s="356"/>
      <c r="H801" s="109"/>
      <c r="I801" s="109"/>
      <c r="J801" s="109"/>
      <c r="K801" s="109"/>
      <c r="L801" s="109"/>
      <c r="M801" s="109"/>
      <c r="N801" s="109"/>
      <c r="O801" s="109"/>
      <c r="P801" s="357"/>
      <c r="Q801" s="109"/>
      <c r="R801" s="109"/>
      <c r="S801" s="109"/>
      <c r="T801" s="109"/>
      <c r="U801" s="109"/>
      <c r="V801" s="109"/>
      <c r="W801" s="109"/>
      <c r="X801" s="109"/>
      <c r="Y801" s="109"/>
      <c r="Z801" s="109"/>
    </row>
    <row r="802">
      <c r="A802" s="109"/>
      <c r="B802" s="109"/>
      <c r="C802" s="109"/>
      <c r="D802" s="109"/>
      <c r="E802" s="109"/>
      <c r="F802" s="109"/>
      <c r="G802" s="356"/>
      <c r="H802" s="109"/>
      <c r="I802" s="109"/>
      <c r="J802" s="109"/>
      <c r="K802" s="109"/>
      <c r="L802" s="109"/>
      <c r="M802" s="109"/>
      <c r="N802" s="109"/>
      <c r="O802" s="109"/>
      <c r="P802" s="357"/>
      <c r="Q802" s="109"/>
      <c r="R802" s="109"/>
      <c r="S802" s="109"/>
      <c r="T802" s="109"/>
      <c r="U802" s="109"/>
      <c r="V802" s="109"/>
      <c r="W802" s="109"/>
      <c r="X802" s="109"/>
      <c r="Y802" s="109"/>
      <c r="Z802" s="109"/>
    </row>
    <row r="803">
      <c r="A803" s="109"/>
      <c r="B803" s="109"/>
      <c r="C803" s="109"/>
      <c r="D803" s="109"/>
      <c r="E803" s="109"/>
      <c r="F803" s="109"/>
      <c r="G803" s="356"/>
      <c r="H803" s="109"/>
      <c r="I803" s="109"/>
      <c r="J803" s="109"/>
      <c r="K803" s="109"/>
      <c r="L803" s="109"/>
      <c r="M803" s="109"/>
      <c r="N803" s="109"/>
      <c r="O803" s="109"/>
      <c r="P803" s="357"/>
      <c r="Q803" s="109"/>
      <c r="R803" s="109"/>
      <c r="S803" s="109"/>
      <c r="T803" s="109"/>
      <c r="U803" s="109"/>
      <c r="V803" s="109"/>
      <c r="W803" s="109"/>
      <c r="X803" s="109"/>
      <c r="Y803" s="109"/>
      <c r="Z803" s="109"/>
    </row>
    <row r="804">
      <c r="A804" s="109"/>
      <c r="B804" s="109"/>
      <c r="C804" s="109"/>
      <c r="D804" s="109"/>
      <c r="E804" s="109"/>
      <c r="F804" s="109"/>
      <c r="G804" s="356"/>
      <c r="H804" s="109"/>
      <c r="I804" s="109"/>
      <c r="J804" s="109"/>
      <c r="K804" s="109"/>
      <c r="L804" s="109"/>
      <c r="M804" s="109"/>
      <c r="N804" s="109"/>
      <c r="O804" s="109"/>
      <c r="P804" s="357"/>
      <c r="Q804" s="109"/>
      <c r="R804" s="109"/>
      <c r="S804" s="109"/>
      <c r="T804" s="109"/>
      <c r="U804" s="109"/>
      <c r="V804" s="109"/>
      <c r="W804" s="109"/>
      <c r="X804" s="109"/>
      <c r="Y804" s="109"/>
      <c r="Z804" s="109"/>
    </row>
    <row r="805">
      <c r="A805" s="109"/>
      <c r="B805" s="109"/>
      <c r="C805" s="109"/>
      <c r="D805" s="109"/>
      <c r="E805" s="109"/>
      <c r="F805" s="109"/>
      <c r="G805" s="356"/>
      <c r="H805" s="109"/>
      <c r="I805" s="109"/>
      <c r="J805" s="109"/>
      <c r="K805" s="109"/>
      <c r="L805" s="109"/>
      <c r="M805" s="109"/>
      <c r="N805" s="109"/>
      <c r="O805" s="109"/>
      <c r="P805" s="357"/>
      <c r="Q805" s="109"/>
      <c r="R805" s="109"/>
      <c r="S805" s="109"/>
      <c r="T805" s="109"/>
      <c r="U805" s="109"/>
      <c r="V805" s="109"/>
      <c r="W805" s="109"/>
      <c r="X805" s="109"/>
      <c r="Y805" s="109"/>
      <c r="Z805" s="109"/>
    </row>
    <row r="806">
      <c r="A806" s="109"/>
      <c r="B806" s="109"/>
      <c r="C806" s="109"/>
      <c r="D806" s="109"/>
      <c r="E806" s="109"/>
      <c r="F806" s="109"/>
      <c r="G806" s="356"/>
      <c r="H806" s="109"/>
      <c r="I806" s="109"/>
      <c r="J806" s="109"/>
      <c r="K806" s="109"/>
      <c r="L806" s="109"/>
      <c r="M806" s="109"/>
      <c r="N806" s="109"/>
      <c r="O806" s="109"/>
      <c r="P806" s="357"/>
      <c r="Q806" s="109"/>
      <c r="R806" s="109"/>
      <c r="S806" s="109"/>
      <c r="T806" s="109"/>
      <c r="U806" s="109"/>
      <c r="V806" s="109"/>
      <c r="W806" s="109"/>
      <c r="X806" s="109"/>
      <c r="Y806" s="109"/>
      <c r="Z806" s="109"/>
    </row>
    <row r="807">
      <c r="A807" s="109"/>
      <c r="B807" s="109"/>
      <c r="C807" s="109"/>
      <c r="D807" s="109"/>
      <c r="E807" s="109"/>
      <c r="F807" s="109"/>
      <c r="G807" s="356"/>
      <c r="H807" s="109"/>
      <c r="I807" s="109"/>
      <c r="J807" s="109"/>
      <c r="K807" s="109"/>
      <c r="L807" s="109"/>
      <c r="M807" s="109"/>
      <c r="N807" s="109"/>
      <c r="O807" s="109"/>
      <c r="P807" s="357"/>
      <c r="Q807" s="109"/>
      <c r="R807" s="109"/>
      <c r="S807" s="109"/>
      <c r="T807" s="109"/>
      <c r="U807" s="109"/>
      <c r="V807" s="109"/>
      <c r="W807" s="109"/>
      <c r="X807" s="109"/>
      <c r="Y807" s="109"/>
      <c r="Z807" s="109"/>
    </row>
    <row r="808">
      <c r="A808" s="109"/>
      <c r="B808" s="109"/>
      <c r="C808" s="109"/>
      <c r="D808" s="109"/>
      <c r="E808" s="109"/>
      <c r="F808" s="109"/>
      <c r="G808" s="356"/>
      <c r="H808" s="109"/>
      <c r="I808" s="109"/>
      <c r="J808" s="109"/>
      <c r="K808" s="109"/>
      <c r="L808" s="109"/>
      <c r="M808" s="109"/>
      <c r="N808" s="109"/>
      <c r="O808" s="109"/>
      <c r="P808" s="357"/>
      <c r="Q808" s="109"/>
      <c r="R808" s="109"/>
      <c r="S808" s="109"/>
      <c r="T808" s="109"/>
      <c r="U808" s="109"/>
      <c r="V808" s="109"/>
      <c r="W808" s="109"/>
      <c r="X808" s="109"/>
      <c r="Y808" s="109"/>
      <c r="Z808" s="109"/>
    </row>
    <row r="809">
      <c r="A809" s="109"/>
      <c r="B809" s="109"/>
      <c r="C809" s="109"/>
      <c r="D809" s="109"/>
      <c r="E809" s="109"/>
      <c r="F809" s="109"/>
      <c r="G809" s="356"/>
      <c r="H809" s="109"/>
      <c r="I809" s="109"/>
      <c r="J809" s="109"/>
      <c r="K809" s="109"/>
      <c r="L809" s="109"/>
      <c r="M809" s="109"/>
      <c r="N809" s="109"/>
      <c r="O809" s="109"/>
      <c r="P809" s="357"/>
      <c r="Q809" s="109"/>
      <c r="R809" s="109"/>
      <c r="S809" s="109"/>
      <c r="T809" s="109"/>
      <c r="U809" s="109"/>
      <c r="V809" s="109"/>
      <c r="W809" s="109"/>
      <c r="X809" s="109"/>
      <c r="Y809" s="109"/>
      <c r="Z809" s="109"/>
    </row>
    <row r="810">
      <c r="A810" s="109"/>
      <c r="B810" s="109"/>
      <c r="C810" s="109"/>
      <c r="D810" s="109"/>
      <c r="E810" s="109"/>
      <c r="F810" s="109"/>
      <c r="G810" s="356"/>
      <c r="H810" s="109"/>
      <c r="I810" s="109"/>
      <c r="J810" s="109"/>
      <c r="K810" s="109"/>
      <c r="L810" s="109"/>
      <c r="M810" s="109"/>
      <c r="N810" s="109"/>
      <c r="O810" s="109"/>
      <c r="P810" s="357"/>
      <c r="Q810" s="109"/>
      <c r="R810" s="109"/>
      <c r="S810" s="109"/>
      <c r="T810" s="109"/>
      <c r="U810" s="109"/>
      <c r="V810" s="109"/>
      <c r="W810" s="109"/>
      <c r="X810" s="109"/>
      <c r="Y810" s="109"/>
      <c r="Z810" s="109"/>
    </row>
    <row r="811">
      <c r="A811" s="109"/>
      <c r="B811" s="109"/>
      <c r="C811" s="109"/>
      <c r="D811" s="109"/>
      <c r="E811" s="109"/>
      <c r="F811" s="109"/>
      <c r="G811" s="356"/>
      <c r="H811" s="109"/>
      <c r="I811" s="109"/>
      <c r="J811" s="109"/>
      <c r="K811" s="109"/>
      <c r="L811" s="109"/>
      <c r="M811" s="109"/>
      <c r="N811" s="109"/>
      <c r="O811" s="109"/>
      <c r="P811" s="357"/>
      <c r="Q811" s="109"/>
      <c r="R811" s="109"/>
      <c r="S811" s="109"/>
      <c r="T811" s="109"/>
      <c r="U811" s="109"/>
      <c r="V811" s="109"/>
      <c r="W811" s="109"/>
      <c r="X811" s="109"/>
      <c r="Y811" s="109"/>
      <c r="Z811" s="109"/>
    </row>
    <row r="812">
      <c r="A812" s="109"/>
      <c r="B812" s="109"/>
      <c r="C812" s="109"/>
      <c r="D812" s="109"/>
      <c r="E812" s="109"/>
      <c r="F812" s="109"/>
      <c r="G812" s="356"/>
      <c r="H812" s="109"/>
      <c r="I812" s="109"/>
      <c r="J812" s="109"/>
      <c r="K812" s="109"/>
      <c r="L812" s="109"/>
      <c r="M812" s="109"/>
      <c r="N812" s="109"/>
      <c r="O812" s="109"/>
      <c r="P812" s="357"/>
      <c r="Q812" s="109"/>
      <c r="R812" s="109"/>
      <c r="S812" s="109"/>
      <c r="T812" s="109"/>
      <c r="U812" s="109"/>
      <c r="V812" s="109"/>
      <c r="W812" s="109"/>
      <c r="X812" s="109"/>
      <c r="Y812" s="109"/>
      <c r="Z812" s="109"/>
    </row>
    <row r="813">
      <c r="A813" s="109"/>
      <c r="B813" s="109"/>
      <c r="C813" s="109"/>
      <c r="D813" s="109"/>
      <c r="E813" s="109"/>
      <c r="F813" s="109"/>
      <c r="G813" s="356"/>
      <c r="H813" s="109"/>
      <c r="I813" s="109"/>
      <c r="J813" s="109"/>
      <c r="K813" s="109"/>
      <c r="L813" s="109"/>
      <c r="M813" s="109"/>
      <c r="N813" s="109"/>
      <c r="O813" s="109"/>
      <c r="P813" s="357"/>
      <c r="Q813" s="109"/>
      <c r="R813" s="109"/>
      <c r="S813" s="109"/>
      <c r="T813" s="109"/>
      <c r="U813" s="109"/>
      <c r="V813" s="109"/>
      <c r="W813" s="109"/>
      <c r="X813" s="109"/>
      <c r="Y813" s="109"/>
      <c r="Z813" s="109"/>
    </row>
    <row r="814">
      <c r="A814" s="109"/>
      <c r="B814" s="109"/>
      <c r="C814" s="109"/>
      <c r="D814" s="109"/>
      <c r="E814" s="109"/>
      <c r="F814" s="109"/>
      <c r="G814" s="356"/>
      <c r="H814" s="109"/>
      <c r="I814" s="109"/>
      <c r="J814" s="109"/>
      <c r="K814" s="109"/>
      <c r="L814" s="109"/>
      <c r="M814" s="109"/>
      <c r="N814" s="109"/>
      <c r="O814" s="109"/>
      <c r="P814" s="357"/>
      <c r="Q814" s="109"/>
      <c r="R814" s="109"/>
      <c r="S814" s="109"/>
      <c r="T814" s="109"/>
      <c r="U814" s="109"/>
      <c r="V814" s="109"/>
      <c r="W814" s="109"/>
      <c r="X814" s="109"/>
      <c r="Y814" s="109"/>
      <c r="Z814" s="109"/>
    </row>
    <row r="815">
      <c r="A815" s="109"/>
      <c r="B815" s="109"/>
      <c r="C815" s="109"/>
      <c r="D815" s="109"/>
      <c r="E815" s="109"/>
      <c r="F815" s="109"/>
      <c r="G815" s="356"/>
      <c r="H815" s="109"/>
      <c r="I815" s="109"/>
      <c r="J815" s="109"/>
      <c r="K815" s="109"/>
      <c r="L815" s="109"/>
      <c r="M815" s="109"/>
      <c r="N815" s="109"/>
      <c r="O815" s="109"/>
      <c r="P815" s="357"/>
      <c r="Q815" s="109"/>
      <c r="R815" s="109"/>
      <c r="S815" s="109"/>
      <c r="T815" s="109"/>
      <c r="U815" s="109"/>
      <c r="V815" s="109"/>
      <c r="W815" s="109"/>
      <c r="X815" s="109"/>
      <c r="Y815" s="109"/>
      <c r="Z815" s="109"/>
    </row>
    <row r="816">
      <c r="A816" s="109"/>
      <c r="B816" s="109"/>
      <c r="C816" s="109"/>
      <c r="D816" s="109"/>
      <c r="E816" s="109"/>
      <c r="F816" s="109"/>
      <c r="G816" s="356"/>
      <c r="H816" s="109"/>
      <c r="I816" s="109"/>
      <c r="J816" s="109"/>
      <c r="K816" s="109"/>
      <c r="L816" s="109"/>
      <c r="M816" s="109"/>
      <c r="N816" s="109"/>
      <c r="O816" s="109"/>
      <c r="P816" s="357"/>
      <c r="Q816" s="109"/>
      <c r="R816" s="109"/>
      <c r="S816" s="109"/>
      <c r="T816" s="109"/>
      <c r="U816" s="109"/>
      <c r="V816" s="109"/>
      <c r="W816" s="109"/>
      <c r="X816" s="109"/>
      <c r="Y816" s="109"/>
      <c r="Z816" s="109"/>
    </row>
    <row r="817">
      <c r="A817" s="109"/>
      <c r="B817" s="109"/>
      <c r="C817" s="109"/>
      <c r="D817" s="109"/>
      <c r="E817" s="109"/>
      <c r="F817" s="109"/>
      <c r="G817" s="356"/>
      <c r="H817" s="109"/>
      <c r="I817" s="109"/>
      <c r="J817" s="109"/>
      <c r="K817" s="109"/>
      <c r="L817" s="109"/>
      <c r="M817" s="109"/>
      <c r="N817" s="109"/>
      <c r="O817" s="109"/>
      <c r="P817" s="357"/>
      <c r="Q817" s="109"/>
      <c r="R817" s="109"/>
      <c r="S817" s="109"/>
      <c r="T817" s="109"/>
      <c r="U817" s="109"/>
      <c r="V817" s="109"/>
      <c r="W817" s="109"/>
      <c r="X817" s="109"/>
      <c r="Y817" s="109"/>
      <c r="Z817" s="109"/>
    </row>
    <row r="818">
      <c r="A818" s="109"/>
      <c r="B818" s="109"/>
      <c r="C818" s="109"/>
      <c r="D818" s="109"/>
      <c r="E818" s="109"/>
      <c r="F818" s="109"/>
      <c r="G818" s="356"/>
      <c r="H818" s="109"/>
      <c r="I818" s="109"/>
      <c r="J818" s="109"/>
      <c r="K818" s="109"/>
      <c r="L818" s="109"/>
      <c r="M818" s="109"/>
      <c r="N818" s="109"/>
      <c r="O818" s="109"/>
      <c r="P818" s="357"/>
      <c r="Q818" s="109"/>
      <c r="R818" s="109"/>
      <c r="S818" s="109"/>
      <c r="T818" s="109"/>
      <c r="U818" s="109"/>
      <c r="V818" s="109"/>
      <c r="W818" s="109"/>
      <c r="X818" s="109"/>
      <c r="Y818" s="109"/>
      <c r="Z818" s="109"/>
    </row>
    <row r="819">
      <c r="A819" s="109"/>
      <c r="B819" s="109"/>
      <c r="C819" s="109"/>
      <c r="D819" s="109"/>
      <c r="E819" s="109"/>
      <c r="F819" s="109"/>
      <c r="G819" s="356"/>
      <c r="H819" s="109"/>
      <c r="I819" s="109"/>
      <c r="J819" s="109"/>
      <c r="K819" s="109"/>
      <c r="L819" s="109"/>
      <c r="M819" s="109"/>
      <c r="N819" s="109"/>
      <c r="O819" s="109"/>
      <c r="P819" s="357"/>
      <c r="Q819" s="109"/>
      <c r="R819" s="109"/>
      <c r="S819" s="109"/>
      <c r="T819" s="109"/>
      <c r="U819" s="109"/>
      <c r="V819" s="109"/>
      <c r="W819" s="109"/>
      <c r="X819" s="109"/>
      <c r="Y819" s="109"/>
      <c r="Z819" s="109"/>
    </row>
    <row r="820">
      <c r="A820" s="109"/>
      <c r="B820" s="109"/>
      <c r="C820" s="109"/>
      <c r="D820" s="109"/>
      <c r="E820" s="109"/>
      <c r="F820" s="109"/>
      <c r="G820" s="356"/>
      <c r="H820" s="109"/>
      <c r="I820" s="109"/>
      <c r="J820" s="109"/>
      <c r="K820" s="109"/>
      <c r="L820" s="109"/>
      <c r="M820" s="109"/>
      <c r="N820" s="109"/>
      <c r="O820" s="109"/>
      <c r="P820" s="357"/>
      <c r="Q820" s="109"/>
      <c r="R820" s="109"/>
      <c r="S820" s="109"/>
      <c r="T820" s="109"/>
      <c r="U820" s="109"/>
      <c r="V820" s="109"/>
      <c r="W820" s="109"/>
      <c r="X820" s="109"/>
      <c r="Y820" s="109"/>
      <c r="Z820" s="109"/>
    </row>
    <row r="821">
      <c r="A821" s="109"/>
      <c r="B821" s="109"/>
      <c r="C821" s="109"/>
      <c r="D821" s="109"/>
      <c r="E821" s="109"/>
      <c r="F821" s="109"/>
      <c r="G821" s="356"/>
      <c r="H821" s="109"/>
      <c r="I821" s="109"/>
      <c r="J821" s="109"/>
      <c r="K821" s="109"/>
      <c r="L821" s="109"/>
      <c r="M821" s="109"/>
      <c r="N821" s="109"/>
      <c r="O821" s="109"/>
      <c r="P821" s="357"/>
      <c r="Q821" s="109"/>
      <c r="R821" s="109"/>
      <c r="S821" s="109"/>
      <c r="T821" s="109"/>
      <c r="U821" s="109"/>
      <c r="V821" s="109"/>
      <c r="W821" s="109"/>
      <c r="X821" s="109"/>
      <c r="Y821" s="109"/>
      <c r="Z821" s="109"/>
    </row>
    <row r="822">
      <c r="A822" s="109"/>
      <c r="B822" s="109"/>
      <c r="C822" s="109"/>
      <c r="D822" s="109"/>
      <c r="E822" s="109"/>
      <c r="F822" s="109"/>
      <c r="G822" s="356"/>
      <c r="H822" s="109"/>
      <c r="I822" s="109"/>
      <c r="J822" s="109"/>
      <c r="K822" s="109"/>
      <c r="L822" s="109"/>
      <c r="M822" s="109"/>
      <c r="N822" s="109"/>
      <c r="O822" s="109"/>
      <c r="P822" s="357"/>
      <c r="Q822" s="109"/>
      <c r="R822" s="109"/>
      <c r="S822" s="109"/>
      <c r="T822" s="109"/>
      <c r="U822" s="109"/>
      <c r="V822" s="109"/>
      <c r="W822" s="109"/>
      <c r="X822" s="109"/>
      <c r="Y822" s="109"/>
      <c r="Z822" s="109"/>
    </row>
    <row r="823">
      <c r="A823" s="109"/>
      <c r="B823" s="109"/>
      <c r="C823" s="109"/>
      <c r="D823" s="109"/>
      <c r="E823" s="109"/>
      <c r="F823" s="109"/>
      <c r="G823" s="356"/>
      <c r="H823" s="109"/>
      <c r="I823" s="109"/>
      <c r="J823" s="109"/>
      <c r="K823" s="109"/>
      <c r="L823" s="109"/>
      <c r="M823" s="109"/>
      <c r="N823" s="109"/>
      <c r="O823" s="109"/>
      <c r="P823" s="357"/>
      <c r="Q823" s="109"/>
      <c r="R823" s="109"/>
      <c r="S823" s="109"/>
      <c r="T823" s="109"/>
      <c r="U823" s="109"/>
      <c r="V823" s="109"/>
      <c r="W823" s="109"/>
      <c r="X823" s="109"/>
      <c r="Y823" s="109"/>
      <c r="Z823" s="109"/>
    </row>
    <row r="824">
      <c r="A824" s="109"/>
      <c r="B824" s="109"/>
      <c r="C824" s="109"/>
      <c r="D824" s="109"/>
      <c r="E824" s="109"/>
      <c r="F824" s="109"/>
      <c r="G824" s="356"/>
      <c r="H824" s="109"/>
      <c r="I824" s="109"/>
      <c r="J824" s="109"/>
      <c r="K824" s="109"/>
      <c r="L824" s="109"/>
      <c r="M824" s="109"/>
      <c r="N824" s="109"/>
      <c r="O824" s="109"/>
      <c r="P824" s="357"/>
      <c r="Q824" s="109"/>
      <c r="R824" s="109"/>
      <c r="S824" s="109"/>
      <c r="T824" s="109"/>
      <c r="U824" s="109"/>
      <c r="V824" s="109"/>
      <c r="W824" s="109"/>
      <c r="X824" s="109"/>
      <c r="Y824" s="109"/>
      <c r="Z824" s="109"/>
    </row>
    <row r="825">
      <c r="A825" s="109"/>
      <c r="B825" s="109"/>
      <c r="C825" s="109"/>
      <c r="D825" s="109"/>
      <c r="E825" s="109"/>
      <c r="F825" s="109"/>
      <c r="G825" s="356"/>
      <c r="H825" s="109"/>
      <c r="I825" s="109"/>
      <c r="J825" s="109"/>
      <c r="K825" s="109"/>
      <c r="L825" s="109"/>
      <c r="M825" s="109"/>
      <c r="N825" s="109"/>
      <c r="O825" s="109"/>
      <c r="P825" s="357"/>
      <c r="Q825" s="109"/>
      <c r="R825" s="109"/>
      <c r="S825" s="109"/>
      <c r="T825" s="109"/>
      <c r="U825" s="109"/>
      <c r="V825" s="109"/>
      <c r="W825" s="109"/>
      <c r="X825" s="109"/>
      <c r="Y825" s="109"/>
      <c r="Z825" s="109"/>
    </row>
    <row r="826">
      <c r="A826" s="109"/>
      <c r="B826" s="109"/>
      <c r="C826" s="109"/>
      <c r="D826" s="109"/>
      <c r="E826" s="109"/>
      <c r="F826" s="109"/>
      <c r="G826" s="356"/>
      <c r="H826" s="109"/>
      <c r="I826" s="109"/>
      <c r="J826" s="109"/>
      <c r="K826" s="109"/>
      <c r="L826" s="109"/>
      <c r="M826" s="109"/>
      <c r="N826" s="109"/>
      <c r="O826" s="109"/>
      <c r="P826" s="357"/>
      <c r="Q826" s="109"/>
      <c r="R826" s="109"/>
      <c r="S826" s="109"/>
      <c r="T826" s="109"/>
      <c r="U826" s="109"/>
      <c r="V826" s="109"/>
      <c r="W826" s="109"/>
      <c r="X826" s="109"/>
      <c r="Y826" s="109"/>
      <c r="Z826" s="109"/>
    </row>
    <row r="827">
      <c r="A827" s="109"/>
      <c r="B827" s="109"/>
      <c r="C827" s="109"/>
      <c r="D827" s="109"/>
      <c r="E827" s="109"/>
      <c r="F827" s="109"/>
      <c r="G827" s="356"/>
      <c r="H827" s="109"/>
      <c r="I827" s="109"/>
      <c r="J827" s="109"/>
      <c r="K827" s="109"/>
      <c r="L827" s="109"/>
      <c r="M827" s="109"/>
      <c r="N827" s="109"/>
      <c r="O827" s="109"/>
      <c r="P827" s="357"/>
      <c r="Q827" s="109"/>
      <c r="R827" s="109"/>
      <c r="S827" s="109"/>
      <c r="T827" s="109"/>
      <c r="U827" s="109"/>
      <c r="V827" s="109"/>
      <c r="W827" s="109"/>
      <c r="X827" s="109"/>
      <c r="Y827" s="109"/>
      <c r="Z827" s="109"/>
    </row>
    <row r="828">
      <c r="A828" s="109"/>
      <c r="B828" s="109"/>
      <c r="C828" s="109"/>
      <c r="D828" s="109"/>
      <c r="E828" s="109"/>
      <c r="F828" s="109"/>
      <c r="G828" s="356"/>
      <c r="H828" s="109"/>
      <c r="I828" s="109"/>
      <c r="J828" s="109"/>
      <c r="K828" s="109"/>
      <c r="L828" s="109"/>
      <c r="M828" s="109"/>
      <c r="N828" s="109"/>
      <c r="O828" s="109"/>
      <c r="P828" s="357"/>
      <c r="Q828" s="109"/>
      <c r="R828" s="109"/>
      <c r="S828" s="109"/>
      <c r="T828" s="109"/>
      <c r="U828" s="109"/>
      <c r="V828" s="109"/>
      <c r="W828" s="109"/>
      <c r="X828" s="109"/>
      <c r="Y828" s="109"/>
      <c r="Z828" s="109"/>
    </row>
    <row r="829">
      <c r="A829" s="109"/>
      <c r="B829" s="109"/>
      <c r="C829" s="109"/>
      <c r="D829" s="109"/>
      <c r="E829" s="109"/>
      <c r="F829" s="109"/>
      <c r="G829" s="356"/>
      <c r="H829" s="109"/>
      <c r="I829" s="109"/>
      <c r="J829" s="109"/>
      <c r="K829" s="109"/>
      <c r="L829" s="109"/>
      <c r="M829" s="109"/>
      <c r="N829" s="109"/>
      <c r="O829" s="109"/>
      <c r="P829" s="357"/>
      <c r="Q829" s="109"/>
      <c r="R829" s="109"/>
      <c r="S829" s="109"/>
      <c r="T829" s="109"/>
      <c r="U829" s="109"/>
      <c r="V829" s="109"/>
      <c r="W829" s="109"/>
      <c r="X829" s="109"/>
      <c r="Y829" s="109"/>
      <c r="Z829" s="109"/>
    </row>
    <row r="830">
      <c r="A830" s="109"/>
      <c r="B830" s="109"/>
      <c r="C830" s="109"/>
      <c r="D830" s="109"/>
      <c r="E830" s="109"/>
      <c r="F830" s="109"/>
      <c r="G830" s="356"/>
      <c r="H830" s="109"/>
      <c r="I830" s="109"/>
      <c r="J830" s="109"/>
      <c r="K830" s="109"/>
      <c r="L830" s="109"/>
      <c r="M830" s="109"/>
      <c r="N830" s="109"/>
      <c r="O830" s="109"/>
      <c r="P830" s="357"/>
      <c r="Q830" s="109"/>
      <c r="R830" s="109"/>
      <c r="S830" s="109"/>
      <c r="T830" s="109"/>
      <c r="U830" s="109"/>
      <c r="V830" s="109"/>
      <c r="W830" s="109"/>
      <c r="X830" s="109"/>
      <c r="Y830" s="109"/>
      <c r="Z830" s="109"/>
    </row>
    <row r="831">
      <c r="A831" s="109"/>
      <c r="B831" s="109"/>
      <c r="C831" s="109"/>
      <c r="D831" s="109"/>
      <c r="E831" s="109"/>
      <c r="F831" s="109"/>
      <c r="G831" s="356"/>
      <c r="H831" s="109"/>
      <c r="I831" s="109"/>
      <c r="J831" s="109"/>
      <c r="K831" s="109"/>
      <c r="L831" s="109"/>
      <c r="M831" s="109"/>
      <c r="N831" s="109"/>
      <c r="O831" s="109"/>
      <c r="P831" s="357"/>
      <c r="Q831" s="109"/>
      <c r="R831" s="109"/>
      <c r="S831" s="109"/>
      <c r="T831" s="109"/>
      <c r="U831" s="109"/>
      <c r="V831" s="109"/>
      <c r="W831" s="109"/>
      <c r="X831" s="109"/>
      <c r="Y831" s="109"/>
      <c r="Z831" s="109"/>
    </row>
    <row r="832">
      <c r="A832" s="109"/>
      <c r="B832" s="109"/>
      <c r="C832" s="109"/>
      <c r="D832" s="109"/>
      <c r="E832" s="109"/>
      <c r="F832" s="109"/>
      <c r="G832" s="356"/>
      <c r="H832" s="109"/>
      <c r="I832" s="109"/>
      <c r="J832" s="109"/>
      <c r="K832" s="109"/>
      <c r="L832" s="109"/>
      <c r="M832" s="109"/>
      <c r="N832" s="109"/>
      <c r="O832" s="109"/>
      <c r="P832" s="357"/>
      <c r="Q832" s="109"/>
      <c r="R832" s="109"/>
      <c r="S832" s="109"/>
      <c r="T832" s="109"/>
      <c r="U832" s="109"/>
      <c r="V832" s="109"/>
      <c r="W832" s="109"/>
      <c r="X832" s="109"/>
      <c r="Y832" s="109"/>
      <c r="Z832" s="109"/>
    </row>
    <row r="833">
      <c r="A833" s="109"/>
      <c r="B833" s="109"/>
      <c r="C833" s="109"/>
      <c r="D833" s="109"/>
      <c r="E833" s="109"/>
      <c r="F833" s="109"/>
      <c r="G833" s="356"/>
      <c r="H833" s="109"/>
      <c r="I833" s="109"/>
      <c r="J833" s="109"/>
      <c r="K833" s="109"/>
      <c r="L833" s="109"/>
      <c r="M833" s="109"/>
      <c r="N833" s="109"/>
      <c r="O833" s="109"/>
      <c r="P833" s="357"/>
      <c r="Q833" s="109"/>
      <c r="R833" s="109"/>
      <c r="S833" s="109"/>
      <c r="T833" s="109"/>
      <c r="U833" s="109"/>
      <c r="V833" s="109"/>
      <c r="W833" s="109"/>
      <c r="X833" s="109"/>
      <c r="Y833" s="109"/>
      <c r="Z833" s="109"/>
    </row>
    <row r="834">
      <c r="A834" s="109"/>
      <c r="B834" s="109"/>
      <c r="C834" s="109"/>
      <c r="D834" s="109"/>
      <c r="E834" s="109"/>
      <c r="F834" s="109"/>
      <c r="G834" s="356"/>
      <c r="H834" s="109"/>
      <c r="I834" s="109"/>
      <c r="J834" s="109"/>
      <c r="K834" s="109"/>
      <c r="L834" s="109"/>
      <c r="M834" s="109"/>
      <c r="N834" s="109"/>
      <c r="O834" s="109"/>
      <c r="P834" s="357"/>
      <c r="Q834" s="109"/>
      <c r="R834" s="109"/>
      <c r="S834" s="109"/>
      <c r="T834" s="109"/>
      <c r="U834" s="109"/>
      <c r="V834" s="109"/>
      <c r="W834" s="109"/>
      <c r="X834" s="109"/>
      <c r="Y834" s="109"/>
      <c r="Z834" s="109"/>
    </row>
    <row r="835">
      <c r="A835" s="109"/>
      <c r="B835" s="109"/>
      <c r="C835" s="109"/>
      <c r="D835" s="109"/>
      <c r="E835" s="109"/>
      <c r="F835" s="109"/>
      <c r="G835" s="356"/>
      <c r="H835" s="109"/>
      <c r="I835" s="109"/>
      <c r="J835" s="109"/>
      <c r="K835" s="109"/>
      <c r="L835" s="109"/>
      <c r="M835" s="109"/>
      <c r="N835" s="109"/>
      <c r="O835" s="109"/>
      <c r="P835" s="357"/>
      <c r="Q835" s="109"/>
      <c r="R835" s="109"/>
      <c r="S835" s="109"/>
      <c r="T835" s="109"/>
      <c r="U835" s="109"/>
      <c r="V835" s="109"/>
      <c r="W835" s="109"/>
      <c r="X835" s="109"/>
      <c r="Y835" s="109"/>
      <c r="Z835" s="109"/>
    </row>
    <row r="836">
      <c r="A836" s="109"/>
      <c r="B836" s="109"/>
      <c r="C836" s="109"/>
      <c r="D836" s="109"/>
      <c r="E836" s="109"/>
      <c r="F836" s="109"/>
      <c r="G836" s="356"/>
      <c r="H836" s="109"/>
      <c r="I836" s="109"/>
      <c r="J836" s="109"/>
      <c r="K836" s="109"/>
      <c r="L836" s="109"/>
      <c r="M836" s="109"/>
      <c r="N836" s="109"/>
      <c r="O836" s="109"/>
      <c r="P836" s="357"/>
      <c r="Q836" s="109"/>
      <c r="R836" s="109"/>
      <c r="S836" s="109"/>
      <c r="T836" s="109"/>
      <c r="U836" s="109"/>
      <c r="V836" s="109"/>
      <c r="W836" s="109"/>
      <c r="X836" s="109"/>
      <c r="Y836" s="109"/>
      <c r="Z836" s="109"/>
    </row>
    <row r="837">
      <c r="A837" s="109"/>
      <c r="B837" s="109"/>
      <c r="C837" s="109"/>
      <c r="D837" s="109"/>
      <c r="E837" s="109"/>
      <c r="F837" s="109"/>
      <c r="G837" s="356"/>
      <c r="H837" s="109"/>
      <c r="I837" s="109"/>
      <c r="J837" s="109"/>
      <c r="K837" s="109"/>
      <c r="L837" s="109"/>
      <c r="M837" s="109"/>
      <c r="N837" s="109"/>
      <c r="O837" s="109"/>
      <c r="P837" s="357"/>
      <c r="Q837" s="109"/>
      <c r="R837" s="109"/>
      <c r="S837" s="109"/>
      <c r="T837" s="109"/>
      <c r="U837" s="109"/>
      <c r="V837" s="109"/>
      <c r="W837" s="109"/>
      <c r="X837" s="109"/>
      <c r="Y837" s="109"/>
      <c r="Z837" s="109"/>
    </row>
    <row r="838">
      <c r="A838" s="109"/>
      <c r="B838" s="109"/>
      <c r="C838" s="109"/>
      <c r="D838" s="109"/>
      <c r="E838" s="109"/>
      <c r="F838" s="109"/>
      <c r="G838" s="356"/>
      <c r="H838" s="109"/>
      <c r="I838" s="109"/>
      <c r="J838" s="109"/>
      <c r="K838" s="109"/>
      <c r="L838" s="109"/>
      <c r="M838" s="109"/>
      <c r="N838" s="109"/>
      <c r="O838" s="109"/>
      <c r="P838" s="357"/>
      <c r="Q838" s="109"/>
      <c r="R838" s="109"/>
      <c r="S838" s="109"/>
      <c r="T838" s="109"/>
      <c r="U838" s="109"/>
      <c r="V838" s="109"/>
      <c r="W838" s="109"/>
      <c r="X838" s="109"/>
      <c r="Y838" s="109"/>
      <c r="Z838" s="109"/>
    </row>
    <row r="839">
      <c r="A839" s="109"/>
      <c r="B839" s="109"/>
      <c r="C839" s="109"/>
      <c r="D839" s="109"/>
      <c r="E839" s="109"/>
      <c r="F839" s="109"/>
      <c r="G839" s="356"/>
      <c r="H839" s="109"/>
      <c r="I839" s="109"/>
      <c r="J839" s="109"/>
      <c r="K839" s="109"/>
      <c r="L839" s="109"/>
      <c r="M839" s="109"/>
      <c r="N839" s="109"/>
      <c r="O839" s="109"/>
      <c r="P839" s="357"/>
      <c r="Q839" s="109"/>
      <c r="R839" s="109"/>
      <c r="S839" s="109"/>
      <c r="T839" s="109"/>
      <c r="U839" s="109"/>
      <c r="V839" s="109"/>
      <c r="W839" s="109"/>
      <c r="X839" s="109"/>
      <c r="Y839" s="109"/>
      <c r="Z839" s="109"/>
    </row>
    <row r="840">
      <c r="A840" s="109"/>
      <c r="B840" s="109"/>
      <c r="C840" s="109"/>
      <c r="D840" s="109"/>
      <c r="E840" s="109"/>
      <c r="F840" s="109"/>
      <c r="G840" s="356"/>
      <c r="H840" s="109"/>
      <c r="I840" s="109"/>
      <c r="J840" s="109"/>
      <c r="K840" s="109"/>
      <c r="L840" s="109"/>
      <c r="M840" s="109"/>
      <c r="N840" s="109"/>
      <c r="O840" s="109"/>
      <c r="P840" s="357"/>
      <c r="Q840" s="109"/>
      <c r="R840" s="109"/>
      <c r="S840" s="109"/>
      <c r="T840" s="109"/>
      <c r="U840" s="109"/>
      <c r="V840" s="109"/>
      <c r="W840" s="109"/>
      <c r="X840" s="109"/>
      <c r="Y840" s="109"/>
      <c r="Z840" s="109"/>
    </row>
    <row r="841">
      <c r="A841" s="109"/>
      <c r="B841" s="109"/>
      <c r="C841" s="109"/>
      <c r="D841" s="109"/>
      <c r="E841" s="109"/>
      <c r="F841" s="109"/>
      <c r="G841" s="356"/>
      <c r="H841" s="109"/>
      <c r="I841" s="109"/>
      <c r="J841" s="109"/>
      <c r="K841" s="109"/>
      <c r="L841" s="109"/>
      <c r="M841" s="109"/>
      <c r="N841" s="109"/>
      <c r="O841" s="109"/>
      <c r="P841" s="357"/>
      <c r="Q841" s="109"/>
      <c r="R841" s="109"/>
      <c r="S841" s="109"/>
      <c r="T841" s="109"/>
      <c r="U841" s="109"/>
      <c r="V841" s="109"/>
      <c r="W841" s="109"/>
      <c r="X841" s="109"/>
      <c r="Y841" s="109"/>
      <c r="Z841" s="109"/>
    </row>
    <row r="842">
      <c r="A842" s="109"/>
      <c r="B842" s="109"/>
      <c r="C842" s="109"/>
      <c r="D842" s="109"/>
      <c r="E842" s="109"/>
      <c r="F842" s="109"/>
      <c r="G842" s="356"/>
      <c r="H842" s="109"/>
      <c r="I842" s="109"/>
      <c r="J842" s="109"/>
      <c r="K842" s="109"/>
      <c r="L842" s="109"/>
      <c r="M842" s="109"/>
      <c r="N842" s="109"/>
      <c r="O842" s="109"/>
      <c r="P842" s="357"/>
      <c r="Q842" s="109"/>
      <c r="R842" s="109"/>
      <c r="S842" s="109"/>
      <c r="T842" s="109"/>
      <c r="U842" s="109"/>
      <c r="V842" s="109"/>
      <c r="W842" s="109"/>
      <c r="X842" s="109"/>
      <c r="Y842" s="109"/>
      <c r="Z842" s="109"/>
    </row>
    <row r="843">
      <c r="A843" s="109"/>
      <c r="B843" s="109"/>
      <c r="C843" s="109"/>
      <c r="D843" s="109"/>
      <c r="E843" s="109"/>
      <c r="F843" s="109"/>
      <c r="G843" s="356"/>
      <c r="H843" s="109"/>
      <c r="I843" s="109"/>
      <c r="J843" s="109"/>
      <c r="K843" s="109"/>
      <c r="L843" s="109"/>
      <c r="M843" s="109"/>
      <c r="N843" s="109"/>
      <c r="O843" s="109"/>
      <c r="P843" s="357"/>
      <c r="Q843" s="109"/>
      <c r="R843" s="109"/>
      <c r="S843" s="109"/>
      <c r="T843" s="109"/>
      <c r="U843" s="109"/>
      <c r="V843" s="109"/>
      <c r="W843" s="109"/>
      <c r="X843" s="109"/>
      <c r="Y843" s="109"/>
      <c r="Z843" s="109"/>
    </row>
    <row r="844">
      <c r="A844" s="109"/>
      <c r="B844" s="109"/>
      <c r="C844" s="109"/>
      <c r="D844" s="109"/>
      <c r="E844" s="109"/>
      <c r="F844" s="109"/>
      <c r="G844" s="356"/>
      <c r="H844" s="109"/>
      <c r="I844" s="109"/>
      <c r="J844" s="109"/>
      <c r="K844" s="109"/>
      <c r="L844" s="109"/>
      <c r="M844" s="109"/>
      <c r="N844" s="109"/>
      <c r="O844" s="109"/>
      <c r="P844" s="357"/>
      <c r="Q844" s="109"/>
      <c r="R844" s="109"/>
      <c r="S844" s="109"/>
      <c r="T844" s="109"/>
      <c r="U844" s="109"/>
      <c r="V844" s="109"/>
      <c r="W844" s="109"/>
      <c r="X844" s="109"/>
      <c r="Y844" s="109"/>
      <c r="Z844" s="109"/>
    </row>
    <row r="845">
      <c r="A845" s="109"/>
      <c r="B845" s="109"/>
      <c r="C845" s="109"/>
      <c r="D845" s="109"/>
      <c r="E845" s="109"/>
      <c r="F845" s="109"/>
      <c r="G845" s="356"/>
      <c r="H845" s="109"/>
      <c r="I845" s="109"/>
      <c r="J845" s="109"/>
      <c r="K845" s="109"/>
      <c r="L845" s="109"/>
      <c r="M845" s="109"/>
      <c r="N845" s="109"/>
      <c r="O845" s="109"/>
      <c r="P845" s="357"/>
      <c r="Q845" s="109"/>
      <c r="R845" s="109"/>
      <c r="S845" s="109"/>
      <c r="T845" s="109"/>
      <c r="U845" s="109"/>
      <c r="V845" s="109"/>
      <c r="W845" s="109"/>
      <c r="X845" s="109"/>
      <c r="Y845" s="109"/>
      <c r="Z845" s="109"/>
    </row>
    <row r="846">
      <c r="A846" s="109"/>
      <c r="B846" s="109"/>
      <c r="C846" s="109"/>
      <c r="D846" s="109"/>
      <c r="E846" s="109"/>
      <c r="F846" s="109"/>
      <c r="G846" s="356"/>
      <c r="H846" s="109"/>
      <c r="I846" s="109"/>
      <c r="J846" s="109"/>
      <c r="K846" s="109"/>
      <c r="L846" s="109"/>
      <c r="M846" s="109"/>
      <c r="N846" s="109"/>
      <c r="O846" s="109"/>
      <c r="P846" s="357"/>
      <c r="Q846" s="109"/>
      <c r="R846" s="109"/>
      <c r="S846" s="109"/>
      <c r="T846" s="109"/>
      <c r="U846" s="109"/>
      <c r="V846" s="109"/>
      <c r="W846" s="109"/>
      <c r="X846" s="109"/>
      <c r="Y846" s="109"/>
      <c r="Z846" s="109"/>
    </row>
    <row r="847">
      <c r="A847" s="109"/>
      <c r="B847" s="109"/>
      <c r="C847" s="109"/>
      <c r="D847" s="109"/>
      <c r="E847" s="109"/>
      <c r="F847" s="109"/>
      <c r="G847" s="356"/>
      <c r="H847" s="109"/>
      <c r="I847" s="109"/>
      <c r="J847" s="109"/>
      <c r="K847" s="109"/>
      <c r="L847" s="109"/>
      <c r="M847" s="109"/>
      <c r="N847" s="109"/>
      <c r="O847" s="109"/>
      <c r="P847" s="357"/>
      <c r="Q847" s="109"/>
      <c r="R847" s="109"/>
      <c r="S847" s="109"/>
      <c r="T847" s="109"/>
      <c r="U847" s="109"/>
      <c r="V847" s="109"/>
      <c r="W847" s="109"/>
      <c r="X847" s="109"/>
      <c r="Y847" s="109"/>
      <c r="Z847" s="109"/>
    </row>
    <row r="848">
      <c r="A848" s="109"/>
      <c r="B848" s="109"/>
      <c r="C848" s="109"/>
      <c r="D848" s="109"/>
      <c r="E848" s="109"/>
      <c r="F848" s="109"/>
      <c r="G848" s="356"/>
      <c r="H848" s="109"/>
      <c r="I848" s="109"/>
      <c r="J848" s="109"/>
      <c r="K848" s="109"/>
      <c r="L848" s="109"/>
      <c r="M848" s="109"/>
      <c r="N848" s="109"/>
      <c r="O848" s="109"/>
      <c r="P848" s="357"/>
      <c r="Q848" s="109"/>
      <c r="R848" s="109"/>
      <c r="S848" s="109"/>
      <c r="T848" s="109"/>
      <c r="U848" s="109"/>
      <c r="V848" s="109"/>
      <c r="W848" s="109"/>
      <c r="X848" s="109"/>
      <c r="Y848" s="109"/>
      <c r="Z848" s="109"/>
    </row>
    <row r="849">
      <c r="A849" s="109"/>
      <c r="B849" s="109"/>
      <c r="C849" s="109"/>
      <c r="D849" s="109"/>
      <c r="E849" s="109"/>
      <c r="F849" s="109"/>
      <c r="G849" s="356"/>
      <c r="H849" s="109"/>
      <c r="I849" s="109"/>
      <c r="J849" s="109"/>
      <c r="K849" s="109"/>
      <c r="L849" s="109"/>
      <c r="M849" s="109"/>
      <c r="N849" s="109"/>
      <c r="O849" s="109"/>
      <c r="P849" s="357"/>
      <c r="Q849" s="109"/>
      <c r="R849" s="109"/>
      <c r="S849" s="109"/>
      <c r="T849" s="109"/>
      <c r="U849" s="109"/>
      <c r="V849" s="109"/>
      <c r="W849" s="109"/>
      <c r="X849" s="109"/>
      <c r="Y849" s="109"/>
      <c r="Z849" s="109"/>
    </row>
    <row r="850">
      <c r="A850" s="109"/>
      <c r="B850" s="109"/>
      <c r="C850" s="109"/>
      <c r="D850" s="109"/>
      <c r="E850" s="109"/>
      <c r="F850" s="109"/>
      <c r="G850" s="356"/>
      <c r="H850" s="109"/>
      <c r="I850" s="109"/>
      <c r="J850" s="109"/>
      <c r="K850" s="109"/>
      <c r="L850" s="109"/>
      <c r="M850" s="109"/>
      <c r="N850" s="109"/>
      <c r="O850" s="109"/>
      <c r="P850" s="357"/>
      <c r="Q850" s="109"/>
      <c r="R850" s="109"/>
      <c r="S850" s="109"/>
      <c r="T850" s="109"/>
      <c r="U850" s="109"/>
      <c r="V850" s="109"/>
      <c r="W850" s="109"/>
      <c r="X850" s="109"/>
      <c r="Y850" s="109"/>
      <c r="Z850" s="109"/>
    </row>
    <row r="851">
      <c r="A851" s="109"/>
      <c r="B851" s="109"/>
      <c r="C851" s="109"/>
      <c r="D851" s="109"/>
      <c r="E851" s="109"/>
      <c r="F851" s="109"/>
      <c r="G851" s="356"/>
      <c r="H851" s="109"/>
      <c r="I851" s="109"/>
      <c r="J851" s="109"/>
      <c r="K851" s="109"/>
      <c r="L851" s="109"/>
      <c r="M851" s="109"/>
      <c r="N851" s="109"/>
      <c r="O851" s="109"/>
      <c r="P851" s="357"/>
      <c r="Q851" s="109"/>
      <c r="R851" s="109"/>
      <c r="S851" s="109"/>
      <c r="T851" s="109"/>
      <c r="U851" s="109"/>
      <c r="V851" s="109"/>
      <c r="W851" s="109"/>
      <c r="X851" s="109"/>
      <c r="Y851" s="109"/>
      <c r="Z851" s="109"/>
    </row>
    <row r="852">
      <c r="A852" s="109"/>
      <c r="B852" s="109"/>
      <c r="C852" s="109"/>
      <c r="D852" s="109"/>
      <c r="E852" s="109"/>
      <c r="F852" s="109"/>
      <c r="G852" s="356"/>
      <c r="H852" s="109"/>
      <c r="I852" s="109"/>
      <c r="J852" s="109"/>
      <c r="K852" s="109"/>
      <c r="L852" s="109"/>
      <c r="M852" s="109"/>
      <c r="N852" s="109"/>
      <c r="O852" s="109"/>
      <c r="P852" s="357"/>
      <c r="Q852" s="109"/>
      <c r="R852" s="109"/>
      <c r="S852" s="109"/>
      <c r="T852" s="109"/>
      <c r="U852" s="109"/>
      <c r="V852" s="109"/>
      <c r="W852" s="109"/>
      <c r="X852" s="109"/>
      <c r="Y852" s="109"/>
      <c r="Z852" s="109"/>
    </row>
    <row r="853">
      <c r="A853" s="109"/>
      <c r="B853" s="109"/>
      <c r="C853" s="109"/>
      <c r="D853" s="109"/>
      <c r="E853" s="109"/>
      <c r="F853" s="109"/>
      <c r="G853" s="356"/>
      <c r="H853" s="109"/>
      <c r="I853" s="109"/>
      <c r="J853" s="109"/>
      <c r="K853" s="109"/>
      <c r="L853" s="109"/>
      <c r="M853" s="109"/>
      <c r="N853" s="109"/>
      <c r="O853" s="109"/>
      <c r="P853" s="357"/>
      <c r="Q853" s="109"/>
      <c r="R853" s="109"/>
      <c r="S853" s="109"/>
      <c r="T853" s="109"/>
      <c r="U853" s="109"/>
      <c r="V853" s="109"/>
      <c r="W853" s="109"/>
      <c r="X853" s="109"/>
      <c r="Y853" s="109"/>
      <c r="Z853" s="109"/>
    </row>
    <row r="854">
      <c r="A854" s="109"/>
      <c r="B854" s="109"/>
      <c r="C854" s="109"/>
      <c r="D854" s="109"/>
      <c r="E854" s="109"/>
      <c r="F854" s="109"/>
      <c r="G854" s="356"/>
      <c r="H854" s="109"/>
      <c r="I854" s="109"/>
      <c r="J854" s="109"/>
      <c r="K854" s="109"/>
      <c r="L854" s="109"/>
      <c r="M854" s="109"/>
      <c r="N854" s="109"/>
      <c r="O854" s="109"/>
      <c r="P854" s="357"/>
      <c r="Q854" s="109"/>
      <c r="R854" s="109"/>
      <c r="S854" s="109"/>
      <c r="T854" s="109"/>
      <c r="U854" s="109"/>
      <c r="V854" s="109"/>
      <c r="W854" s="109"/>
      <c r="X854" s="109"/>
      <c r="Y854" s="109"/>
      <c r="Z854" s="109"/>
    </row>
    <row r="855">
      <c r="A855" s="109"/>
      <c r="B855" s="109"/>
      <c r="C855" s="109"/>
      <c r="D855" s="109"/>
      <c r="E855" s="109"/>
      <c r="F855" s="109"/>
      <c r="G855" s="356"/>
      <c r="H855" s="109"/>
      <c r="I855" s="109"/>
      <c r="J855" s="109"/>
      <c r="K855" s="109"/>
      <c r="L855" s="109"/>
      <c r="M855" s="109"/>
      <c r="N855" s="109"/>
      <c r="O855" s="109"/>
      <c r="P855" s="357"/>
      <c r="Q855" s="109"/>
      <c r="R855" s="109"/>
      <c r="S855" s="109"/>
      <c r="T855" s="109"/>
      <c r="U855" s="109"/>
      <c r="V855" s="109"/>
      <c r="W855" s="109"/>
      <c r="X855" s="109"/>
      <c r="Y855" s="109"/>
      <c r="Z855" s="109"/>
    </row>
    <row r="856">
      <c r="A856" s="109"/>
      <c r="B856" s="109"/>
      <c r="C856" s="109"/>
      <c r="D856" s="109"/>
      <c r="E856" s="109"/>
      <c r="F856" s="109"/>
      <c r="G856" s="356"/>
      <c r="H856" s="109"/>
      <c r="I856" s="109"/>
      <c r="J856" s="109"/>
      <c r="K856" s="109"/>
      <c r="L856" s="109"/>
      <c r="M856" s="109"/>
      <c r="N856" s="109"/>
      <c r="O856" s="109"/>
      <c r="P856" s="357"/>
      <c r="Q856" s="109"/>
      <c r="R856" s="109"/>
      <c r="S856" s="109"/>
      <c r="T856" s="109"/>
      <c r="U856" s="109"/>
      <c r="V856" s="109"/>
      <c r="W856" s="109"/>
      <c r="X856" s="109"/>
      <c r="Y856" s="109"/>
      <c r="Z856" s="109"/>
    </row>
    <row r="857">
      <c r="A857" s="109"/>
      <c r="B857" s="109"/>
      <c r="C857" s="109"/>
      <c r="D857" s="109"/>
      <c r="E857" s="109"/>
      <c r="F857" s="109"/>
      <c r="G857" s="356"/>
      <c r="H857" s="109"/>
      <c r="I857" s="109"/>
      <c r="J857" s="109"/>
      <c r="K857" s="109"/>
      <c r="L857" s="109"/>
      <c r="M857" s="109"/>
      <c r="N857" s="109"/>
      <c r="O857" s="109"/>
      <c r="P857" s="357"/>
      <c r="Q857" s="109"/>
      <c r="R857" s="109"/>
      <c r="S857" s="109"/>
      <c r="T857" s="109"/>
      <c r="U857" s="109"/>
      <c r="V857" s="109"/>
      <c r="W857" s="109"/>
      <c r="X857" s="109"/>
      <c r="Y857" s="109"/>
      <c r="Z857" s="109"/>
    </row>
    <row r="858">
      <c r="A858" s="109"/>
      <c r="B858" s="109"/>
      <c r="C858" s="109"/>
      <c r="D858" s="109"/>
      <c r="E858" s="109"/>
      <c r="F858" s="109"/>
      <c r="G858" s="356"/>
      <c r="H858" s="109"/>
      <c r="I858" s="109"/>
      <c r="J858" s="109"/>
      <c r="K858" s="109"/>
      <c r="L858" s="109"/>
      <c r="M858" s="109"/>
      <c r="N858" s="109"/>
      <c r="O858" s="109"/>
      <c r="P858" s="357"/>
      <c r="Q858" s="109"/>
      <c r="R858" s="109"/>
      <c r="S858" s="109"/>
      <c r="T858" s="109"/>
      <c r="U858" s="109"/>
      <c r="V858" s="109"/>
      <c r="W858" s="109"/>
      <c r="X858" s="109"/>
      <c r="Y858" s="109"/>
      <c r="Z858" s="109"/>
    </row>
    <row r="859">
      <c r="A859" s="109"/>
      <c r="B859" s="109"/>
      <c r="C859" s="109"/>
      <c r="D859" s="109"/>
      <c r="E859" s="109"/>
      <c r="F859" s="109"/>
      <c r="G859" s="356"/>
      <c r="H859" s="109"/>
      <c r="I859" s="109"/>
      <c r="J859" s="109"/>
      <c r="K859" s="109"/>
      <c r="L859" s="109"/>
      <c r="M859" s="109"/>
      <c r="N859" s="109"/>
      <c r="O859" s="109"/>
      <c r="P859" s="357"/>
      <c r="Q859" s="109"/>
      <c r="R859" s="109"/>
      <c r="S859" s="109"/>
      <c r="T859" s="109"/>
      <c r="U859" s="109"/>
      <c r="V859" s="109"/>
      <c r="W859" s="109"/>
      <c r="X859" s="109"/>
      <c r="Y859" s="109"/>
      <c r="Z859" s="109"/>
    </row>
    <row r="860">
      <c r="A860" s="109"/>
      <c r="B860" s="109"/>
      <c r="C860" s="109"/>
      <c r="D860" s="109"/>
      <c r="E860" s="109"/>
      <c r="F860" s="109"/>
      <c r="G860" s="356"/>
      <c r="H860" s="109"/>
      <c r="I860" s="109"/>
      <c r="J860" s="109"/>
      <c r="K860" s="109"/>
      <c r="L860" s="109"/>
      <c r="M860" s="109"/>
      <c r="N860" s="109"/>
      <c r="O860" s="109"/>
      <c r="P860" s="357"/>
      <c r="Q860" s="109"/>
      <c r="R860" s="109"/>
      <c r="S860" s="109"/>
      <c r="T860" s="109"/>
      <c r="U860" s="109"/>
      <c r="V860" s="109"/>
      <c r="W860" s="109"/>
      <c r="X860" s="109"/>
      <c r="Y860" s="109"/>
      <c r="Z860" s="109"/>
    </row>
    <row r="861">
      <c r="A861" s="109"/>
      <c r="B861" s="109"/>
      <c r="C861" s="109"/>
      <c r="D861" s="109"/>
      <c r="E861" s="109"/>
      <c r="F861" s="109"/>
      <c r="G861" s="356"/>
      <c r="H861" s="109"/>
      <c r="I861" s="109"/>
      <c r="J861" s="109"/>
      <c r="K861" s="109"/>
      <c r="L861" s="109"/>
      <c r="M861" s="109"/>
      <c r="N861" s="109"/>
      <c r="O861" s="109"/>
      <c r="P861" s="357"/>
      <c r="Q861" s="109"/>
      <c r="R861" s="109"/>
      <c r="S861" s="109"/>
      <c r="T861" s="109"/>
      <c r="U861" s="109"/>
      <c r="V861" s="109"/>
      <c r="W861" s="109"/>
      <c r="X861" s="109"/>
      <c r="Y861" s="109"/>
      <c r="Z861" s="109"/>
    </row>
    <row r="862">
      <c r="A862" s="109"/>
      <c r="B862" s="109"/>
      <c r="C862" s="109"/>
      <c r="D862" s="109"/>
      <c r="E862" s="109"/>
      <c r="F862" s="109"/>
      <c r="G862" s="356"/>
      <c r="H862" s="109"/>
      <c r="I862" s="109"/>
      <c r="J862" s="109"/>
      <c r="K862" s="109"/>
      <c r="L862" s="109"/>
      <c r="M862" s="109"/>
      <c r="N862" s="109"/>
      <c r="O862" s="109"/>
      <c r="P862" s="357"/>
      <c r="Q862" s="109"/>
      <c r="R862" s="109"/>
      <c r="S862" s="109"/>
      <c r="T862" s="109"/>
      <c r="U862" s="109"/>
      <c r="V862" s="109"/>
      <c r="W862" s="109"/>
      <c r="X862" s="109"/>
      <c r="Y862" s="109"/>
      <c r="Z862" s="109"/>
    </row>
    <row r="863">
      <c r="A863" s="109"/>
      <c r="B863" s="109"/>
      <c r="C863" s="109"/>
      <c r="D863" s="109"/>
      <c r="E863" s="109"/>
      <c r="F863" s="109"/>
      <c r="G863" s="356"/>
      <c r="H863" s="109"/>
      <c r="I863" s="109"/>
      <c r="J863" s="109"/>
      <c r="K863" s="109"/>
      <c r="L863" s="109"/>
      <c r="M863" s="109"/>
      <c r="N863" s="109"/>
      <c r="O863" s="109"/>
      <c r="P863" s="357"/>
      <c r="Q863" s="109"/>
      <c r="R863" s="109"/>
      <c r="S863" s="109"/>
      <c r="T863" s="109"/>
      <c r="U863" s="109"/>
      <c r="V863" s="109"/>
      <c r="W863" s="109"/>
      <c r="X863" s="109"/>
      <c r="Y863" s="109"/>
      <c r="Z863" s="109"/>
    </row>
    <row r="864">
      <c r="A864" s="109"/>
      <c r="B864" s="109"/>
      <c r="C864" s="109"/>
      <c r="D864" s="109"/>
      <c r="E864" s="109"/>
      <c r="F864" s="109"/>
      <c r="G864" s="356"/>
      <c r="H864" s="109"/>
      <c r="I864" s="109"/>
      <c r="J864" s="109"/>
      <c r="K864" s="109"/>
      <c r="L864" s="109"/>
      <c r="M864" s="109"/>
      <c r="N864" s="109"/>
      <c r="O864" s="109"/>
      <c r="P864" s="357"/>
      <c r="Q864" s="109"/>
      <c r="R864" s="109"/>
      <c r="S864" s="109"/>
      <c r="T864" s="109"/>
      <c r="U864" s="109"/>
      <c r="V864" s="109"/>
      <c r="W864" s="109"/>
      <c r="X864" s="109"/>
      <c r="Y864" s="109"/>
      <c r="Z864" s="109"/>
    </row>
    <row r="865">
      <c r="A865" s="109"/>
      <c r="B865" s="109"/>
      <c r="C865" s="109"/>
      <c r="D865" s="109"/>
      <c r="E865" s="109"/>
      <c r="F865" s="109"/>
      <c r="G865" s="356"/>
      <c r="H865" s="109"/>
      <c r="I865" s="109"/>
      <c r="J865" s="109"/>
      <c r="K865" s="109"/>
      <c r="L865" s="109"/>
      <c r="M865" s="109"/>
      <c r="N865" s="109"/>
      <c r="O865" s="109"/>
      <c r="P865" s="357"/>
      <c r="Q865" s="109"/>
      <c r="R865" s="109"/>
      <c r="S865" s="109"/>
      <c r="T865" s="109"/>
      <c r="U865" s="109"/>
      <c r="V865" s="109"/>
      <c r="W865" s="109"/>
      <c r="X865" s="109"/>
      <c r="Y865" s="109"/>
      <c r="Z865" s="109"/>
    </row>
    <row r="866">
      <c r="A866" s="109"/>
      <c r="B866" s="109"/>
      <c r="C866" s="109"/>
      <c r="D866" s="109"/>
      <c r="E866" s="109"/>
      <c r="F866" s="109"/>
      <c r="G866" s="356"/>
      <c r="H866" s="109"/>
      <c r="I866" s="109"/>
      <c r="J866" s="109"/>
      <c r="K866" s="109"/>
      <c r="L866" s="109"/>
      <c r="M866" s="109"/>
      <c r="N866" s="109"/>
      <c r="O866" s="109"/>
      <c r="P866" s="357"/>
      <c r="Q866" s="109"/>
      <c r="R866" s="109"/>
      <c r="S866" s="109"/>
      <c r="T866" s="109"/>
      <c r="U866" s="109"/>
      <c r="V866" s="109"/>
      <c r="W866" s="109"/>
      <c r="X866" s="109"/>
      <c r="Y866" s="109"/>
      <c r="Z866" s="109"/>
    </row>
    <row r="867">
      <c r="A867" s="109"/>
      <c r="B867" s="109"/>
      <c r="C867" s="109"/>
      <c r="D867" s="109"/>
      <c r="E867" s="109"/>
      <c r="F867" s="109"/>
      <c r="G867" s="356"/>
      <c r="H867" s="109"/>
      <c r="I867" s="109"/>
      <c r="J867" s="109"/>
      <c r="K867" s="109"/>
      <c r="L867" s="109"/>
      <c r="M867" s="109"/>
      <c r="N867" s="109"/>
      <c r="O867" s="109"/>
      <c r="P867" s="357"/>
      <c r="Q867" s="109"/>
      <c r="R867" s="109"/>
      <c r="S867" s="109"/>
      <c r="T867" s="109"/>
      <c r="U867" s="109"/>
      <c r="V867" s="109"/>
      <c r="W867" s="109"/>
      <c r="X867" s="109"/>
      <c r="Y867" s="109"/>
      <c r="Z867" s="109"/>
    </row>
    <row r="868">
      <c r="A868" s="109"/>
      <c r="B868" s="109"/>
      <c r="C868" s="109"/>
      <c r="D868" s="109"/>
      <c r="E868" s="109"/>
      <c r="F868" s="109"/>
      <c r="G868" s="356"/>
      <c r="H868" s="109"/>
      <c r="I868" s="109"/>
      <c r="J868" s="109"/>
      <c r="K868" s="109"/>
      <c r="L868" s="109"/>
      <c r="M868" s="109"/>
      <c r="N868" s="109"/>
      <c r="O868" s="109"/>
      <c r="P868" s="357"/>
      <c r="Q868" s="109"/>
      <c r="R868" s="109"/>
      <c r="S868" s="109"/>
      <c r="T868" s="109"/>
      <c r="U868" s="109"/>
      <c r="V868" s="109"/>
      <c r="W868" s="109"/>
      <c r="X868" s="109"/>
      <c r="Y868" s="109"/>
      <c r="Z868" s="109"/>
    </row>
    <row r="869">
      <c r="A869" s="109"/>
      <c r="B869" s="109"/>
      <c r="C869" s="109"/>
      <c r="D869" s="109"/>
      <c r="E869" s="109"/>
      <c r="F869" s="109"/>
      <c r="G869" s="356"/>
      <c r="H869" s="109"/>
      <c r="I869" s="109"/>
      <c r="J869" s="109"/>
      <c r="K869" s="109"/>
      <c r="L869" s="109"/>
      <c r="M869" s="109"/>
      <c r="N869" s="109"/>
      <c r="O869" s="109"/>
      <c r="P869" s="357"/>
      <c r="Q869" s="109"/>
      <c r="R869" s="109"/>
      <c r="S869" s="109"/>
      <c r="T869" s="109"/>
      <c r="U869" s="109"/>
      <c r="V869" s="109"/>
      <c r="W869" s="109"/>
      <c r="X869" s="109"/>
      <c r="Y869" s="109"/>
      <c r="Z869" s="109"/>
    </row>
    <row r="870">
      <c r="A870" s="109"/>
      <c r="B870" s="109"/>
      <c r="C870" s="109"/>
      <c r="D870" s="109"/>
      <c r="E870" s="109"/>
      <c r="F870" s="109"/>
      <c r="G870" s="356"/>
      <c r="H870" s="109"/>
      <c r="I870" s="109"/>
      <c r="J870" s="109"/>
      <c r="K870" s="109"/>
      <c r="L870" s="109"/>
      <c r="M870" s="109"/>
      <c r="N870" s="109"/>
      <c r="O870" s="109"/>
      <c r="P870" s="357"/>
      <c r="Q870" s="109"/>
      <c r="R870" s="109"/>
      <c r="S870" s="109"/>
      <c r="T870" s="109"/>
      <c r="U870" s="109"/>
      <c r="V870" s="109"/>
      <c r="W870" s="109"/>
      <c r="X870" s="109"/>
      <c r="Y870" s="109"/>
      <c r="Z870" s="109"/>
    </row>
    <row r="871">
      <c r="A871" s="109"/>
      <c r="B871" s="109"/>
      <c r="C871" s="109"/>
      <c r="D871" s="109"/>
      <c r="E871" s="109"/>
      <c r="F871" s="109"/>
      <c r="G871" s="356"/>
      <c r="H871" s="109"/>
      <c r="I871" s="109"/>
      <c r="J871" s="109"/>
      <c r="K871" s="109"/>
      <c r="L871" s="109"/>
      <c r="M871" s="109"/>
      <c r="N871" s="109"/>
      <c r="O871" s="109"/>
      <c r="P871" s="357"/>
      <c r="Q871" s="109"/>
      <c r="R871" s="109"/>
      <c r="S871" s="109"/>
      <c r="T871" s="109"/>
      <c r="U871" s="109"/>
      <c r="V871" s="109"/>
      <c r="W871" s="109"/>
      <c r="X871" s="109"/>
      <c r="Y871" s="109"/>
      <c r="Z871" s="109"/>
    </row>
    <row r="872">
      <c r="A872" s="109"/>
      <c r="B872" s="109"/>
      <c r="C872" s="109"/>
      <c r="D872" s="109"/>
      <c r="E872" s="109"/>
      <c r="F872" s="109"/>
      <c r="G872" s="356"/>
      <c r="H872" s="109"/>
      <c r="I872" s="109"/>
      <c r="J872" s="109"/>
      <c r="K872" s="109"/>
      <c r="L872" s="109"/>
      <c r="M872" s="109"/>
      <c r="N872" s="109"/>
      <c r="O872" s="109"/>
      <c r="P872" s="357"/>
      <c r="Q872" s="109"/>
      <c r="R872" s="109"/>
      <c r="S872" s="109"/>
      <c r="T872" s="109"/>
      <c r="U872" s="109"/>
      <c r="V872" s="109"/>
      <c r="W872" s="109"/>
      <c r="X872" s="109"/>
      <c r="Y872" s="109"/>
      <c r="Z872" s="109"/>
    </row>
    <row r="873">
      <c r="A873" s="109"/>
      <c r="B873" s="109"/>
      <c r="C873" s="109"/>
      <c r="D873" s="109"/>
      <c r="E873" s="109"/>
      <c r="F873" s="109"/>
      <c r="G873" s="356"/>
      <c r="H873" s="109"/>
      <c r="I873" s="109"/>
      <c r="J873" s="109"/>
      <c r="K873" s="109"/>
      <c r="L873" s="109"/>
      <c r="M873" s="109"/>
      <c r="N873" s="109"/>
      <c r="O873" s="109"/>
      <c r="P873" s="357"/>
      <c r="Q873" s="109"/>
      <c r="R873" s="109"/>
      <c r="S873" s="109"/>
      <c r="T873" s="109"/>
      <c r="U873" s="109"/>
      <c r="V873" s="109"/>
      <c r="W873" s="109"/>
      <c r="X873" s="109"/>
      <c r="Y873" s="109"/>
      <c r="Z873" s="109"/>
    </row>
    <row r="874">
      <c r="A874" s="109"/>
      <c r="B874" s="109"/>
      <c r="C874" s="109"/>
      <c r="D874" s="109"/>
      <c r="E874" s="109"/>
      <c r="F874" s="109"/>
      <c r="G874" s="356"/>
      <c r="H874" s="109"/>
      <c r="I874" s="109"/>
      <c r="J874" s="109"/>
      <c r="K874" s="109"/>
      <c r="L874" s="109"/>
      <c r="M874" s="109"/>
      <c r="N874" s="109"/>
      <c r="O874" s="109"/>
      <c r="P874" s="357"/>
      <c r="Q874" s="109"/>
      <c r="R874" s="109"/>
      <c r="S874" s="109"/>
      <c r="T874" s="109"/>
      <c r="U874" s="109"/>
      <c r="V874" s="109"/>
      <c r="W874" s="109"/>
      <c r="X874" s="109"/>
      <c r="Y874" s="109"/>
      <c r="Z874" s="109"/>
    </row>
    <row r="875">
      <c r="A875" s="109"/>
      <c r="B875" s="109"/>
      <c r="C875" s="109"/>
      <c r="D875" s="109"/>
      <c r="E875" s="109"/>
      <c r="F875" s="109"/>
      <c r="G875" s="356"/>
      <c r="H875" s="109"/>
      <c r="I875" s="109"/>
      <c r="J875" s="109"/>
      <c r="K875" s="109"/>
      <c r="L875" s="109"/>
      <c r="M875" s="109"/>
      <c r="N875" s="109"/>
      <c r="O875" s="109"/>
      <c r="P875" s="357"/>
      <c r="Q875" s="109"/>
      <c r="R875" s="109"/>
      <c r="S875" s="109"/>
      <c r="T875" s="109"/>
      <c r="U875" s="109"/>
      <c r="V875" s="109"/>
      <c r="W875" s="109"/>
      <c r="X875" s="109"/>
      <c r="Y875" s="109"/>
      <c r="Z875" s="109"/>
    </row>
    <row r="876">
      <c r="A876" s="109"/>
      <c r="B876" s="109"/>
      <c r="C876" s="109"/>
      <c r="D876" s="109"/>
      <c r="E876" s="109"/>
      <c r="F876" s="109"/>
      <c r="G876" s="356"/>
      <c r="H876" s="109"/>
      <c r="I876" s="109"/>
      <c r="J876" s="109"/>
      <c r="K876" s="109"/>
      <c r="L876" s="109"/>
      <c r="M876" s="109"/>
      <c r="N876" s="109"/>
      <c r="O876" s="109"/>
      <c r="P876" s="357"/>
      <c r="Q876" s="109"/>
      <c r="R876" s="109"/>
      <c r="S876" s="109"/>
      <c r="T876" s="109"/>
      <c r="U876" s="109"/>
      <c r="V876" s="109"/>
      <c r="W876" s="109"/>
      <c r="X876" s="109"/>
      <c r="Y876" s="109"/>
      <c r="Z876" s="109"/>
    </row>
    <row r="877">
      <c r="A877" s="109"/>
      <c r="B877" s="109"/>
      <c r="C877" s="109"/>
      <c r="D877" s="109"/>
      <c r="E877" s="109"/>
      <c r="F877" s="109"/>
      <c r="G877" s="356"/>
      <c r="H877" s="109"/>
      <c r="I877" s="109"/>
      <c r="J877" s="109"/>
      <c r="K877" s="109"/>
      <c r="L877" s="109"/>
      <c r="M877" s="109"/>
      <c r="N877" s="109"/>
      <c r="O877" s="109"/>
      <c r="P877" s="357"/>
      <c r="Q877" s="109"/>
      <c r="R877" s="109"/>
      <c r="S877" s="109"/>
      <c r="T877" s="109"/>
      <c r="U877" s="109"/>
      <c r="V877" s="109"/>
      <c r="W877" s="109"/>
      <c r="X877" s="109"/>
      <c r="Y877" s="109"/>
      <c r="Z877" s="109"/>
    </row>
    <row r="878">
      <c r="A878" s="109"/>
      <c r="B878" s="109"/>
      <c r="C878" s="109"/>
      <c r="D878" s="109"/>
      <c r="E878" s="109"/>
      <c r="F878" s="109"/>
      <c r="G878" s="356"/>
      <c r="H878" s="109"/>
      <c r="I878" s="109"/>
      <c r="J878" s="109"/>
      <c r="K878" s="109"/>
      <c r="L878" s="109"/>
      <c r="M878" s="109"/>
      <c r="N878" s="109"/>
      <c r="O878" s="109"/>
      <c r="P878" s="357"/>
      <c r="Q878" s="109"/>
      <c r="R878" s="109"/>
      <c r="S878" s="109"/>
      <c r="T878" s="109"/>
      <c r="U878" s="109"/>
      <c r="V878" s="109"/>
      <c r="W878" s="109"/>
      <c r="X878" s="109"/>
      <c r="Y878" s="109"/>
      <c r="Z878" s="109"/>
    </row>
    <row r="879">
      <c r="A879" s="109"/>
      <c r="B879" s="109"/>
      <c r="C879" s="109"/>
      <c r="D879" s="109"/>
      <c r="E879" s="109"/>
      <c r="F879" s="109"/>
      <c r="G879" s="356"/>
      <c r="H879" s="109"/>
      <c r="I879" s="109"/>
      <c r="J879" s="109"/>
      <c r="K879" s="109"/>
      <c r="L879" s="109"/>
      <c r="M879" s="109"/>
      <c r="N879" s="109"/>
      <c r="O879" s="109"/>
      <c r="P879" s="357"/>
      <c r="Q879" s="109"/>
      <c r="R879" s="109"/>
      <c r="S879" s="109"/>
      <c r="T879" s="109"/>
      <c r="U879" s="109"/>
      <c r="V879" s="109"/>
      <c r="W879" s="109"/>
      <c r="X879" s="109"/>
      <c r="Y879" s="109"/>
      <c r="Z879" s="109"/>
    </row>
    <row r="880">
      <c r="A880" s="109"/>
      <c r="B880" s="109"/>
      <c r="C880" s="109"/>
      <c r="D880" s="109"/>
      <c r="E880" s="109"/>
      <c r="F880" s="109"/>
      <c r="G880" s="356"/>
      <c r="H880" s="109"/>
      <c r="I880" s="109"/>
      <c r="J880" s="109"/>
      <c r="K880" s="109"/>
      <c r="L880" s="109"/>
      <c r="M880" s="109"/>
      <c r="N880" s="109"/>
      <c r="O880" s="109"/>
      <c r="P880" s="357"/>
      <c r="Q880" s="109"/>
      <c r="R880" s="109"/>
      <c r="S880" s="109"/>
      <c r="T880" s="109"/>
      <c r="U880" s="109"/>
      <c r="V880" s="109"/>
      <c r="W880" s="109"/>
      <c r="X880" s="109"/>
      <c r="Y880" s="109"/>
      <c r="Z880" s="109"/>
    </row>
    <row r="881">
      <c r="A881" s="109"/>
      <c r="B881" s="109"/>
      <c r="C881" s="109"/>
      <c r="D881" s="109"/>
      <c r="E881" s="109"/>
      <c r="F881" s="109"/>
      <c r="G881" s="356"/>
      <c r="H881" s="109"/>
      <c r="I881" s="109"/>
      <c r="J881" s="109"/>
      <c r="K881" s="109"/>
      <c r="L881" s="109"/>
      <c r="M881" s="109"/>
      <c r="N881" s="109"/>
      <c r="O881" s="109"/>
      <c r="P881" s="357"/>
      <c r="Q881" s="109"/>
      <c r="R881" s="109"/>
      <c r="S881" s="109"/>
      <c r="T881" s="109"/>
      <c r="U881" s="109"/>
      <c r="V881" s="109"/>
      <c r="W881" s="109"/>
      <c r="X881" s="109"/>
      <c r="Y881" s="109"/>
      <c r="Z881" s="109"/>
    </row>
    <row r="882">
      <c r="A882" s="109"/>
      <c r="B882" s="109"/>
      <c r="C882" s="109"/>
      <c r="D882" s="109"/>
      <c r="E882" s="109"/>
      <c r="F882" s="109"/>
      <c r="G882" s="356"/>
      <c r="H882" s="109"/>
      <c r="I882" s="109"/>
      <c r="J882" s="109"/>
      <c r="K882" s="109"/>
      <c r="L882" s="109"/>
      <c r="M882" s="109"/>
      <c r="N882" s="109"/>
      <c r="O882" s="109"/>
      <c r="P882" s="357"/>
      <c r="Q882" s="109"/>
      <c r="R882" s="109"/>
      <c r="S882" s="109"/>
      <c r="T882" s="109"/>
      <c r="U882" s="109"/>
      <c r="V882" s="109"/>
      <c r="W882" s="109"/>
      <c r="X882" s="109"/>
      <c r="Y882" s="109"/>
      <c r="Z882" s="109"/>
    </row>
    <row r="883">
      <c r="A883" s="109"/>
      <c r="B883" s="109"/>
      <c r="C883" s="109"/>
      <c r="D883" s="109"/>
      <c r="E883" s="109"/>
      <c r="F883" s="109"/>
      <c r="G883" s="356"/>
      <c r="H883" s="109"/>
      <c r="I883" s="109"/>
      <c r="J883" s="109"/>
      <c r="K883" s="109"/>
      <c r="L883" s="109"/>
      <c r="M883" s="109"/>
      <c r="N883" s="109"/>
      <c r="O883" s="109"/>
      <c r="P883" s="357"/>
      <c r="Q883" s="109"/>
      <c r="R883" s="109"/>
      <c r="S883" s="109"/>
      <c r="T883" s="109"/>
      <c r="U883" s="109"/>
      <c r="V883" s="109"/>
      <c r="W883" s="109"/>
      <c r="X883" s="109"/>
      <c r="Y883" s="109"/>
      <c r="Z883" s="109"/>
    </row>
    <row r="884">
      <c r="A884" s="109"/>
      <c r="B884" s="109"/>
      <c r="C884" s="109"/>
      <c r="D884" s="109"/>
      <c r="E884" s="109"/>
      <c r="F884" s="109"/>
      <c r="G884" s="356"/>
      <c r="H884" s="109"/>
      <c r="I884" s="109"/>
      <c r="J884" s="109"/>
      <c r="K884" s="109"/>
      <c r="L884" s="109"/>
      <c r="M884" s="109"/>
      <c r="N884" s="109"/>
      <c r="O884" s="109"/>
      <c r="P884" s="357"/>
      <c r="Q884" s="109"/>
      <c r="R884" s="109"/>
      <c r="S884" s="109"/>
      <c r="T884" s="109"/>
      <c r="U884" s="109"/>
      <c r="V884" s="109"/>
      <c r="W884" s="109"/>
      <c r="X884" s="109"/>
      <c r="Y884" s="109"/>
      <c r="Z884" s="109"/>
    </row>
    <row r="885">
      <c r="A885" s="109"/>
      <c r="B885" s="109"/>
      <c r="C885" s="109"/>
      <c r="D885" s="109"/>
      <c r="E885" s="109"/>
      <c r="F885" s="109"/>
      <c r="G885" s="356"/>
      <c r="H885" s="109"/>
      <c r="I885" s="109"/>
      <c r="J885" s="109"/>
      <c r="K885" s="109"/>
      <c r="L885" s="109"/>
      <c r="M885" s="109"/>
      <c r="N885" s="109"/>
      <c r="O885" s="109"/>
      <c r="P885" s="357"/>
      <c r="Q885" s="109"/>
      <c r="R885" s="109"/>
      <c r="S885" s="109"/>
      <c r="T885" s="109"/>
      <c r="U885" s="109"/>
      <c r="V885" s="109"/>
      <c r="W885" s="109"/>
      <c r="X885" s="109"/>
      <c r="Y885" s="109"/>
      <c r="Z885" s="109"/>
    </row>
    <row r="886">
      <c r="A886" s="109"/>
      <c r="B886" s="109"/>
      <c r="C886" s="109"/>
      <c r="D886" s="109"/>
      <c r="E886" s="109"/>
      <c r="F886" s="109"/>
      <c r="G886" s="356"/>
      <c r="H886" s="109"/>
      <c r="I886" s="109"/>
      <c r="J886" s="109"/>
      <c r="K886" s="109"/>
      <c r="L886" s="109"/>
      <c r="M886" s="109"/>
      <c r="N886" s="109"/>
      <c r="O886" s="109"/>
      <c r="P886" s="357"/>
      <c r="Q886" s="109"/>
      <c r="R886" s="109"/>
      <c r="S886" s="109"/>
      <c r="T886" s="109"/>
      <c r="U886" s="109"/>
      <c r="V886" s="109"/>
      <c r="W886" s="109"/>
      <c r="X886" s="109"/>
      <c r="Y886" s="109"/>
      <c r="Z886" s="109"/>
    </row>
    <row r="887">
      <c r="A887" s="109"/>
      <c r="B887" s="109"/>
      <c r="C887" s="109"/>
      <c r="D887" s="109"/>
      <c r="E887" s="109"/>
      <c r="F887" s="109"/>
      <c r="G887" s="356"/>
      <c r="H887" s="109"/>
      <c r="I887" s="109"/>
      <c r="J887" s="109"/>
      <c r="K887" s="109"/>
      <c r="L887" s="109"/>
      <c r="M887" s="109"/>
      <c r="N887" s="109"/>
      <c r="O887" s="109"/>
      <c r="P887" s="357"/>
      <c r="Q887" s="109"/>
      <c r="R887" s="109"/>
      <c r="S887" s="109"/>
      <c r="T887" s="109"/>
      <c r="U887" s="109"/>
      <c r="V887" s="109"/>
      <c r="W887" s="109"/>
      <c r="X887" s="109"/>
      <c r="Y887" s="109"/>
      <c r="Z887" s="109"/>
    </row>
    <row r="888">
      <c r="A888" s="109"/>
      <c r="B888" s="109"/>
      <c r="C888" s="109"/>
      <c r="D888" s="109"/>
      <c r="E888" s="109"/>
      <c r="F888" s="109"/>
      <c r="G888" s="356"/>
      <c r="H888" s="109"/>
      <c r="I888" s="109"/>
      <c r="J888" s="109"/>
      <c r="K888" s="109"/>
      <c r="L888" s="109"/>
      <c r="M888" s="109"/>
      <c r="N888" s="109"/>
      <c r="O888" s="109"/>
      <c r="P888" s="357"/>
      <c r="Q888" s="109"/>
      <c r="R888" s="109"/>
      <c r="S888" s="109"/>
      <c r="T888" s="109"/>
      <c r="U888" s="109"/>
      <c r="V888" s="109"/>
      <c r="W888" s="109"/>
      <c r="X888" s="109"/>
      <c r="Y888" s="109"/>
      <c r="Z888" s="109"/>
    </row>
    <row r="889">
      <c r="A889" s="109"/>
      <c r="B889" s="109"/>
      <c r="C889" s="109"/>
      <c r="D889" s="109"/>
      <c r="E889" s="109"/>
      <c r="F889" s="109"/>
      <c r="G889" s="356"/>
      <c r="H889" s="109"/>
      <c r="I889" s="109"/>
      <c r="J889" s="109"/>
      <c r="K889" s="109"/>
      <c r="L889" s="109"/>
      <c r="M889" s="109"/>
      <c r="N889" s="109"/>
      <c r="O889" s="109"/>
      <c r="P889" s="357"/>
      <c r="Q889" s="109"/>
      <c r="R889" s="109"/>
      <c r="S889" s="109"/>
      <c r="T889" s="109"/>
      <c r="U889" s="109"/>
      <c r="V889" s="109"/>
      <c r="W889" s="109"/>
      <c r="X889" s="109"/>
      <c r="Y889" s="109"/>
      <c r="Z889" s="109"/>
    </row>
    <row r="890">
      <c r="A890" s="109"/>
      <c r="B890" s="109"/>
      <c r="C890" s="109"/>
      <c r="D890" s="109"/>
      <c r="E890" s="109"/>
      <c r="F890" s="109"/>
      <c r="G890" s="356"/>
      <c r="H890" s="109"/>
      <c r="I890" s="109"/>
      <c r="J890" s="109"/>
      <c r="K890" s="109"/>
      <c r="L890" s="109"/>
      <c r="M890" s="109"/>
      <c r="N890" s="109"/>
      <c r="O890" s="109"/>
      <c r="P890" s="357"/>
      <c r="Q890" s="109"/>
      <c r="R890" s="109"/>
      <c r="S890" s="109"/>
      <c r="T890" s="109"/>
      <c r="U890" s="109"/>
      <c r="V890" s="109"/>
      <c r="W890" s="109"/>
      <c r="X890" s="109"/>
      <c r="Y890" s="109"/>
      <c r="Z890" s="109"/>
    </row>
    <row r="891">
      <c r="A891" s="109"/>
      <c r="B891" s="109"/>
      <c r="C891" s="109"/>
      <c r="D891" s="109"/>
      <c r="E891" s="109"/>
      <c r="F891" s="109"/>
      <c r="G891" s="356"/>
      <c r="H891" s="109"/>
      <c r="I891" s="109"/>
      <c r="J891" s="109"/>
      <c r="K891" s="109"/>
      <c r="L891" s="109"/>
      <c r="M891" s="109"/>
      <c r="N891" s="109"/>
      <c r="O891" s="109"/>
      <c r="P891" s="357"/>
      <c r="Q891" s="109"/>
      <c r="R891" s="109"/>
      <c r="S891" s="109"/>
      <c r="T891" s="109"/>
      <c r="U891" s="109"/>
      <c r="V891" s="109"/>
      <c r="W891" s="109"/>
      <c r="X891" s="109"/>
      <c r="Y891" s="109"/>
      <c r="Z891" s="109"/>
    </row>
    <row r="892">
      <c r="A892" s="109"/>
      <c r="B892" s="109"/>
      <c r="C892" s="109"/>
      <c r="D892" s="109"/>
      <c r="E892" s="109"/>
      <c r="F892" s="109"/>
      <c r="G892" s="356"/>
      <c r="H892" s="109"/>
      <c r="I892" s="109"/>
      <c r="J892" s="109"/>
      <c r="K892" s="109"/>
      <c r="L892" s="109"/>
      <c r="M892" s="109"/>
      <c r="N892" s="109"/>
      <c r="O892" s="109"/>
      <c r="P892" s="357"/>
      <c r="Q892" s="109"/>
      <c r="R892" s="109"/>
      <c r="S892" s="109"/>
      <c r="T892" s="109"/>
      <c r="U892" s="109"/>
      <c r="V892" s="109"/>
      <c r="W892" s="109"/>
      <c r="X892" s="109"/>
      <c r="Y892" s="109"/>
      <c r="Z892" s="109"/>
    </row>
    <row r="893">
      <c r="A893" s="109"/>
      <c r="B893" s="109"/>
      <c r="C893" s="109"/>
      <c r="D893" s="109"/>
      <c r="E893" s="109"/>
      <c r="F893" s="109"/>
      <c r="G893" s="356"/>
      <c r="H893" s="109"/>
      <c r="I893" s="109"/>
      <c r="J893" s="109"/>
      <c r="K893" s="109"/>
      <c r="L893" s="109"/>
      <c r="M893" s="109"/>
      <c r="N893" s="109"/>
      <c r="O893" s="109"/>
      <c r="P893" s="357"/>
      <c r="Q893" s="109"/>
      <c r="R893" s="109"/>
      <c r="S893" s="109"/>
      <c r="T893" s="109"/>
      <c r="U893" s="109"/>
      <c r="V893" s="109"/>
      <c r="W893" s="109"/>
      <c r="X893" s="109"/>
      <c r="Y893" s="109"/>
      <c r="Z893" s="109"/>
    </row>
    <row r="894">
      <c r="A894" s="109"/>
      <c r="B894" s="109"/>
      <c r="C894" s="109"/>
      <c r="D894" s="109"/>
      <c r="E894" s="109"/>
      <c r="F894" s="109"/>
      <c r="G894" s="356"/>
      <c r="H894" s="109"/>
      <c r="I894" s="109"/>
      <c r="J894" s="109"/>
      <c r="K894" s="109"/>
      <c r="L894" s="109"/>
      <c r="M894" s="109"/>
      <c r="N894" s="109"/>
      <c r="O894" s="109"/>
      <c r="P894" s="357"/>
      <c r="Q894" s="109"/>
      <c r="R894" s="109"/>
      <c r="S894" s="109"/>
      <c r="T894" s="109"/>
      <c r="U894" s="109"/>
      <c r="V894" s="109"/>
      <c r="W894" s="109"/>
      <c r="X894" s="109"/>
      <c r="Y894" s="109"/>
      <c r="Z894" s="109"/>
    </row>
    <row r="895">
      <c r="A895" s="109"/>
      <c r="B895" s="109"/>
      <c r="C895" s="109"/>
      <c r="D895" s="109"/>
      <c r="E895" s="109"/>
      <c r="F895" s="109"/>
      <c r="G895" s="356"/>
      <c r="H895" s="109"/>
      <c r="I895" s="109"/>
      <c r="J895" s="109"/>
      <c r="K895" s="109"/>
      <c r="L895" s="109"/>
      <c r="M895" s="109"/>
      <c r="N895" s="109"/>
      <c r="O895" s="109"/>
      <c r="P895" s="357"/>
      <c r="Q895" s="109"/>
      <c r="R895" s="109"/>
      <c r="S895" s="109"/>
      <c r="T895" s="109"/>
      <c r="U895" s="109"/>
      <c r="V895" s="109"/>
      <c r="W895" s="109"/>
      <c r="X895" s="109"/>
      <c r="Y895" s="109"/>
      <c r="Z895" s="109"/>
    </row>
    <row r="896">
      <c r="A896" s="109"/>
      <c r="B896" s="109"/>
      <c r="C896" s="109"/>
      <c r="D896" s="109"/>
      <c r="E896" s="109"/>
      <c r="F896" s="109"/>
      <c r="G896" s="356"/>
      <c r="H896" s="109"/>
      <c r="I896" s="109"/>
      <c r="J896" s="109"/>
      <c r="K896" s="109"/>
      <c r="L896" s="109"/>
      <c r="M896" s="109"/>
      <c r="N896" s="109"/>
      <c r="O896" s="109"/>
      <c r="P896" s="357"/>
      <c r="Q896" s="109"/>
      <c r="R896" s="109"/>
      <c r="S896" s="109"/>
      <c r="T896" s="109"/>
      <c r="U896" s="109"/>
      <c r="V896" s="109"/>
      <c r="W896" s="109"/>
      <c r="X896" s="109"/>
      <c r="Y896" s="109"/>
      <c r="Z896" s="109"/>
    </row>
    <row r="897">
      <c r="A897" s="109"/>
      <c r="B897" s="109"/>
      <c r="C897" s="109"/>
      <c r="D897" s="109"/>
      <c r="E897" s="109"/>
      <c r="F897" s="109"/>
      <c r="G897" s="356"/>
      <c r="H897" s="109"/>
      <c r="I897" s="109"/>
      <c r="J897" s="109"/>
      <c r="K897" s="109"/>
      <c r="L897" s="109"/>
      <c r="M897" s="109"/>
      <c r="N897" s="109"/>
      <c r="O897" s="109"/>
      <c r="P897" s="357"/>
      <c r="Q897" s="109"/>
      <c r="R897" s="109"/>
      <c r="S897" s="109"/>
      <c r="T897" s="109"/>
      <c r="U897" s="109"/>
      <c r="V897" s="109"/>
      <c r="W897" s="109"/>
      <c r="X897" s="109"/>
      <c r="Y897" s="109"/>
      <c r="Z897" s="109"/>
    </row>
    <row r="898">
      <c r="A898" s="109"/>
      <c r="B898" s="109"/>
      <c r="C898" s="109"/>
      <c r="D898" s="109"/>
      <c r="E898" s="109"/>
      <c r="F898" s="109"/>
      <c r="G898" s="356"/>
      <c r="H898" s="109"/>
      <c r="I898" s="109"/>
      <c r="J898" s="109"/>
      <c r="K898" s="109"/>
      <c r="L898" s="109"/>
      <c r="M898" s="109"/>
      <c r="N898" s="109"/>
      <c r="O898" s="109"/>
      <c r="P898" s="357"/>
      <c r="Q898" s="109"/>
      <c r="R898" s="109"/>
      <c r="S898" s="109"/>
      <c r="T898" s="109"/>
      <c r="U898" s="109"/>
      <c r="V898" s="109"/>
      <c r="W898" s="109"/>
      <c r="X898" s="109"/>
      <c r="Y898" s="109"/>
      <c r="Z898" s="109"/>
    </row>
    <row r="899">
      <c r="A899" s="109"/>
      <c r="B899" s="109"/>
      <c r="C899" s="109"/>
      <c r="D899" s="109"/>
      <c r="E899" s="109"/>
      <c r="F899" s="109"/>
      <c r="G899" s="356"/>
      <c r="H899" s="109"/>
      <c r="I899" s="109"/>
      <c r="J899" s="109"/>
      <c r="K899" s="109"/>
      <c r="L899" s="109"/>
      <c r="M899" s="109"/>
      <c r="N899" s="109"/>
      <c r="O899" s="109"/>
      <c r="P899" s="357"/>
      <c r="Q899" s="109"/>
      <c r="R899" s="109"/>
      <c r="S899" s="109"/>
      <c r="T899" s="109"/>
      <c r="U899" s="109"/>
      <c r="V899" s="109"/>
      <c r="W899" s="109"/>
      <c r="X899" s="109"/>
      <c r="Y899" s="109"/>
      <c r="Z899" s="109"/>
    </row>
    <row r="900">
      <c r="A900" s="109"/>
      <c r="B900" s="109"/>
      <c r="C900" s="109"/>
      <c r="D900" s="109"/>
      <c r="E900" s="109"/>
      <c r="F900" s="109"/>
      <c r="G900" s="356"/>
      <c r="H900" s="109"/>
      <c r="I900" s="109"/>
      <c r="J900" s="109"/>
      <c r="K900" s="109"/>
      <c r="L900" s="109"/>
      <c r="M900" s="109"/>
      <c r="N900" s="109"/>
      <c r="O900" s="109"/>
      <c r="P900" s="357"/>
      <c r="Q900" s="109"/>
      <c r="R900" s="109"/>
      <c r="S900" s="109"/>
      <c r="T900" s="109"/>
      <c r="U900" s="109"/>
      <c r="V900" s="109"/>
      <c r="W900" s="109"/>
      <c r="X900" s="109"/>
      <c r="Y900" s="109"/>
      <c r="Z900" s="109"/>
    </row>
    <row r="901">
      <c r="A901" s="109"/>
      <c r="B901" s="109"/>
      <c r="C901" s="109"/>
      <c r="D901" s="109"/>
      <c r="E901" s="109"/>
      <c r="F901" s="109"/>
      <c r="G901" s="356"/>
      <c r="H901" s="109"/>
      <c r="I901" s="109"/>
      <c r="J901" s="109"/>
      <c r="K901" s="109"/>
      <c r="L901" s="109"/>
      <c r="M901" s="109"/>
      <c r="N901" s="109"/>
      <c r="O901" s="109"/>
      <c r="P901" s="357"/>
      <c r="Q901" s="109"/>
      <c r="R901" s="109"/>
      <c r="S901" s="109"/>
      <c r="T901" s="109"/>
      <c r="U901" s="109"/>
      <c r="V901" s="109"/>
      <c r="W901" s="109"/>
      <c r="X901" s="109"/>
      <c r="Y901" s="109"/>
      <c r="Z901" s="109"/>
    </row>
    <row r="902">
      <c r="A902" s="109"/>
      <c r="B902" s="109"/>
      <c r="C902" s="109"/>
      <c r="D902" s="109"/>
      <c r="E902" s="109"/>
      <c r="F902" s="109"/>
      <c r="G902" s="356"/>
      <c r="H902" s="109"/>
      <c r="I902" s="109"/>
      <c r="J902" s="109"/>
      <c r="K902" s="109"/>
      <c r="L902" s="109"/>
      <c r="M902" s="109"/>
      <c r="N902" s="109"/>
      <c r="O902" s="109"/>
      <c r="P902" s="357"/>
      <c r="Q902" s="109"/>
      <c r="R902" s="109"/>
      <c r="S902" s="109"/>
      <c r="T902" s="109"/>
      <c r="U902" s="109"/>
      <c r="V902" s="109"/>
      <c r="W902" s="109"/>
      <c r="X902" s="109"/>
      <c r="Y902" s="109"/>
      <c r="Z902" s="109"/>
    </row>
    <row r="903">
      <c r="A903" s="109"/>
      <c r="B903" s="109"/>
      <c r="C903" s="109"/>
      <c r="D903" s="109"/>
      <c r="E903" s="109"/>
      <c r="F903" s="109"/>
      <c r="G903" s="356"/>
      <c r="H903" s="109"/>
      <c r="I903" s="109"/>
      <c r="J903" s="109"/>
      <c r="K903" s="109"/>
      <c r="L903" s="109"/>
      <c r="M903" s="109"/>
      <c r="N903" s="109"/>
      <c r="O903" s="109"/>
      <c r="P903" s="357"/>
      <c r="Q903" s="109"/>
      <c r="R903" s="109"/>
      <c r="S903" s="109"/>
      <c r="T903" s="109"/>
      <c r="U903" s="109"/>
      <c r="V903" s="109"/>
      <c r="W903" s="109"/>
      <c r="X903" s="109"/>
      <c r="Y903" s="109"/>
      <c r="Z903" s="109"/>
    </row>
    <row r="904">
      <c r="A904" s="109"/>
      <c r="B904" s="109"/>
      <c r="C904" s="109"/>
      <c r="D904" s="109"/>
      <c r="E904" s="109"/>
      <c r="F904" s="109"/>
      <c r="G904" s="356"/>
      <c r="H904" s="109"/>
      <c r="I904" s="109"/>
      <c r="J904" s="109"/>
      <c r="K904" s="109"/>
      <c r="L904" s="109"/>
      <c r="M904" s="109"/>
      <c r="N904" s="109"/>
      <c r="O904" s="109"/>
      <c r="P904" s="357"/>
      <c r="Q904" s="109"/>
      <c r="R904" s="109"/>
      <c r="S904" s="109"/>
      <c r="T904" s="109"/>
      <c r="U904" s="109"/>
      <c r="V904" s="109"/>
      <c r="W904" s="109"/>
      <c r="X904" s="109"/>
      <c r="Y904" s="109"/>
      <c r="Z904" s="109"/>
    </row>
    <row r="905">
      <c r="A905" s="109"/>
      <c r="B905" s="109"/>
      <c r="C905" s="109"/>
      <c r="D905" s="109"/>
      <c r="E905" s="109"/>
      <c r="F905" s="109"/>
      <c r="G905" s="356"/>
      <c r="H905" s="109"/>
      <c r="I905" s="109"/>
      <c r="J905" s="109"/>
      <c r="K905" s="109"/>
      <c r="L905" s="109"/>
      <c r="M905" s="109"/>
      <c r="N905" s="109"/>
      <c r="O905" s="109"/>
      <c r="P905" s="357"/>
      <c r="Q905" s="109"/>
      <c r="R905" s="109"/>
      <c r="S905" s="109"/>
      <c r="T905" s="109"/>
      <c r="U905" s="109"/>
      <c r="V905" s="109"/>
      <c r="W905" s="109"/>
      <c r="X905" s="109"/>
      <c r="Y905" s="109"/>
      <c r="Z905" s="109"/>
    </row>
    <row r="906">
      <c r="A906" s="109"/>
      <c r="B906" s="109"/>
      <c r="C906" s="109"/>
      <c r="D906" s="109"/>
      <c r="E906" s="109"/>
      <c r="F906" s="109"/>
      <c r="G906" s="356"/>
      <c r="H906" s="109"/>
      <c r="I906" s="109"/>
      <c r="J906" s="109"/>
      <c r="K906" s="109"/>
      <c r="L906" s="109"/>
      <c r="M906" s="109"/>
      <c r="N906" s="109"/>
      <c r="O906" s="109"/>
      <c r="P906" s="357"/>
      <c r="Q906" s="109"/>
      <c r="R906" s="109"/>
      <c r="S906" s="109"/>
      <c r="T906" s="109"/>
      <c r="U906" s="109"/>
      <c r="V906" s="109"/>
      <c r="W906" s="109"/>
      <c r="X906" s="109"/>
      <c r="Y906" s="109"/>
      <c r="Z906" s="109"/>
    </row>
    <row r="907">
      <c r="A907" s="109"/>
      <c r="B907" s="109"/>
      <c r="C907" s="109"/>
      <c r="D907" s="109"/>
      <c r="E907" s="109"/>
      <c r="F907" s="109"/>
      <c r="G907" s="356"/>
      <c r="H907" s="109"/>
      <c r="I907" s="109"/>
      <c r="J907" s="109"/>
      <c r="K907" s="109"/>
      <c r="L907" s="109"/>
      <c r="M907" s="109"/>
      <c r="N907" s="109"/>
      <c r="O907" s="109"/>
      <c r="P907" s="357"/>
      <c r="Q907" s="109"/>
      <c r="R907" s="109"/>
      <c r="S907" s="109"/>
      <c r="T907" s="109"/>
      <c r="U907" s="109"/>
      <c r="V907" s="109"/>
      <c r="W907" s="109"/>
      <c r="X907" s="109"/>
      <c r="Y907" s="109"/>
      <c r="Z907" s="109"/>
    </row>
    <row r="908">
      <c r="A908" s="109"/>
      <c r="B908" s="109"/>
      <c r="C908" s="109"/>
      <c r="D908" s="109"/>
      <c r="E908" s="109"/>
      <c r="F908" s="109"/>
      <c r="G908" s="356"/>
      <c r="H908" s="109"/>
      <c r="I908" s="109"/>
      <c r="J908" s="109"/>
      <c r="K908" s="109"/>
      <c r="L908" s="109"/>
      <c r="M908" s="109"/>
      <c r="N908" s="109"/>
      <c r="O908" s="109"/>
      <c r="P908" s="357"/>
      <c r="Q908" s="109"/>
      <c r="R908" s="109"/>
      <c r="S908" s="109"/>
      <c r="T908" s="109"/>
      <c r="U908" s="109"/>
      <c r="V908" s="109"/>
      <c r="W908" s="109"/>
      <c r="X908" s="109"/>
      <c r="Y908" s="109"/>
      <c r="Z908" s="109"/>
    </row>
    <row r="909">
      <c r="A909" s="109"/>
      <c r="B909" s="109"/>
      <c r="C909" s="109"/>
      <c r="D909" s="109"/>
      <c r="E909" s="109"/>
      <c r="F909" s="109"/>
      <c r="G909" s="356"/>
      <c r="H909" s="109"/>
      <c r="I909" s="109"/>
      <c r="J909" s="109"/>
      <c r="K909" s="109"/>
      <c r="L909" s="109"/>
      <c r="M909" s="109"/>
      <c r="N909" s="109"/>
      <c r="O909" s="109"/>
      <c r="P909" s="357"/>
      <c r="Q909" s="109"/>
      <c r="R909" s="109"/>
      <c r="S909" s="109"/>
      <c r="T909" s="109"/>
      <c r="U909" s="109"/>
      <c r="V909" s="109"/>
      <c r="W909" s="109"/>
      <c r="X909" s="109"/>
      <c r="Y909" s="109"/>
      <c r="Z909" s="109"/>
    </row>
    <row r="910">
      <c r="A910" s="109"/>
      <c r="B910" s="109"/>
      <c r="C910" s="109"/>
      <c r="D910" s="109"/>
      <c r="E910" s="109"/>
      <c r="F910" s="109"/>
      <c r="G910" s="356"/>
      <c r="H910" s="109"/>
      <c r="I910" s="109"/>
      <c r="J910" s="109"/>
      <c r="K910" s="109"/>
      <c r="L910" s="109"/>
      <c r="M910" s="109"/>
      <c r="N910" s="109"/>
      <c r="O910" s="109"/>
      <c r="P910" s="357"/>
      <c r="Q910" s="109"/>
      <c r="R910" s="109"/>
      <c r="S910" s="109"/>
      <c r="T910" s="109"/>
      <c r="U910" s="109"/>
      <c r="V910" s="109"/>
      <c r="W910" s="109"/>
      <c r="X910" s="109"/>
      <c r="Y910" s="109"/>
      <c r="Z910" s="109"/>
    </row>
    <row r="911">
      <c r="A911" s="109"/>
      <c r="B911" s="109"/>
      <c r="C911" s="109"/>
      <c r="D911" s="109"/>
      <c r="E911" s="109"/>
      <c r="F911" s="109"/>
      <c r="G911" s="356"/>
      <c r="H911" s="109"/>
      <c r="I911" s="109"/>
      <c r="J911" s="109"/>
      <c r="K911" s="109"/>
      <c r="L911" s="109"/>
      <c r="M911" s="109"/>
      <c r="N911" s="109"/>
      <c r="O911" s="109"/>
      <c r="P911" s="357"/>
      <c r="Q911" s="109"/>
      <c r="R911" s="109"/>
      <c r="S911" s="109"/>
      <c r="T911" s="109"/>
      <c r="U911" s="109"/>
      <c r="V911" s="109"/>
      <c r="W911" s="109"/>
      <c r="X911" s="109"/>
      <c r="Y911" s="109"/>
      <c r="Z911" s="109"/>
    </row>
    <row r="912">
      <c r="A912" s="109"/>
      <c r="B912" s="109"/>
      <c r="C912" s="109"/>
      <c r="D912" s="109"/>
      <c r="E912" s="109"/>
      <c r="F912" s="109"/>
      <c r="G912" s="356"/>
      <c r="H912" s="109"/>
      <c r="I912" s="109"/>
      <c r="J912" s="109"/>
      <c r="K912" s="109"/>
      <c r="L912" s="109"/>
      <c r="M912" s="109"/>
      <c r="N912" s="109"/>
      <c r="O912" s="109"/>
      <c r="P912" s="357"/>
      <c r="Q912" s="109"/>
      <c r="R912" s="109"/>
      <c r="S912" s="109"/>
      <c r="T912" s="109"/>
      <c r="U912" s="109"/>
      <c r="V912" s="109"/>
      <c r="W912" s="109"/>
      <c r="X912" s="109"/>
      <c r="Y912" s="109"/>
      <c r="Z912" s="109"/>
    </row>
    <row r="913">
      <c r="A913" s="109"/>
      <c r="B913" s="109"/>
      <c r="C913" s="109"/>
      <c r="D913" s="109"/>
      <c r="E913" s="109"/>
      <c r="F913" s="109"/>
      <c r="G913" s="356"/>
      <c r="H913" s="109"/>
      <c r="I913" s="109"/>
      <c r="J913" s="109"/>
      <c r="K913" s="109"/>
      <c r="L913" s="109"/>
      <c r="M913" s="109"/>
      <c r="N913" s="109"/>
      <c r="O913" s="109"/>
      <c r="P913" s="357"/>
      <c r="Q913" s="109"/>
      <c r="R913" s="109"/>
      <c r="S913" s="109"/>
      <c r="T913" s="109"/>
      <c r="U913" s="109"/>
      <c r="V913" s="109"/>
      <c r="W913" s="109"/>
      <c r="X913" s="109"/>
      <c r="Y913" s="109"/>
      <c r="Z913" s="109"/>
    </row>
    <row r="914">
      <c r="A914" s="109"/>
      <c r="B914" s="109"/>
      <c r="C914" s="109"/>
      <c r="D914" s="109"/>
      <c r="E914" s="109"/>
      <c r="F914" s="109"/>
      <c r="G914" s="356"/>
      <c r="H914" s="109"/>
      <c r="I914" s="109"/>
      <c r="J914" s="109"/>
      <c r="K914" s="109"/>
      <c r="L914" s="109"/>
      <c r="M914" s="109"/>
      <c r="N914" s="109"/>
      <c r="O914" s="109"/>
      <c r="P914" s="357"/>
      <c r="Q914" s="109"/>
      <c r="R914" s="109"/>
      <c r="S914" s="109"/>
      <c r="T914" s="109"/>
      <c r="U914" s="109"/>
      <c r="V914" s="109"/>
      <c r="W914" s="109"/>
      <c r="X914" s="109"/>
      <c r="Y914" s="109"/>
      <c r="Z914" s="109"/>
    </row>
    <row r="915">
      <c r="A915" s="109"/>
      <c r="B915" s="109"/>
      <c r="C915" s="109"/>
      <c r="D915" s="109"/>
      <c r="E915" s="109"/>
      <c r="F915" s="109"/>
      <c r="G915" s="356"/>
      <c r="H915" s="109"/>
      <c r="I915" s="109"/>
      <c r="J915" s="109"/>
      <c r="K915" s="109"/>
      <c r="L915" s="109"/>
      <c r="M915" s="109"/>
      <c r="N915" s="109"/>
      <c r="O915" s="109"/>
      <c r="P915" s="357"/>
      <c r="Q915" s="109"/>
      <c r="R915" s="109"/>
      <c r="S915" s="109"/>
      <c r="T915" s="109"/>
      <c r="U915" s="109"/>
      <c r="V915" s="109"/>
      <c r="W915" s="109"/>
      <c r="X915" s="109"/>
      <c r="Y915" s="109"/>
      <c r="Z915" s="109"/>
    </row>
    <row r="916">
      <c r="A916" s="109"/>
      <c r="B916" s="109"/>
      <c r="C916" s="109"/>
      <c r="D916" s="109"/>
      <c r="E916" s="109"/>
      <c r="F916" s="109"/>
      <c r="G916" s="356"/>
      <c r="H916" s="109"/>
      <c r="I916" s="109"/>
      <c r="J916" s="109"/>
      <c r="K916" s="109"/>
      <c r="L916" s="109"/>
      <c r="M916" s="109"/>
      <c r="N916" s="109"/>
      <c r="O916" s="109"/>
      <c r="P916" s="357"/>
      <c r="Q916" s="109"/>
      <c r="R916" s="109"/>
      <c r="S916" s="109"/>
      <c r="T916" s="109"/>
      <c r="U916" s="109"/>
      <c r="V916" s="109"/>
      <c r="W916" s="109"/>
      <c r="X916" s="109"/>
      <c r="Y916" s="109"/>
      <c r="Z916" s="109"/>
    </row>
    <row r="917">
      <c r="A917" s="109"/>
      <c r="B917" s="109"/>
      <c r="C917" s="109"/>
      <c r="D917" s="109"/>
      <c r="E917" s="109"/>
      <c r="F917" s="109"/>
      <c r="G917" s="356"/>
      <c r="H917" s="109"/>
      <c r="I917" s="109"/>
      <c r="J917" s="109"/>
      <c r="K917" s="109"/>
      <c r="L917" s="109"/>
      <c r="M917" s="109"/>
      <c r="N917" s="109"/>
      <c r="O917" s="109"/>
      <c r="P917" s="357"/>
      <c r="Q917" s="109"/>
      <c r="R917" s="109"/>
      <c r="S917" s="109"/>
      <c r="T917" s="109"/>
      <c r="U917" s="109"/>
      <c r="V917" s="109"/>
      <c r="W917" s="109"/>
      <c r="X917" s="109"/>
      <c r="Y917" s="109"/>
      <c r="Z917" s="109"/>
    </row>
    <row r="918">
      <c r="A918" s="109"/>
      <c r="B918" s="109"/>
      <c r="C918" s="109"/>
      <c r="D918" s="109"/>
      <c r="E918" s="109"/>
      <c r="F918" s="109"/>
      <c r="G918" s="356"/>
      <c r="H918" s="109"/>
      <c r="I918" s="109"/>
      <c r="J918" s="109"/>
      <c r="K918" s="109"/>
      <c r="L918" s="109"/>
      <c r="M918" s="109"/>
      <c r="N918" s="109"/>
      <c r="O918" s="109"/>
      <c r="P918" s="357"/>
      <c r="Q918" s="109"/>
      <c r="R918" s="109"/>
      <c r="S918" s="109"/>
      <c r="T918" s="109"/>
      <c r="U918" s="109"/>
      <c r="V918" s="109"/>
      <c r="W918" s="109"/>
      <c r="X918" s="109"/>
      <c r="Y918" s="109"/>
      <c r="Z918" s="109"/>
    </row>
    <row r="919">
      <c r="A919" s="109"/>
      <c r="B919" s="109"/>
      <c r="C919" s="109"/>
      <c r="D919" s="109"/>
      <c r="E919" s="109"/>
      <c r="F919" s="109"/>
      <c r="G919" s="356"/>
      <c r="H919" s="109"/>
      <c r="I919" s="109"/>
      <c r="J919" s="109"/>
      <c r="K919" s="109"/>
      <c r="L919" s="109"/>
      <c r="M919" s="109"/>
      <c r="N919" s="109"/>
      <c r="O919" s="109"/>
      <c r="P919" s="357"/>
      <c r="Q919" s="109"/>
      <c r="R919" s="109"/>
      <c r="S919" s="109"/>
      <c r="T919" s="109"/>
      <c r="U919" s="109"/>
      <c r="V919" s="109"/>
      <c r="W919" s="109"/>
      <c r="X919" s="109"/>
      <c r="Y919" s="109"/>
      <c r="Z919" s="109"/>
    </row>
    <row r="920">
      <c r="A920" s="109"/>
      <c r="B920" s="109"/>
      <c r="C920" s="109"/>
      <c r="D920" s="109"/>
      <c r="E920" s="109"/>
      <c r="F920" s="109"/>
      <c r="G920" s="356"/>
      <c r="H920" s="109"/>
      <c r="I920" s="109"/>
      <c r="J920" s="109"/>
      <c r="K920" s="109"/>
      <c r="L920" s="109"/>
      <c r="M920" s="109"/>
      <c r="N920" s="109"/>
      <c r="O920" s="109"/>
      <c r="P920" s="357"/>
      <c r="Q920" s="109"/>
      <c r="R920" s="109"/>
      <c r="S920" s="109"/>
      <c r="T920" s="109"/>
      <c r="U920" s="109"/>
      <c r="V920" s="109"/>
      <c r="W920" s="109"/>
      <c r="X920" s="109"/>
      <c r="Y920" s="109"/>
      <c r="Z920" s="109"/>
    </row>
    <row r="921">
      <c r="A921" s="109"/>
      <c r="B921" s="109"/>
      <c r="C921" s="109"/>
      <c r="D921" s="109"/>
      <c r="E921" s="109"/>
      <c r="F921" s="109"/>
      <c r="G921" s="356"/>
      <c r="H921" s="109"/>
      <c r="I921" s="109"/>
      <c r="J921" s="109"/>
      <c r="K921" s="109"/>
      <c r="L921" s="109"/>
      <c r="M921" s="109"/>
      <c r="N921" s="109"/>
      <c r="O921" s="109"/>
      <c r="P921" s="357"/>
      <c r="Q921" s="109"/>
      <c r="R921" s="109"/>
      <c r="S921" s="109"/>
      <c r="T921" s="109"/>
      <c r="U921" s="109"/>
      <c r="V921" s="109"/>
      <c r="W921" s="109"/>
      <c r="X921" s="109"/>
      <c r="Y921" s="109"/>
      <c r="Z921" s="109"/>
    </row>
    <row r="922">
      <c r="A922" s="109"/>
      <c r="B922" s="109"/>
      <c r="C922" s="109"/>
      <c r="D922" s="109"/>
      <c r="E922" s="109"/>
      <c r="F922" s="109"/>
      <c r="G922" s="356"/>
      <c r="H922" s="109"/>
      <c r="I922" s="109"/>
      <c r="J922" s="109"/>
      <c r="K922" s="109"/>
      <c r="L922" s="109"/>
      <c r="M922" s="109"/>
      <c r="N922" s="109"/>
      <c r="O922" s="109"/>
      <c r="P922" s="357"/>
      <c r="Q922" s="109"/>
      <c r="R922" s="109"/>
      <c r="S922" s="109"/>
      <c r="T922" s="109"/>
      <c r="U922" s="109"/>
      <c r="V922" s="109"/>
      <c r="W922" s="109"/>
      <c r="X922" s="109"/>
      <c r="Y922" s="109"/>
      <c r="Z922" s="109"/>
    </row>
    <row r="923">
      <c r="A923" s="109"/>
      <c r="B923" s="109"/>
      <c r="C923" s="109"/>
      <c r="D923" s="109"/>
      <c r="E923" s="109"/>
      <c r="F923" s="109"/>
      <c r="G923" s="356"/>
      <c r="H923" s="109"/>
      <c r="I923" s="109"/>
      <c r="J923" s="109"/>
      <c r="K923" s="109"/>
      <c r="L923" s="109"/>
      <c r="M923" s="109"/>
      <c r="N923" s="109"/>
      <c r="O923" s="109"/>
      <c r="P923" s="357"/>
      <c r="Q923" s="109"/>
      <c r="R923" s="109"/>
      <c r="S923" s="109"/>
      <c r="T923" s="109"/>
      <c r="U923" s="109"/>
      <c r="V923" s="109"/>
      <c r="W923" s="109"/>
      <c r="X923" s="109"/>
      <c r="Y923" s="109"/>
      <c r="Z923" s="109"/>
    </row>
    <row r="924">
      <c r="A924" s="109"/>
      <c r="B924" s="109"/>
      <c r="C924" s="109"/>
      <c r="D924" s="109"/>
      <c r="E924" s="109"/>
      <c r="F924" s="109"/>
      <c r="G924" s="356"/>
      <c r="H924" s="109"/>
      <c r="I924" s="109"/>
      <c r="J924" s="109"/>
      <c r="K924" s="109"/>
      <c r="L924" s="109"/>
      <c r="M924" s="109"/>
      <c r="N924" s="109"/>
      <c r="O924" s="109"/>
      <c r="P924" s="357"/>
      <c r="Q924" s="109"/>
      <c r="R924" s="109"/>
      <c r="S924" s="109"/>
      <c r="T924" s="109"/>
      <c r="U924" s="109"/>
      <c r="V924" s="109"/>
      <c r="W924" s="109"/>
      <c r="X924" s="109"/>
      <c r="Y924" s="109"/>
      <c r="Z924" s="109"/>
    </row>
    <row r="925">
      <c r="A925" s="109"/>
      <c r="B925" s="109"/>
      <c r="C925" s="109"/>
      <c r="D925" s="109"/>
      <c r="E925" s="109"/>
      <c r="F925" s="109"/>
      <c r="G925" s="356"/>
      <c r="H925" s="109"/>
      <c r="I925" s="109"/>
      <c r="J925" s="109"/>
      <c r="K925" s="109"/>
      <c r="L925" s="109"/>
      <c r="M925" s="109"/>
      <c r="N925" s="109"/>
      <c r="O925" s="109"/>
      <c r="P925" s="357"/>
      <c r="Q925" s="109"/>
      <c r="R925" s="109"/>
      <c r="S925" s="109"/>
      <c r="T925" s="109"/>
      <c r="U925" s="109"/>
      <c r="V925" s="109"/>
      <c r="W925" s="109"/>
      <c r="X925" s="109"/>
      <c r="Y925" s="109"/>
      <c r="Z925" s="109"/>
    </row>
    <row r="926">
      <c r="A926" s="109"/>
      <c r="B926" s="109"/>
      <c r="C926" s="109"/>
      <c r="D926" s="109"/>
      <c r="E926" s="109"/>
      <c r="F926" s="109"/>
      <c r="G926" s="356"/>
      <c r="H926" s="109"/>
      <c r="I926" s="109"/>
      <c r="J926" s="109"/>
      <c r="K926" s="109"/>
      <c r="L926" s="109"/>
      <c r="M926" s="109"/>
      <c r="N926" s="109"/>
      <c r="O926" s="109"/>
      <c r="P926" s="357"/>
      <c r="Q926" s="109"/>
      <c r="R926" s="109"/>
      <c r="S926" s="109"/>
      <c r="T926" s="109"/>
      <c r="U926" s="109"/>
      <c r="V926" s="109"/>
      <c r="W926" s="109"/>
      <c r="X926" s="109"/>
      <c r="Y926" s="109"/>
      <c r="Z926" s="109"/>
    </row>
    <row r="927">
      <c r="A927" s="109"/>
      <c r="B927" s="109"/>
      <c r="C927" s="109"/>
      <c r="D927" s="109"/>
      <c r="E927" s="109"/>
      <c r="F927" s="109"/>
      <c r="G927" s="356"/>
      <c r="H927" s="109"/>
      <c r="I927" s="109"/>
      <c r="J927" s="109"/>
      <c r="K927" s="109"/>
      <c r="L927" s="109"/>
      <c r="M927" s="109"/>
      <c r="N927" s="109"/>
      <c r="O927" s="109"/>
      <c r="P927" s="357"/>
      <c r="Q927" s="109"/>
      <c r="R927" s="109"/>
      <c r="S927" s="109"/>
      <c r="T927" s="109"/>
      <c r="U927" s="109"/>
      <c r="V927" s="109"/>
      <c r="W927" s="109"/>
      <c r="X927" s="109"/>
      <c r="Y927" s="109"/>
      <c r="Z927" s="109"/>
    </row>
    <row r="928">
      <c r="A928" s="109"/>
      <c r="B928" s="109"/>
      <c r="C928" s="109"/>
      <c r="D928" s="109"/>
      <c r="E928" s="109"/>
      <c r="F928" s="109"/>
      <c r="G928" s="356"/>
      <c r="H928" s="109"/>
      <c r="I928" s="109"/>
      <c r="J928" s="109"/>
      <c r="K928" s="109"/>
      <c r="L928" s="109"/>
      <c r="M928" s="109"/>
      <c r="N928" s="109"/>
      <c r="O928" s="109"/>
      <c r="P928" s="357"/>
      <c r="Q928" s="109"/>
      <c r="R928" s="109"/>
      <c r="S928" s="109"/>
      <c r="T928" s="109"/>
      <c r="U928" s="109"/>
      <c r="V928" s="109"/>
      <c r="W928" s="109"/>
      <c r="X928" s="109"/>
      <c r="Y928" s="109"/>
      <c r="Z928" s="109"/>
    </row>
    <row r="929">
      <c r="A929" s="109"/>
      <c r="B929" s="109"/>
      <c r="C929" s="109"/>
      <c r="D929" s="109"/>
      <c r="E929" s="109"/>
      <c r="F929" s="109"/>
      <c r="G929" s="356"/>
      <c r="H929" s="109"/>
      <c r="I929" s="109"/>
      <c r="J929" s="109"/>
      <c r="K929" s="109"/>
      <c r="L929" s="109"/>
      <c r="M929" s="109"/>
      <c r="N929" s="109"/>
      <c r="O929" s="109"/>
      <c r="P929" s="357"/>
      <c r="Q929" s="109"/>
      <c r="R929" s="109"/>
      <c r="S929" s="109"/>
      <c r="T929" s="109"/>
      <c r="U929" s="109"/>
      <c r="V929" s="109"/>
      <c r="W929" s="109"/>
      <c r="X929" s="109"/>
      <c r="Y929" s="109"/>
      <c r="Z929" s="109"/>
    </row>
    <row r="930">
      <c r="A930" s="109"/>
      <c r="B930" s="109"/>
      <c r="C930" s="109"/>
      <c r="D930" s="109"/>
      <c r="E930" s="109"/>
      <c r="F930" s="109"/>
      <c r="G930" s="356"/>
      <c r="H930" s="109"/>
      <c r="I930" s="109"/>
      <c r="J930" s="109"/>
      <c r="K930" s="109"/>
      <c r="L930" s="109"/>
      <c r="M930" s="109"/>
      <c r="N930" s="109"/>
      <c r="O930" s="109"/>
      <c r="P930" s="357"/>
      <c r="Q930" s="109"/>
      <c r="R930" s="109"/>
      <c r="S930" s="109"/>
      <c r="T930" s="109"/>
      <c r="U930" s="109"/>
      <c r="V930" s="109"/>
      <c r="W930" s="109"/>
      <c r="X930" s="109"/>
      <c r="Y930" s="109"/>
      <c r="Z930" s="109"/>
    </row>
    <row r="931">
      <c r="A931" s="109"/>
      <c r="B931" s="109"/>
      <c r="C931" s="109"/>
      <c r="D931" s="109"/>
      <c r="E931" s="109"/>
      <c r="F931" s="109"/>
      <c r="G931" s="356"/>
      <c r="H931" s="109"/>
      <c r="I931" s="109"/>
      <c r="J931" s="109"/>
      <c r="K931" s="109"/>
      <c r="L931" s="109"/>
      <c r="M931" s="109"/>
      <c r="N931" s="109"/>
      <c r="O931" s="109"/>
      <c r="P931" s="357"/>
      <c r="Q931" s="109"/>
      <c r="R931" s="109"/>
      <c r="S931" s="109"/>
      <c r="T931" s="109"/>
      <c r="U931" s="109"/>
      <c r="V931" s="109"/>
      <c r="W931" s="109"/>
      <c r="X931" s="109"/>
      <c r="Y931" s="109"/>
      <c r="Z931" s="109"/>
    </row>
    <row r="932">
      <c r="A932" s="109"/>
      <c r="B932" s="109"/>
      <c r="C932" s="109"/>
      <c r="D932" s="109"/>
      <c r="E932" s="109"/>
      <c r="F932" s="109"/>
      <c r="G932" s="356"/>
      <c r="H932" s="109"/>
      <c r="I932" s="109"/>
      <c r="J932" s="109"/>
      <c r="K932" s="109"/>
      <c r="L932" s="109"/>
      <c r="M932" s="109"/>
      <c r="N932" s="109"/>
      <c r="O932" s="109"/>
      <c r="P932" s="357"/>
      <c r="Q932" s="109"/>
      <c r="R932" s="109"/>
      <c r="S932" s="109"/>
      <c r="T932" s="109"/>
      <c r="U932" s="109"/>
      <c r="V932" s="109"/>
      <c r="W932" s="109"/>
      <c r="X932" s="109"/>
      <c r="Y932" s="109"/>
      <c r="Z932" s="109"/>
    </row>
    <row r="933">
      <c r="A933" s="109"/>
      <c r="B933" s="109"/>
      <c r="C933" s="109"/>
      <c r="D933" s="109"/>
      <c r="E933" s="109"/>
      <c r="F933" s="109"/>
      <c r="G933" s="356"/>
      <c r="H933" s="109"/>
      <c r="I933" s="109"/>
      <c r="J933" s="109"/>
      <c r="K933" s="109"/>
      <c r="L933" s="109"/>
      <c r="M933" s="109"/>
      <c r="N933" s="109"/>
      <c r="O933" s="109"/>
      <c r="P933" s="357"/>
      <c r="Q933" s="109"/>
      <c r="R933" s="109"/>
      <c r="S933" s="109"/>
      <c r="T933" s="109"/>
      <c r="U933" s="109"/>
      <c r="V933" s="109"/>
      <c r="W933" s="109"/>
      <c r="X933" s="109"/>
      <c r="Y933" s="109"/>
      <c r="Z933" s="109"/>
    </row>
    <row r="934">
      <c r="A934" s="109"/>
      <c r="B934" s="109"/>
      <c r="C934" s="109"/>
      <c r="D934" s="109"/>
      <c r="E934" s="109"/>
      <c r="F934" s="109"/>
      <c r="G934" s="356"/>
      <c r="H934" s="109"/>
      <c r="I934" s="109"/>
      <c r="J934" s="109"/>
      <c r="K934" s="109"/>
      <c r="L934" s="109"/>
      <c r="M934" s="109"/>
      <c r="N934" s="109"/>
      <c r="O934" s="109"/>
      <c r="P934" s="357"/>
      <c r="Q934" s="109"/>
      <c r="R934" s="109"/>
      <c r="S934" s="109"/>
      <c r="T934" s="109"/>
      <c r="U934" s="109"/>
      <c r="V934" s="109"/>
      <c r="W934" s="109"/>
      <c r="X934" s="109"/>
      <c r="Y934" s="109"/>
      <c r="Z934" s="109"/>
    </row>
    <row r="935">
      <c r="A935" s="109"/>
      <c r="B935" s="109"/>
      <c r="C935" s="109"/>
      <c r="D935" s="109"/>
      <c r="E935" s="109"/>
      <c r="F935" s="109"/>
      <c r="G935" s="356"/>
      <c r="H935" s="109"/>
      <c r="I935" s="109"/>
      <c r="J935" s="109"/>
      <c r="K935" s="109"/>
      <c r="L935" s="109"/>
      <c r="M935" s="109"/>
      <c r="N935" s="109"/>
      <c r="O935" s="109"/>
      <c r="P935" s="357"/>
      <c r="Q935" s="109"/>
      <c r="R935" s="109"/>
      <c r="S935" s="109"/>
      <c r="T935" s="109"/>
      <c r="U935" s="109"/>
      <c r="V935" s="109"/>
      <c r="W935" s="109"/>
      <c r="X935" s="109"/>
      <c r="Y935" s="109"/>
      <c r="Z935" s="109"/>
    </row>
    <row r="936">
      <c r="A936" s="109"/>
      <c r="B936" s="109"/>
      <c r="C936" s="109"/>
      <c r="D936" s="109"/>
      <c r="E936" s="109"/>
      <c r="F936" s="109"/>
      <c r="G936" s="356"/>
      <c r="H936" s="109"/>
      <c r="I936" s="109"/>
      <c r="J936" s="109"/>
      <c r="K936" s="109"/>
      <c r="L936" s="109"/>
      <c r="M936" s="109"/>
      <c r="N936" s="109"/>
      <c r="O936" s="109"/>
      <c r="P936" s="357"/>
      <c r="Q936" s="109"/>
      <c r="R936" s="109"/>
      <c r="S936" s="109"/>
      <c r="T936" s="109"/>
      <c r="U936" s="109"/>
      <c r="V936" s="109"/>
      <c r="W936" s="109"/>
      <c r="X936" s="109"/>
      <c r="Y936" s="109"/>
      <c r="Z936" s="109"/>
    </row>
    <row r="937">
      <c r="A937" s="109"/>
      <c r="B937" s="109"/>
      <c r="C937" s="109"/>
      <c r="D937" s="109"/>
      <c r="E937" s="109"/>
      <c r="F937" s="109"/>
      <c r="G937" s="356"/>
      <c r="H937" s="109"/>
      <c r="I937" s="109"/>
      <c r="J937" s="109"/>
      <c r="K937" s="109"/>
      <c r="L937" s="109"/>
      <c r="M937" s="109"/>
      <c r="N937" s="109"/>
      <c r="O937" s="109"/>
      <c r="P937" s="357"/>
      <c r="Q937" s="109"/>
      <c r="R937" s="109"/>
      <c r="S937" s="109"/>
      <c r="T937" s="109"/>
      <c r="U937" s="109"/>
      <c r="V937" s="109"/>
      <c r="W937" s="109"/>
      <c r="X937" s="109"/>
      <c r="Y937" s="109"/>
      <c r="Z937" s="109"/>
    </row>
    <row r="938">
      <c r="A938" s="109"/>
      <c r="B938" s="109"/>
      <c r="C938" s="109"/>
      <c r="D938" s="109"/>
      <c r="E938" s="109"/>
      <c r="F938" s="109"/>
      <c r="G938" s="356"/>
      <c r="H938" s="109"/>
      <c r="I938" s="109"/>
      <c r="J938" s="109"/>
      <c r="K938" s="109"/>
      <c r="L938" s="109"/>
      <c r="M938" s="109"/>
      <c r="N938" s="109"/>
      <c r="O938" s="109"/>
      <c r="P938" s="357"/>
      <c r="Q938" s="109"/>
      <c r="R938" s="109"/>
      <c r="S938" s="109"/>
      <c r="T938" s="109"/>
      <c r="U938" s="109"/>
      <c r="V938" s="109"/>
      <c r="W938" s="109"/>
      <c r="X938" s="109"/>
      <c r="Y938" s="109"/>
      <c r="Z938" s="109"/>
    </row>
    <row r="939">
      <c r="A939" s="109"/>
      <c r="B939" s="109"/>
      <c r="C939" s="109"/>
      <c r="D939" s="109"/>
      <c r="E939" s="109"/>
      <c r="F939" s="109"/>
      <c r="G939" s="356"/>
      <c r="H939" s="109"/>
      <c r="I939" s="109"/>
      <c r="J939" s="109"/>
      <c r="K939" s="109"/>
      <c r="L939" s="109"/>
      <c r="M939" s="109"/>
      <c r="N939" s="109"/>
      <c r="O939" s="109"/>
      <c r="P939" s="357"/>
      <c r="Q939" s="109"/>
      <c r="R939" s="109"/>
      <c r="S939" s="109"/>
      <c r="T939" s="109"/>
      <c r="U939" s="109"/>
      <c r="V939" s="109"/>
      <c r="W939" s="109"/>
      <c r="X939" s="109"/>
      <c r="Y939" s="109"/>
      <c r="Z939" s="109"/>
    </row>
    <row r="940">
      <c r="A940" s="109"/>
      <c r="B940" s="109"/>
      <c r="C940" s="109"/>
      <c r="D940" s="109"/>
      <c r="E940" s="109"/>
      <c r="F940" s="109"/>
      <c r="G940" s="356"/>
      <c r="H940" s="109"/>
      <c r="I940" s="109"/>
      <c r="J940" s="109"/>
      <c r="K940" s="109"/>
      <c r="L940" s="109"/>
      <c r="M940" s="109"/>
      <c r="N940" s="109"/>
      <c r="O940" s="109"/>
      <c r="P940" s="357"/>
      <c r="Q940" s="109"/>
      <c r="R940" s="109"/>
      <c r="S940" s="109"/>
      <c r="T940" s="109"/>
      <c r="U940" s="109"/>
      <c r="V940" s="109"/>
      <c r="W940" s="109"/>
      <c r="X940" s="109"/>
      <c r="Y940" s="109"/>
      <c r="Z940" s="109"/>
    </row>
    <row r="941">
      <c r="A941" s="109"/>
      <c r="B941" s="109"/>
      <c r="C941" s="109"/>
      <c r="D941" s="109"/>
      <c r="E941" s="109"/>
      <c r="F941" s="109"/>
      <c r="G941" s="356"/>
      <c r="H941" s="109"/>
      <c r="I941" s="109"/>
      <c r="J941" s="109"/>
      <c r="K941" s="109"/>
      <c r="L941" s="109"/>
      <c r="M941" s="109"/>
      <c r="N941" s="109"/>
      <c r="O941" s="109"/>
      <c r="P941" s="357"/>
      <c r="Q941" s="109"/>
      <c r="R941" s="109"/>
      <c r="S941" s="109"/>
      <c r="T941" s="109"/>
      <c r="U941" s="109"/>
      <c r="V941" s="109"/>
      <c r="W941" s="109"/>
      <c r="X941" s="109"/>
      <c r="Y941" s="109"/>
      <c r="Z941" s="109"/>
    </row>
    <row r="942">
      <c r="A942" s="109"/>
      <c r="B942" s="109"/>
      <c r="C942" s="109"/>
      <c r="D942" s="109"/>
      <c r="E942" s="109"/>
      <c r="F942" s="109"/>
      <c r="G942" s="356"/>
      <c r="H942" s="109"/>
      <c r="I942" s="109"/>
      <c r="J942" s="109"/>
      <c r="K942" s="109"/>
      <c r="L942" s="109"/>
      <c r="M942" s="109"/>
      <c r="N942" s="109"/>
      <c r="O942" s="109"/>
      <c r="P942" s="357"/>
      <c r="Q942" s="109"/>
      <c r="R942" s="109"/>
      <c r="S942" s="109"/>
      <c r="T942" s="109"/>
      <c r="U942" s="109"/>
      <c r="V942" s="109"/>
      <c r="W942" s="109"/>
      <c r="X942" s="109"/>
      <c r="Y942" s="109"/>
      <c r="Z942" s="109"/>
    </row>
    <row r="943">
      <c r="A943" s="109"/>
      <c r="B943" s="109"/>
      <c r="C943" s="109"/>
      <c r="D943" s="109"/>
      <c r="E943" s="109"/>
      <c r="F943" s="109"/>
      <c r="G943" s="356"/>
      <c r="H943" s="109"/>
      <c r="I943" s="109"/>
      <c r="J943" s="109"/>
      <c r="K943" s="109"/>
      <c r="L943" s="109"/>
      <c r="M943" s="109"/>
      <c r="N943" s="109"/>
      <c r="O943" s="109"/>
      <c r="P943" s="357"/>
      <c r="Q943" s="109"/>
      <c r="R943" s="109"/>
      <c r="S943" s="109"/>
      <c r="T943" s="109"/>
      <c r="U943" s="109"/>
      <c r="V943" s="109"/>
      <c r="W943" s="109"/>
      <c r="X943" s="109"/>
      <c r="Y943" s="109"/>
      <c r="Z943" s="109"/>
    </row>
    <row r="944">
      <c r="A944" s="109"/>
      <c r="B944" s="109"/>
      <c r="C944" s="109"/>
      <c r="D944" s="109"/>
      <c r="E944" s="109"/>
      <c r="F944" s="109"/>
      <c r="G944" s="356"/>
      <c r="H944" s="109"/>
      <c r="I944" s="109"/>
      <c r="J944" s="109"/>
      <c r="K944" s="109"/>
      <c r="L944" s="109"/>
      <c r="M944" s="109"/>
      <c r="N944" s="109"/>
      <c r="O944" s="109"/>
      <c r="P944" s="357"/>
      <c r="Q944" s="109"/>
      <c r="R944" s="109"/>
      <c r="S944" s="109"/>
      <c r="T944" s="109"/>
      <c r="U944" s="109"/>
      <c r="V944" s="109"/>
      <c r="W944" s="109"/>
      <c r="X944" s="109"/>
      <c r="Y944" s="109"/>
      <c r="Z944" s="109"/>
    </row>
    <row r="945">
      <c r="A945" s="109"/>
      <c r="B945" s="109"/>
      <c r="C945" s="109"/>
      <c r="D945" s="109"/>
      <c r="E945" s="109"/>
      <c r="F945" s="109"/>
      <c r="G945" s="356"/>
      <c r="H945" s="109"/>
      <c r="I945" s="109"/>
      <c r="J945" s="109"/>
      <c r="K945" s="109"/>
      <c r="L945" s="109"/>
      <c r="M945" s="109"/>
      <c r="N945" s="109"/>
      <c r="O945" s="109"/>
      <c r="P945" s="357"/>
      <c r="Q945" s="109"/>
      <c r="R945" s="109"/>
      <c r="S945" s="109"/>
      <c r="T945" s="109"/>
      <c r="U945" s="109"/>
      <c r="V945" s="109"/>
      <c r="W945" s="109"/>
      <c r="X945" s="109"/>
      <c r="Y945" s="109"/>
      <c r="Z945" s="109"/>
    </row>
    <row r="946">
      <c r="A946" s="109"/>
      <c r="B946" s="109"/>
      <c r="C946" s="109"/>
      <c r="D946" s="109"/>
      <c r="E946" s="109"/>
      <c r="F946" s="109"/>
      <c r="G946" s="356"/>
      <c r="H946" s="109"/>
      <c r="I946" s="109"/>
      <c r="J946" s="109"/>
      <c r="K946" s="109"/>
      <c r="L946" s="109"/>
      <c r="M946" s="109"/>
      <c r="N946" s="109"/>
      <c r="O946" s="109"/>
      <c r="P946" s="357"/>
      <c r="Q946" s="109"/>
      <c r="R946" s="109"/>
      <c r="S946" s="109"/>
      <c r="T946" s="109"/>
      <c r="U946" s="109"/>
      <c r="V946" s="109"/>
      <c r="W946" s="109"/>
      <c r="X946" s="109"/>
      <c r="Y946" s="109"/>
      <c r="Z946" s="109"/>
    </row>
    <row r="947">
      <c r="A947" s="109"/>
      <c r="B947" s="109"/>
      <c r="C947" s="109"/>
      <c r="D947" s="109"/>
      <c r="E947" s="109"/>
      <c r="F947" s="109"/>
      <c r="G947" s="356"/>
      <c r="H947" s="109"/>
      <c r="I947" s="109"/>
      <c r="J947" s="109"/>
      <c r="K947" s="109"/>
      <c r="L947" s="109"/>
      <c r="M947" s="109"/>
      <c r="N947" s="109"/>
      <c r="O947" s="109"/>
      <c r="P947" s="357"/>
      <c r="Q947" s="109"/>
      <c r="R947" s="109"/>
      <c r="S947" s="109"/>
      <c r="T947" s="109"/>
      <c r="U947" s="109"/>
      <c r="V947" s="109"/>
      <c r="W947" s="109"/>
      <c r="X947" s="109"/>
      <c r="Y947" s="109"/>
      <c r="Z947" s="109"/>
    </row>
    <row r="948">
      <c r="A948" s="109"/>
      <c r="B948" s="109"/>
      <c r="C948" s="109"/>
      <c r="D948" s="109"/>
      <c r="E948" s="109"/>
      <c r="F948" s="109"/>
      <c r="G948" s="356"/>
      <c r="H948" s="109"/>
      <c r="I948" s="109"/>
      <c r="J948" s="109"/>
      <c r="K948" s="109"/>
      <c r="L948" s="109"/>
      <c r="M948" s="109"/>
      <c r="N948" s="109"/>
      <c r="O948" s="109"/>
      <c r="P948" s="357"/>
      <c r="Q948" s="109"/>
      <c r="R948" s="109"/>
      <c r="S948" s="109"/>
      <c r="T948" s="109"/>
      <c r="U948" s="109"/>
      <c r="V948" s="109"/>
      <c r="W948" s="109"/>
      <c r="X948" s="109"/>
      <c r="Y948" s="109"/>
      <c r="Z948" s="109"/>
    </row>
    <row r="949">
      <c r="A949" s="109"/>
      <c r="B949" s="109"/>
      <c r="C949" s="109"/>
      <c r="D949" s="109"/>
      <c r="E949" s="109"/>
      <c r="F949" s="109"/>
      <c r="G949" s="356"/>
      <c r="H949" s="109"/>
      <c r="I949" s="109"/>
      <c r="J949" s="109"/>
      <c r="K949" s="109"/>
      <c r="L949" s="109"/>
      <c r="M949" s="109"/>
      <c r="N949" s="109"/>
      <c r="O949" s="109"/>
      <c r="P949" s="357"/>
      <c r="Q949" s="109"/>
      <c r="R949" s="109"/>
      <c r="S949" s="109"/>
      <c r="T949" s="109"/>
      <c r="U949" s="109"/>
      <c r="V949" s="109"/>
      <c r="W949" s="109"/>
      <c r="X949" s="109"/>
      <c r="Y949" s="109"/>
      <c r="Z949" s="109"/>
    </row>
    <row r="950">
      <c r="A950" s="109"/>
      <c r="B950" s="109"/>
      <c r="C950" s="109"/>
      <c r="D950" s="109"/>
      <c r="E950" s="109"/>
      <c r="F950" s="109"/>
      <c r="G950" s="356"/>
      <c r="H950" s="109"/>
      <c r="I950" s="109"/>
      <c r="J950" s="109"/>
      <c r="K950" s="109"/>
      <c r="L950" s="109"/>
      <c r="M950" s="109"/>
      <c r="N950" s="109"/>
      <c r="O950" s="109"/>
      <c r="P950" s="357"/>
      <c r="Q950" s="109"/>
      <c r="R950" s="109"/>
      <c r="S950" s="109"/>
      <c r="T950" s="109"/>
      <c r="U950" s="109"/>
      <c r="V950" s="109"/>
      <c r="W950" s="109"/>
      <c r="X950" s="109"/>
      <c r="Y950" s="109"/>
      <c r="Z950" s="109"/>
    </row>
    <row r="951">
      <c r="A951" s="109"/>
      <c r="B951" s="109"/>
      <c r="C951" s="109"/>
      <c r="D951" s="109"/>
      <c r="E951" s="109"/>
      <c r="F951" s="109"/>
      <c r="G951" s="356"/>
      <c r="H951" s="109"/>
      <c r="I951" s="109"/>
      <c r="J951" s="109"/>
      <c r="K951" s="109"/>
      <c r="L951" s="109"/>
      <c r="M951" s="109"/>
      <c r="N951" s="109"/>
      <c r="O951" s="109"/>
      <c r="P951" s="357"/>
      <c r="Q951" s="109"/>
      <c r="R951" s="109"/>
      <c r="S951" s="109"/>
      <c r="T951" s="109"/>
      <c r="U951" s="109"/>
      <c r="V951" s="109"/>
      <c r="W951" s="109"/>
      <c r="X951" s="109"/>
      <c r="Y951" s="109"/>
      <c r="Z951" s="109"/>
    </row>
    <row r="952">
      <c r="A952" s="109"/>
      <c r="B952" s="109"/>
      <c r="C952" s="109"/>
      <c r="D952" s="109"/>
      <c r="E952" s="109"/>
      <c r="F952" s="109"/>
      <c r="G952" s="356"/>
      <c r="H952" s="109"/>
      <c r="I952" s="109"/>
      <c r="J952" s="109"/>
      <c r="K952" s="109"/>
      <c r="L952" s="109"/>
      <c r="M952" s="109"/>
      <c r="N952" s="109"/>
      <c r="O952" s="109"/>
      <c r="P952" s="357"/>
      <c r="Q952" s="109"/>
      <c r="R952" s="109"/>
      <c r="S952" s="109"/>
      <c r="T952" s="109"/>
      <c r="U952" s="109"/>
      <c r="V952" s="109"/>
      <c r="W952" s="109"/>
      <c r="X952" s="109"/>
      <c r="Y952" s="109"/>
      <c r="Z952" s="109"/>
    </row>
    <row r="953">
      <c r="A953" s="109"/>
      <c r="B953" s="109"/>
      <c r="C953" s="109"/>
      <c r="D953" s="109"/>
      <c r="E953" s="109"/>
      <c r="F953" s="109"/>
      <c r="G953" s="356"/>
      <c r="H953" s="109"/>
      <c r="I953" s="109"/>
      <c r="J953" s="109"/>
      <c r="K953" s="109"/>
      <c r="L953" s="109"/>
      <c r="M953" s="109"/>
      <c r="N953" s="109"/>
      <c r="O953" s="109"/>
      <c r="P953" s="357"/>
      <c r="Q953" s="109"/>
      <c r="R953" s="109"/>
      <c r="S953" s="109"/>
      <c r="T953" s="109"/>
      <c r="U953" s="109"/>
      <c r="V953" s="109"/>
      <c r="W953" s="109"/>
      <c r="X953" s="109"/>
      <c r="Y953" s="109"/>
      <c r="Z953" s="109"/>
    </row>
    <row r="954">
      <c r="A954" s="109"/>
      <c r="B954" s="109"/>
      <c r="C954" s="109"/>
      <c r="D954" s="109"/>
      <c r="E954" s="109"/>
      <c r="F954" s="109"/>
      <c r="G954" s="356"/>
      <c r="H954" s="109"/>
      <c r="I954" s="109"/>
      <c r="J954" s="109"/>
      <c r="K954" s="109"/>
      <c r="L954" s="109"/>
      <c r="M954" s="109"/>
      <c r="N954" s="109"/>
      <c r="O954" s="109"/>
      <c r="P954" s="357"/>
      <c r="Q954" s="109"/>
      <c r="R954" s="109"/>
      <c r="S954" s="109"/>
      <c r="T954" s="109"/>
      <c r="U954" s="109"/>
      <c r="V954" s="109"/>
      <c r="W954" s="109"/>
      <c r="X954" s="109"/>
      <c r="Y954" s="109"/>
      <c r="Z954" s="109"/>
    </row>
    <row r="955">
      <c r="A955" s="109"/>
      <c r="B955" s="109"/>
      <c r="C955" s="109"/>
      <c r="D955" s="109"/>
      <c r="E955" s="109"/>
      <c r="F955" s="109"/>
      <c r="G955" s="356"/>
      <c r="H955" s="109"/>
      <c r="I955" s="109"/>
      <c r="J955" s="109"/>
      <c r="K955" s="109"/>
      <c r="L955" s="109"/>
      <c r="M955" s="109"/>
      <c r="N955" s="109"/>
      <c r="O955" s="109"/>
      <c r="P955" s="357"/>
      <c r="Q955" s="109"/>
      <c r="R955" s="109"/>
      <c r="S955" s="109"/>
      <c r="T955" s="109"/>
      <c r="U955" s="109"/>
      <c r="V955" s="109"/>
      <c r="W955" s="109"/>
      <c r="X955" s="109"/>
      <c r="Y955" s="109"/>
      <c r="Z955" s="109"/>
    </row>
    <row r="956">
      <c r="A956" s="109"/>
      <c r="B956" s="109"/>
      <c r="C956" s="109"/>
      <c r="D956" s="109"/>
      <c r="E956" s="109"/>
      <c r="F956" s="109"/>
      <c r="G956" s="356"/>
      <c r="H956" s="109"/>
      <c r="I956" s="109"/>
      <c r="J956" s="109"/>
      <c r="K956" s="109"/>
      <c r="L956" s="109"/>
      <c r="M956" s="109"/>
      <c r="N956" s="109"/>
      <c r="O956" s="109"/>
      <c r="P956" s="357"/>
      <c r="Q956" s="109"/>
      <c r="R956" s="109"/>
      <c r="S956" s="109"/>
      <c r="T956" s="109"/>
      <c r="U956" s="109"/>
      <c r="V956" s="109"/>
      <c r="W956" s="109"/>
      <c r="X956" s="109"/>
      <c r="Y956" s="109"/>
      <c r="Z956" s="109"/>
    </row>
    <row r="957">
      <c r="A957" s="109"/>
      <c r="B957" s="109"/>
      <c r="C957" s="109"/>
      <c r="D957" s="109"/>
      <c r="E957" s="109"/>
      <c r="F957" s="109"/>
      <c r="G957" s="356"/>
      <c r="H957" s="109"/>
      <c r="I957" s="109"/>
      <c r="J957" s="109"/>
      <c r="K957" s="109"/>
      <c r="L957" s="109"/>
      <c r="M957" s="109"/>
      <c r="N957" s="109"/>
      <c r="O957" s="109"/>
      <c r="P957" s="357"/>
      <c r="Q957" s="109"/>
      <c r="R957" s="109"/>
      <c r="S957" s="109"/>
      <c r="T957" s="109"/>
      <c r="U957" s="109"/>
      <c r="V957" s="109"/>
      <c r="W957" s="109"/>
      <c r="X957" s="109"/>
      <c r="Y957" s="109"/>
      <c r="Z957" s="109"/>
    </row>
    <row r="958">
      <c r="A958" s="109"/>
      <c r="B958" s="109"/>
      <c r="C958" s="109"/>
      <c r="D958" s="109"/>
      <c r="E958" s="109"/>
      <c r="F958" s="109"/>
      <c r="G958" s="356"/>
      <c r="H958" s="109"/>
      <c r="I958" s="109"/>
      <c r="J958" s="109"/>
      <c r="K958" s="109"/>
      <c r="L958" s="109"/>
      <c r="M958" s="109"/>
      <c r="N958" s="109"/>
      <c r="O958" s="109"/>
      <c r="P958" s="357"/>
      <c r="Q958" s="109"/>
      <c r="R958" s="109"/>
      <c r="S958" s="109"/>
      <c r="T958" s="109"/>
      <c r="U958" s="109"/>
      <c r="V958" s="109"/>
      <c r="W958" s="109"/>
      <c r="X958" s="109"/>
      <c r="Y958" s="109"/>
      <c r="Z958" s="109"/>
    </row>
    <row r="959">
      <c r="A959" s="109"/>
      <c r="B959" s="109"/>
      <c r="C959" s="109"/>
      <c r="D959" s="109"/>
      <c r="E959" s="109"/>
      <c r="F959" s="109"/>
      <c r="G959" s="356"/>
      <c r="H959" s="109"/>
      <c r="I959" s="109"/>
      <c r="J959" s="109"/>
      <c r="K959" s="109"/>
      <c r="L959" s="109"/>
      <c r="M959" s="109"/>
      <c r="N959" s="109"/>
      <c r="O959" s="109"/>
      <c r="P959" s="357"/>
      <c r="Q959" s="109"/>
      <c r="R959" s="109"/>
      <c r="S959" s="109"/>
      <c r="T959" s="109"/>
      <c r="U959" s="109"/>
      <c r="V959" s="109"/>
      <c r="W959" s="109"/>
      <c r="X959" s="109"/>
      <c r="Y959" s="109"/>
      <c r="Z959" s="109"/>
    </row>
    <row r="960">
      <c r="A960" s="109"/>
      <c r="B960" s="109"/>
      <c r="C960" s="109"/>
      <c r="D960" s="109"/>
      <c r="E960" s="109"/>
      <c r="F960" s="109"/>
      <c r="G960" s="356"/>
      <c r="H960" s="109"/>
      <c r="I960" s="109"/>
      <c r="J960" s="109"/>
      <c r="K960" s="109"/>
      <c r="L960" s="109"/>
      <c r="M960" s="109"/>
      <c r="N960" s="109"/>
      <c r="O960" s="109"/>
      <c r="P960" s="357"/>
      <c r="Q960" s="109"/>
      <c r="R960" s="109"/>
      <c r="S960" s="109"/>
      <c r="T960" s="109"/>
      <c r="U960" s="109"/>
      <c r="V960" s="109"/>
      <c r="W960" s="109"/>
      <c r="X960" s="109"/>
      <c r="Y960" s="109"/>
      <c r="Z960" s="109"/>
    </row>
    <row r="961">
      <c r="A961" s="109"/>
      <c r="B961" s="109"/>
      <c r="C961" s="109"/>
      <c r="D961" s="109"/>
      <c r="E961" s="109"/>
      <c r="F961" s="109"/>
      <c r="G961" s="356"/>
      <c r="H961" s="109"/>
      <c r="I961" s="109"/>
      <c r="J961" s="109"/>
      <c r="K961" s="109"/>
      <c r="L961" s="109"/>
      <c r="M961" s="109"/>
      <c r="N961" s="109"/>
      <c r="O961" s="109"/>
      <c r="P961" s="357"/>
      <c r="Q961" s="109"/>
      <c r="R961" s="109"/>
      <c r="S961" s="109"/>
      <c r="T961" s="109"/>
      <c r="U961" s="109"/>
      <c r="V961" s="109"/>
      <c r="W961" s="109"/>
      <c r="X961" s="109"/>
      <c r="Y961" s="109"/>
      <c r="Z961" s="109"/>
    </row>
    <row r="962">
      <c r="A962" s="109"/>
      <c r="B962" s="109"/>
      <c r="C962" s="109"/>
      <c r="D962" s="109"/>
      <c r="E962" s="109"/>
      <c r="F962" s="109"/>
      <c r="G962" s="356"/>
      <c r="H962" s="109"/>
      <c r="I962" s="109"/>
      <c r="J962" s="109"/>
      <c r="K962" s="109"/>
      <c r="L962" s="109"/>
      <c r="M962" s="109"/>
      <c r="N962" s="109"/>
      <c r="O962" s="109"/>
      <c r="P962" s="357"/>
      <c r="Q962" s="109"/>
      <c r="R962" s="109"/>
      <c r="S962" s="109"/>
      <c r="T962" s="109"/>
      <c r="U962" s="109"/>
      <c r="V962" s="109"/>
      <c r="W962" s="109"/>
      <c r="X962" s="109"/>
      <c r="Y962" s="109"/>
      <c r="Z962" s="109"/>
    </row>
    <row r="963">
      <c r="A963" s="109"/>
      <c r="B963" s="109"/>
      <c r="C963" s="109"/>
      <c r="D963" s="109"/>
      <c r="E963" s="109"/>
      <c r="F963" s="109"/>
      <c r="G963" s="356"/>
      <c r="H963" s="109"/>
      <c r="I963" s="109"/>
      <c r="J963" s="109"/>
      <c r="K963" s="109"/>
      <c r="L963" s="109"/>
      <c r="M963" s="109"/>
      <c r="N963" s="109"/>
      <c r="O963" s="109"/>
      <c r="P963" s="357"/>
      <c r="Q963" s="109"/>
      <c r="R963" s="109"/>
      <c r="S963" s="109"/>
      <c r="T963" s="109"/>
      <c r="U963" s="109"/>
      <c r="V963" s="109"/>
      <c r="W963" s="109"/>
      <c r="X963" s="109"/>
      <c r="Y963" s="109"/>
      <c r="Z963" s="109"/>
    </row>
    <row r="964">
      <c r="A964" s="109"/>
      <c r="B964" s="109"/>
      <c r="C964" s="109"/>
      <c r="D964" s="109"/>
      <c r="E964" s="109"/>
      <c r="F964" s="109"/>
      <c r="G964" s="356"/>
      <c r="H964" s="109"/>
      <c r="I964" s="109"/>
      <c r="J964" s="109"/>
      <c r="K964" s="109"/>
      <c r="L964" s="109"/>
      <c r="M964" s="109"/>
      <c r="N964" s="109"/>
      <c r="O964" s="109"/>
      <c r="P964" s="357"/>
      <c r="Q964" s="109"/>
      <c r="R964" s="109"/>
      <c r="S964" s="109"/>
      <c r="T964" s="109"/>
      <c r="U964" s="109"/>
      <c r="V964" s="109"/>
      <c r="W964" s="109"/>
      <c r="X964" s="109"/>
      <c r="Y964" s="109"/>
      <c r="Z964" s="109"/>
    </row>
    <row r="965">
      <c r="A965" s="109"/>
      <c r="B965" s="109"/>
      <c r="C965" s="109"/>
      <c r="D965" s="109"/>
      <c r="E965" s="109"/>
      <c r="F965" s="109"/>
      <c r="G965" s="356"/>
      <c r="H965" s="109"/>
      <c r="I965" s="109"/>
      <c r="J965" s="109"/>
      <c r="K965" s="109"/>
      <c r="L965" s="109"/>
      <c r="M965" s="109"/>
      <c r="N965" s="109"/>
      <c r="O965" s="109"/>
      <c r="P965" s="357"/>
      <c r="Q965" s="109"/>
      <c r="R965" s="109"/>
      <c r="S965" s="109"/>
      <c r="T965" s="109"/>
      <c r="U965" s="109"/>
      <c r="V965" s="109"/>
      <c r="W965" s="109"/>
      <c r="X965" s="109"/>
      <c r="Y965" s="109"/>
      <c r="Z965" s="109"/>
    </row>
    <row r="966">
      <c r="A966" s="109"/>
      <c r="B966" s="109"/>
      <c r="C966" s="109"/>
      <c r="D966" s="109"/>
      <c r="E966" s="109"/>
      <c r="F966" s="109"/>
      <c r="G966" s="356"/>
      <c r="H966" s="109"/>
      <c r="I966" s="109"/>
      <c r="J966" s="109"/>
      <c r="K966" s="109"/>
      <c r="L966" s="109"/>
      <c r="M966" s="109"/>
      <c r="N966" s="109"/>
      <c r="O966" s="109"/>
      <c r="P966" s="357"/>
      <c r="Q966" s="109"/>
      <c r="R966" s="109"/>
      <c r="S966" s="109"/>
      <c r="T966" s="109"/>
      <c r="U966" s="109"/>
      <c r="V966" s="109"/>
      <c r="W966" s="109"/>
      <c r="X966" s="109"/>
      <c r="Y966" s="109"/>
      <c r="Z966" s="109"/>
    </row>
    <row r="967">
      <c r="A967" s="109"/>
      <c r="B967" s="109"/>
      <c r="C967" s="109"/>
      <c r="D967" s="109"/>
      <c r="E967" s="109"/>
      <c r="F967" s="109"/>
      <c r="G967" s="356"/>
      <c r="H967" s="109"/>
      <c r="I967" s="109"/>
      <c r="J967" s="109"/>
      <c r="K967" s="109"/>
      <c r="L967" s="109"/>
      <c r="M967" s="109"/>
      <c r="N967" s="109"/>
      <c r="O967" s="109"/>
      <c r="P967" s="357"/>
      <c r="Q967" s="109"/>
      <c r="R967" s="109"/>
      <c r="S967" s="109"/>
      <c r="T967" s="109"/>
      <c r="U967" s="109"/>
      <c r="V967" s="109"/>
      <c r="W967" s="109"/>
      <c r="X967" s="109"/>
      <c r="Y967" s="109"/>
      <c r="Z967" s="109"/>
    </row>
    <row r="968">
      <c r="A968" s="109"/>
      <c r="B968" s="109"/>
      <c r="C968" s="109"/>
      <c r="D968" s="109"/>
      <c r="E968" s="109"/>
      <c r="F968" s="109"/>
      <c r="G968" s="356"/>
      <c r="H968" s="109"/>
      <c r="I968" s="109"/>
      <c r="J968" s="109"/>
      <c r="K968" s="109"/>
      <c r="L968" s="109"/>
      <c r="M968" s="109"/>
      <c r="N968" s="109"/>
      <c r="O968" s="109"/>
      <c r="P968" s="357"/>
      <c r="Q968" s="109"/>
      <c r="R968" s="109"/>
      <c r="S968" s="109"/>
      <c r="T968" s="109"/>
      <c r="U968" s="109"/>
      <c r="V968" s="109"/>
      <c r="W968" s="109"/>
      <c r="X968" s="109"/>
      <c r="Y968" s="109"/>
      <c r="Z968" s="109"/>
    </row>
    <row r="969">
      <c r="A969" s="109"/>
      <c r="B969" s="109"/>
      <c r="C969" s="109"/>
      <c r="D969" s="109"/>
      <c r="E969" s="109"/>
      <c r="F969" s="109"/>
      <c r="G969" s="356"/>
      <c r="H969" s="109"/>
      <c r="I969" s="109"/>
      <c r="J969" s="109"/>
      <c r="K969" s="109"/>
      <c r="L969" s="109"/>
      <c r="M969" s="109"/>
      <c r="N969" s="109"/>
      <c r="O969" s="109"/>
      <c r="P969" s="357"/>
      <c r="Q969" s="109"/>
      <c r="R969" s="109"/>
      <c r="S969" s="109"/>
      <c r="T969" s="109"/>
      <c r="U969" s="109"/>
      <c r="V969" s="109"/>
      <c r="W969" s="109"/>
      <c r="X969" s="109"/>
      <c r="Y969" s="109"/>
      <c r="Z969" s="109"/>
    </row>
    <row r="970">
      <c r="A970" s="109"/>
      <c r="B970" s="109"/>
      <c r="C970" s="109"/>
      <c r="D970" s="109"/>
      <c r="E970" s="109"/>
      <c r="F970" s="109"/>
      <c r="G970" s="356"/>
      <c r="H970" s="109"/>
      <c r="I970" s="109"/>
      <c r="J970" s="109"/>
      <c r="K970" s="109"/>
      <c r="L970" s="109"/>
      <c r="M970" s="109"/>
      <c r="N970" s="109"/>
      <c r="O970" s="109"/>
      <c r="P970" s="357"/>
      <c r="Q970" s="109"/>
      <c r="R970" s="109"/>
      <c r="S970" s="109"/>
      <c r="T970" s="109"/>
      <c r="U970" s="109"/>
      <c r="V970" s="109"/>
      <c r="W970" s="109"/>
      <c r="X970" s="109"/>
      <c r="Y970" s="109"/>
      <c r="Z970" s="109"/>
    </row>
    <row r="971">
      <c r="A971" s="109"/>
      <c r="B971" s="109"/>
      <c r="C971" s="109"/>
      <c r="D971" s="109"/>
      <c r="E971" s="109"/>
      <c r="F971" s="109"/>
      <c r="G971" s="356"/>
      <c r="H971" s="109"/>
      <c r="I971" s="109"/>
      <c r="J971" s="109"/>
      <c r="K971" s="109"/>
      <c r="L971" s="109"/>
      <c r="M971" s="109"/>
      <c r="N971" s="109"/>
      <c r="O971" s="109"/>
      <c r="P971" s="357"/>
      <c r="Q971" s="109"/>
      <c r="R971" s="109"/>
      <c r="S971" s="109"/>
      <c r="T971" s="109"/>
      <c r="U971" s="109"/>
      <c r="V971" s="109"/>
      <c r="W971" s="109"/>
      <c r="X971" s="109"/>
      <c r="Y971" s="109"/>
      <c r="Z971" s="109"/>
    </row>
    <row r="972">
      <c r="A972" s="109"/>
      <c r="B972" s="109"/>
      <c r="C972" s="109"/>
      <c r="D972" s="109"/>
      <c r="E972" s="109"/>
      <c r="F972" s="109"/>
      <c r="G972" s="356"/>
      <c r="H972" s="109"/>
      <c r="I972" s="109"/>
      <c r="J972" s="109"/>
      <c r="K972" s="109"/>
      <c r="L972" s="109"/>
      <c r="M972" s="109"/>
      <c r="N972" s="109"/>
      <c r="O972" s="109"/>
      <c r="P972" s="357"/>
      <c r="Q972" s="109"/>
      <c r="R972" s="109"/>
      <c r="S972" s="109"/>
      <c r="T972" s="109"/>
      <c r="U972" s="109"/>
      <c r="V972" s="109"/>
      <c r="W972" s="109"/>
      <c r="X972" s="109"/>
      <c r="Y972" s="109"/>
      <c r="Z972" s="109"/>
    </row>
    <row r="973">
      <c r="A973" s="109"/>
      <c r="B973" s="109"/>
      <c r="C973" s="109"/>
      <c r="D973" s="109"/>
      <c r="E973" s="109"/>
      <c r="F973" s="109"/>
      <c r="G973" s="356"/>
      <c r="H973" s="109"/>
      <c r="I973" s="109"/>
      <c r="J973" s="109"/>
      <c r="K973" s="109"/>
      <c r="L973" s="109"/>
      <c r="M973" s="109"/>
      <c r="N973" s="109"/>
      <c r="O973" s="109"/>
      <c r="P973" s="357"/>
      <c r="Q973" s="109"/>
      <c r="R973" s="109"/>
      <c r="S973" s="109"/>
      <c r="T973" s="109"/>
      <c r="U973" s="109"/>
      <c r="V973" s="109"/>
      <c r="W973" s="109"/>
      <c r="X973" s="109"/>
      <c r="Y973" s="109"/>
      <c r="Z973" s="109"/>
    </row>
    <row r="974">
      <c r="A974" s="109"/>
      <c r="B974" s="109"/>
      <c r="C974" s="109"/>
      <c r="D974" s="109"/>
      <c r="E974" s="109"/>
      <c r="F974" s="109"/>
      <c r="G974" s="356"/>
      <c r="H974" s="109"/>
      <c r="I974" s="109"/>
      <c r="J974" s="109"/>
      <c r="K974" s="109"/>
      <c r="L974" s="109"/>
      <c r="M974" s="109"/>
      <c r="N974" s="109"/>
      <c r="O974" s="109"/>
      <c r="P974" s="357"/>
      <c r="Q974" s="109"/>
      <c r="R974" s="109"/>
      <c r="S974" s="109"/>
      <c r="T974" s="109"/>
      <c r="U974" s="109"/>
      <c r="V974" s="109"/>
      <c r="W974" s="109"/>
      <c r="X974" s="109"/>
      <c r="Y974" s="109"/>
      <c r="Z974" s="109"/>
    </row>
    <row r="975">
      <c r="A975" s="109"/>
      <c r="B975" s="109"/>
      <c r="C975" s="109"/>
      <c r="D975" s="109"/>
      <c r="E975" s="109"/>
      <c r="F975" s="109"/>
      <c r="G975" s="356"/>
      <c r="H975" s="109"/>
      <c r="I975" s="109"/>
      <c r="J975" s="109"/>
      <c r="K975" s="109"/>
      <c r="L975" s="109"/>
      <c r="M975" s="109"/>
      <c r="N975" s="109"/>
      <c r="O975" s="109"/>
      <c r="P975" s="357"/>
      <c r="Q975" s="109"/>
      <c r="R975" s="109"/>
      <c r="S975" s="109"/>
      <c r="T975" s="109"/>
      <c r="U975" s="109"/>
      <c r="V975" s="109"/>
      <c r="W975" s="109"/>
      <c r="X975" s="109"/>
      <c r="Y975" s="109"/>
      <c r="Z975" s="109"/>
    </row>
    <row r="976">
      <c r="A976" s="109"/>
      <c r="B976" s="109"/>
      <c r="C976" s="109"/>
      <c r="D976" s="109"/>
      <c r="E976" s="109"/>
      <c r="F976" s="109"/>
      <c r="G976" s="356"/>
      <c r="H976" s="109"/>
      <c r="I976" s="109"/>
      <c r="J976" s="109"/>
      <c r="K976" s="109"/>
      <c r="L976" s="109"/>
      <c r="M976" s="109"/>
      <c r="N976" s="109"/>
      <c r="O976" s="109"/>
      <c r="P976" s="357"/>
      <c r="Q976" s="109"/>
      <c r="R976" s="109"/>
      <c r="S976" s="109"/>
      <c r="T976" s="109"/>
      <c r="U976" s="109"/>
      <c r="V976" s="109"/>
      <c r="W976" s="109"/>
      <c r="X976" s="109"/>
      <c r="Y976" s="109"/>
      <c r="Z976" s="109"/>
    </row>
    <row r="977">
      <c r="A977" s="109"/>
      <c r="B977" s="109"/>
      <c r="C977" s="109"/>
      <c r="D977" s="109"/>
      <c r="E977" s="109"/>
      <c r="F977" s="109"/>
      <c r="G977" s="356"/>
      <c r="H977" s="109"/>
      <c r="I977" s="109"/>
      <c r="J977" s="109"/>
      <c r="K977" s="109"/>
      <c r="L977" s="109"/>
      <c r="M977" s="109"/>
      <c r="N977" s="109"/>
      <c r="O977" s="109"/>
      <c r="P977" s="357"/>
      <c r="Q977" s="109"/>
      <c r="R977" s="109"/>
      <c r="S977" s="109"/>
      <c r="T977" s="109"/>
      <c r="U977" s="109"/>
      <c r="V977" s="109"/>
      <c r="W977" s="109"/>
      <c r="X977" s="109"/>
      <c r="Y977" s="109"/>
      <c r="Z977" s="109"/>
    </row>
    <row r="978">
      <c r="A978" s="109"/>
      <c r="B978" s="109"/>
      <c r="C978" s="109"/>
      <c r="D978" s="109"/>
      <c r="E978" s="109"/>
      <c r="F978" s="109"/>
      <c r="G978" s="356"/>
      <c r="H978" s="109"/>
      <c r="I978" s="109"/>
      <c r="J978" s="109"/>
      <c r="K978" s="109"/>
      <c r="L978" s="109"/>
      <c r="M978" s="109"/>
      <c r="N978" s="109"/>
      <c r="O978" s="109"/>
      <c r="P978" s="357"/>
      <c r="Q978" s="109"/>
      <c r="R978" s="109"/>
      <c r="S978" s="109"/>
      <c r="T978" s="109"/>
      <c r="U978" s="109"/>
      <c r="V978" s="109"/>
      <c r="W978" s="109"/>
      <c r="X978" s="109"/>
      <c r="Y978" s="109"/>
      <c r="Z978" s="109"/>
    </row>
    <row r="979">
      <c r="A979" s="109"/>
      <c r="B979" s="109"/>
      <c r="C979" s="109"/>
      <c r="D979" s="109"/>
      <c r="E979" s="109"/>
      <c r="F979" s="109"/>
      <c r="G979" s="356"/>
      <c r="H979" s="109"/>
      <c r="I979" s="109"/>
      <c r="J979" s="109"/>
      <c r="K979" s="109"/>
      <c r="L979" s="109"/>
      <c r="M979" s="109"/>
      <c r="N979" s="109"/>
      <c r="O979" s="109"/>
      <c r="P979" s="357"/>
      <c r="Q979" s="109"/>
      <c r="R979" s="109"/>
      <c r="S979" s="109"/>
      <c r="T979" s="109"/>
      <c r="U979" s="109"/>
      <c r="V979" s="109"/>
      <c r="W979" s="109"/>
      <c r="X979" s="109"/>
      <c r="Y979" s="109"/>
      <c r="Z979" s="109"/>
    </row>
    <row r="980">
      <c r="A980" s="109"/>
      <c r="B980" s="109"/>
      <c r="C980" s="109"/>
      <c r="D980" s="109"/>
      <c r="E980" s="109"/>
      <c r="F980" s="109"/>
      <c r="G980" s="356"/>
      <c r="H980" s="109"/>
      <c r="I980" s="109"/>
      <c r="J980" s="109"/>
      <c r="K980" s="109"/>
      <c r="L980" s="109"/>
      <c r="M980" s="109"/>
      <c r="N980" s="109"/>
      <c r="O980" s="109"/>
      <c r="P980" s="357"/>
      <c r="Q980" s="109"/>
      <c r="R980" s="109"/>
      <c r="S980" s="109"/>
      <c r="T980" s="109"/>
      <c r="U980" s="109"/>
      <c r="V980" s="109"/>
      <c r="W980" s="109"/>
      <c r="X980" s="109"/>
      <c r="Y980" s="109"/>
      <c r="Z980" s="109"/>
    </row>
    <row r="981">
      <c r="A981" s="109"/>
      <c r="B981" s="109"/>
      <c r="C981" s="109"/>
      <c r="D981" s="109"/>
      <c r="E981" s="109"/>
      <c r="F981" s="109"/>
      <c r="G981" s="356"/>
      <c r="H981" s="109"/>
      <c r="I981" s="109"/>
      <c r="J981" s="109"/>
      <c r="K981" s="109"/>
      <c r="L981" s="109"/>
      <c r="M981" s="109"/>
      <c r="N981" s="109"/>
      <c r="O981" s="109"/>
      <c r="P981" s="357"/>
      <c r="Q981" s="109"/>
      <c r="R981" s="109"/>
      <c r="S981" s="109"/>
      <c r="T981" s="109"/>
      <c r="U981" s="109"/>
      <c r="V981" s="109"/>
      <c r="W981" s="109"/>
      <c r="X981" s="109"/>
      <c r="Y981" s="109"/>
      <c r="Z981" s="109"/>
    </row>
    <row r="982">
      <c r="A982" s="109"/>
      <c r="B982" s="109"/>
      <c r="C982" s="109"/>
      <c r="D982" s="109"/>
      <c r="E982" s="109"/>
      <c r="F982" s="109"/>
      <c r="G982" s="356"/>
      <c r="H982" s="109"/>
      <c r="I982" s="109"/>
      <c r="J982" s="109"/>
      <c r="K982" s="109"/>
      <c r="L982" s="109"/>
      <c r="M982" s="109"/>
      <c r="N982" s="109"/>
      <c r="O982" s="109"/>
      <c r="P982" s="357"/>
      <c r="Q982" s="109"/>
      <c r="R982" s="109"/>
      <c r="S982" s="109"/>
      <c r="T982" s="109"/>
      <c r="U982" s="109"/>
      <c r="V982" s="109"/>
      <c r="W982" s="109"/>
      <c r="X982" s="109"/>
      <c r="Y982" s="109"/>
      <c r="Z982" s="109"/>
    </row>
    <row r="983">
      <c r="A983" s="109"/>
      <c r="B983" s="109"/>
      <c r="C983" s="109"/>
      <c r="D983" s="109"/>
      <c r="E983" s="109"/>
      <c r="F983" s="109"/>
      <c r="G983" s="356"/>
      <c r="H983" s="109"/>
      <c r="I983" s="109"/>
      <c r="J983" s="109"/>
      <c r="K983" s="109"/>
      <c r="L983" s="109"/>
      <c r="M983" s="109"/>
      <c r="N983" s="109"/>
      <c r="O983" s="109"/>
      <c r="P983" s="357"/>
      <c r="Q983" s="109"/>
      <c r="R983" s="109"/>
      <c r="S983" s="109"/>
      <c r="T983" s="109"/>
      <c r="U983" s="109"/>
      <c r="V983" s="109"/>
      <c r="W983" s="109"/>
      <c r="X983" s="109"/>
      <c r="Y983" s="109"/>
      <c r="Z983" s="109"/>
    </row>
    <row r="984">
      <c r="A984" s="109"/>
      <c r="B984" s="109"/>
      <c r="C984" s="109"/>
      <c r="D984" s="109"/>
      <c r="E984" s="109"/>
      <c r="F984" s="109"/>
      <c r="G984" s="356"/>
      <c r="H984" s="109"/>
      <c r="I984" s="109"/>
      <c r="J984" s="109"/>
      <c r="K984" s="109"/>
      <c r="L984" s="109"/>
      <c r="M984" s="109"/>
      <c r="N984" s="109"/>
      <c r="O984" s="109"/>
      <c r="P984" s="357"/>
      <c r="Q984" s="109"/>
      <c r="R984" s="109"/>
      <c r="S984" s="109"/>
      <c r="T984" s="109"/>
      <c r="U984" s="109"/>
      <c r="V984" s="109"/>
      <c r="W984" s="109"/>
      <c r="X984" s="109"/>
      <c r="Y984" s="109"/>
      <c r="Z984" s="109"/>
    </row>
    <row r="985">
      <c r="A985" s="109"/>
      <c r="B985" s="109"/>
      <c r="C985" s="109"/>
      <c r="D985" s="109"/>
      <c r="E985" s="109"/>
      <c r="F985" s="109"/>
      <c r="G985" s="356"/>
      <c r="H985" s="109"/>
      <c r="I985" s="109"/>
      <c r="J985" s="109"/>
      <c r="K985" s="109"/>
      <c r="L985" s="109"/>
      <c r="M985" s="109"/>
      <c r="N985" s="109"/>
      <c r="O985" s="109"/>
      <c r="P985" s="357"/>
      <c r="Q985" s="109"/>
      <c r="R985" s="109"/>
      <c r="S985" s="109"/>
      <c r="T985" s="109"/>
      <c r="U985" s="109"/>
      <c r="V985" s="109"/>
      <c r="W985" s="109"/>
      <c r="X985" s="109"/>
      <c r="Y985" s="109"/>
      <c r="Z985" s="109"/>
    </row>
    <row r="986">
      <c r="A986" s="109"/>
      <c r="B986" s="109"/>
      <c r="C986" s="109"/>
      <c r="D986" s="109"/>
      <c r="E986" s="109"/>
      <c r="F986" s="109"/>
      <c r="G986" s="356"/>
      <c r="H986" s="109"/>
      <c r="I986" s="109"/>
      <c r="J986" s="109"/>
      <c r="K986" s="109"/>
      <c r="L986" s="109"/>
      <c r="M986" s="109"/>
      <c r="N986" s="109"/>
      <c r="O986" s="109"/>
      <c r="P986" s="357"/>
      <c r="Q986" s="109"/>
      <c r="R986" s="109"/>
      <c r="S986" s="109"/>
      <c r="T986" s="109"/>
      <c r="U986" s="109"/>
      <c r="V986" s="109"/>
      <c r="W986" s="109"/>
      <c r="X986" s="109"/>
      <c r="Y986" s="109"/>
      <c r="Z986" s="109"/>
    </row>
    <row r="987">
      <c r="A987" s="109"/>
      <c r="B987" s="109"/>
      <c r="C987" s="109"/>
      <c r="D987" s="109"/>
      <c r="E987" s="109"/>
      <c r="F987" s="109"/>
      <c r="G987" s="356"/>
      <c r="H987" s="109"/>
      <c r="I987" s="109"/>
      <c r="J987" s="109"/>
      <c r="K987" s="109"/>
      <c r="L987" s="109"/>
      <c r="M987" s="109"/>
      <c r="N987" s="109"/>
      <c r="O987" s="109"/>
      <c r="P987" s="357"/>
      <c r="Q987" s="109"/>
      <c r="R987" s="109"/>
      <c r="S987" s="109"/>
      <c r="T987" s="109"/>
      <c r="U987" s="109"/>
      <c r="V987" s="109"/>
      <c r="W987" s="109"/>
      <c r="X987" s="109"/>
      <c r="Y987" s="109"/>
      <c r="Z987" s="109"/>
    </row>
    <row r="988">
      <c r="A988" s="109"/>
      <c r="B988" s="109"/>
      <c r="C988" s="109"/>
      <c r="D988" s="109"/>
      <c r="E988" s="109"/>
      <c r="F988" s="109"/>
      <c r="G988" s="356"/>
      <c r="H988" s="109"/>
      <c r="I988" s="109"/>
      <c r="J988" s="109"/>
      <c r="K988" s="109"/>
      <c r="L988" s="109"/>
      <c r="M988" s="109"/>
      <c r="N988" s="109"/>
      <c r="O988" s="109"/>
      <c r="P988" s="357"/>
      <c r="Q988" s="109"/>
      <c r="R988" s="109"/>
      <c r="S988" s="109"/>
      <c r="T988" s="109"/>
      <c r="U988" s="109"/>
      <c r="V988" s="109"/>
      <c r="W988" s="109"/>
      <c r="X988" s="109"/>
      <c r="Y988" s="109"/>
      <c r="Z988" s="109"/>
    </row>
    <row r="989">
      <c r="A989" s="109"/>
      <c r="B989" s="109"/>
      <c r="C989" s="109"/>
      <c r="D989" s="109"/>
      <c r="E989" s="109"/>
      <c r="F989" s="109"/>
      <c r="G989" s="356"/>
      <c r="H989" s="109"/>
      <c r="I989" s="109"/>
      <c r="J989" s="109"/>
      <c r="K989" s="109"/>
      <c r="L989" s="109"/>
      <c r="M989" s="109"/>
      <c r="N989" s="109"/>
      <c r="O989" s="109"/>
      <c r="P989" s="357"/>
      <c r="Q989" s="109"/>
      <c r="R989" s="109"/>
      <c r="S989" s="109"/>
      <c r="T989" s="109"/>
      <c r="U989" s="109"/>
      <c r="V989" s="109"/>
      <c r="W989" s="109"/>
      <c r="X989" s="109"/>
      <c r="Y989" s="109"/>
      <c r="Z989" s="109"/>
    </row>
    <row r="990">
      <c r="A990" s="109"/>
      <c r="B990" s="109"/>
      <c r="C990" s="109"/>
      <c r="D990" s="109"/>
      <c r="E990" s="109"/>
      <c r="F990" s="109"/>
      <c r="G990" s="356"/>
      <c r="H990" s="109"/>
      <c r="I990" s="109"/>
      <c r="J990" s="109"/>
      <c r="K990" s="109"/>
      <c r="L990" s="109"/>
      <c r="M990" s="109"/>
      <c r="N990" s="109"/>
      <c r="O990" s="109"/>
      <c r="P990" s="357"/>
      <c r="Q990" s="109"/>
      <c r="R990" s="109"/>
      <c r="S990" s="109"/>
      <c r="T990" s="109"/>
      <c r="U990" s="109"/>
      <c r="V990" s="109"/>
      <c r="W990" s="109"/>
      <c r="X990" s="109"/>
      <c r="Y990" s="109"/>
      <c r="Z990" s="109"/>
    </row>
    <row r="991">
      <c r="A991" s="109"/>
      <c r="B991" s="109"/>
      <c r="C991" s="109"/>
      <c r="D991" s="109"/>
      <c r="E991" s="109"/>
      <c r="F991" s="109"/>
      <c r="G991" s="356"/>
      <c r="H991" s="109"/>
      <c r="I991" s="109"/>
      <c r="J991" s="109"/>
      <c r="K991" s="109"/>
      <c r="L991" s="109"/>
      <c r="M991" s="109"/>
      <c r="N991" s="109"/>
      <c r="O991" s="109"/>
      <c r="P991" s="357"/>
      <c r="Q991" s="109"/>
      <c r="R991" s="109"/>
      <c r="S991" s="109"/>
      <c r="T991" s="109"/>
      <c r="U991" s="109"/>
      <c r="V991" s="109"/>
      <c r="W991" s="109"/>
      <c r="X991" s="109"/>
      <c r="Y991" s="109"/>
      <c r="Z991" s="109"/>
    </row>
    <row r="992">
      <c r="A992" s="109"/>
      <c r="B992" s="109"/>
      <c r="C992" s="109"/>
      <c r="D992" s="109"/>
      <c r="E992" s="109"/>
      <c r="F992" s="109"/>
      <c r="G992" s="356"/>
      <c r="H992" s="109"/>
      <c r="I992" s="109"/>
      <c r="J992" s="109"/>
      <c r="K992" s="109"/>
      <c r="L992" s="109"/>
      <c r="M992" s="109"/>
      <c r="N992" s="109"/>
      <c r="O992" s="109"/>
      <c r="P992" s="357"/>
      <c r="Q992" s="109"/>
      <c r="R992" s="109"/>
      <c r="S992" s="109"/>
      <c r="T992" s="109"/>
      <c r="U992" s="109"/>
      <c r="V992" s="109"/>
      <c r="W992" s="109"/>
      <c r="X992" s="109"/>
      <c r="Y992" s="109"/>
      <c r="Z992" s="109"/>
    </row>
    <row r="993">
      <c r="A993" s="109"/>
      <c r="B993" s="109"/>
      <c r="C993" s="109"/>
      <c r="D993" s="109"/>
      <c r="E993" s="109"/>
      <c r="F993" s="109"/>
      <c r="G993" s="356"/>
      <c r="H993" s="109"/>
      <c r="I993" s="109"/>
      <c r="J993" s="109"/>
      <c r="K993" s="109"/>
      <c r="L993" s="109"/>
      <c r="M993" s="109"/>
      <c r="N993" s="109"/>
      <c r="O993" s="109"/>
      <c r="P993" s="357"/>
      <c r="Q993" s="109"/>
      <c r="R993" s="109"/>
      <c r="S993" s="109"/>
      <c r="T993" s="109"/>
      <c r="U993" s="109"/>
      <c r="V993" s="109"/>
      <c r="W993" s="109"/>
      <c r="X993" s="109"/>
      <c r="Y993" s="109"/>
      <c r="Z993" s="109"/>
    </row>
    <row r="994">
      <c r="A994" s="109"/>
      <c r="B994" s="109"/>
      <c r="C994" s="109"/>
      <c r="D994" s="109"/>
      <c r="E994" s="109"/>
      <c r="F994" s="109"/>
      <c r="G994" s="356"/>
      <c r="H994" s="109"/>
      <c r="I994" s="109"/>
      <c r="J994" s="109"/>
      <c r="K994" s="109"/>
      <c r="L994" s="109"/>
      <c r="M994" s="109"/>
      <c r="N994" s="109"/>
      <c r="O994" s="109"/>
      <c r="P994" s="357"/>
      <c r="Q994" s="109"/>
      <c r="R994" s="109"/>
      <c r="S994" s="109"/>
      <c r="T994" s="109"/>
      <c r="U994" s="109"/>
      <c r="V994" s="109"/>
      <c r="W994" s="109"/>
      <c r="X994" s="109"/>
      <c r="Y994" s="109"/>
      <c r="Z994" s="109"/>
    </row>
    <row r="995">
      <c r="A995" s="109"/>
      <c r="B995" s="109"/>
      <c r="C995" s="109"/>
      <c r="D995" s="109"/>
      <c r="E995" s="109"/>
      <c r="F995" s="109"/>
      <c r="G995" s="356"/>
      <c r="H995" s="109"/>
      <c r="I995" s="109"/>
      <c r="J995" s="109"/>
      <c r="K995" s="109"/>
      <c r="L995" s="109"/>
      <c r="M995" s="109"/>
      <c r="N995" s="109"/>
      <c r="O995" s="109"/>
      <c r="P995" s="357"/>
      <c r="Q995" s="109"/>
      <c r="R995" s="109"/>
      <c r="S995" s="109"/>
      <c r="T995" s="109"/>
      <c r="U995" s="109"/>
      <c r="V995" s="109"/>
      <c r="W995" s="109"/>
      <c r="X995" s="109"/>
      <c r="Y995" s="109"/>
      <c r="Z995" s="109"/>
    </row>
    <row r="996">
      <c r="A996" s="109"/>
      <c r="B996" s="109"/>
      <c r="C996" s="109"/>
      <c r="D996" s="109"/>
      <c r="E996" s="109"/>
      <c r="F996" s="109"/>
      <c r="G996" s="356"/>
      <c r="H996" s="109"/>
      <c r="I996" s="109"/>
      <c r="J996" s="109"/>
      <c r="K996" s="109"/>
      <c r="L996" s="109"/>
      <c r="M996" s="109"/>
      <c r="N996" s="109"/>
      <c r="O996" s="109"/>
      <c r="P996" s="357"/>
      <c r="Q996" s="109"/>
      <c r="R996" s="109"/>
      <c r="S996" s="109"/>
      <c r="T996" s="109"/>
      <c r="U996" s="109"/>
      <c r="V996" s="109"/>
      <c r="W996" s="109"/>
      <c r="X996" s="109"/>
      <c r="Y996" s="109"/>
      <c r="Z996" s="109"/>
    </row>
    <row r="997">
      <c r="A997" s="109"/>
      <c r="B997" s="109"/>
      <c r="C997" s="109"/>
      <c r="D997" s="109"/>
      <c r="E997" s="109"/>
      <c r="F997" s="109"/>
      <c r="G997" s="356"/>
      <c r="H997" s="109"/>
      <c r="I997" s="109"/>
      <c r="J997" s="109"/>
      <c r="K997" s="109"/>
      <c r="L997" s="109"/>
      <c r="M997" s="109"/>
      <c r="N997" s="109"/>
      <c r="O997" s="109"/>
      <c r="P997" s="357"/>
      <c r="Q997" s="109"/>
      <c r="R997" s="109"/>
      <c r="S997" s="109"/>
      <c r="T997" s="109"/>
      <c r="U997" s="109"/>
      <c r="V997" s="109"/>
      <c r="W997" s="109"/>
      <c r="X997" s="109"/>
      <c r="Y997" s="109"/>
      <c r="Z997" s="109"/>
    </row>
    <row r="998">
      <c r="A998" s="109"/>
      <c r="B998" s="109"/>
      <c r="C998" s="109"/>
      <c r="D998" s="109"/>
      <c r="E998" s="109"/>
      <c r="F998" s="109"/>
      <c r="G998" s="356"/>
      <c r="H998" s="109"/>
      <c r="I998" s="109"/>
      <c r="J998" s="109"/>
      <c r="K998" s="109"/>
      <c r="L998" s="109"/>
      <c r="M998" s="109"/>
      <c r="N998" s="109"/>
      <c r="O998" s="109"/>
      <c r="P998" s="357"/>
      <c r="Q998" s="109"/>
      <c r="R998" s="109"/>
      <c r="S998" s="109"/>
      <c r="T998" s="109"/>
      <c r="U998" s="109"/>
      <c r="V998" s="109"/>
      <c r="W998" s="109"/>
      <c r="X998" s="109"/>
      <c r="Y998" s="109"/>
      <c r="Z998" s="109"/>
    </row>
  </sheetData>
  <autoFilter ref="$A$1:$Z$998"/>
  <mergeCells count="1">
    <mergeCell ref="Q13:R14"/>
  </mergeCells>
  <conditionalFormatting sqref="I27 E33">
    <cfRule type="expression" dxfId="0" priority="1">
      <formula>countif(I:I,I:I)&gt;1</formula>
    </cfRule>
  </conditionalFormatting>
  <hyperlinks>
    <hyperlink r:id="rId1" ref="I2"/>
    <hyperlink r:id="rId2" ref="I16"/>
    <hyperlink r:id="rId3" ref="I22"/>
    <hyperlink r:id="rId4" ref="I24"/>
    <hyperlink r:id="rId5" ref="I25"/>
    <hyperlink r:id="rId6" ref="P38"/>
    <hyperlink r:id="rId7" ref="P39"/>
    <hyperlink r:id="rId8" ref="P40"/>
    <hyperlink r:id="rId9" ref="P41"/>
    <hyperlink r:id="rId10" ref="P42"/>
    <hyperlink r:id="rId11" ref="P44"/>
    <hyperlink r:id="rId12" ref="P45"/>
    <hyperlink r:id="rId13" ref="P46"/>
    <hyperlink r:id="rId14" ref="P47"/>
    <hyperlink r:id="rId15" ref="P49"/>
    <hyperlink r:id="rId16" ref="P50"/>
    <hyperlink r:id="rId17" ref="P52"/>
    <hyperlink r:id="rId18" ref="P53"/>
    <hyperlink r:id="rId19" ref="P54"/>
    <hyperlink r:id="rId20" ref="P55"/>
  </hyperlinks>
  <drawing r:id="rId2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6.0"/>
    <col customWidth="1" min="3" max="3" width="12.75"/>
    <col customWidth="1" min="4" max="4" width="26.25"/>
    <col customWidth="1" min="5" max="5" width="49.5"/>
    <col customWidth="1" min="6" max="6" width="31.75"/>
    <col customWidth="1" min="7" max="7" width="17.63"/>
    <col customWidth="1" min="8" max="8" width="10.13"/>
    <col customWidth="1" min="9" max="9" width="9.88"/>
    <col customWidth="1" min="10" max="10" width="5.5"/>
    <col customWidth="1" min="11" max="11" width="11.0"/>
    <col customWidth="1" min="12" max="12" width="7.63"/>
    <col customWidth="1" min="13" max="13" width="7.13"/>
    <col customWidth="1" min="14" max="14" width="8.38"/>
    <col customWidth="1" min="17" max="18" width="10.25"/>
  </cols>
  <sheetData>
    <row r="1" ht="42.0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5" t="s">
        <v>7</v>
      </c>
      <c r="I1" s="6" t="s">
        <v>8</v>
      </c>
      <c r="J1" s="7" t="s">
        <v>9</v>
      </c>
      <c r="K1" s="5" t="s">
        <v>10</v>
      </c>
      <c r="L1" s="8" t="s">
        <v>11</v>
      </c>
      <c r="M1" s="9" t="s">
        <v>12</v>
      </c>
      <c r="N1" s="10" t="s">
        <v>13</v>
      </c>
      <c r="O1" s="11" t="s">
        <v>5</v>
      </c>
      <c r="P1" s="10" t="s">
        <v>14</v>
      </c>
      <c r="Q1" s="12"/>
      <c r="R1" s="12" t="s">
        <v>15</v>
      </c>
    </row>
    <row r="2">
      <c r="A2" s="13">
        <v>1.0</v>
      </c>
      <c r="B2" s="14" t="s">
        <v>16</v>
      </c>
      <c r="C2" s="15" t="s">
        <v>17</v>
      </c>
      <c r="D2" s="16" t="s">
        <v>18</v>
      </c>
      <c r="E2" s="15" t="s">
        <v>19</v>
      </c>
      <c r="F2" s="15" t="s">
        <v>2471</v>
      </c>
      <c r="G2" s="15" t="s">
        <v>2472</v>
      </c>
      <c r="H2" s="19" t="str">
        <f t="array" ref="H2">IFERROR(INDEX(Lease_List!D:D,MATCH(All_User_backup!D2,Lease_List!H:H,0)),"없음")</f>
        <v>5CD5179KGZ</v>
      </c>
      <c r="I2" s="20" t="s">
        <v>22</v>
      </c>
      <c r="J2" s="21"/>
      <c r="K2" s="22" t="str">
        <f t="array" ref="K2">IFERROR(INDEX(Ipad_List!C:C,MATCH(All_User_backup!D2,Ipad_List!J:J,0)),"없음")</f>
        <v>QWG7C19T9N</v>
      </c>
      <c r="L2" s="23" t="str">
        <f t="array" ref="L2">IFERROR(INDEX(TeamsNumber!B:B,MATCH(All_User_backup!D2,TeamsNumber!D:D,0)),"없음")</f>
        <v>tel:+82234517682</v>
      </c>
      <c r="M2" s="23" t="str">
        <f t="array" ref="M2">IFERROR(INDEX(Printer!D:D,MATCH(All_User_backup!D2,Printer!G:G,0)),"없음")</f>
        <v>없음</v>
      </c>
      <c r="N2" s="24" t="str">
        <f t="array" ref="N2">IFERROR(INDEX(Monitor!A:A,MATCH(D2,Monitor!D:D,0)),"없음")</f>
        <v>없음</v>
      </c>
      <c r="O2" s="24" t="str">
        <f t="array" ref="O2">IFERROR(INDEX(sales!D:D,MATCH(D2,sales!C:C,0)),"없음")</f>
        <v>NV</v>
      </c>
      <c r="P2" s="24" t="str">
        <f t="array" ref="P2">IFERROR(INDEX(sales!E:E,MATCH(D2,sales!C:C,0)),"없음")</f>
        <v>NV</v>
      </c>
      <c r="Q2" s="24" t="str">
        <f t="array" ref="Q2">IFERROR(INDEX(sales!C:C,MATCH(D2,sales!C:C,0)),"list없음")</f>
        <v>dj.ahn@stryker.com</v>
      </c>
      <c r="R2" s="24"/>
    </row>
    <row r="3">
      <c r="A3" s="13">
        <v>2.0</v>
      </c>
      <c r="B3" s="15" t="s">
        <v>23</v>
      </c>
      <c r="C3" s="15" t="s">
        <v>24</v>
      </c>
      <c r="D3" s="15" t="s">
        <v>25</v>
      </c>
      <c r="E3" s="15" t="s">
        <v>26</v>
      </c>
      <c r="F3" s="15" t="s">
        <v>2471</v>
      </c>
      <c r="G3" s="15" t="s">
        <v>2473</v>
      </c>
      <c r="H3" s="19" t="str">
        <f t="array" ref="H3">IFERROR(INDEX(Lease_List!D:D,MATCH(All_User_backup!D3,Lease_List!H:H,0)),"없음")</f>
        <v>5CD4232BFL</v>
      </c>
      <c r="I3" s="22" t="s">
        <v>29</v>
      </c>
      <c r="J3" s="21"/>
      <c r="K3" s="22" t="str">
        <f t="array" ref="K3">IFERROR(INDEX(Ipad_List!C:C,MATCH(All_User_backup!D3,Ipad_List!J:J,0)),"없음")</f>
        <v>L69V0Q1VT3</v>
      </c>
      <c r="L3" s="35" t="str">
        <f t="array" ref="L3">IFERROR(INDEX(TeamsNumber!B:B,MATCH(All_User_backup!D3,TeamsNumber!D:D,0)),"없음")</f>
        <v>tel:+82234517566</v>
      </c>
      <c r="M3" s="35" t="str">
        <f t="array" ref="M3">IFERROR(INDEX(Printer!D:D,MATCH(All_User_backup!D3,Printer!H:H,0)),"없음")</f>
        <v>SL-C563W</v>
      </c>
      <c r="N3" s="24" t="str">
        <f t="array" ref="N3">IFERROR(INDEX(Monitor!A:A,MATCH(D3,Monitor!D:D,0)),"없음")</f>
        <v>없음</v>
      </c>
      <c r="O3" s="24" t="str">
        <f t="array" ref="O3">IFERROR(INDEX(sales!D:D,MATCH(D3,sales!C:C,0)),"없음")</f>
        <v/>
      </c>
      <c r="P3" s="24" t="str">
        <f t="array" ref="P3">IFERROR(INDEX(sales!E:E,MATCH(D3,sales!C:C,0)),"없음")</f>
        <v/>
      </c>
      <c r="Q3" s="24"/>
      <c r="R3" s="24"/>
    </row>
    <row r="4">
      <c r="A4" s="13">
        <v>3.0</v>
      </c>
      <c r="B4" s="15" t="s">
        <v>30</v>
      </c>
      <c r="C4" s="15" t="s">
        <v>31</v>
      </c>
      <c r="D4" s="15" t="s">
        <v>32</v>
      </c>
      <c r="E4" s="15" t="s">
        <v>33</v>
      </c>
      <c r="F4" s="15" t="s">
        <v>2474</v>
      </c>
      <c r="G4" s="15" t="s">
        <v>420</v>
      </c>
      <c r="H4" s="19" t="str">
        <f t="array" ref="H4">IFERROR(INDEX(Lease_List!D:D,MATCH(All_User_backup!D4,Lease_List!H:H,0)),"없음")</f>
        <v>5CD5179KJ6</v>
      </c>
      <c r="I4" s="22" t="s">
        <v>36</v>
      </c>
      <c r="J4" s="21"/>
      <c r="K4" s="22" t="str">
        <f t="array" ref="K4">IFERROR(INDEX(Ipad_List!C:C,MATCH(All_User_backup!D4,Ipad_List!J:J,0)),"없음")</f>
        <v>C4RQH3W74V</v>
      </c>
      <c r="L4" s="23" t="str">
        <f t="array" ref="L4">IFERROR(INDEX(TeamsNumber!B:B,MATCH(All_User_backup!D4,TeamsNumber!D:D,0)),"없음")</f>
        <v>tel:+82234517512</v>
      </c>
      <c r="M4" s="23" t="str">
        <f t="array" ref="M4">IFERROR(INDEX(Printer!D:D,MATCH(All_User_backup!D4,Printer!H:H,0)),"없음")</f>
        <v>없음</v>
      </c>
      <c r="N4" s="24" t="str">
        <f t="array" ref="N4">IFERROR(INDEX(Monitor!A:A,MATCH(D4,Monitor!D:D,0)),"없음")</f>
        <v>없음</v>
      </c>
      <c r="O4" s="24" t="str">
        <f t="array" ref="O4">IFERROR(INDEX(sales!D:D,MATCH(D4,sales!C:C,0)),"없음")</f>
        <v/>
      </c>
      <c r="P4" s="24" t="str">
        <f t="array" ref="P4">IFERROR(INDEX(sales!E:E,MATCH(D4,sales!C:C,0)),"없음")</f>
        <v>TS</v>
      </c>
      <c r="Q4" s="24" t="str">
        <f t="array" ref="Q4">IFERROR(INDEX(sales!C:C,MATCH(D4,sales!C:C,0)),"list없음")</f>
        <v>andrew.ahn@stryker.com</v>
      </c>
      <c r="R4" s="24"/>
    </row>
    <row r="5">
      <c r="A5" s="13">
        <v>4.0</v>
      </c>
      <c r="B5" s="15" t="s">
        <v>37</v>
      </c>
      <c r="C5" s="15" t="s">
        <v>38</v>
      </c>
      <c r="D5" s="15" t="s">
        <v>39</v>
      </c>
      <c r="E5" s="15" t="s">
        <v>40</v>
      </c>
      <c r="F5" s="15" t="s">
        <v>2475</v>
      </c>
      <c r="G5" s="15" t="s">
        <v>42</v>
      </c>
      <c r="H5" s="19" t="str">
        <f t="array" ref="H5">IFERROR(INDEX(Lease_List!D:D,MATCH(All_User_backup!D5,Lease_List!H:H,0)),"없음")</f>
        <v>5CD442C071</v>
      </c>
      <c r="I5" s="22" t="s">
        <v>29</v>
      </c>
      <c r="J5" s="21"/>
      <c r="K5" s="22" t="str">
        <f t="array" ref="K5">IFERROR(INDEX(Ipad_List!C:C,MATCH(All_User_backup!D5,Ipad_List!J:J,0)),"없음")</f>
        <v>없음</v>
      </c>
      <c r="L5" s="35" t="str">
        <f t="array" ref="L5">IFERROR(INDEX(TeamsNumber!B:B,MATCH(All_User_backup!D5,TeamsNumber!D:D,0)),"없음")</f>
        <v>tel:+82234517594</v>
      </c>
      <c r="M5" s="35" t="str">
        <f t="array" ref="M5">IFERROR(INDEX(Printer!D:D,MATCH(All_User_backup!D5,Printer!H:H,0)),"없음")</f>
        <v>없음</v>
      </c>
      <c r="N5" s="24" t="str">
        <f t="array" ref="N5">IFERROR(INDEX(Monitor!A:A,MATCH(D5,Monitor!D:D,0)),"없음")</f>
        <v>없음</v>
      </c>
      <c r="O5" s="24" t="str">
        <f t="array" ref="O5">IFERROR(INDEX(sales!D:D,MATCH(D5,sales!C:C,0)),"없음")</f>
        <v>없음</v>
      </c>
      <c r="P5" s="24" t="str">
        <f t="array" ref="P5">IFERROR(INDEX(sales!E:E,MATCH(D5,sales!C:C,0)),"없음")</f>
        <v>없음</v>
      </c>
      <c r="Q5" s="24"/>
      <c r="R5" s="24"/>
    </row>
    <row r="6">
      <c r="A6" s="13">
        <v>5.0</v>
      </c>
      <c r="B6" s="15" t="s">
        <v>43</v>
      </c>
      <c r="C6" s="15" t="s">
        <v>44</v>
      </c>
      <c r="D6" s="15" t="s">
        <v>45</v>
      </c>
      <c r="E6" s="15" t="s">
        <v>46</v>
      </c>
      <c r="F6" s="15" t="s">
        <v>2474</v>
      </c>
      <c r="G6" s="15" t="s">
        <v>2476</v>
      </c>
      <c r="H6" s="19" t="str">
        <f t="array" ref="H6">IFERROR(INDEX(Lease_List!D:D,MATCH(All_User_backup!D6,Lease_List!H:H,0)),"없음")</f>
        <v>5CD4145N3N</v>
      </c>
      <c r="I6" s="22" t="s">
        <v>29</v>
      </c>
      <c r="J6" s="21"/>
      <c r="K6" s="22" t="str">
        <f t="array" ref="K6">IFERROR(INDEX(Ipad_List!C:C,MATCH(All_User_backup!D6,Ipad_List!J:J,0)),"없음")</f>
        <v>없음</v>
      </c>
      <c r="L6" s="35" t="str">
        <f t="array" ref="L6">IFERROR(INDEX(TeamsNumber!B:B,MATCH(All_User_backup!D6,TeamsNumber!D:D,0)),"없음")</f>
        <v>tel:+82234517662</v>
      </c>
      <c r="M6" s="35" t="str">
        <f t="array" ref="M6">IFERROR(INDEX(Printer!D:D,MATCH(All_User_backup!D6,Printer!H:H,0)),"없음")</f>
        <v>없음</v>
      </c>
      <c r="N6" s="24" t="str">
        <f t="array" ref="N6">IFERROR(INDEX(Monitor!A:A,MATCH(D6,Monitor!D:D,0)),"없음")</f>
        <v>없음</v>
      </c>
      <c r="O6" s="24" t="str">
        <f t="array" ref="O6">IFERROR(INDEX(sales!D:D,MATCH(D6,sales!C:C,0)),"없음")</f>
        <v>없음</v>
      </c>
      <c r="P6" s="24" t="str">
        <f t="array" ref="P6">IFERROR(INDEX(sales!E:E,MATCH(D6,sales!C:C,0)),"없음")</f>
        <v>없음</v>
      </c>
      <c r="Q6" s="24"/>
      <c r="R6" s="24"/>
    </row>
    <row r="7">
      <c r="A7" s="13">
        <v>6.0</v>
      </c>
      <c r="B7" s="15" t="s">
        <v>48</v>
      </c>
      <c r="C7" s="15" t="s">
        <v>49</v>
      </c>
      <c r="D7" s="15" t="s">
        <v>50</v>
      </c>
      <c r="E7" s="15" t="s">
        <v>51</v>
      </c>
      <c r="F7" s="15" t="s">
        <v>2471</v>
      </c>
      <c r="G7" s="15" t="s">
        <v>825</v>
      </c>
      <c r="H7" s="19" t="str">
        <f t="array" ref="H7">IFERROR(INDEX(Lease_List!D:D,MATCH(All_User_backup!D7,Lease_List!H:H,0)),"없음")</f>
        <v>5CD3469HD0</v>
      </c>
      <c r="I7" s="22" t="s">
        <v>29</v>
      </c>
      <c r="J7" s="21"/>
      <c r="K7" s="22" t="str">
        <f t="array" ref="K7">IFERROR(INDEX(Ipad_List!C:C,MATCH(All_User_backup!D7,Ipad_List!J:J,0)),"없음")</f>
        <v>없음</v>
      </c>
      <c r="L7" s="35" t="str">
        <f t="array" ref="L7">IFERROR(INDEX(TeamsNumber!B:B,MATCH(All_User_backup!D7,TeamsNumber!D:D,0)),"없음")</f>
        <v>tel:+82234517661</v>
      </c>
      <c r="M7" s="35" t="str">
        <f t="array" ref="M7">IFERROR(INDEX(Printer!D:D,MATCH(All_User_backup!D7,Printer!H:H,0)),"없음")</f>
        <v>없음</v>
      </c>
      <c r="N7" s="24" t="str">
        <f t="array" ref="N7">IFERROR(INDEX(Monitor!A:A,MATCH(D7,Monitor!D:D,0)),"없음")</f>
        <v>없음</v>
      </c>
      <c r="O7" s="24" t="str">
        <f t="array" ref="O7">IFERROR(INDEX(sales!D:D,MATCH(D7,sales!C:C,0)),"없음")</f>
        <v>없음</v>
      </c>
      <c r="P7" s="24" t="str">
        <f t="array" ref="P7">IFERROR(INDEX(sales!E:E,MATCH(D7,sales!C:C,0)),"없음")</f>
        <v>없음</v>
      </c>
      <c r="Q7" s="24"/>
      <c r="R7" s="24"/>
    </row>
    <row r="8">
      <c r="A8" s="13">
        <v>7.0</v>
      </c>
      <c r="B8" s="15" t="s">
        <v>54</v>
      </c>
      <c r="C8" s="15" t="s">
        <v>55</v>
      </c>
      <c r="D8" s="15" t="s">
        <v>56</v>
      </c>
      <c r="E8" s="15" t="s">
        <v>57</v>
      </c>
      <c r="F8" s="15" t="s">
        <v>2471</v>
      </c>
      <c r="G8" s="15" t="s">
        <v>2473</v>
      </c>
      <c r="H8" s="19" t="str">
        <f t="array" ref="H8">IFERROR(INDEX(Lease_List!D:D,MATCH(All_User_backup!D8,Lease_List!H:H,0)),"없음")</f>
        <v>5CD5062YDY</v>
      </c>
      <c r="I8" s="22" t="s">
        <v>29</v>
      </c>
      <c r="J8" s="21"/>
      <c r="K8" s="22" t="str">
        <f t="array" ref="K8">IFERROR(INDEX(Ipad_List!C:C,MATCH(All_User_backup!D8,Ipad_List!J:J,0)),"없음")</f>
        <v>HL7Q0T6MHW</v>
      </c>
      <c r="L8" s="23" t="str">
        <f t="array" ref="L8">IFERROR(INDEX(TeamsNumber!B:B,MATCH(All_User_backup!D8,TeamsNumber!D:D,0)),"없음")</f>
        <v>없음</v>
      </c>
      <c r="M8" s="23" t="str">
        <f t="array" ref="M8">IFERROR(INDEX(Printer!D:D,MATCH(All_User_backup!D8,Printer!H:H,0)),"없음")</f>
        <v>없음</v>
      </c>
      <c r="N8" s="24" t="str">
        <f t="array" ref="N8">IFERROR(INDEX(Monitor!A:A,MATCH(D8,Monitor!D:D,0)),"없음")</f>
        <v>없음</v>
      </c>
      <c r="O8" s="24" t="str">
        <f t="array" ref="O8">IFERROR(INDEX(sales!D:D,MATCH(D8,sales!C:C,0)),"없음")</f>
        <v>Mako</v>
      </c>
      <c r="P8" s="24" t="str">
        <f t="array" ref="P8">IFERROR(INDEX(sales!E:E,MATCH(D8,sales!C:C,0)),"없음")</f>
        <v>MPS</v>
      </c>
      <c r="Q8" s="24" t="str">
        <f t="array" ref="Q8">IFERROR(INDEX(sales!C:C,MATCH(D8,sales!C:C,0)),"list없음")</f>
        <v>vincent.bae@stryker.com</v>
      </c>
      <c r="R8" s="24"/>
    </row>
    <row r="9">
      <c r="A9" s="13">
        <v>8.0</v>
      </c>
      <c r="B9" s="15" t="s">
        <v>58</v>
      </c>
      <c r="C9" s="15" t="s">
        <v>59</v>
      </c>
      <c r="D9" s="15" t="s">
        <v>60</v>
      </c>
      <c r="E9" s="15" t="s">
        <v>61</v>
      </c>
      <c r="F9" s="15" t="s">
        <v>2475</v>
      </c>
      <c r="G9" s="15" t="s">
        <v>2477</v>
      </c>
      <c r="H9" s="19" t="str">
        <f t="array" ref="H9">IFERROR(INDEX(Lease_List!D:D,MATCH(All_User_backup!D9,Lease_List!H:H,0)),"없음")</f>
        <v>5CD3469HDN</v>
      </c>
      <c r="I9" s="22" t="s">
        <v>29</v>
      </c>
      <c r="J9" s="21"/>
      <c r="K9" s="22" t="str">
        <f t="array" ref="K9">IFERROR(INDEX(Ipad_List!C:C,MATCH(All_User_backup!D9,Ipad_List!J:J,0)),"없음")</f>
        <v>없음</v>
      </c>
      <c r="L9" s="35" t="str">
        <f t="array" ref="L9">IFERROR(INDEX(TeamsNumber!B:B,MATCH(All_User_backup!D9,TeamsNumber!D:D,0)),"없음")</f>
        <v>tel:+82234517519</v>
      </c>
      <c r="M9" s="35" t="str">
        <f t="array" ref="M9">IFERROR(INDEX(Printer!D:D,MATCH(All_User_backup!D9,Printer!H:H,0)),"없음")</f>
        <v>없음</v>
      </c>
      <c r="N9" s="24" t="str">
        <f t="array" ref="N9">IFERROR(INDEX(Monitor!A:A,MATCH(D9,Monitor!D:D,0)),"없음")</f>
        <v>없음</v>
      </c>
      <c r="O9" s="24" t="str">
        <f t="array" ref="O9">IFERROR(INDEX(sales!D:D,MATCH(D9,sales!C:C,0)),"없음")</f>
        <v>없음</v>
      </c>
      <c r="P9" s="24" t="str">
        <f t="array" ref="P9">IFERROR(INDEX(sales!E:E,MATCH(D9,sales!C:C,0)),"없음")</f>
        <v>없음</v>
      </c>
      <c r="Q9" s="24"/>
      <c r="R9" s="24"/>
    </row>
    <row r="10">
      <c r="A10" s="13">
        <v>10.0</v>
      </c>
      <c r="B10" s="15" t="s">
        <v>63</v>
      </c>
      <c r="C10" s="15" t="s">
        <v>64</v>
      </c>
      <c r="D10" s="15" t="s">
        <v>65</v>
      </c>
      <c r="E10" s="15" t="s">
        <v>66</v>
      </c>
      <c r="F10" s="18" t="s">
        <v>2478</v>
      </c>
      <c r="G10" s="15" t="s">
        <v>2479</v>
      </c>
      <c r="H10" s="19" t="str">
        <f t="array" ref="H10">IFERROR(INDEX(Lease_List!D:D,MATCH(All_User_backup!D10,Lease_List!H:H,0)),"없음")</f>
        <v>5CG53403D0</v>
      </c>
      <c r="I10" s="22" t="s">
        <v>29</v>
      </c>
      <c r="J10" s="21"/>
      <c r="K10" s="22" t="str">
        <f t="array" ref="K10">IFERROR(INDEX(Ipad_List!C:C,MATCH(All_User_backup!D10,Ipad_List!J:J,0)),"없음")</f>
        <v>없음</v>
      </c>
      <c r="L10" s="35" t="str">
        <f t="array" ref="L10">IFERROR(INDEX(TeamsNumber!B:B,MATCH(All_User_backup!D10,TeamsNumber!D:D,0)),"없음")</f>
        <v>tel:+82234517637</v>
      </c>
      <c r="M10" s="35" t="str">
        <f t="array" ref="M10">IFERROR(INDEX(Printer!D:D,MATCH(All_User_backup!D10,Printer!H:H,0)),"없음")</f>
        <v>없음</v>
      </c>
      <c r="N10" s="24" t="str">
        <f t="array" ref="N10">IFERROR(INDEX(Monitor!A:A,MATCH(D10,Monitor!D:D,0)),"없음")</f>
        <v>LCD 모니터</v>
      </c>
      <c r="O10" s="24" t="str">
        <f t="array" ref="O10">IFERROR(INDEX(sales!D:D,MATCH(D10,sales!C:C,0)),"없음")</f>
        <v>없음</v>
      </c>
      <c r="P10" s="24" t="str">
        <f t="array" ref="P10">IFERROR(INDEX(sales!E:E,MATCH(D10,sales!C:C,0)),"없음")</f>
        <v>없음</v>
      </c>
      <c r="Q10" s="24"/>
      <c r="R10" s="24"/>
    </row>
    <row r="11">
      <c r="A11" s="13">
        <v>11.0</v>
      </c>
      <c r="B11" s="15" t="s">
        <v>69</v>
      </c>
      <c r="C11" s="15" t="s">
        <v>70</v>
      </c>
      <c r="D11" s="15" t="s">
        <v>71</v>
      </c>
      <c r="E11" s="15" t="s">
        <v>72</v>
      </c>
      <c r="F11" s="15" t="s">
        <v>2471</v>
      </c>
      <c r="G11" s="15" t="s">
        <v>2473</v>
      </c>
      <c r="H11" s="19" t="str">
        <f t="array" ref="H11">IFERROR(INDEX(Lease_List!D:D,MATCH(All_User_backup!D11,Lease_List!H:H,0)),"없음")</f>
        <v>5CD5062YF5</v>
      </c>
      <c r="I11" s="22" t="s">
        <v>29</v>
      </c>
      <c r="J11" s="21"/>
      <c r="K11" s="22" t="str">
        <f t="array" ref="K11">IFERROR(INDEX(Ipad_List!C:C,MATCH(All_User_backup!D11,Ipad_List!J:J,0)),"없음")</f>
        <v>QXKLQ74WYW</v>
      </c>
      <c r="L11" s="23" t="str">
        <f t="array" ref="L11">IFERROR(INDEX(TeamsNumber!B:B,MATCH(All_User_backup!D11,TeamsNumber!D:D,0)),"없음")</f>
        <v>tel:+82234517568</v>
      </c>
      <c r="M11" s="23" t="str">
        <f t="array" ref="M11">IFERROR(INDEX(Printer!D:D,MATCH(All_User_backup!D11,Printer!H:H,0)),"없음")</f>
        <v>없음</v>
      </c>
      <c r="N11" s="24" t="str">
        <f t="array" ref="N11">IFERROR(INDEX(Monitor!A:A,MATCH(D11,Monitor!D:D,0)),"없음")</f>
        <v>없음</v>
      </c>
      <c r="O11" s="24" t="str">
        <f t="array" ref="O11">IFERROR(INDEX(sales!D:D,MATCH(D11,sales!C:C,0)),"없음")</f>
        <v>Mako</v>
      </c>
      <c r="P11" s="24" t="str">
        <f t="array" ref="P11">IFERROR(INDEX(sales!E:E,MATCH(D11,sales!C:C,0)),"없음")</f>
        <v>MPS</v>
      </c>
      <c r="Q11" s="24" t="str">
        <f t="array" ref="Q11">IFERROR(INDEX(sales!C:C,MATCH(D11,sales!C:C,0)),"list없음")</f>
        <v>bella.bang@stryker.com</v>
      </c>
      <c r="R11" s="24"/>
    </row>
    <row r="12">
      <c r="A12" s="13">
        <v>12.0</v>
      </c>
      <c r="B12" s="15" t="s">
        <v>73</v>
      </c>
      <c r="C12" s="15" t="s">
        <v>74</v>
      </c>
      <c r="D12" s="15" t="s">
        <v>75</v>
      </c>
      <c r="E12" s="15" t="s">
        <v>76</v>
      </c>
      <c r="F12" s="15" t="s">
        <v>2471</v>
      </c>
      <c r="G12" s="15" t="s">
        <v>2480</v>
      </c>
      <c r="H12" s="19" t="str">
        <f t="array" ref="H12">IFERROR(INDEX(Lease_List!D:D,MATCH(All_User_backup!D12,Lease_List!H:H,0)),"없음")</f>
        <v>5CD4305D85</v>
      </c>
      <c r="I12" s="22" t="s">
        <v>29</v>
      </c>
      <c r="J12" s="21"/>
      <c r="K12" s="22" t="str">
        <f t="array" ref="K12">IFERROR(INDEX(Ipad_List!C:C,MATCH(All_User_backup!D12,Ipad_List!J:J,0)),"없음")</f>
        <v>OQ2GGXF3FK</v>
      </c>
      <c r="L12" s="23" t="str">
        <f t="array" ref="L12">IFERROR(INDEX(TeamsNumber!B:B,MATCH(All_User_backup!D12,TeamsNumber!D:D,0)),"없음")</f>
        <v>tel:+82234517591</v>
      </c>
      <c r="M12" s="23" t="str">
        <f t="array" ref="M12">IFERROR(INDEX(Printer!D:D,MATCH(All_User_backup!D12,Printer!H:H,0)),"없음")</f>
        <v>없음</v>
      </c>
      <c r="N12" s="24" t="str">
        <f t="array" ref="N12">IFERROR(INDEX(Monitor!A:A,MATCH(D12,Monitor!D:D,0)),"없음")</f>
        <v>없음</v>
      </c>
      <c r="O12" s="24" t="str">
        <f t="array" ref="O12">IFERROR(INDEX(sales!D:D,MATCH(D12,sales!C:C,0)),"없음")</f>
        <v>Knee</v>
      </c>
      <c r="P12" s="24" t="str">
        <f t="array" ref="P12">IFERROR(INDEX(sales!E:E,MATCH(D12,sales!C:C,0)),"없음")</f>
        <v>Sales</v>
      </c>
      <c r="Q12" s="24" t="str">
        <f t="array" ref="Q12">IFERROR(INDEX(sales!C:C,MATCH(D12,sales!C:C,0)),"list없음")</f>
        <v>sunghoon.bang@stryker.com</v>
      </c>
      <c r="R12" s="24"/>
    </row>
    <row r="13">
      <c r="A13" s="13">
        <v>13.0</v>
      </c>
      <c r="B13" s="15" t="s">
        <v>78</v>
      </c>
      <c r="C13" s="15" t="s">
        <v>79</v>
      </c>
      <c r="D13" s="15" t="s">
        <v>80</v>
      </c>
      <c r="E13" s="15" t="s">
        <v>81</v>
      </c>
      <c r="F13" s="15" t="s">
        <v>2471</v>
      </c>
      <c r="G13" s="15" t="s">
        <v>82</v>
      </c>
      <c r="H13" s="19" t="str">
        <f t="array" ref="H13">IFERROR(INDEX(Lease_List!D:D,MATCH(All_User_backup!D13,Lease_List!H:H,0)),"없음")</f>
        <v>5CD4232BFF</v>
      </c>
      <c r="I13" s="22" t="s">
        <v>29</v>
      </c>
      <c r="J13" s="21"/>
      <c r="K13" s="22" t="str">
        <f t="array" ref="K13">IFERROR(INDEX(Ipad_List!C:C,MATCH(All_User_backup!D13,Ipad_List!J:J,0)),"없음")</f>
        <v>없음</v>
      </c>
      <c r="L13" s="35" t="str">
        <f t="array" ref="L13">IFERROR(INDEX(TeamsNumber!B:B,MATCH(All_User_backup!D13,TeamsNumber!D:D,0)),"없음")</f>
        <v>tel:+82234517513</v>
      </c>
      <c r="M13" s="35" t="str">
        <f t="array" ref="M13">IFERROR(INDEX(Printer!D:D,MATCH(All_User_backup!D13,Printer!H:H,0)),"없음")</f>
        <v>없음</v>
      </c>
      <c r="N13" s="24" t="str">
        <f t="array" ref="N13">IFERROR(INDEX(Monitor!A:A,MATCH(D13,Monitor!D:D,0)),"없음")</f>
        <v>없음</v>
      </c>
      <c r="O13" s="24" t="str">
        <f t="array" ref="O13">IFERROR(INDEX(sales!D:D,MATCH(D13,sales!C:C,0)),"없음")</f>
        <v>없음</v>
      </c>
      <c r="P13" s="24" t="str">
        <f t="array" ref="P13">IFERROR(INDEX(sales!E:E,MATCH(D13,sales!C:C,0)),"없음")</f>
        <v>없음</v>
      </c>
      <c r="Q13" s="24"/>
      <c r="R13" s="24"/>
    </row>
    <row r="14">
      <c r="A14" s="13">
        <v>14.0</v>
      </c>
      <c r="B14" s="15" t="s">
        <v>83</v>
      </c>
      <c r="C14" s="15" t="s">
        <v>84</v>
      </c>
      <c r="D14" s="15" t="s">
        <v>85</v>
      </c>
      <c r="E14" s="15" t="s">
        <v>72</v>
      </c>
      <c r="F14" s="15" t="s">
        <v>2471</v>
      </c>
      <c r="G14" s="15" t="s">
        <v>2473</v>
      </c>
      <c r="H14" s="19" t="str">
        <f t="array" ref="H14">IFERROR(INDEX(Lease_List!D:D,MATCH(All_User_backup!D14,Lease_List!H:H,0)),"없음")</f>
        <v>5CD442C074</v>
      </c>
      <c r="I14" s="22" t="s">
        <v>29</v>
      </c>
      <c r="J14" s="21"/>
      <c r="K14" s="22" t="str">
        <f t="array" ref="K14">IFERROR(INDEX(Ipad_List!C:C,MATCH(All_User_backup!D14,Ipad_List!J:J,0)),"없음")</f>
        <v>R34F5XVT2M</v>
      </c>
      <c r="L14" s="23" t="str">
        <f t="array" ref="L14">IFERROR(INDEX(TeamsNumber!B:B,MATCH(All_User_backup!D14,TeamsNumber!D:D,0)),"없음")</f>
        <v>tel:+82234517659</v>
      </c>
      <c r="M14" s="23" t="str">
        <f t="array" ref="M14">IFERROR(INDEX(Printer!D:D,MATCH(All_User_backup!D14,Printer!H:H,0)),"없음")</f>
        <v>없음</v>
      </c>
      <c r="N14" s="24" t="str">
        <f t="array" ref="N14">IFERROR(INDEX(Monitor!A:A,MATCH(D14,Monitor!D:D,0)),"없음")</f>
        <v>없음</v>
      </c>
      <c r="O14" s="24" t="str">
        <f t="array" ref="O14">IFERROR(INDEX(sales!D:D,MATCH(D14,sales!C:C,0)),"없음")</f>
        <v>Mako</v>
      </c>
      <c r="P14" s="24" t="str">
        <f t="array" ref="P14">IFERROR(INDEX(sales!E:E,MATCH(D14,sales!C:C,0)),"없음")</f>
        <v>MPS</v>
      </c>
      <c r="Q14" s="24" t="str">
        <f t="array" ref="Q14">IFERROR(INDEX(sales!C:C,MATCH(D14,sales!C:C,0)),"list없음")</f>
        <v>junseong.byun@stryker.com</v>
      </c>
      <c r="R14" s="24"/>
    </row>
    <row r="15">
      <c r="A15" s="13">
        <v>15.0</v>
      </c>
      <c r="B15" s="15" t="s">
        <v>86</v>
      </c>
      <c r="C15" s="15" t="s">
        <v>87</v>
      </c>
      <c r="D15" s="15" t="s">
        <v>88</v>
      </c>
      <c r="E15" s="15" t="s">
        <v>89</v>
      </c>
      <c r="F15" s="15" t="s">
        <v>2471</v>
      </c>
      <c r="G15" s="15" t="s">
        <v>2473</v>
      </c>
      <c r="H15" s="19" t="str">
        <f t="array" ref="H15">IFERROR(INDEX(Lease_List!D:D,MATCH(All_User_backup!D15,Lease_List!H:H,0)),"없음")</f>
        <v>5CD3469HD6</v>
      </c>
      <c r="I15" s="22" t="s">
        <v>29</v>
      </c>
      <c r="J15" s="21"/>
      <c r="K15" s="22" t="str">
        <f t="array" ref="K15">IFERROR(INDEX(Ipad_List!C:C,MATCH(All_User_backup!D15,Ipad_List!J:J,0)),"없음")</f>
        <v>LXDC4F97QM</v>
      </c>
      <c r="L15" s="23" t="str">
        <f t="array" ref="L15">IFERROR(INDEX(TeamsNumber!B:B,MATCH(All_User_backup!D15,TeamsNumber!D:D,0)),"없음")</f>
        <v>tel:+82234517549</v>
      </c>
      <c r="M15" s="23" t="str">
        <f t="array" ref="M15">IFERROR(INDEX(Printer!D:D,MATCH(All_User_backup!D15,Printer!H:H,0)),"없음")</f>
        <v>SL-C563W</v>
      </c>
      <c r="N15" s="24" t="str">
        <f t="array" ref="N15">IFERROR(INDEX(Monitor!A:A,MATCH(D15,Monitor!D:D,0)),"없음")</f>
        <v>없음</v>
      </c>
      <c r="O15" s="24" t="str">
        <f t="array" ref="O15">IFERROR(INDEX(sales!D:D,MATCH(D15,sales!C:C,0)),"없음")</f>
        <v>Mako</v>
      </c>
      <c r="P15" s="24" t="str">
        <f t="array" ref="P15">IFERROR(INDEX(sales!E:E,MATCH(D15,sales!C:C,0)),"없음")</f>
        <v>Sales</v>
      </c>
      <c r="Q15" s="24" t="str">
        <f t="array" ref="Q15">IFERROR(INDEX(sales!C:C,MATCH(D15,sales!C:C,0)),"list없음")</f>
        <v>Bruce.Cha@stryker.com</v>
      </c>
      <c r="R15" s="24"/>
    </row>
    <row r="16">
      <c r="A16" s="13">
        <v>16.0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2474</v>
      </c>
      <c r="G16" s="15" t="s">
        <v>420</v>
      </c>
      <c r="H16" s="19" t="str">
        <f t="array" ref="H16">IFERROR(INDEX(Lease_List!D:D,MATCH(All_User_backup!D16,Lease_List!H:H,0)),"없음")</f>
        <v>없음</v>
      </c>
      <c r="I16" s="22" t="s">
        <v>29</v>
      </c>
      <c r="J16" s="25" t="s">
        <v>95</v>
      </c>
      <c r="K16" s="22" t="str">
        <f t="array" ref="K16">IFERROR(INDEX(Ipad_List!C:C,MATCH(All_User_backup!D16,Ipad_List!J:J,0)),"없음")</f>
        <v>Q4VGFW40QV</v>
      </c>
      <c r="L16" s="23" t="str">
        <f t="array" ref="L16">IFERROR(INDEX(TeamsNumber!B:B,MATCH(All_User_backup!D16,TeamsNumber!D:D,0)),"없음")</f>
        <v>tel:+82234517668</v>
      </c>
      <c r="M16" s="23" t="str">
        <f t="array" ref="M16">IFERROR(INDEX(Printer!D:D,MATCH(All_User_backup!D16,Printer!G:G,0)),"없음")</f>
        <v>없음</v>
      </c>
      <c r="N16" s="24" t="str">
        <f t="array" ref="N16">IFERROR(INDEX(Monitor!A:A,MATCH(D16,Monitor!D:D,0)),"없음")</f>
        <v>없음</v>
      </c>
      <c r="O16" s="24" t="str">
        <f t="array" ref="O16">IFERROR(INDEX(sales!D:D,MATCH(D16,sales!C:C,0)),"없음")</f>
        <v/>
      </c>
      <c r="P16" s="24" t="str">
        <f t="array" ref="P16">IFERROR(INDEX(sales!E:E,MATCH(D16,sales!C:C,0)),"없음")</f>
        <v>TS</v>
      </c>
      <c r="Q16" s="24" t="str">
        <f t="array" ref="Q16">IFERROR(INDEX(sales!C:C,MATCH(D16,sales!C:C,0)),"list없음")</f>
        <v>carl.cha@stryker.com</v>
      </c>
      <c r="R16" s="24"/>
    </row>
    <row r="17">
      <c r="A17" s="78"/>
      <c r="B17" s="79"/>
      <c r="C17" s="79"/>
      <c r="D17" s="79"/>
      <c r="E17" s="79"/>
      <c r="F17" s="79"/>
      <c r="G17" s="79"/>
      <c r="H17" s="83"/>
      <c r="I17" s="84"/>
      <c r="J17" s="85"/>
      <c r="K17" s="84"/>
      <c r="L17" s="86"/>
      <c r="M17" s="86"/>
      <c r="N17" s="87"/>
      <c r="O17" s="87"/>
      <c r="P17" s="87"/>
      <c r="Q17" s="86"/>
      <c r="R17" s="86"/>
    </row>
    <row r="18">
      <c r="A18" s="13">
        <v>18.0</v>
      </c>
      <c r="B18" s="15" t="s">
        <v>96</v>
      </c>
      <c r="C18" s="15" t="s">
        <v>97</v>
      </c>
      <c r="D18" s="15" t="s">
        <v>98</v>
      </c>
      <c r="E18" s="15" t="s">
        <v>89</v>
      </c>
      <c r="F18" s="15" t="s">
        <v>2471</v>
      </c>
      <c r="G18" s="15" t="s">
        <v>2473</v>
      </c>
      <c r="H18" s="19" t="str">
        <f t="array" ref="H18">IFERROR(INDEX(Lease_List!D:D,MATCH(All_User_backup!D18,Lease_List!H:H,0)),"없음")</f>
        <v>5CD5179KHY</v>
      </c>
      <c r="I18" s="22" t="s">
        <v>99</v>
      </c>
      <c r="J18" s="21"/>
      <c r="K18" s="22" t="str">
        <f t="array" ref="K18">IFERROR(INDEX(Ipad_List!C:C,MATCH(All_User_backup!D18,Ipad_List!J:J,0)),"없음")</f>
        <v>Q4VMC2579N</v>
      </c>
      <c r="L18" s="23" t="str">
        <f t="array" ref="L18">IFERROR(INDEX(TeamsNumber!B:B,MATCH(All_User_backup!D18,TeamsNumber!D:D,0)),"없음")</f>
        <v>tel:+82234517557</v>
      </c>
      <c r="M18" s="23" t="str">
        <f t="array" ref="M18">IFERROR(INDEX(Printer!D:D,MATCH(All_User_backup!D18,Printer!H:H,0)),"없음")</f>
        <v>SL-C565FW</v>
      </c>
      <c r="N18" s="24" t="str">
        <f t="array" ref="N18">IFERROR(INDEX(Monitor!A:A,MATCH(D18,Monitor!D:D,0)),"없음")</f>
        <v>없음</v>
      </c>
      <c r="O18" s="24" t="str">
        <f t="array" ref="O18">IFERROR(INDEX(sales!D:D,MATCH(D18,sales!C:C,0)),"없음")</f>
        <v>Mako</v>
      </c>
      <c r="P18" s="24" t="str">
        <f t="array" ref="P18">IFERROR(INDEX(sales!E:E,MATCH(D18,sales!C:C,0)),"없음")</f>
        <v>Sales</v>
      </c>
      <c r="Q18" s="24" t="str">
        <f t="array" ref="Q18">IFERROR(INDEX(sales!C:C,MATCH(D18,sales!C:C,0)),"list없음")</f>
        <v>Willy.Chang@stryker.com</v>
      </c>
      <c r="R18" s="24"/>
    </row>
    <row r="19">
      <c r="A19" s="13">
        <v>19.0</v>
      </c>
      <c r="B19" s="15" t="s">
        <v>100</v>
      </c>
      <c r="C19" s="15" t="s">
        <v>101</v>
      </c>
      <c r="D19" s="15" t="s">
        <v>102</v>
      </c>
      <c r="E19" s="15" t="s">
        <v>103</v>
      </c>
      <c r="F19" s="15" t="s">
        <v>2481</v>
      </c>
      <c r="G19" s="15" t="s">
        <v>104</v>
      </c>
      <c r="H19" s="19" t="str">
        <f t="array" ref="H19">IFERROR(INDEX(Lease_List!D:D,MATCH(All_User_backup!D19,Lease_List!H:H,0)),"없음")</f>
        <v>5CD442C07H</v>
      </c>
      <c r="I19" s="22" t="s">
        <v>29</v>
      </c>
      <c r="J19" s="21"/>
      <c r="K19" s="22" t="str">
        <f t="array" ref="K19">IFERROR(INDEX(Ipad_List!C:C,MATCH(All_User_backup!D19,Ipad_List!J:J,0)),"없음")</f>
        <v>DLXCC0M0KC43</v>
      </c>
      <c r="L19" s="35" t="str">
        <f t="array" ref="L19">IFERROR(INDEX(TeamsNumber!B:B,MATCH(All_User_backup!D19,TeamsNumber!D:D,0)),"없음")</f>
        <v>tel:+82234517644</v>
      </c>
      <c r="M19" s="35" t="str">
        <f t="array" ref="M19">IFERROR(INDEX(Printer!D:D,MATCH(All_User_backup!D19,Printer!H:H,0)),"없음")</f>
        <v>없음</v>
      </c>
      <c r="N19" s="24" t="str">
        <f t="array" ref="N19">IFERROR(INDEX(Monitor!A:A,MATCH(D19,Monitor!D:D,0)),"없음")</f>
        <v>LCD 모니터</v>
      </c>
      <c r="O19" s="24" t="str">
        <f t="array" ref="O19">IFERROR(INDEX(sales!D:D,MATCH(D19,sales!C:C,0)),"없음")</f>
        <v>없음</v>
      </c>
      <c r="P19" s="24" t="str">
        <f t="array" ref="P19">IFERROR(INDEX(sales!E:E,MATCH(D19,sales!C:C,0)),"없음")</f>
        <v>없음</v>
      </c>
      <c r="Q19" s="24"/>
      <c r="R19" s="24"/>
    </row>
    <row r="20">
      <c r="A20" s="13">
        <v>20.0</v>
      </c>
      <c r="B20" s="15" t="s">
        <v>106</v>
      </c>
      <c r="C20" s="15" t="s">
        <v>107</v>
      </c>
      <c r="D20" s="18" t="s">
        <v>108</v>
      </c>
      <c r="E20" s="15" t="s">
        <v>109</v>
      </c>
      <c r="F20" s="15" t="s">
        <v>2471</v>
      </c>
      <c r="G20" s="15" t="s">
        <v>2480</v>
      </c>
      <c r="H20" s="19" t="str">
        <f t="array" ref="H20">IFERROR(INDEX(Lease_List!D:D,MATCH(All_User_backup!D20,Lease_List!H:H,0)),"없음")</f>
        <v>5CD5179KHG</v>
      </c>
      <c r="I20" s="22" t="s">
        <v>110</v>
      </c>
      <c r="J20" s="21"/>
      <c r="K20" s="22" t="str">
        <f t="array" ref="K20">IFERROR(INDEX(Ipad_List!C:C,MATCH(All_User_backup!D20,Ipad_List!J:J,0)),"없음")</f>
        <v>L2Q9F70301</v>
      </c>
      <c r="L20" s="23" t="str">
        <f t="array" ref="L20">IFERROR(INDEX(TeamsNumber!B:B,MATCH(All_User_backup!D20,TeamsNumber!D:D,0)),"없음")</f>
        <v>tel:+82234517699</v>
      </c>
      <c r="M20" s="23" t="str">
        <f t="array" ref="M20">IFERROR(INDEX(Printer!D:D,MATCH(All_User_backup!D20,Printer!H:H,0)),"없음")</f>
        <v>SL-C563W</v>
      </c>
      <c r="N20" s="24" t="str">
        <f t="array" ref="N20">IFERROR(INDEX(Monitor!A:A,MATCH(D20,Monitor!D:D,0)),"없음")</f>
        <v>없음</v>
      </c>
      <c r="O20" s="24" t="str">
        <f t="array" ref="O20">IFERROR(INDEX(sales!D:D,MATCH(D20,sales!C:C,0)),"없음")</f>
        <v>MedSurg</v>
      </c>
      <c r="P20" s="24" t="str">
        <f t="array" ref="P20">IFERROR(INDEX(sales!E:E,MATCH(D20,sales!C:C,0)),"없음")</f>
        <v>Sales</v>
      </c>
      <c r="Q20" s="24" t="str">
        <f t="array" ref="Q20">IFERROR(INDEX(sales!C:C,MATCH(D20,sales!C:C,0)),"list없음")</f>
        <v>martin.cho@stryker.com</v>
      </c>
      <c r="R20" s="24"/>
    </row>
    <row r="21">
      <c r="A21" s="13">
        <v>21.0</v>
      </c>
      <c r="B21" s="15" t="s">
        <v>111</v>
      </c>
      <c r="C21" s="15" t="s">
        <v>112</v>
      </c>
      <c r="D21" s="15" t="s">
        <v>113</v>
      </c>
      <c r="E21" s="15" t="s">
        <v>114</v>
      </c>
      <c r="F21" s="15" t="s">
        <v>2474</v>
      </c>
      <c r="G21" s="15" t="s">
        <v>2476</v>
      </c>
      <c r="H21" s="19" t="str">
        <f t="array" ref="H21">IFERROR(INDEX(Lease_List!D:D,MATCH(All_User_backup!D21,Lease_List!H:H,0)),"없음")</f>
        <v>5CG53403DG</v>
      </c>
      <c r="I21" s="22" t="s">
        <v>29</v>
      </c>
      <c r="J21" s="21"/>
      <c r="K21" s="22" t="str">
        <f t="array" ref="K21">IFERROR(INDEX(Ipad_List!C:C,MATCH(All_User_backup!D21,Ipad_List!J:J,0)),"없음")</f>
        <v>없음</v>
      </c>
      <c r="L21" s="35" t="str">
        <f t="array" ref="L21">IFERROR(INDEX(TeamsNumber!B:B,MATCH(All_User_backup!D21,TeamsNumber!D:D,0)),"없음")</f>
        <v>tel:+82234517658</v>
      </c>
      <c r="M21" s="35" t="str">
        <f t="array" ref="M21">IFERROR(INDEX(Printer!D:D,MATCH(All_User_backup!D21,Printer!H:H,0)),"없음")</f>
        <v>없음</v>
      </c>
      <c r="N21" s="24" t="str">
        <f t="array" ref="N21">IFERROR(INDEX(Monitor!A:A,MATCH(D21,Monitor!D:D,0)),"없음")</f>
        <v>없음</v>
      </c>
      <c r="O21" s="24" t="str">
        <f t="array" ref="O21">IFERROR(INDEX(sales!D:D,MATCH(D21,sales!C:C,0)),"없음")</f>
        <v>없음</v>
      </c>
      <c r="P21" s="24" t="str">
        <f t="array" ref="P21">IFERROR(INDEX(sales!E:E,MATCH(D21,sales!C:C,0)),"없음")</f>
        <v>없음</v>
      </c>
      <c r="Q21" s="24"/>
      <c r="R21" s="24"/>
    </row>
    <row r="22">
      <c r="A22" s="89"/>
      <c r="B22" s="90"/>
      <c r="C22" s="90"/>
      <c r="D22" s="90"/>
      <c r="E22" s="90"/>
      <c r="F22" s="90"/>
      <c r="G22" s="90"/>
      <c r="H22" s="92"/>
      <c r="I22" s="93"/>
      <c r="J22" s="99"/>
      <c r="K22" s="93"/>
      <c r="L22" s="95"/>
      <c r="M22" s="95"/>
      <c r="N22" s="96"/>
      <c r="O22" s="96"/>
      <c r="P22" s="96"/>
      <c r="Q22" s="97"/>
      <c r="R22" s="97"/>
    </row>
    <row r="23">
      <c r="A23" s="13">
        <v>23.0</v>
      </c>
      <c r="B23" s="15" t="s">
        <v>115</v>
      </c>
      <c r="C23" s="15" t="s">
        <v>116</v>
      </c>
      <c r="D23" s="15" t="s">
        <v>117</v>
      </c>
      <c r="E23" s="15" t="s">
        <v>26</v>
      </c>
      <c r="F23" s="15" t="s">
        <v>2471</v>
      </c>
      <c r="G23" s="15" t="s">
        <v>2473</v>
      </c>
      <c r="H23" s="19" t="str">
        <f t="array" ref="H23">IFERROR(INDEX(Lease_List!D:D,MATCH(All_User_backup!D23,Lease_List!H:H,0)),"없음")</f>
        <v>없음</v>
      </c>
      <c r="I23" s="22" t="s">
        <v>118</v>
      </c>
      <c r="J23" s="21"/>
      <c r="K23" s="22" t="str">
        <f t="array" ref="K23">IFERROR(INDEX(Ipad_List!C:C,MATCH(All_User_backup!D23,Ipad_List!J:J,0)),"없음")</f>
        <v>LD0W924NX3</v>
      </c>
      <c r="L23" s="35" t="str">
        <f t="array" ref="L23">IFERROR(INDEX(TeamsNumber!B:B,MATCH(All_User_backup!D23,TeamsNumber!D:D,0)),"없음")</f>
        <v>tel:+82234517567</v>
      </c>
      <c r="M23" s="35" t="str">
        <f t="array" ref="M23">IFERROR(INDEX(Printer!D:D,MATCH(All_User_backup!D23,Printer!G:G,0)),"없음")</f>
        <v>없음</v>
      </c>
      <c r="N23" s="24" t="str">
        <f t="array" ref="N23">IFERROR(INDEX(Monitor!A:A,MATCH(D23,Monitor!D:D,0)),"없음")</f>
        <v>없음</v>
      </c>
      <c r="O23" s="24" t="str">
        <f t="array" ref="O23">IFERROR(INDEX(sales!D:D,MATCH(D23,sales!C:C,0)),"없음")</f>
        <v/>
      </c>
      <c r="P23" s="24" t="str">
        <f t="array" ref="P23">IFERROR(INDEX(sales!E:E,MATCH(D23,sales!C:C,0)),"없음")</f>
        <v/>
      </c>
      <c r="Q23" s="24"/>
      <c r="R23" s="24"/>
    </row>
    <row r="24">
      <c r="A24" s="371">
        <v>24.0</v>
      </c>
      <c r="B24" s="372" t="s">
        <v>119</v>
      </c>
      <c r="C24" s="373"/>
      <c r="D24" s="372" t="s">
        <v>120</v>
      </c>
      <c r="E24" s="372" t="s">
        <v>72</v>
      </c>
      <c r="F24" s="372" t="s">
        <v>2471</v>
      </c>
      <c r="G24" s="372" t="s">
        <v>2473</v>
      </c>
      <c r="H24" s="19" t="str">
        <f t="array" ref="H24">IFERROR(INDEX(Lease_List!D:D,MATCH(All_User_backup!D24,Lease_List!H:H,0)),"없음")</f>
        <v>없음</v>
      </c>
      <c r="I24" s="22" t="s">
        <v>29</v>
      </c>
      <c r="J24" s="25" t="s">
        <v>121</v>
      </c>
      <c r="K24" s="22" t="str">
        <f t="array" ref="K24">IFERROR(INDEX(Ipad_List!C:C,MATCH(All_User_backup!D24,Ipad_List!J:J,0)),"없음")</f>
        <v>CQ0MQK66GM</v>
      </c>
      <c r="L24" s="23" t="str">
        <f t="array" ref="L24">IFERROR(INDEX(TeamsNumber!B:B,MATCH(All_User_backup!D24,TeamsNumber!D:D,0)),"없음")</f>
        <v>tel:+82234517525</v>
      </c>
      <c r="M24" s="23" t="str">
        <f t="array" ref="M24">IFERROR(INDEX(Printer!D:D,MATCH(All_User_backup!D24,Printer!G:G,0)),"없음")</f>
        <v>없음</v>
      </c>
      <c r="N24" s="24" t="str">
        <f t="array" ref="N24">IFERROR(INDEX(Monitor!A:A,MATCH(D24,Monitor!D:D,0)),"없음")</f>
        <v>없음</v>
      </c>
      <c r="O24" s="24" t="str">
        <f t="array" ref="O24">IFERROR(INDEX(sales!D:D,MATCH(D24,sales!C:C,0)),"없음")</f>
        <v>Mako</v>
      </c>
      <c r="P24" s="24" t="str">
        <f t="array" ref="P24">IFERROR(INDEX(sales!E:E,MATCH(D24,sales!C:C,0)),"없음")</f>
        <v>MPS</v>
      </c>
      <c r="Q24" s="24" t="str">
        <f t="array" ref="Q24">IFERROR(INDEX(sales!C:C,MATCH(D24,sales!C:C,0)),"list없음")</f>
        <v>claire.choi@stryker.com</v>
      </c>
      <c r="R24" s="24"/>
    </row>
    <row r="25">
      <c r="A25" s="13">
        <v>25.0</v>
      </c>
      <c r="B25" s="15" t="s">
        <v>122</v>
      </c>
      <c r="C25" s="15" t="s">
        <v>123</v>
      </c>
      <c r="D25" s="15" t="s">
        <v>124</v>
      </c>
      <c r="E25" s="15" t="s">
        <v>125</v>
      </c>
      <c r="F25" s="15" t="s">
        <v>2471</v>
      </c>
      <c r="G25" s="15" t="s">
        <v>2480</v>
      </c>
      <c r="H25" s="19" t="str">
        <f t="array" ref="H25">IFERROR(INDEX(Lease_List!D:D,MATCH(All_User_backup!D25,Lease_List!H:H,0)),"없음")</f>
        <v>5CD4145N3V</v>
      </c>
      <c r="I25" s="22" t="s">
        <v>29</v>
      </c>
      <c r="J25" s="21"/>
      <c r="K25" s="22" t="str">
        <f t="array" ref="K25">IFERROR(INDEX(Ipad_List!C:C,MATCH(All_User_backup!D25,Ipad_List!J:J,0)),"없음")</f>
        <v>MKTFHJRWT2</v>
      </c>
      <c r="L25" s="23" t="str">
        <f t="array" ref="L25">IFERROR(INDEX(TeamsNumber!B:B,MATCH(All_User_backup!D25,TeamsNumber!D:D,0)),"없음")</f>
        <v>tel:+82234517559</v>
      </c>
      <c r="M25" s="23" t="str">
        <f t="array" ref="M25">IFERROR(INDEX(Printer!D:D,MATCH(All_User_backup!D25,Printer!H:H,0)),"없음")</f>
        <v>SL-C563W</v>
      </c>
      <c r="N25" s="24" t="str">
        <f t="array" ref="N25">IFERROR(INDEX(Monitor!A:A,MATCH(D25,Monitor!D:D,0)),"없음")</f>
        <v>없음</v>
      </c>
      <c r="O25" s="24" t="str">
        <f t="array" ref="O25">IFERROR(INDEX(sales!D:D,MATCH(D25,sales!C:C,0)),"없음")</f>
        <v>Implants</v>
      </c>
      <c r="P25" s="24" t="str">
        <f t="array" ref="P25">IFERROR(INDEX(sales!E:E,MATCH(D25,sales!C:C,0)),"없음")</f>
        <v>Sales</v>
      </c>
      <c r="Q25" s="24" t="str">
        <f t="array" ref="Q25">IFERROR(INDEX(sales!C:C,MATCH(D25,sales!C:C,0)),"list없음")</f>
        <v>brad.choi@stryker.com</v>
      </c>
      <c r="R25" s="24"/>
    </row>
    <row r="26">
      <c r="A26" s="13">
        <v>26.0</v>
      </c>
      <c r="B26" s="15" t="s">
        <v>126</v>
      </c>
      <c r="C26" s="15" t="s">
        <v>127</v>
      </c>
      <c r="D26" s="15" t="s">
        <v>128</v>
      </c>
      <c r="E26" s="15" t="s">
        <v>129</v>
      </c>
      <c r="F26" s="15" t="s">
        <v>2471</v>
      </c>
      <c r="G26" s="15" t="s">
        <v>2472</v>
      </c>
      <c r="H26" s="19" t="str">
        <f t="array" ref="H26">IFERROR(INDEX(Lease_List!D:D,MATCH(All_User_backup!D26,Lease_List!H:H,0)),"없음")</f>
        <v>5CD5179KHS</v>
      </c>
      <c r="I26" s="22" t="s">
        <v>118</v>
      </c>
      <c r="J26" s="21"/>
      <c r="K26" s="22" t="str">
        <f t="array" ref="K26">IFERROR(INDEX(Ipad_List!C:C,MATCH(All_User_backup!D26,Ipad_List!J:J,0)),"없음")</f>
        <v>HP6F2M6GJ7</v>
      </c>
      <c r="L26" s="23" t="str">
        <f t="array" ref="L26">IFERROR(INDEX(TeamsNumber!B:B,MATCH(All_User_backup!D26,TeamsNumber!D:D,0)),"없음")</f>
        <v>tel:+82234517623</v>
      </c>
      <c r="M26" s="23" t="str">
        <f t="array" ref="M26">IFERROR(INDEX(Printer!D:D,MATCH(All_User_backup!D26,Printer!H:H,0)),"없음")</f>
        <v>SL-C565FW</v>
      </c>
      <c r="N26" s="24" t="str">
        <f t="array" ref="N26">IFERROR(INDEX(Monitor!A:A,MATCH(D26,Monitor!D:D,0)),"없음")</f>
        <v>없음</v>
      </c>
      <c r="O26" s="24" t="str">
        <f t="array" ref="O26">IFERROR(INDEX(sales!D:D,MATCH(D26,sales!C:C,0)),"없음")</f>
        <v>NV</v>
      </c>
      <c r="P26" s="24" t="str">
        <f t="array" ref="P26">IFERROR(INDEX(sales!E:E,MATCH(D26,sales!C:C,0)),"없음")</f>
        <v>NV</v>
      </c>
      <c r="Q26" s="24" t="str">
        <f t="array" ref="Q26">IFERROR(INDEX(sales!C:C,MATCH(D26,sales!C:C,0)),"list없음")</f>
        <v>kyu.choi@stryker.com</v>
      </c>
      <c r="R26" s="24"/>
    </row>
    <row r="27">
      <c r="A27" s="89"/>
      <c r="B27" s="90"/>
      <c r="C27" s="90"/>
      <c r="D27" s="90"/>
      <c r="E27" s="90"/>
      <c r="F27" s="90"/>
      <c r="G27" s="90"/>
      <c r="H27" s="92"/>
      <c r="I27" s="93"/>
      <c r="J27" s="99"/>
      <c r="K27" s="93"/>
      <c r="L27" s="95"/>
      <c r="M27" s="95"/>
      <c r="N27" s="96"/>
      <c r="O27" s="96"/>
      <c r="P27" s="96"/>
      <c r="Q27" s="97"/>
      <c r="R27" s="97"/>
    </row>
    <row r="28">
      <c r="A28" s="13">
        <v>28.0</v>
      </c>
      <c r="B28" s="15" t="s">
        <v>130</v>
      </c>
      <c r="C28" s="15" t="s">
        <v>131</v>
      </c>
      <c r="D28" s="15" t="s">
        <v>132</v>
      </c>
      <c r="E28" s="15" t="s">
        <v>57</v>
      </c>
      <c r="F28" s="15" t="s">
        <v>2471</v>
      </c>
      <c r="G28" s="15" t="s">
        <v>2473</v>
      </c>
      <c r="H28" s="19" t="str">
        <f t="array" ref="H28">IFERROR(INDEX(Lease_List!D:D,MATCH(All_User_backup!D28,Lease_List!H:H,0)),"없음")</f>
        <v>5CD5062YF4</v>
      </c>
      <c r="I28" s="22" t="s">
        <v>29</v>
      </c>
      <c r="J28" s="21"/>
      <c r="K28" s="22" t="str">
        <f t="array" ref="K28">IFERROR(INDEX(Ipad_List!C:C,MATCH(All_User_backup!D28,Ipad_List!J:J,0)),"없음")</f>
        <v>QC36D93T16</v>
      </c>
      <c r="L28" s="23" t="str">
        <f t="array" ref="L28">IFERROR(INDEX(TeamsNumber!B:B,MATCH(All_User_backup!D28,TeamsNumber!D:D,0)),"없음")</f>
        <v>tel:+82234517517</v>
      </c>
      <c r="M28" s="23" t="str">
        <f t="array" ref="M28">IFERROR(INDEX(Printer!D:D,MATCH(All_User_backup!D28,Printer!H:H,0)),"없음")</f>
        <v>없음</v>
      </c>
      <c r="N28" s="24" t="str">
        <f t="array" ref="N28">IFERROR(INDEX(Monitor!A:A,MATCH(D28,Monitor!D:D,0)),"없음")</f>
        <v>없음</v>
      </c>
      <c r="O28" s="24" t="str">
        <f t="array" ref="O28">IFERROR(INDEX(sales!D:D,MATCH(D28,sales!C:C,0)),"없음")</f>
        <v>Mako</v>
      </c>
      <c r="P28" s="24" t="str">
        <f t="array" ref="P28">IFERROR(INDEX(sales!E:E,MATCH(D28,sales!C:C,0)),"없음")</f>
        <v>MPS</v>
      </c>
      <c r="Q28" s="24" t="str">
        <f t="array" ref="Q28">IFERROR(INDEX(sales!C:C,MATCH(D28,sales!C:C,0)),"list없음")</f>
        <v>mason.choi@stryker.com</v>
      </c>
      <c r="R28" s="24"/>
    </row>
    <row r="29">
      <c r="A29" s="13">
        <v>29.0</v>
      </c>
      <c r="B29" s="15" t="s">
        <v>133</v>
      </c>
      <c r="C29" s="15" t="s">
        <v>134</v>
      </c>
      <c r="D29" s="15" t="s">
        <v>135</v>
      </c>
      <c r="E29" s="15" t="s">
        <v>136</v>
      </c>
      <c r="F29" s="15" t="s">
        <v>2471</v>
      </c>
      <c r="G29" s="15" t="s">
        <v>2482</v>
      </c>
      <c r="H29" s="19" t="str">
        <f t="array" ref="H29">IFERROR(INDEX(Lease_List!D:D,MATCH(All_User_backup!D29,Lease_List!H:H,0)),"없음")</f>
        <v>5CD442C072</v>
      </c>
      <c r="I29" s="22" t="s">
        <v>29</v>
      </c>
      <c r="J29" s="21"/>
      <c r="K29" s="22" t="str">
        <f t="array" ref="K29">IFERROR(INDEX(Ipad_List!C:C,MATCH(All_User_backup!D29,Ipad_List!J:J,0)),"없음")</f>
        <v>GMF3VLXNKG</v>
      </c>
      <c r="L29" s="23" t="str">
        <f t="array" ref="L29">IFERROR(INDEX(TeamsNumber!B:B,MATCH(All_User_backup!D29,TeamsNumber!D:D,0)),"없음")</f>
        <v>tel:+82234517618</v>
      </c>
      <c r="M29" s="23" t="str">
        <f t="array" ref="M29">IFERROR(INDEX(Printer!D:D,MATCH(All_User_backup!D29,Printer!H:H,0)),"없음")</f>
        <v>SL-C483W</v>
      </c>
      <c r="N29" s="24" t="str">
        <f t="array" ref="N29">IFERROR(INDEX(Monitor!A:A,MATCH(D29,Monitor!D:D,0)),"없음")</f>
        <v>LCD 모니터</v>
      </c>
      <c r="O29" s="24" t="str">
        <f t="array" ref="O29">IFERROR(INDEX(sales!D:D,MATCH(D29,sales!C:C,0)),"없음")</f>
        <v/>
      </c>
      <c r="P29" s="24" t="str">
        <f t="array" ref="P29">IFERROR(INDEX(sales!E:E,MATCH(D29,sales!C:C,0)),"없음")</f>
        <v>MKT</v>
      </c>
      <c r="Q29" s="24" t="str">
        <f t="array" ref="Q29">IFERROR(INDEX(sales!C:C,MATCH(D29,sales!C:C,0)),"list없음")</f>
        <v>jae.chung@stryker.com</v>
      </c>
      <c r="R29" s="24"/>
    </row>
    <row r="30">
      <c r="A30" s="13">
        <v>30.0</v>
      </c>
      <c r="B30" s="15" t="s">
        <v>138</v>
      </c>
      <c r="C30" s="15" t="s">
        <v>139</v>
      </c>
      <c r="D30" s="15" t="s">
        <v>140</v>
      </c>
      <c r="E30" s="15" t="s">
        <v>141</v>
      </c>
      <c r="F30" s="15" t="s">
        <v>2471</v>
      </c>
      <c r="G30" s="15" t="s">
        <v>2480</v>
      </c>
      <c r="H30" s="19" t="str">
        <f t="array" ref="H30">IFERROR(INDEX(Lease_List!D:D,MATCH(All_User_backup!D30,Lease_List!H:H,0)),"없음")</f>
        <v>5CD4232BF1</v>
      </c>
      <c r="I30" s="22" t="s">
        <v>29</v>
      </c>
      <c r="J30" s="21"/>
      <c r="K30" s="22" t="str">
        <f t="array" ref="K30">IFERROR(INDEX(Ipad_List!C:C,MATCH(All_User_backup!D30,Ipad_List!J:J,0)),"없음")</f>
        <v>DWJX4VVTX2</v>
      </c>
      <c r="L30" s="23" t="str">
        <f t="array" ref="L30">IFERROR(INDEX(TeamsNumber!B:B,MATCH(All_User_backup!D30,TeamsNumber!D:D,0)),"없음")</f>
        <v>tel:+82234517648</v>
      </c>
      <c r="M30" s="23" t="str">
        <f t="array" ref="M30">IFERROR(INDEX(Printer!D:D,MATCH(All_User_backup!D30,Printer!H:H,0)),"없음")</f>
        <v>없음</v>
      </c>
      <c r="N30" s="24" t="str">
        <f t="array" ref="N30">IFERROR(INDEX(Monitor!A:A,MATCH(D30,Monitor!D:D,0)),"없음")</f>
        <v>없음</v>
      </c>
      <c r="O30" s="24" t="str">
        <f t="array" ref="O30">IFERROR(INDEX(sales!D:D,MATCH(D30,sales!C:C,0)),"없음")</f>
        <v>Knee</v>
      </c>
      <c r="P30" s="24" t="str">
        <f t="array" ref="P30">IFERROR(INDEX(sales!E:E,MATCH(D30,sales!C:C,0)),"없음")</f>
        <v>Sales</v>
      </c>
      <c r="Q30" s="24" t="str">
        <f t="array" ref="Q30">IFERROR(INDEX(sales!C:C,MATCH(D30,sales!C:C,0)),"list없음")</f>
        <v>david.chung@stryker.com</v>
      </c>
      <c r="R30" s="24"/>
    </row>
    <row r="31">
      <c r="A31" s="13">
        <v>31.0</v>
      </c>
      <c r="B31" s="18" t="s">
        <v>143</v>
      </c>
      <c r="C31" s="15" t="s">
        <v>144</v>
      </c>
      <c r="D31" s="18" t="s">
        <v>145</v>
      </c>
      <c r="E31" s="15" t="s">
        <v>146</v>
      </c>
      <c r="F31" s="15" t="s">
        <v>2478</v>
      </c>
      <c r="G31" s="15" t="s">
        <v>2479</v>
      </c>
      <c r="H31" s="19" t="str">
        <f t="array" ref="H31">IFERROR(INDEX(Lease_List!D:D,MATCH(All_User_backup!D31,Lease_List!H:H,0)),"없음")</f>
        <v>5CD5062YDT</v>
      </c>
      <c r="I31" s="22" t="s">
        <v>29</v>
      </c>
      <c r="J31" s="21"/>
      <c r="K31" s="22" t="str">
        <f t="array" ref="K31">IFERROR(INDEX(Ipad_List!C:C,MATCH(All_User_backup!D31,Ipad_List!J:J,0)),"없음")</f>
        <v>없음</v>
      </c>
      <c r="L31" s="35" t="str">
        <f t="array" ref="L31">IFERROR(INDEX(TeamsNumber!B:B,MATCH(All_User_backup!D31,TeamsNumber!D:D,0)),"없음")</f>
        <v>tel:+82234517654</v>
      </c>
      <c r="M31" s="35" t="str">
        <f t="array" ref="M31">IFERROR(INDEX(Printer!D:D,MATCH(All_User_backup!D31,Printer!H:H,0)),"없음")</f>
        <v>없음</v>
      </c>
      <c r="N31" s="24" t="str">
        <f t="array" ref="N31">IFERROR(INDEX(Monitor!A:A,MATCH(D31,Monitor!D:D,0)),"없음")</f>
        <v>없음</v>
      </c>
      <c r="O31" s="24" t="str">
        <f t="array" ref="O31">IFERROR(INDEX(sales!D:D,MATCH(D31,sales!C:C,0)),"없음")</f>
        <v>없음</v>
      </c>
      <c r="P31" s="24" t="str">
        <f t="array" ref="P31">IFERROR(INDEX(sales!E:E,MATCH(D31,sales!C:C,0)),"없음")</f>
        <v>없음</v>
      </c>
      <c r="Q31" s="24"/>
      <c r="R31" s="24"/>
    </row>
    <row r="32">
      <c r="A32" s="13">
        <v>32.0</v>
      </c>
      <c r="B32" s="15" t="s">
        <v>147</v>
      </c>
      <c r="C32" s="15" t="s">
        <v>148</v>
      </c>
      <c r="D32" s="15" t="s">
        <v>149</v>
      </c>
      <c r="E32" s="15" t="s">
        <v>150</v>
      </c>
      <c r="F32" s="15" t="s">
        <v>2471</v>
      </c>
      <c r="G32" s="15" t="s">
        <v>2480</v>
      </c>
      <c r="H32" s="19" t="str">
        <f t="array" ref="H32">IFERROR(INDEX(Lease_List!D:D,MATCH(All_User_backup!D32,Lease_List!H:H,0)),"없음")</f>
        <v>5CD4305D8C</v>
      </c>
      <c r="I32" s="22" t="s">
        <v>29</v>
      </c>
      <c r="J32" s="21"/>
      <c r="K32" s="22" t="str">
        <f t="array" ref="K32">IFERROR(INDEX(Ipad_List!C:C,MATCH(All_User_backup!D32,Ipad_List!J:J,0)),"없음")</f>
        <v>GW245H3KYL</v>
      </c>
      <c r="L32" s="23" t="str">
        <f t="array" ref="L32">IFERROR(INDEX(TeamsNumber!B:B,MATCH(All_User_backup!D32,TeamsNumber!D:D,0)),"없음")</f>
        <v>tel:+82234517611</v>
      </c>
      <c r="M32" s="23" t="str">
        <f t="array" ref="M32">IFERROR(INDEX(Printer!D:D,MATCH(All_User_backup!D32,Printer!H:H,0)),"없음")</f>
        <v>SL-C486FW</v>
      </c>
      <c r="N32" s="24" t="str">
        <f t="array" ref="N32">IFERROR(INDEX(Monitor!A:A,MATCH(D32,Monitor!D:D,0)),"없음")</f>
        <v>없음</v>
      </c>
      <c r="O32" s="24" t="str">
        <f t="array" ref="O32">IFERROR(INDEX(sales!D:D,MATCH(D32,sales!C:C,0)),"없음")</f>
        <v>MedSurg</v>
      </c>
      <c r="P32" s="24" t="str">
        <f t="array" ref="P32">IFERROR(INDEX(sales!E:E,MATCH(D32,sales!C:C,0)),"없음")</f>
        <v>Sales</v>
      </c>
      <c r="Q32" s="24" t="str">
        <f t="array" ref="Q32">IFERROR(INDEX(sales!C:C,MATCH(D32,sales!C:C,0)),"list없음")</f>
        <v>Nathan.Eom@stryker.com</v>
      </c>
      <c r="R32" s="24"/>
    </row>
    <row r="33">
      <c r="A33" s="13">
        <v>33.0</v>
      </c>
      <c r="B33" s="15" t="s">
        <v>151</v>
      </c>
      <c r="C33" s="15" t="s">
        <v>152</v>
      </c>
      <c r="D33" s="15" t="s">
        <v>153</v>
      </c>
      <c r="E33" s="15" t="s">
        <v>125</v>
      </c>
      <c r="F33" s="15" t="s">
        <v>2471</v>
      </c>
      <c r="G33" s="15" t="s">
        <v>2480</v>
      </c>
      <c r="H33" s="19" t="str">
        <f t="array" ref="H33">IFERROR(INDEX(Lease_List!D:D,MATCH(All_User_backup!D33,Lease_List!H:H,0)),"없음")</f>
        <v>없음</v>
      </c>
      <c r="I33" s="20" t="s">
        <v>154</v>
      </c>
      <c r="J33" s="21"/>
      <c r="K33" s="22" t="str">
        <f t="array" ref="K33">IFERROR(INDEX(Ipad_List!C:C,MATCH(All_User_backup!D33,Ipad_List!J:J,0)),"없음")</f>
        <v>D64QK42W36</v>
      </c>
      <c r="L33" s="23" t="str">
        <f t="array" ref="L33">IFERROR(INDEX(TeamsNumber!B:B,MATCH(All_User_backup!D33,TeamsNumber!D:D,0)),"없음")</f>
        <v>tel:+82234517610</v>
      </c>
      <c r="M33" s="23" t="str">
        <f t="array" ref="M33">IFERROR(INDEX(Printer!D:D,MATCH(All_User_backup!D33,Printer!G:G,0)),"없음")</f>
        <v>없음</v>
      </c>
      <c r="N33" s="24" t="str">
        <f t="array" ref="N33">IFERROR(INDEX(Monitor!A:A,MATCH(D33,Monitor!D:D,0)),"없음")</f>
        <v>없음</v>
      </c>
      <c r="O33" s="24" t="str">
        <f t="array" ref="O33">IFERROR(INDEX(sales!D:D,MATCH(D33,sales!C:C,0)),"없음")</f>
        <v>Knee</v>
      </c>
      <c r="P33" s="24" t="str">
        <f t="array" ref="P33">IFERROR(INDEX(sales!E:E,MATCH(D33,sales!C:C,0)),"없음")</f>
        <v>Sales</v>
      </c>
      <c r="Q33" s="24" t="str">
        <f t="array" ref="Q33">IFERROR(INDEX(sales!C:C,MATCH(D33,sales!C:C,0)),"list없음")</f>
        <v>jack.eum@stryker.com</v>
      </c>
      <c r="R33" s="24"/>
    </row>
    <row r="34">
      <c r="A34" s="13">
        <v>34.0</v>
      </c>
      <c r="B34" s="15" t="s">
        <v>155</v>
      </c>
      <c r="C34" s="15" t="s">
        <v>156</v>
      </c>
      <c r="D34" s="15" t="s">
        <v>157</v>
      </c>
      <c r="E34" s="15" t="s">
        <v>81</v>
      </c>
      <c r="F34" s="15" t="s">
        <v>2471</v>
      </c>
      <c r="G34" s="15" t="s">
        <v>82</v>
      </c>
      <c r="H34" s="19" t="str">
        <f t="array" ref="H34">IFERROR(INDEX(Lease_List!D:D,MATCH(All_User_backup!D34,Lease_List!H:H,0)),"없음")</f>
        <v>없음</v>
      </c>
      <c r="I34" s="22" t="s">
        <v>118</v>
      </c>
      <c r="J34" s="21"/>
      <c r="K34" s="22" t="str">
        <f t="array" ref="K34">IFERROR(INDEX(Ipad_List!C:C,MATCH(All_User_backup!D34,Ipad_List!J:J,0)),"없음")</f>
        <v>없음</v>
      </c>
      <c r="L34" s="35" t="str">
        <f t="array" ref="L34">IFERROR(INDEX(TeamsNumber!B:B,MATCH(All_User_backup!D34,TeamsNumber!D:D,0)),"없음")</f>
        <v>없음</v>
      </c>
      <c r="M34" s="35" t="str">
        <f t="array" ref="M34">IFERROR(INDEX(Printer!D:D,MATCH(All_User_backup!D34,Printer!G:G,0)),"없음")</f>
        <v>없음</v>
      </c>
      <c r="N34" s="24" t="str">
        <f t="array" ref="N34">IFERROR(INDEX(Monitor!A:A,MATCH(D34,Monitor!D:D,0)),"없음")</f>
        <v>없음</v>
      </c>
      <c r="O34" s="24" t="str">
        <f t="array" ref="O34">IFERROR(INDEX(sales!D:D,MATCH(D34,sales!C:C,0)),"없음")</f>
        <v>없음</v>
      </c>
      <c r="P34" s="24" t="str">
        <f t="array" ref="P34">IFERROR(INDEX(sales!E:E,MATCH(D34,sales!C:C,0)),"없음")</f>
        <v>없음</v>
      </c>
      <c r="Q34" s="24"/>
      <c r="R34" s="24"/>
    </row>
    <row r="35">
      <c r="A35" s="13">
        <v>35.0</v>
      </c>
      <c r="B35" s="15" t="s">
        <v>158</v>
      </c>
      <c r="C35" s="15" t="s">
        <v>159</v>
      </c>
      <c r="D35" s="15" t="s">
        <v>160</v>
      </c>
      <c r="E35" s="15" t="s">
        <v>161</v>
      </c>
      <c r="F35" s="15" t="s">
        <v>2475</v>
      </c>
      <c r="G35" s="15" t="s">
        <v>2477</v>
      </c>
      <c r="H35" s="19" t="str">
        <f t="array" ref="H35">IFERROR(INDEX(Lease_List!D:D,MATCH(All_User_backup!D35,Lease_List!H:H,0)),"없음")</f>
        <v>5CD442C076</v>
      </c>
      <c r="I35" s="22" t="s">
        <v>162</v>
      </c>
      <c r="J35" s="21"/>
      <c r="K35" s="22" t="str">
        <f t="array" ref="K35">IFERROR(INDEX(Ipad_List!C:C,MATCH(All_User_backup!D35,Ipad_List!J:J,0)),"없음")</f>
        <v>없음</v>
      </c>
      <c r="L35" s="35" t="str">
        <f t="array" ref="L35">IFERROR(INDEX(TeamsNumber!B:B,MATCH(All_User_backup!D35,TeamsNumber!D:D,0)),"없음")</f>
        <v>tel:+82234517600</v>
      </c>
      <c r="M35" s="35" t="str">
        <f t="array" ref="M35">IFERROR(INDEX(Printer!D:D,MATCH(All_User_backup!D35,Printer!H:H,0)),"없음")</f>
        <v>없음</v>
      </c>
      <c r="N35" s="24" t="str">
        <f t="array" ref="N35">IFERROR(INDEX(Monitor!A:A,MATCH(D35,Monitor!D:D,0)),"없음")</f>
        <v>없음</v>
      </c>
      <c r="O35" s="24" t="str">
        <f t="array" ref="O35">IFERROR(INDEX(sales!D:D,MATCH(D35,sales!C:C,0)),"없음")</f>
        <v>없음</v>
      </c>
      <c r="P35" s="24" t="str">
        <f t="array" ref="P35">IFERROR(INDEX(sales!E:E,MATCH(D35,sales!C:C,0)),"없음")</f>
        <v>없음</v>
      </c>
      <c r="Q35" s="24"/>
      <c r="R35" s="24"/>
    </row>
    <row r="36">
      <c r="A36" s="13">
        <v>36.0</v>
      </c>
      <c r="B36" s="15" t="s">
        <v>163</v>
      </c>
      <c r="C36" s="15" t="s">
        <v>164</v>
      </c>
      <c r="D36" s="15" t="s">
        <v>165</v>
      </c>
      <c r="E36" s="15" t="s">
        <v>66</v>
      </c>
      <c r="F36" s="15" t="s">
        <v>2478</v>
      </c>
      <c r="G36" s="15" t="s">
        <v>2479</v>
      </c>
      <c r="H36" s="19" t="str">
        <f t="array" ref="H36">IFERROR(INDEX(Lease_List!D:D,MATCH(All_User_backup!D36,Lease_List!H:H,0)),"없음")</f>
        <v>5CD5179KHR</v>
      </c>
      <c r="I36" s="22" t="s">
        <v>166</v>
      </c>
      <c r="J36" s="21"/>
      <c r="K36" s="22" t="str">
        <f t="array" ref="K36">IFERROR(INDEX(Ipad_List!C:C,MATCH(All_User_backup!D36,Ipad_List!J:J,0)),"없음")</f>
        <v>없음</v>
      </c>
      <c r="L36" s="35" t="str">
        <f t="array" ref="L36">IFERROR(INDEX(TeamsNumber!B:B,MATCH(All_User_backup!D36,TeamsNumber!D:D,0)),"없음")</f>
        <v>tel:+82234517639</v>
      </c>
      <c r="M36" s="35" t="str">
        <f t="array" ref="M36">IFERROR(INDEX(Printer!D:D,MATCH(All_User_backup!D36,Printer!H:H,0)),"없음")</f>
        <v>없음</v>
      </c>
      <c r="N36" s="24" t="str">
        <f t="array" ref="N36">IFERROR(INDEX(Monitor!A:A,MATCH(D36,Monitor!D:D,0)),"없음")</f>
        <v>LCD 모니터</v>
      </c>
      <c r="O36" s="24" t="str">
        <f t="array" ref="O36">IFERROR(INDEX(sales!D:D,MATCH(D36,sales!C:C,0)),"없음")</f>
        <v>없음</v>
      </c>
      <c r="P36" s="24" t="str">
        <f t="array" ref="P36">IFERROR(INDEX(sales!E:E,MATCH(D36,sales!C:C,0)),"없음")</f>
        <v>없음</v>
      </c>
      <c r="Q36" s="24"/>
      <c r="R36" s="24"/>
    </row>
    <row r="37">
      <c r="A37" s="13">
        <v>37.0</v>
      </c>
      <c r="B37" s="15" t="s">
        <v>167</v>
      </c>
      <c r="C37" s="15" t="s">
        <v>168</v>
      </c>
      <c r="D37" s="15" t="s">
        <v>169</v>
      </c>
      <c r="E37" s="15" t="s">
        <v>72</v>
      </c>
      <c r="F37" s="15" t="s">
        <v>2471</v>
      </c>
      <c r="G37" s="15" t="s">
        <v>2473</v>
      </c>
      <c r="H37" s="19" t="str">
        <f t="array" ref="H37">IFERROR(INDEX(Lease_List!D:D,MATCH(All_User_backup!D37,Lease_List!H:H,0)),"없음")</f>
        <v>5CD4305D8Y</v>
      </c>
      <c r="I37" s="22" t="s">
        <v>29</v>
      </c>
      <c r="J37" s="21"/>
      <c r="K37" s="22" t="str">
        <f t="array" ref="K37">IFERROR(INDEX(Ipad_List!C:C,MATCH(All_User_backup!D37,Ipad_List!J:J,0)),"없음")</f>
        <v>CXVPVQXG09</v>
      </c>
      <c r="L37" s="23" t="str">
        <f t="array" ref="L37">IFERROR(INDEX(TeamsNumber!B:B,MATCH(All_User_backup!D37,TeamsNumber!D:D,0)),"없음")</f>
        <v>tel:+82234517588</v>
      </c>
      <c r="M37" s="23" t="str">
        <f t="array" ref="M37">IFERROR(INDEX(Printer!D:D,MATCH(All_User_backup!D37,Printer!H:H,0)),"없음")</f>
        <v>SL-C563W</v>
      </c>
      <c r="N37" s="24" t="str">
        <f t="array" ref="N37">IFERROR(INDEX(Monitor!A:A,MATCH(D37,Monitor!D:D,0)),"없음")</f>
        <v>없음</v>
      </c>
      <c r="O37" s="24" t="str">
        <f t="array" ref="O37">IFERROR(INDEX(sales!D:D,MATCH(D37,sales!C:C,0)),"없음")</f>
        <v>Mako</v>
      </c>
      <c r="P37" s="24" t="str">
        <f t="array" ref="P37">IFERROR(INDEX(sales!E:E,MATCH(D37,sales!C:C,0)),"없음")</f>
        <v>MPS</v>
      </c>
      <c r="Q37" s="24" t="str">
        <f t="array" ref="Q37">IFERROR(INDEX(sales!C:C,MATCH(D37,sales!C:C,0)),"list없음")</f>
        <v>leo.han@stryker.com</v>
      </c>
      <c r="R37" s="24"/>
    </row>
    <row r="38">
      <c r="A38" s="13">
        <v>38.0</v>
      </c>
      <c r="B38" s="15" t="s">
        <v>170</v>
      </c>
      <c r="C38" s="15" t="s">
        <v>171</v>
      </c>
      <c r="D38" s="15" t="s">
        <v>172</v>
      </c>
      <c r="E38" s="15" t="s">
        <v>173</v>
      </c>
      <c r="F38" s="15" t="s">
        <v>2481</v>
      </c>
      <c r="G38" s="15" t="s">
        <v>104</v>
      </c>
      <c r="H38" s="19" t="str">
        <f t="array" ref="H38">IFERROR(INDEX(Lease_List!D:D,MATCH(All_User_backup!D38,Lease_List!H:H,0)),"없음")</f>
        <v>5CD3469HDB</v>
      </c>
      <c r="I38" s="22" t="s">
        <v>29</v>
      </c>
      <c r="J38" s="25" t="s">
        <v>175</v>
      </c>
      <c r="K38" s="22" t="str">
        <f t="array" ref="K38">IFERROR(INDEX(Ipad_List!C:C,MATCH(All_User_backup!D38,Ipad_List!J:J,0)),"없음")</f>
        <v>없음</v>
      </c>
      <c r="L38" s="35" t="str">
        <f t="array" ref="L38">IFERROR(INDEX(TeamsNumber!B:B,MATCH(All_User_backup!D38,TeamsNumber!D:D,0)),"없음")</f>
        <v>tel:+82234517546</v>
      </c>
      <c r="M38" s="35" t="str">
        <f t="array" ref="M38">IFERROR(INDEX(Printer!D:D,MATCH(All_User_backup!D38,Printer!G:G,0)),"없음")</f>
        <v>없음</v>
      </c>
      <c r="N38" s="24" t="str">
        <f t="array" ref="N38">IFERROR(INDEX(Monitor!A:A,MATCH(D38,Monitor!D:D,0)),"없음")</f>
        <v>없음</v>
      </c>
      <c r="O38" s="24" t="str">
        <f t="array" ref="O38">IFERROR(INDEX(sales!D:D,MATCH(D38,sales!C:C,0)),"없음")</f>
        <v>없음</v>
      </c>
      <c r="P38" s="24" t="str">
        <f t="array" ref="P38">IFERROR(INDEX(sales!E:E,MATCH(D38,sales!C:C,0)),"없음")</f>
        <v>없음</v>
      </c>
      <c r="Q38" s="24"/>
      <c r="R38" s="24"/>
    </row>
    <row r="39">
      <c r="A39" s="89">
        <v>39.0</v>
      </c>
      <c r="B39" s="90" t="s">
        <v>2356</v>
      </c>
      <c r="C39" s="90" t="s">
        <v>2483</v>
      </c>
      <c r="D39" s="374" t="s">
        <v>2357</v>
      </c>
      <c r="E39" s="90" t="s">
        <v>2484</v>
      </c>
      <c r="F39" s="90" t="s">
        <v>2471</v>
      </c>
      <c r="G39" s="90" t="s">
        <v>2485</v>
      </c>
      <c r="H39" s="92" t="str">
        <f t="array" ref="H39">IFERROR(INDEX(Lease_List!D:D,MATCH(All_User_backup!D39,Lease_List!H:H,0)),"없음")</f>
        <v>없음</v>
      </c>
      <c r="I39" s="93" t="s">
        <v>2486</v>
      </c>
      <c r="J39" s="99"/>
      <c r="K39" s="93" t="str">
        <f t="array" ref="K39">IFERROR(INDEX(Ipad_List!C:C,MATCH(All_User_backup!D39,Ipad_List!J:J,0)),"없음")</f>
        <v>없음</v>
      </c>
      <c r="L39" s="95" t="str">
        <f t="array" ref="L39">IFERROR(INDEX(TeamsNumber!B:B,MATCH(All_User_backup!D39,TeamsNumber!D:D,0)),"없음")</f>
        <v>없음</v>
      </c>
      <c r="M39" s="95" t="str">
        <f t="array" ref="M39">IFERROR(INDEX(Printer!D:D,MATCH(All_User_backup!D39,Printer!H:H,0)),"없음")</f>
        <v>없음</v>
      </c>
      <c r="N39" s="96" t="str">
        <f t="array" ref="N39">IFERROR(INDEX(Monitor!A:A,MATCH(D39,Monitor!D:D,0)),"없음")</f>
        <v>없음</v>
      </c>
      <c r="O39" s="96" t="str">
        <f t="array" ref="O39">IFERROR(INDEX(sales!D:D,MATCH(D39,sales!C:C,0)),"없음")</f>
        <v>없음</v>
      </c>
      <c r="P39" s="96" t="str">
        <f t="array" ref="P39">IFERROR(INDEX(sales!E:E,MATCH(D39,sales!C:C,0)),"없음")</f>
        <v>없음</v>
      </c>
      <c r="Q39" s="96"/>
      <c r="R39" s="97">
        <v>46380.0</v>
      </c>
    </row>
    <row r="40">
      <c r="A40" s="89"/>
      <c r="B40" s="90"/>
      <c r="C40" s="90"/>
      <c r="D40" s="90"/>
      <c r="E40" s="90"/>
      <c r="F40" s="90"/>
      <c r="G40" s="90"/>
      <c r="H40" s="92"/>
      <c r="I40" s="93"/>
      <c r="J40" s="94"/>
      <c r="K40" s="93"/>
      <c r="L40" s="95"/>
      <c r="M40" s="95"/>
      <c r="N40" s="96"/>
      <c r="O40" s="96"/>
      <c r="P40" s="96"/>
      <c r="Q40" s="97"/>
      <c r="R40" s="97"/>
    </row>
    <row r="41">
      <c r="A41" s="13">
        <v>41.0</v>
      </c>
      <c r="B41" s="15" t="s">
        <v>176</v>
      </c>
      <c r="C41" s="15" t="s">
        <v>177</v>
      </c>
      <c r="D41" s="15" t="s">
        <v>178</v>
      </c>
      <c r="E41" s="15" t="s">
        <v>179</v>
      </c>
      <c r="F41" s="15" t="s">
        <v>2478</v>
      </c>
      <c r="G41" s="15" t="s">
        <v>2487</v>
      </c>
      <c r="H41" s="19" t="str">
        <f t="array" ref="H41">IFERROR(INDEX(Lease_List!D:D,MATCH(All_User_backup!D41,Lease_List!H:H,0)),"없음")</f>
        <v>5CD4305D95</v>
      </c>
      <c r="I41" s="22" t="s">
        <v>29</v>
      </c>
      <c r="J41" s="21"/>
      <c r="K41" s="22" t="str">
        <f t="array" ref="K41">IFERROR(INDEX(Ipad_List!C:C,MATCH(All_User_backup!D41,Ipad_List!J:J,0)),"없음")</f>
        <v>없음</v>
      </c>
      <c r="L41" s="35" t="str">
        <f t="array" ref="L41">IFERROR(INDEX(TeamsNumber!B:B,MATCH(All_User_backup!D41,TeamsNumber!D:D,0)),"없음")</f>
        <v>tel:+82234517634</v>
      </c>
      <c r="M41" s="35" t="str">
        <f t="array" ref="M41">IFERROR(INDEX(Printer!D:D,MATCH(All_User_backup!D41,Printer!H:H,0)),"없음")</f>
        <v>없음</v>
      </c>
      <c r="N41" s="24" t="str">
        <f t="array" ref="N41">IFERROR(INDEX(Monitor!A:A,MATCH(D41,Monitor!D:D,0)),"없음")</f>
        <v>없음</v>
      </c>
      <c r="O41" s="24" t="str">
        <f t="array" ref="O41">IFERROR(INDEX(sales!D:D,MATCH(D41,sales!C:C,0)),"없음")</f>
        <v>없음</v>
      </c>
      <c r="P41" s="24" t="str">
        <f t="array" ref="P41">IFERROR(INDEX(sales!E:E,MATCH(D41,sales!C:C,0)),"없음")</f>
        <v>없음</v>
      </c>
      <c r="Q41" s="24"/>
      <c r="R41" s="24"/>
    </row>
    <row r="42">
      <c r="A42" s="13">
        <v>42.0</v>
      </c>
      <c r="B42" s="15" t="s">
        <v>181</v>
      </c>
      <c r="C42" s="15" t="s">
        <v>182</v>
      </c>
      <c r="D42" s="15" t="s">
        <v>183</v>
      </c>
      <c r="E42" s="15" t="s">
        <v>129</v>
      </c>
      <c r="F42" s="15" t="s">
        <v>2471</v>
      </c>
      <c r="G42" s="15" t="s">
        <v>2472</v>
      </c>
      <c r="H42" s="19" t="str">
        <f t="array" ref="H42">IFERROR(INDEX(Lease_List!D:D,MATCH(All_User_backup!D42,Lease_List!H:H,0)),"없음")</f>
        <v>없음</v>
      </c>
      <c r="I42" s="20" t="s">
        <v>184</v>
      </c>
      <c r="J42" s="21"/>
      <c r="K42" s="22" t="str">
        <f t="array" ref="K42">IFERROR(INDEX(Ipad_List!C:C,MATCH(All_User_backup!D42,Ipad_List!J:J,0)),"없음")</f>
        <v>DYQP729JPM</v>
      </c>
      <c r="L42" s="23" t="str">
        <f t="array" ref="L42">IFERROR(INDEX(TeamsNumber!B:B,MATCH(All_User_backup!D42,TeamsNumber!D:D,0)),"없음")</f>
        <v>tel:+82234517643</v>
      </c>
      <c r="M42" s="23" t="str">
        <f t="array" ref="M42">IFERROR(INDEX(Printer!D:D,MATCH(All_User_backup!D42,Printer!G:G,0)),"없음")</f>
        <v>없음</v>
      </c>
      <c r="N42" s="24" t="str">
        <f t="array" ref="N42">IFERROR(INDEX(Monitor!A:A,MATCH(D42,Monitor!D:D,0)),"없음")</f>
        <v>없음</v>
      </c>
      <c r="O42" s="24" t="str">
        <f t="array" ref="O42">IFERROR(INDEX(sales!D:D,MATCH(D42,sales!C:C,0)),"없음")</f>
        <v>NV</v>
      </c>
      <c r="P42" s="24" t="str">
        <f t="array" ref="P42">IFERROR(INDEX(sales!E:E,MATCH(D42,sales!C:C,0)),"없음")</f>
        <v>NV</v>
      </c>
      <c r="Q42" s="24" t="str">
        <f t="array" ref="Q42">IFERROR(INDEX(sales!C:C,MATCH(D42,sales!C:C,0)),"list없음")</f>
        <v>yejin.heo@stryker.com</v>
      </c>
      <c r="R42" s="24"/>
    </row>
    <row r="43">
      <c r="A43" s="13">
        <v>43.0</v>
      </c>
      <c r="B43" s="15" t="s">
        <v>185</v>
      </c>
      <c r="C43" s="15" t="s">
        <v>186</v>
      </c>
      <c r="D43" s="15" t="s">
        <v>187</v>
      </c>
      <c r="E43" s="15" t="s">
        <v>72</v>
      </c>
      <c r="F43" s="15" t="s">
        <v>2471</v>
      </c>
      <c r="G43" s="15" t="s">
        <v>2473</v>
      </c>
      <c r="H43" s="19" t="str">
        <f t="array" ref="H43">IFERROR(INDEX(Lease_List!D:D,MATCH(All_User_backup!D43,Lease_List!H:H,0)),"없음")</f>
        <v>5CD4232BFV</v>
      </c>
      <c r="I43" s="22" t="s">
        <v>29</v>
      </c>
      <c r="J43" s="21"/>
      <c r="K43" s="22" t="str">
        <f t="array" ref="K43">IFERROR(INDEX(Ipad_List!C:C,MATCH(All_User_backup!D43,Ipad_List!J:J,0)),"없음")</f>
        <v>J99N6MMPMT</v>
      </c>
      <c r="L43" s="23" t="str">
        <f t="array" ref="L43">IFERROR(INDEX(TeamsNumber!B:B,MATCH(All_User_backup!D43,TeamsNumber!D:D,0)),"없음")</f>
        <v>tel:+82234517581</v>
      </c>
      <c r="M43" s="23" t="str">
        <f t="array" ref="M43">IFERROR(INDEX(Printer!D:D,MATCH(All_User_backup!D43,Printer!H:H,0)),"없음")</f>
        <v>없음</v>
      </c>
      <c r="N43" s="24" t="str">
        <f t="array" ref="N43">IFERROR(INDEX(Monitor!A:A,MATCH(D43,Monitor!D:D,0)),"없음")</f>
        <v>없음</v>
      </c>
      <c r="O43" s="24" t="str">
        <f t="array" ref="O43">IFERROR(INDEX(sales!D:D,MATCH(D43,sales!C:C,0)),"없음")</f>
        <v>Mako</v>
      </c>
      <c r="P43" s="24" t="str">
        <f t="array" ref="P43">IFERROR(INDEX(sales!E:E,MATCH(D43,sales!C:C,0)),"없음")</f>
        <v>MPS</v>
      </c>
      <c r="Q43" s="24" t="str">
        <f t="array" ref="Q43">IFERROR(INDEX(sales!C:C,MATCH(D43,sales!C:C,0)),"list없음")</f>
        <v>ashley.hong@stryker.com</v>
      </c>
      <c r="R43" s="24"/>
    </row>
    <row r="44">
      <c r="A44" s="13">
        <v>44.0</v>
      </c>
      <c r="B44" s="15" t="s">
        <v>188</v>
      </c>
      <c r="C44" s="15" t="s">
        <v>189</v>
      </c>
      <c r="D44" s="15" t="s">
        <v>190</v>
      </c>
      <c r="E44" s="15" t="s">
        <v>191</v>
      </c>
      <c r="F44" s="15" t="s">
        <v>2475</v>
      </c>
      <c r="G44" s="15" t="s">
        <v>192</v>
      </c>
      <c r="H44" s="19" t="str">
        <f t="array" ref="H44">IFERROR(INDEX(Lease_List!D:D,MATCH(All_User_backup!D44,Lease_List!H:H,0)),"없음")</f>
        <v>5CD4305D8H</v>
      </c>
      <c r="I44" s="22" t="s">
        <v>29</v>
      </c>
      <c r="J44" s="21"/>
      <c r="K44" s="22" t="str">
        <f t="array" ref="K44">IFERROR(INDEX(Ipad_List!C:C,MATCH(All_User_backup!D44,Ipad_List!J:J,0)),"없음")</f>
        <v>없음</v>
      </c>
      <c r="L44" s="35" t="str">
        <f t="array" ref="L44">IFERROR(INDEX(TeamsNumber!B:B,MATCH(All_User_backup!D44,TeamsNumber!D:D,0)),"없음")</f>
        <v>tel:+82234517630</v>
      </c>
      <c r="M44" s="35" t="str">
        <f t="array" ref="M44">IFERROR(INDEX(Printer!D:D,MATCH(All_User_backup!D44,Printer!H:H,0)),"없음")</f>
        <v>없음</v>
      </c>
      <c r="N44" s="24" t="str">
        <f t="array" ref="N44">IFERROR(INDEX(Monitor!A:A,MATCH(D44,Monitor!D:D,0)),"없음")</f>
        <v>없음</v>
      </c>
      <c r="O44" s="24" t="str">
        <f t="array" ref="O44">IFERROR(INDEX(sales!D:D,MATCH(D44,sales!C:C,0)),"없음")</f>
        <v>없음</v>
      </c>
      <c r="P44" s="24" t="str">
        <f t="array" ref="P44">IFERROR(INDEX(sales!E:E,MATCH(D44,sales!C:C,0)),"없음")</f>
        <v>없음</v>
      </c>
      <c r="Q44" s="24"/>
      <c r="R44" s="24"/>
    </row>
    <row r="45">
      <c r="A45" s="13">
        <v>45.0</v>
      </c>
      <c r="B45" s="15" t="s">
        <v>193</v>
      </c>
      <c r="C45" s="15" t="s">
        <v>194</v>
      </c>
      <c r="D45" s="15" t="s">
        <v>195</v>
      </c>
      <c r="E45" s="15" t="s">
        <v>196</v>
      </c>
      <c r="F45" s="15" t="s">
        <v>2471</v>
      </c>
      <c r="G45" s="15" t="s">
        <v>82</v>
      </c>
      <c r="H45" s="19" t="str">
        <f t="array" ref="H45">IFERROR(INDEX(Lease_List!D:D,MATCH(All_User_backup!D45,Lease_List!H:H,0)),"없음")</f>
        <v>없음</v>
      </c>
      <c r="I45" s="22" t="s">
        <v>29</v>
      </c>
      <c r="J45" s="25" t="s">
        <v>197</v>
      </c>
      <c r="K45" s="22" t="str">
        <f t="array" ref="K45">IFERROR(INDEX(Ipad_List!C:C,MATCH(All_User_backup!D45,Ipad_List!J:J,0)),"없음")</f>
        <v>없음</v>
      </c>
      <c r="L45" s="35" t="str">
        <f t="array" ref="L45">IFERROR(INDEX(TeamsNumber!B:B,MATCH(All_User_backup!D45,TeamsNumber!D:D,0)),"없음")</f>
        <v>tel:+82234517553</v>
      </c>
      <c r="M45" s="35" t="str">
        <f t="array" ref="M45">IFERROR(INDEX(Printer!D:D,MATCH(All_User_backup!D45,Printer!G:G,0)),"없음")</f>
        <v>없음</v>
      </c>
      <c r="N45" s="24" t="str">
        <f t="array" ref="N45">IFERROR(INDEX(Monitor!A:A,MATCH(D45,Monitor!D:D,0)),"없음")</f>
        <v>LCD 모니터</v>
      </c>
      <c r="O45" s="24" t="str">
        <f t="array" ref="O45">IFERROR(INDEX(sales!D:D,MATCH(D45,sales!C:C,0)),"없음")</f>
        <v>없음</v>
      </c>
      <c r="P45" s="24" t="str">
        <f t="array" ref="P45">IFERROR(INDEX(sales!E:E,MATCH(D45,sales!C:C,0)),"없음")</f>
        <v>없음</v>
      </c>
      <c r="Q45" s="24"/>
      <c r="R45" s="24"/>
    </row>
    <row r="46">
      <c r="A46" s="13">
        <v>46.0</v>
      </c>
      <c r="B46" s="15" t="s">
        <v>198</v>
      </c>
      <c r="C46" s="15" t="s">
        <v>199</v>
      </c>
      <c r="D46" s="15" t="s">
        <v>200</v>
      </c>
      <c r="E46" s="15" t="s">
        <v>201</v>
      </c>
      <c r="F46" s="15" t="s">
        <v>2471</v>
      </c>
      <c r="G46" s="15" t="s">
        <v>203</v>
      </c>
      <c r="H46" s="19" t="str">
        <f t="array" ref="H46">IFERROR(INDEX(Lease_List!D:D,MATCH(All_User_backup!D46,Lease_List!H:H,0)),"없음")</f>
        <v>5CD442C078</v>
      </c>
      <c r="I46" s="22" t="s">
        <v>29</v>
      </c>
      <c r="J46" s="21"/>
      <c r="K46" s="22" t="str">
        <f t="array" ref="K46">IFERROR(INDEX(Ipad_List!C:C,MATCH(All_User_backup!D46,Ipad_List!J:J,0)),"없음")</f>
        <v>없음</v>
      </c>
      <c r="L46" s="35" t="str">
        <f t="array" ref="L46">IFERROR(INDEX(TeamsNumber!B:B,MATCH(All_User_backup!D46,TeamsNumber!D:D,0)),"없음")</f>
        <v>tel:+82234517552</v>
      </c>
      <c r="M46" s="35" t="str">
        <f t="array" ref="M46">IFERROR(INDEX(Printer!D:D,MATCH(All_User_backup!D46,Printer!H:H,0)),"없음")</f>
        <v>없음</v>
      </c>
      <c r="N46" s="24" t="str">
        <f t="array" ref="N46">IFERROR(INDEX(Monitor!A:A,MATCH(D46,Monitor!D:D,0)),"없음")</f>
        <v>없음</v>
      </c>
      <c r="O46" s="24" t="str">
        <f t="array" ref="O46">IFERROR(INDEX(sales!D:D,MATCH(D46,sales!C:C,0)),"없음")</f>
        <v>없음</v>
      </c>
      <c r="P46" s="24" t="str">
        <f t="array" ref="P46">IFERROR(INDEX(sales!E:E,MATCH(D46,sales!C:C,0)),"없음")</f>
        <v>없음</v>
      </c>
      <c r="Q46" s="24"/>
      <c r="R46" s="24"/>
    </row>
    <row r="47">
      <c r="A47" s="13">
        <v>47.0</v>
      </c>
      <c r="B47" s="15" t="s">
        <v>204</v>
      </c>
      <c r="C47" s="15" t="s">
        <v>205</v>
      </c>
      <c r="D47" s="15" t="s">
        <v>206</v>
      </c>
      <c r="E47" s="15" t="s">
        <v>207</v>
      </c>
      <c r="F47" s="15" t="s">
        <v>2474</v>
      </c>
      <c r="G47" s="15" t="s">
        <v>420</v>
      </c>
      <c r="H47" s="19" t="str">
        <f t="array" ref="H47">IFERROR(INDEX(Lease_List!D:D,MATCH(All_User_backup!D47,Lease_List!H:H,0)),"없음")</f>
        <v>5CD442C07G</v>
      </c>
      <c r="I47" s="22" t="s">
        <v>29</v>
      </c>
      <c r="J47" s="21"/>
      <c r="K47" s="22" t="str">
        <f t="array" ref="K47">IFERROR(INDEX(Ipad_List!C:C,MATCH(All_User_backup!D47,Ipad_List!J:J,0)),"없음")</f>
        <v>XYGFK42KQP</v>
      </c>
      <c r="L47" s="23" t="str">
        <f t="array" ref="L47">IFERROR(INDEX(TeamsNumber!B:B,MATCH(All_User_backup!D47,TeamsNumber!D:D,0)),"없음")</f>
        <v>tel:+82234517671</v>
      </c>
      <c r="M47" s="23" t="str">
        <f t="array" ref="M47">IFERROR(INDEX(Printer!D:D,MATCH(All_User_backup!D47,Printer!H:H,0)),"없음")</f>
        <v>없음</v>
      </c>
      <c r="N47" s="24" t="str">
        <f t="array" ref="N47">IFERROR(INDEX(Monitor!A:A,MATCH(D47,Monitor!D:D,0)),"없음")</f>
        <v>없음</v>
      </c>
      <c r="O47" s="24" t="str">
        <f t="array" ref="O47">IFERROR(INDEX(sales!D:D,MATCH(D47,sales!C:C,0)),"없음")</f>
        <v/>
      </c>
      <c r="P47" s="24" t="str">
        <f t="array" ref="P47">IFERROR(INDEX(sales!E:E,MATCH(D47,sales!C:C,0)),"없음")</f>
        <v>TS</v>
      </c>
      <c r="Q47" s="24" t="str">
        <f t="array" ref="Q47">IFERROR(INDEX(sales!C:C,MATCH(D47,sales!C:C,0)),"list없음")</f>
        <v>oscar.hwang@stryker.com</v>
      </c>
      <c r="R47" s="24"/>
    </row>
    <row r="48">
      <c r="A48" s="13">
        <v>48.0</v>
      </c>
      <c r="B48" s="15" t="s">
        <v>208</v>
      </c>
      <c r="C48" s="15" t="s">
        <v>209</v>
      </c>
      <c r="D48" s="15" t="s">
        <v>210</v>
      </c>
      <c r="E48" s="15" t="s">
        <v>211</v>
      </c>
      <c r="F48" s="15" t="s">
        <v>2471</v>
      </c>
      <c r="G48" s="15" t="s">
        <v>2472</v>
      </c>
      <c r="H48" s="19" t="str">
        <f t="array" ref="H48">IFERROR(INDEX(Lease_List!D:D,MATCH(All_User_backup!D48,Lease_List!H:H,0)),"없음")</f>
        <v>5CD5179KHZ</v>
      </c>
      <c r="I48" s="22" t="s">
        <v>212</v>
      </c>
      <c r="J48" s="21"/>
      <c r="K48" s="22" t="str">
        <f t="array" ref="K48">IFERROR(INDEX(Ipad_List!C:C,MATCH(All_User_backup!D48,Ipad_List!J:J,0)),"없음")</f>
        <v>FNP3C7WRP2</v>
      </c>
      <c r="L48" s="23" t="str">
        <f t="array" ref="L48">IFERROR(INDEX(TeamsNumber!B:B,MATCH(All_User_backup!D48,TeamsNumber!D:D,0)),"없음")</f>
        <v>tel:+82234517688</v>
      </c>
      <c r="M48" s="23" t="str">
        <f t="array" ref="M48">IFERROR(INDEX(Printer!D:D,MATCH(All_User_backup!D48,Printer!H:H,0)),"없음")</f>
        <v>2차 조사 정보 없음</v>
      </c>
      <c r="N48" s="24" t="str">
        <f t="array" ref="N48">IFERROR(INDEX(Monitor!A:A,MATCH(D48,Monitor!D:D,0)),"없음")</f>
        <v>없음</v>
      </c>
      <c r="O48" s="24" t="str">
        <f t="array" ref="O48">IFERROR(INDEX(sales!D:D,MATCH(D48,sales!C:C,0)),"없음")</f>
        <v>NV</v>
      </c>
      <c r="P48" s="24" t="str">
        <f t="array" ref="P48">IFERROR(INDEX(sales!E:E,MATCH(D48,sales!C:C,0)),"없음")</f>
        <v>NV</v>
      </c>
      <c r="Q48" s="24" t="str">
        <f t="array" ref="Q48">IFERROR(INDEX(sales!C:C,MATCH(D48,sales!C:C,0)),"list없음")</f>
        <v>young.hwang@stryker.com</v>
      </c>
      <c r="R48" s="24"/>
    </row>
    <row r="49">
      <c r="A49" s="13">
        <v>49.0</v>
      </c>
      <c r="B49" s="15" t="s">
        <v>213</v>
      </c>
      <c r="C49" s="15" t="s">
        <v>214</v>
      </c>
      <c r="D49" s="15" t="s">
        <v>215</v>
      </c>
      <c r="E49" s="15" t="s">
        <v>216</v>
      </c>
      <c r="F49" s="15" t="s">
        <v>2471</v>
      </c>
      <c r="G49" s="15" t="s">
        <v>2480</v>
      </c>
      <c r="H49" s="19" t="str">
        <f t="array" ref="H49">IFERROR(INDEX(Lease_List!D:D,MATCH(All_User_backup!D49,Lease_List!H:H,0)),"없음")</f>
        <v>5CD3469HCX</v>
      </c>
      <c r="I49" s="22" t="s">
        <v>29</v>
      </c>
      <c r="J49" s="21"/>
      <c r="K49" s="22" t="str">
        <f t="array" ref="K49">IFERROR(INDEX(Ipad_List!C:C,MATCH(All_User_backup!D49,Ipad_List!J:J,0)),"없음")</f>
        <v>GD2WG3K71P</v>
      </c>
      <c r="L49" s="23" t="str">
        <f t="array" ref="L49">IFERROR(INDEX(TeamsNumber!B:B,MATCH(All_User_backup!D49,TeamsNumber!D:D,0)),"없음")</f>
        <v>tel:+82234517686</v>
      </c>
      <c r="M49" s="23" t="str">
        <f t="array" ref="M49">IFERROR(INDEX(Printer!D:D,MATCH(All_User_backup!D49,Printer!H:H,0)),"없음")</f>
        <v>SL-C563W</v>
      </c>
      <c r="N49" s="24" t="str">
        <f t="array" ref="N49">IFERROR(INDEX(Monitor!A:A,MATCH(D49,Monitor!D:D,0)),"없음")</f>
        <v>없음</v>
      </c>
      <c r="O49" s="24" t="str">
        <f t="array" ref="O49">IFERROR(INDEX(sales!D:D,MATCH(D49,sales!C:C,0)),"없음")</f>
        <v>MedSurg</v>
      </c>
      <c r="P49" s="24" t="str">
        <f t="array" ref="P49">IFERROR(INDEX(sales!E:E,MATCH(D49,sales!C:C,0)),"없음")</f>
        <v>Sales</v>
      </c>
      <c r="Q49" s="24" t="str">
        <f t="array" ref="Q49">IFERROR(INDEX(sales!C:C,MATCH(D49,sales!C:C,0)),"list없음")</f>
        <v>theo.hwang@stryker.com</v>
      </c>
      <c r="R49" s="24"/>
    </row>
    <row r="50">
      <c r="A50" s="89"/>
      <c r="B50" s="90"/>
      <c r="C50" s="90"/>
      <c r="D50" s="90"/>
      <c r="E50" s="90"/>
      <c r="F50" s="90"/>
      <c r="G50" s="90"/>
      <c r="H50" s="92"/>
      <c r="I50" s="93"/>
      <c r="J50" s="94"/>
      <c r="K50" s="93"/>
      <c r="L50" s="95"/>
      <c r="M50" s="95"/>
      <c r="N50" s="96"/>
      <c r="O50" s="96"/>
      <c r="P50" s="96"/>
      <c r="Q50" s="97"/>
      <c r="R50" s="97"/>
    </row>
    <row r="51">
      <c r="A51" s="13">
        <v>51.0</v>
      </c>
      <c r="B51" s="15" t="s">
        <v>217</v>
      </c>
      <c r="C51" s="15" t="s">
        <v>218</v>
      </c>
      <c r="D51" s="15" t="s">
        <v>219</v>
      </c>
      <c r="E51" s="15" t="s">
        <v>125</v>
      </c>
      <c r="F51" s="15" t="s">
        <v>2471</v>
      </c>
      <c r="G51" s="15" t="s">
        <v>2480</v>
      </c>
      <c r="H51" s="19" t="str">
        <f t="array" ref="H51">IFERROR(INDEX(Lease_List!D:D,MATCH(All_User_backup!D51,Lease_List!H:H,0)),"없음")</f>
        <v>5CD442C07D</v>
      </c>
      <c r="I51" s="22" t="s">
        <v>29</v>
      </c>
      <c r="J51" s="21"/>
      <c r="K51" s="22" t="str">
        <f t="array" ref="K51">IFERROR(INDEX(Ipad_List!C:C,MATCH(All_User_backup!D51,Ipad_List!J:J,0)),"없음")</f>
        <v>Q9JKF6RRK4</v>
      </c>
      <c r="L51" s="23" t="str">
        <f t="array" ref="L51">IFERROR(INDEX(TeamsNumber!B:B,MATCH(All_User_backup!D51,TeamsNumber!D:D,0)),"없음")</f>
        <v>tel:+82234517666</v>
      </c>
      <c r="M51" s="23" t="str">
        <f t="array" ref="M51">IFERROR(INDEX(Printer!D:D,MATCH(All_User_backup!D51,Printer!H:H,0)),"없음")</f>
        <v>없음</v>
      </c>
      <c r="N51" s="24" t="str">
        <f t="array" ref="N51">IFERROR(INDEX(Monitor!A:A,MATCH(D51,Monitor!D:D,0)),"없음")</f>
        <v>없음</v>
      </c>
      <c r="O51" s="24" t="str">
        <f t="array" ref="O51">IFERROR(INDEX(sales!D:D,MATCH(D51,sales!C:C,0)),"없음")</f>
        <v>Shoulder</v>
      </c>
      <c r="P51" s="24" t="str">
        <f t="array" ref="P51">IFERROR(INDEX(sales!E:E,MATCH(D51,sales!C:C,0)),"없음")</f>
        <v>Sales</v>
      </c>
      <c r="Q51" s="24" t="str">
        <f t="array" ref="Q51">IFERROR(INDEX(sales!C:C,MATCH(D51,sales!C:C,0)),"list없음")</f>
        <v>daniel.jang@stryker.com</v>
      </c>
      <c r="R51" s="24"/>
    </row>
    <row r="52">
      <c r="A52" s="13">
        <v>52.0</v>
      </c>
      <c r="B52" s="15" t="s">
        <v>220</v>
      </c>
      <c r="C52" s="15" t="s">
        <v>221</v>
      </c>
      <c r="D52" s="15" t="s">
        <v>222</v>
      </c>
      <c r="E52" s="15" t="s">
        <v>223</v>
      </c>
      <c r="F52" s="15" t="s">
        <v>2474</v>
      </c>
      <c r="G52" s="15" t="s">
        <v>420</v>
      </c>
      <c r="H52" s="19" t="str">
        <f t="array" ref="H52">IFERROR(INDEX(Lease_List!D:D,MATCH(All_User_backup!D52,Lease_List!H:H,0)),"없음")</f>
        <v>5CD5062YDW</v>
      </c>
      <c r="I52" s="22" t="s">
        <v>29</v>
      </c>
      <c r="J52" s="21"/>
      <c r="K52" s="22" t="str">
        <f t="array" ref="K52">IFERROR(INDEX(Ipad_List!C:C,MATCH(All_User_backup!D52,Ipad_List!J:J,0)),"없음")</f>
        <v>G7CV2M99YM</v>
      </c>
      <c r="L52" s="23" t="str">
        <f t="array" ref="L52">IFERROR(INDEX(TeamsNumber!B:B,MATCH(All_User_backup!D52,TeamsNumber!D:D,0)),"없음")</f>
        <v>tel:+82234517535</v>
      </c>
      <c r="M52" s="23" t="str">
        <f t="array" ref="M52">IFERROR(INDEX(Printer!D:D,MATCH(All_User_backup!D52,Printer!H:H,0)),"없음")</f>
        <v>없음</v>
      </c>
      <c r="N52" s="24" t="str">
        <f t="array" ref="N52">IFERROR(INDEX(Monitor!A:A,MATCH(D52,Monitor!D:D,0)),"없음")</f>
        <v>없음</v>
      </c>
      <c r="O52" s="24" t="str">
        <f t="array" ref="O52">IFERROR(INDEX(sales!D:D,MATCH(D52,sales!C:C,0)),"없음")</f>
        <v/>
      </c>
      <c r="P52" s="24" t="str">
        <f t="array" ref="P52">IFERROR(INDEX(sales!E:E,MATCH(D52,sales!C:C,0)),"없음")</f>
        <v>TS</v>
      </c>
      <c r="Q52" s="24" t="str">
        <f t="array" ref="Q52">IFERROR(INDEX(sales!C:C,MATCH(D52,sales!C:C,0)),"list없음")</f>
        <v>ethan.jang@stryker.com</v>
      </c>
      <c r="R52" s="24"/>
    </row>
    <row r="53">
      <c r="A53" s="13">
        <v>53.0</v>
      </c>
      <c r="B53" s="15" t="s">
        <v>224</v>
      </c>
      <c r="C53" s="15" t="s">
        <v>225</v>
      </c>
      <c r="D53" s="15" t="s">
        <v>226</v>
      </c>
      <c r="E53" s="15" t="s">
        <v>227</v>
      </c>
      <c r="F53" s="15" t="s">
        <v>2475</v>
      </c>
      <c r="G53" s="15" t="s">
        <v>2477</v>
      </c>
      <c r="H53" s="19" t="str">
        <f t="array" ref="H53">IFERROR(INDEX(Lease_List!D:D,MATCH(All_User_backup!D53,Lease_List!H:H,0)),"없음")</f>
        <v>5CG53403D5</v>
      </c>
      <c r="I53" s="22" t="s">
        <v>29</v>
      </c>
      <c r="J53" s="21"/>
      <c r="K53" s="22" t="str">
        <f t="array" ref="K53">IFERROR(INDEX(Ipad_List!C:C,MATCH(All_User_backup!D53,Ipad_List!J:J,0)),"없음")</f>
        <v>없음</v>
      </c>
      <c r="L53" s="35" t="str">
        <f t="array" ref="L53">IFERROR(INDEX(TeamsNumber!B:B,MATCH(All_User_backup!D53,TeamsNumber!D:D,0)),"없음")</f>
        <v>tel:+82234517665</v>
      </c>
      <c r="M53" s="35" t="str">
        <f t="array" ref="M53">IFERROR(INDEX(Printer!D:D,MATCH(All_User_backup!D53,Printer!H:H,0)),"없음")</f>
        <v>없음</v>
      </c>
      <c r="N53" s="24" t="str">
        <f t="array" ref="N53">IFERROR(INDEX(Monitor!A:A,MATCH(D53,Monitor!D:D,0)),"없음")</f>
        <v>없음</v>
      </c>
      <c r="O53" s="24" t="str">
        <f t="array" ref="O53">IFERROR(INDEX(sales!D:D,MATCH(D53,sales!C:C,0)),"없음")</f>
        <v>없음</v>
      </c>
      <c r="P53" s="24" t="str">
        <f t="array" ref="P53">IFERROR(INDEX(sales!E:E,MATCH(D53,sales!C:C,0)),"없음")</f>
        <v>없음</v>
      </c>
      <c r="Q53" s="24"/>
      <c r="R53" s="24"/>
    </row>
    <row r="54">
      <c r="A54" s="13">
        <v>54.0</v>
      </c>
      <c r="B54" s="15" t="s">
        <v>228</v>
      </c>
      <c r="C54" s="15" t="s">
        <v>229</v>
      </c>
      <c r="D54" s="15" t="s">
        <v>230</v>
      </c>
      <c r="E54" s="15" t="s">
        <v>129</v>
      </c>
      <c r="F54" s="15" t="s">
        <v>2471</v>
      </c>
      <c r="G54" s="15" t="s">
        <v>2472</v>
      </c>
      <c r="H54" s="19" t="str">
        <f t="array" ref="H54">IFERROR(INDEX(Lease_List!D:D,MATCH(All_User_backup!D54,Lease_List!H:H,0)),"없음")</f>
        <v>없음</v>
      </c>
      <c r="I54" s="22" t="s">
        <v>118</v>
      </c>
      <c r="J54" s="21"/>
      <c r="K54" s="22" t="str">
        <f t="array" ref="K54">IFERROR(INDEX(Ipad_List!C:C,MATCH(All_User_backup!D54,Ipad_List!J:J,0)),"없음")</f>
        <v>J7J79LY961</v>
      </c>
      <c r="L54" s="23" t="str">
        <f t="array" ref="L54">IFERROR(INDEX(TeamsNumber!B:B,MATCH(All_User_backup!D54,TeamsNumber!D:D,0)),"없음")</f>
        <v>tel:+82234517604</v>
      </c>
      <c r="M54" s="23" t="str">
        <f t="array" ref="M54">IFERROR(INDEX(Printer!D:D,MATCH(All_User_backup!D54,Printer!G:G,0)),"없음")</f>
        <v>없음</v>
      </c>
      <c r="N54" s="24" t="str">
        <f t="array" ref="N54">IFERROR(INDEX(Monitor!A:A,MATCH(D54,Monitor!D:D,0)),"없음")</f>
        <v>없음</v>
      </c>
      <c r="O54" s="24" t="str">
        <f t="array" ref="O54">IFERROR(INDEX(sales!D:D,MATCH(D54,sales!C:C,0)),"없음")</f>
        <v>NV</v>
      </c>
      <c r="P54" s="24" t="str">
        <f t="array" ref="P54">IFERROR(INDEX(sales!E:E,MATCH(D54,sales!C:C,0)),"없음")</f>
        <v>NV</v>
      </c>
      <c r="Q54" s="24" t="str">
        <f t="array" ref="Q54">IFERROR(INDEX(sales!C:C,MATCH(D54,sales!C:C,0)),"list없음")</f>
        <v>lucas.jeon@stryker.com</v>
      </c>
      <c r="R54" s="24"/>
    </row>
    <row r="55">
      <c r="A55" s="13">
        <v>55.0</v>
      </c>
      <c r="B55" s="15" t="s">
        <v>231</v>
      </c>
      <c r="C55" s="15" t="s">
        <v>232</v>
      </c>
      <c r="D55" s="15" t="s">
        <v>233</v>
      </c>
      <c r="E55" s="15" t="s">
        <v>216</v>
      </c>
      <c r="F55" s="15" t="s">
        <v>2471</v>
      </c>
      <c r="G55" s="15" t="s">
        <v>2472</v>
      </c>
      <c r="H55" s="19" t="str">
        <f t="array" ref="H55">IFERROR(INDEX(Lease_List!D:D,MATCH(All_User_backup!D55,Lease_List!H:H,0)),"없음")</f>
        <v>없음</v>
      </c>
      <c r="I55" s="22" t="s">
        <v>118</v>
      </c>
      <c r="J55" s="21"/>
      <c r="K55" s="22" t="str">
        <f t="array" ref="K55">IFERROR(INDEX(Ipad_List!C:C,MATCH(All_User_backup!D55,Ipad_List!J:J,0)),"없음")</f>
        <v>WHYPLVY40L</v>
      </c>
      <c r="L55" s="23" t="str">
        <f t="array" ref="L55">IFERROR(INDEX(TeamsNumber!B:B,MATCH(All_User_backup!D55,TeamsNumber!D:D,0)),"없음")</f>
        <v>tel:+82234517527</v>
      </c>
      <c r="M55" s="23" t="str">
        <f t="array" ref="M55">IFERROR(INDEX(Printer!D:D,MATCH(All_User_backup!D55,Printer!G:G,0)),"없음")</f>
        <v>없음</v>
      </c>
      <c r="N55" s="24" t="str">
        <f t="array" ref="N55">IFERROR(INDEX(Monitor!A:A,MATCH(D55,Monitor!D:D,0)),"없음")</f>
        <v>없음</v>
      </c>
      <c r="O55" s="24" t="str">
        <f t="array" ref="O55">IFERROR(INDEX(sales!D:D,MATCH(D55,sales!C:C,0)),"없음")</f>
        <v>MedSurg</v>
      </c>
      <c r="P55" s="24" t="str">
        <f t="array" ref="P55">IFERROR(INDEX(sales!E:E,MATCH(D55,sales!C:C,0)),"없음")</f>
        <v>Sales</v>
      </c>
      <c r="Q55" s="24" t="str">
        <f t="array" ref="Q55">IFERROR(INDEX(sales!C:C,MATCH(D55,sales!C:C,0)),"list없음")</f>
        <v>chan.jeon@stryker.com</v>
      </c>
      <c r="R55" s="24"/>
    </row>
    <row r="56">
      <c r="A56" s="13">
        <v>56.0</v>
      </c>
      <c r="B56" s="15" t="s">
        <v>234</v>
      </c>
      <c r="C56" s="15" t="s">
        <v>235</v>
      </c>
      <c r="D56" s="15" t="s">
        <v>236</v>
      </c>
      <c r="E56" s="15" t="s">
        <v>237</v>
      </c>
      <c r="F56" s="15" t="s">
        <v>2471</v>
      </c>
      <c r="G56" s="15" t="s">
        <v>2482</v>
      </c>
      <c r="H56" s="19" t="str">
        <f t="array" ref="H56">IFERROR(INDEX(Lease_List!D:D,MATCH(All_User_backup!D56,Lease_List!H:H,0)),"없음")</f>
        <v>5CD5179KJ2</v>
      </c>
      <c r="I56" s="22" t="s">
        <v>29</v>
      </c>
      <c r="J56" s="21"/>
      <c r="K56" s="22" t="str">
        <f t="array" ref="K56">IFERROR(INDEX(Ipad_List!C:C,MATCH(All_User_backup!D56,Ipad_List!J:J,0)),"없음")</f>
        <v>M2FKP9T7QX</v>
      </c>
      <c r="L56" s="23" t="str">
        <f t="array" ref="L56">IFERROR(INDEX(TeamsNumber!B:B,MATCH(All_User_backup!D56,TeamsNumber!D:D,0)),"없음")</f>
        <v>tel:+82234517589</v>
      </c>
      <c r="M56" s="23" t="str">
        <f t="array" ref="M56">IFERROR(INDEX(Printer!D:D,MATCH(All_User_backup!D56,Printer!H:H,0)),"없음")</f>
        <v>SL-C563W</v>
      </c>
      <c r="N56" s="24" t="str">
        <f t="array" ref="N56">IFERROR(INDEX(Monitor!A:A,MATCH(D56,Monitor!D:D,0)),"없음")</f>
        <v>없음</v>
      </c>
      <c r="O56" s="24" t="str">
        <f t="array" ref="O56">IFERROR(INDEX(sales!D:D,MATCH(D56,sales!C:C,0)),"없음")</f>
        <v/>
      </c>
      <c r="P56" s="24" t="str">
        <f t="array" ref="P56">IFERROR(INDEX(sales!E:E,MATCH(D56,sales!C:C,0)),"없음")</f>
        <v>Sales</v>
      </c>
      <c r="Q56" s="24" t="str">
        <f t="array" ref="Q56">IFERROR(INDEX(sales!C:C,MATCH(D56,sales!C:C,0)),"list없음")</f>
        <v>yoonbee.jeong@stryker.com</v>
      </c>
      <c r="R56" s="24"/>
    </row>
    <row r="57">
      <c r="A57" s="13">
        <v>57.0</v>
      </c>
      <c r="B57" s="15" t="s">
        <v>238</v>
      </c>
      <c r="C57" s="15" t="s">
        <v>239</v>
      </c>
      <c r="D57" s="15" t="s">
        <v>240</v>
      </c>
      <c r="E57" s="15" t="s">
        <v>57</v>
      </c>
      <c r="F57" s="15" t="s">
        <v>2471</v>
      </c>
      <c r="G57" s="15" t="s">
        <v>2473</v>
      </c>
      <c r="H57" s="19" t="str">
        <f t="array" ref="H57">IFERROR(INDEX(Lease_List!D:D,MATCH(All_User_backup!D57,Lease_List!H:H,0)),"없음")</f>
        <v>5CD4305D8Z</v>
      </c>
      <c r="I57" s="22" t="s">
        <v>29</v>
      </c>
      <c r="J57" s="21"/>
      <c r="K57" s="22" t="str">
        <f t="array" ref="K57">IFERROR(INDEX(Ipad_List!C:C,MATCH(All_User_backup!D57,Ipad_List!J:J,0)),"없음")</f>
        <v>DFC7V7Q9X3</v>
      </c>
      <c r="L57" s="23" t="str">
        <f t="array" ref="L57">IFERROR(INDEX(TeamsNumber!B:B,MATCH(All_User_backup!D57,TeamsNumber!D:D,0)),"없음")</f>
        <v>tel:+82234517642</v>
      </c>
      <c r="M57" s="23" t="str">
        <f t="array" ref="M57">IFERROR(INDEX(Printer!D:D,MATCH(All_User_backup!D57,Printer!H:H,0)),"없음")</f>
        <v>없음</v>
      </c>
      <c r="N57" s="24" t="str">
        <f t="array" ref="N57">IFERROR(INDEX(Monitor!A:A,MATCH(D57,Monitor!D:D,0)),"없음")</f>
        <v>없음</v>
      </c>
      <c r="O57" s="24" t="str">
        <f t="array" ref="O57">IFERROR(INDEX(sales!D:D,MATCH(D57,sales!C:C,0)),"없음")</f>
        <v>Mako</v>
      </c>
      <c r="P57" s="24" t="str">
        <f t="array" ref="P57">IFERROR(INDEX(sales!E:E,MATCH(D57,sales!C:C,0)),"없음")</f>
        <v>MPS</v>
      </c>
      <c r="Q57" s="24" t="str">
        <f t="array" ref="Q57">IFERROR(INDEX(sales!C:C,MATCH(D57,sales!C:C,0)),"list없음")</f>
        <v>somi.jeong@stryker.com</v>
      </c>
      <c r="R57" s="24"/>
    </row>
    <row r="58">
      <c r="A58" s="28">
        <v>58.0</v>
      </c>
      <c r="B58" s="29" t="s">
        <v>241</v>
      </c>
      <c r="C58" s="29" t="s">
        <v>242</v>
      </c>
      <c r="D58" s="29" t="s">
        <v>243</v>
      </c>
      <c r="E58" s="29" t="s">
        <v>57</v>
      </c>
      <c r="F58" s="29" t="s">
        <v>2471</v>
      </c>
      <c r="G58" s="29" t="s">
        <v>2473</v>
      </c>
      <c r="H58" s="375" t="str">
        <f t="array" ref="H58">IFERROR(INDEX(Lease_List!D:D,MATCH(All_User_backup!D58,Lease_List!H:H,0)),"없음")</f>
        <v>5CD5179KHD</v>
      </c>
      <c r="I58" s="31" t="s">
        <v>29</v>
      </c>
      <c r="J58" s="32"/>
      <c r="K58" s="31" t="str">
        <f t="array" ref="K58">IFERROR(INDEX(Ipad_List!C:C,MATCH(All_User_backup!D58,Ipad_List!J:J,0)),"없음")</f>
        <v>GVYCM2VJKW</v>
      </c>
      <c r="L58" s="187" t="str">
        <f t="array" ref="L58">IFERROR(INDEX(TeamsNumber!B:B,MATCH(All_User_backup!D58,TeamsNumber!D:D,0)),"없음")</f>
        <v>tel:+82234517500</v>
      </c>
      <c r="M58" s="187" t="str">
        <f t="array" ref="M58">IFERROR(INDEX(Printer!D:D,MATCH(All_User_backup!D58,Printer!H:H,0)),"없음")</f>
        <v>없음</v>
      </c>
      <c r="N58" s="24" t="str">
        <f t="array" ref="N58">IFERROR(INDEX(Monitor!A:A,MATCH(D58,Monitor!D:D,0)),"없음")</f>
        <v>없음</v>
      </c>
      <c r="O58" s="288" t="str">
        <f t="array" ref="O58">IFERROR(INDEX(sales!D:D,MATCH(D58,sales!C:C,0)),"없음")</f>
        <v>Mako</v>
      </c>
      <c r="P58" s="24" t="str">
        <f t="array" ref="P58">IFERROR(INDEX(sales!E:E,MATCH(D58,sales!C:C,0)),"없음")</f>
        <v>MPS</v>
      </c>
      <c r="Q58" s="24" t="str">
        <f t="array" ref="Q58">IFERROR(INDEX(sales!C:C,MATCH(D58,sales!C:C,0)),"list없음")</f>
        <v>dahye.jeong@stryker.com</v>
      </c>
    </row>
    <row r="59">
      <c r="A59" s="13">
        <v>59.0</v>
      </c>
      <c r="B59" s="15" t="s">
        <v>244</v>
      </c>
      <c r="C59" s="15" t="s">
        <v>245</v>
      </c>
      <c r="D59" s="15" t="s">
        <v>246</v>
      </c>
      <c r="E59" s="15" t="s">
        <v>247</v>
      </c>
      <c r="F59" s="15" t="s">
        <v>2475</v>
      </c>
      <c r="G59" s="15" t="s">
        <v>192</v>
      </c>
      <c r="H59" s="19" t="str">
        <f t="array" ref="H59">IFERROR(INDEX(Lease_List!D:D,MATCH(All_User_backup!D59,Lease_List!H:H,0)),"없음")</f>
        <v>5CD4145N3R</v>
      </c>
      <c r="I59" s="22" t="s">
        <v>29</v>
      </c>
      <c r="J59" s="21"/>
      <c r="K59" s="22" t="str">
        <f t="array" ref="K59">IFERROR(INDEX(Ipad_List!C:C,MATCH(All_User_backup!D59,Ipad_List!J:J,0)),"없음")</f>
        <v>없음</v>
      </c>
      <c r="L59" s="35" t="str">
        <f t="array" ref="L59">IFERROR(INDEX(TeamsNumber!B:B,MATCH(All_User_backup!D59,TeamsNumber!D:D,0)),"없음")</f>
        <v>tel:+82234517627</v>
      </c>
      <c r="M59" s="35" t="str">
        <f t="array" ref="M59">IFERROR(INDEX(Printer!D:D,MATCH(All_User_backup!D59,Printer!H:H,0)),"없음")</f>
        <v>없음</v>
      </c>
      <c r="N59" s="24" t="str">
        <f t="array" ref="N59">IFERROR(INDEX(Monitor!A:A,MATCH(D59,Monitor!D:D,0)),"없음")</f>
        <v>없음</v>
      </c>
      <c r="O59" s="24" t="str">
        <f t="array" ref="O59">IFERROR(INDEX(sales!D:D,MATCH(D59,sales!C:C,0)),"없음")</f>
        <v>없음</v>
      </c>
      <c r="P59" s="24" t="str">
        <f t="array" ref="P59">IFERROR(INDEX(sales!E:E,MATCH(D59,sales!C:C,0)),"없음")</f>
        <v>없음</v>
      </c>
      <c r="Q59" s="24"/>
      <c r="R59" s="24"/>
    </row>
    <row r="60">
      <c r="A60" s="13">
        <v>60.0</v>
      </c>
      <c r="B60" s="15" t="s">
        <v>248</v>
      </c>
      <c r="C60" s="15" t="s">
        <v>249</v>
      </c>
      <c r="D60" s="15" t="s">
        <v>250</v>
      </c>
      <c r="E60" s="15" t="s">
        <v>251</v>
      </c>
      <c r="F60" s="18" t="s">
        <v>2481</v>
      </c>
      <c r="G60" s="15" t="s">
        <v>252</v>
      </c>
      <c r="H60" s="19" t="str">
        <f t="array" ref="H60">IFERROR(INDEX(Lease_List!D:D,MATCH(All_User_backup!D60,Lease_List!H:H,0)),"없음")</f>
        <v>5CG53403DH</v>
      </c>
      <c r="I60" s="22" t="s">
        <v>29</v>
      </c>
      <c r="J60" s="21"/>
      <c r="K60" s="22" t="str">
        <f t="array" ref="K60">IFERROR(INDEX(Ipad_List!C:C,MATCH(All_User_backup!D60,Ipad_List!J:J,0)),"없음")</f>
        <v>없음</v>
      </c>
      <c r="L60" s="35" t="str">
        <f t="array" ref="L60">IFERROR(INDEX(TeamsNumber!B:B,MATCH(All_User_backup!D60,TeamsNumber!D:D,0)),"없음")</f>
        <v>tel:+82234517501</v>
      </c>
      <c r="M60" s="35" t="str">
        <f t="array" ref="M60">IFERROR(INDEX(Printer!D:D,MATCH(All_User_backup!D60,Printer!H:H,0)),"없음")</f>
        <v>없음</v>
      </c>
      <c r="N60" s="24" t="str">
        <f t="array" ref="N60">IFERROR(INDEX(Monitor!A:A,MATCH(D60,Monitor!D:D,0)),"없음")</f>
        <v>없음</v>
      </c>
      <c r="O60" s="24" t="str">
        <f t="array" ref="O60">IFERROR(INDEX(sales!D:D,MATCH(D60,sales!C:C,0)),"없음")</f>
        <v>없음</v>
      </c>
      <c r="P60" s="24" t="str">
        <f t="array" ref="P60">IFERROR(INDEX(sales!E:E,MATCH(D60,sales!C:C,0)),"없음")</f>
        <v>없음</v>
      </c>
      <c r="Q60" s="24"/>
      <c r="R60" s="24"/>
    </row>
    <row r="61">
      <c r="A61" s="13">
        <v>61.0</v>
      </c>
      <c r="B61" s="15" t="s">
        <v>253</v>
      </c>
      <c r="C61" s="15" t="s">
        <v>254</v>
      </c>
      <c r="D61" s="15" t="s">
        <v>255</v>
      </c>
      <c r="E61" s="15" t="s">
        <v>256</v>
      </c>
      <c r="F61" s="126" t="s">
        <v>257</v>
      </c>
      <c r="G61" s="15" t="s">
        <v>329</v>
      </c>
      <c r="H61" s="19" t="str">
        <f t="array" ref="H61">IFERROR(INDEX(Lease_List!D:D,MATCH(All_User_backup!D61,Lease_List!H:H,0)),"없음")</f>
        <v>5CD4305D8M</v>
      </c>
      <c r="I61" s="22" t="s">
        <v>29</v>
      </c>
      <c r="J61" s="21"/>
      <c r="K61" s="22" t="str">
        <f t="array" ref="K61">IFERROR(INDEX(Ipad_List!C:C,MATCH(All_User_backup!D61,Ipad_List!J:J,0)),"없음")</f>
        <v>HW21HF1YCH</v>
      </c>
      <c r="L61" s="35" t="str">
        <f t="array" ref="L61">IFERROR(INDEX(TeamsNumber!B:B,MATCH(All_User_backup!D61,TeamsNumber!D:D,0)),"없음")</f>
        <v>tel:+82234517632</v>
      </c>
      <c r="M61" s="35" t="str">
        <f t="array" ref="M61">IFERROR(INDEX(Printer!D:D,MATCH(All_User_backup!D61,Printer!H:H,0)),"없음")</f>
        <v>없음</v>
      </c>
      <c r="N61" s="24" t="str">
        <f t="array" ref="N61">IFERROR(INDEX(Monitor!A:A,MATCH(D61,Monitor!D:D,0)),"없음")</f>
        <v>없음</v>
      </c>
      <c r="O61" s="24" t="str">
        <f t="array" ref="O61">IFERROR(INDEX(sales!D:D,MATCH(D61,sales!C:C,0)),"없음")</f>
        <v>없음</v>
      </c>
      <c r="P61" s="24" t="str">
        <f t="array" ref="P61">IFERROR(INDEX(sales!E:E,MATCH(D61,sales!C:C,0)),"없음")</f>
        <v>없음</v>
      </c>
      <c r="Q61" s="24"/>
      <c r="R61" s="24"/>
    </row>
    <row r="62">
      <c r="A62" s="13">
        <v>62.0</v>
      </c>
      <c r="B62" s="15" t="s">
        <v>258</v>
      </c>
      <c r="C62" s="15" t="s">
        <v>259</v>
      </c>
      <c r="D62" s="15" t="s">
        <v>260</v>
      </c>
      <c r="E62" s="15" t="s">
        <v>261</v>
      </c>
      <c r="F62" s="15" t="s">
        <v>2471</v>
      </c>
      <c r="G62" s="15" t="s">
        <v>2482</v>
      </c>
      <c r="H62" s="19" t="str">
        <f t="array" ref="H62">IFERROR(INDEX(Lease_List!D:D,MATCH(All_User_backup!D62,Lease_List!H:H,0)),"없음")</f>
        <v>5CD5062YF6</v>
      </c>
      <c r="I62" s="22" t="s">
        <v>29</v>
      </c>
      <c r="J62" s="21"/>
      <c r="K62" s="22" t="str">
        <f t="array" ref="K62">IFERROR(INDEX(Ipad_List!C:C,MATCH(All_User_backup!D62,Ipad_List!J:J,0)),"없음")</f>
        <v>GGWR7NXY2D</v>
      </c>
      <c r="L62" s="23" t="str">
        <f t="array" ref="L62">IFERROR(INDEX(TeamsNumber!B:B,MATCH(All_User_backup!D62,TeamsNumber!D:D,0)),"없음")</f>
        <v>tel:+82234517603</v>
      </c>
      <c r="M62" s="23" t="str">
        <f t="array" ref="M62">IFERROR(INDEX(Printer!D:D,MATCH(All_User_backup!D62,Printer!H:H,0)),"없음")</f>
        <v>없음</v>
      </c>
      <c r="N62" s="24" t="str">
        <f t="array" ref="N62">IFERROR(INDEX(Monitor!A:A,MATCH(D62,Monitor!D:D,0)),"없음")</f>
        <v>LCD 모니터</v>
      </c>
      <c r="O62" s="24" t="str">
        <f t="array" ref="O62">IFERROR(INDEX(sales!D:D,MATCH(D62,sales!C:C,0)),"없음")</f>
        <v/>
      </c>
      <c r="P62" s="24" t="str">
        <f t="array" ref="P62">IFERROR(INDEX(sales!E:E,MATCH(D62,sales!C:C,0)),"없음")</f>
        <v>Sales</v>
      </c>
      <c r="Q62" s="24" t="str">
        <f t="array" ref="Q62">IFERROR(INDEX(sales!C:C,MATCH(D62,sales!C:C,0)),"list없음")</f>
        <v>jay.ji@stryker.com</v>
      </c>
      <c r="R62" s="24"/>
    </row>
    <row r="63">
      <c r="A63" s="13">
        <v>63.0</v>
      </c>
      <c r="B63" s="15" t="s">
        <v>262</v>
      </c>
      <c r="C63" s="15" t="s">
        <v>263</v>
      </c>
      <c r="D63" s="15" t="s">
        <v>264</v>
      </c>
      <c r="E63" s="15" t="s">
        <v>150</v>
      </c>
      <c r="F63" s="15" t="s">
        <v>2471</v>
      </c>
      <c r="G63" s="15" t="s">
        <v>2480</v>
      </c>
      <c r="H63" s="19" t="str">
        <f t="array" ref="H63">IFERROR(INDEX(Lease_List!D:D,MATCH(All_User_backup!D63,Lease_List!H:H,0)),"없음")</f>
        <v>5CD4232BFJ</v>
      </c>
      <c r="I63" s="22" t="s">
        <v>29</v>
      </c>
      <c r="J63" s="21"/>
      <c r="K63" s="22" t="str">
        <f t="array" ref="K63">IFERROR(INDEX(Ipad_List!C:C,MATCH(All_User_backup!D63,Ipad_List!J:J,0)),"없음")</f>
        <v>JFK7CC9090</v>
      </c>
      <c r="L63" s="23" t="str">
        <f t="array" ref="L63">IFERROR(INDEX(TeamsNumber!B:B,MATCH(All_User_backup!D63,TeamsNumber!D:D,0)),"없음")</f>
        <v>tel:+82234517655</v>
      </c>
      <c r="M63" s="23" t="str">
        <f t="array" ref="M63">IFERROR(INDEX(Printer!D:D,MATCH(All_User_backup!D63,Printer!H:H,0)),"없음")</f>
        <v>없음</v>
      </c>
      <c r="N63" s="24" t="str">
        <f t="array" ref="N63">IFERROR(INDEX(Monitor!A:A,MATCH(D63,Monitor!D:D,0)),"없음")</f>
        <v>없음</v>
      </c>
      <c r="O63" s="24" t="str">
        <f t="array" ref="O63">IFERROR(INDEX(sales!D:D,MATCH(D63,sales!C:C,0)),"없음")</f>
        <v>Knee</v>
      </c>
      <c r="P63" s="24" t="str">
        <f t="array" ref="P63">IFERROR(INDEX(sales!E:E,MATCH(D63,sales!C:C,0)),"없음")</f>
        <v>Sales</v>
      </c>
      <c r="Q63" s="24" t="str">
        <f t="array" ref="Q63">IFERROR(INDEX(sales!C:C,MATCH(D63,sales!C:C,0)),"list없음")</f>
        <v>scott.jo@stryker.com</v>
      </c>
      <c r="R63" s="24"/>
    </row>
    <row r="64">
      <c r="A64" s="13">
        <v>64.0</v>
      </c>
      <c r="B64" s="15" t="s">
        <v>265</v>
      </c>
      <c r="C64" s="15" t="s">
        <v>266</v>
      </c>
      <c r="D64" s="15" t="s">
        <v>267</v>
      </c>
      <c r="E64" s="15" t="s">
        <v>268</v>
      </c>
      <c r="F64" s="15" t="s">
        <v>2478</v>
      </c>
      <c r="G64" s="15" t="s">
        <v>2479</v>
      </c>
      <c r="H64" s="19" t="str">
        <f t="array" ref="H64">IFERROR(INDEX(Lease_List!D:D,MATCH(All_User_backup!D64,Lease_List!H:H,0)),"없음")</f>
        <v>5CD3469HDR</v>
      </c>
      <c r="I64" s="22" t="s">
        <v>29</v>
      </c>
      <c r="J64" s="21"/>
      <c r="K64" s="22" t="str">
        <f t="array" ref="K64">IFERROR(INDEX(Ipad_List!C:C,MATCH(All_User_backup!D64,Ipad_List!J:J,0)),"없음")</f>
        <v>없음</v>
      </c>
      <c r="L64" s="35" t="str">
        <f t="array" ref="L64">IFERROR(INDEX(TeamsNumber!B:B,MATCH(All_User_backup!D64,TeamsNumber!D:D,0)),"없음")</f>
        <v>tel:+82234517635</v>
      </c>
      <c r="M64" s="35" t="str">
        <f t="array" ref="M64">IFERROR(INDEX(Printer!D:D,MATCH(All_User_backup!D64,Printer!H:H,0)),"없음")</f>
        <v>없음</v>
      </c>
      <c r="N64" s="24" t="str">
        <f t="array" ref="N64">IFERROR(INDEX(Monitor!A:A,MATCH(D64,Monitor!D:D,0)),"없음")</f>
        <v>없음</v>
      </c>
      <c r="O64" s="24" t="str">
        <f t="array" ref="O64">IFERROR(INDEX(sales!D:D,MATCH(D64,sales!C:C,0)),"없음")</f>
        <v>없음</v>
      </c>
      <c r="P64" s="24" t="str">
        <f t="array" ref="P64">IFERROR(INDEX(sales!E:E,MATCH(D64,sales!C:C,0)),"없음")</f>
        <v>없음</v>
      </c>
      <c r="Q64" s="24"/>
      <c r="R64" s="24"/>
    </row>
    <row r="65">
      <c r="A65" s="13">
        <v>65.0</v>
      </c>
      <c r="B65" s="15" t="s">
        <v>269</v>
      </c>
      <c r="C65" s="15" t="s">
        <v>270</v>
      </c>
      <c r="D65" s="15" t="s">
        <v>271</v>
      </c>
      <c r="E65" s="15" t="s">
        <v>72</v>
      </c>
      <c r="F65" s="15" t="s">
        <v>2471</v>
      </c>
      <c r="G65" s="15" t="s">
        <v>2473</v>
      </c>
      <c r="H65" s="19" t="str">
        <f t="array" ref="H65">IFERROR(INDEX(Lease_List!D:D,MATCH(All_User_backup!D65,Lease_List!H:H,0)),"없음")</f>
        <v>5CD442C079</v>
      </c>
      <c r="I65" s="22" t="s">
        <v>29</v>
      </c>
      <c r="J65" s="21"/>
      <c r="K65" s="22" t="str">
        <f t="array" ref="K65">IFERROR(INDEX(Ipad_List!C:C,MATCH(All_User_backup!D65,Ipad_List!J:J,0)),"없음")</f>
        <v>J6YXV33LDP</v>
      </c>
      <c r="L65" s="23" t="str">
        <f t="array" ref="L65">IFERROR(INDEX(TeamsNumber!B:B,MATCH(All_User_backup!D65,TeamsNumber!D:D,0)),"없음")</f>
        <v>tel:+82234517569</v>
      </c>
      <c r="M65" s="23" t="str">
        <f t="array" ref="M65">IFERROR(INDEX(Printer!D:D,MATCH(All_User_backup!D65,Printer!H:H,0)),"없음")</f>
        <v>없음</v>
      </c>
      <c r="N65" s="24" t="str">
        <f t="array" ref="N65">IFERROR(INDEX(Monitor!A:A,MATCH(D65,Monitor!D:D,0)),"없음")</f>
        <v>없음</v>
      </c>
      <c r="O65" s="24" t="str">
        <f t="array" ref="O65">IFERROR(INDEX(sales!D:D,MATCH(D65,sales!C:C,0)),"없음")</f>
        <v>Mako</v>
      </c>
      <c r="P65" s="24" t="str">
        <f t="array" ref="P65">IFERROR(INDEX(sales!E:E,MATCH(D65,sales!C:C,0)),"없음")</f>
        <v>MPS</v>
      </c>
      <c r="Q65" s="24" t="str">
        <f t="array" ref="Q65">IFERROR(INDEX(sales!C:C,MATCH(D65,sales!C:C,0)),"list없음")</f>
        <v>jade.jung@stryker.com</v>
      </c>
      <c r="R65" s="24"/>
    </row>
    <row r="66">
      <c r="A66" s="13">
        <v>66.0</v>
      </c>
      <c r="B66" s="15" t="s">
        <v>272</v>
      </c>
      <c r="C66" s="15" t="s">
        <v>273</v>
      </c>
      <c r="D66" s="15" t="s">
        <v>274</v>
      </c>
      <c r="E66" s="15" t="s">
        <v>275</v>
      </c>
      <c r="F66" s="15" t="s">
        <v>2471</v>
      </c>
      <c r="G66" s="15" t="s">
        <v>2482</v>
      </c>
      <c r="H66" s="19" t="str">
        <f t="array" ref="H66">IFERROR(INDEX(Lease_List!D:D,MATCH(All_User_backup!D66,Lease_List!H:H,0)),"없음")</f>
        <v>5CD3469HDT</v>
      </c>
      <c r="I66" s="22" t="s">
        <v>29</v>
      </c>
      <c r="J66" s="21"/>
      <c r="K66" s="22" t="str">
        <f t="array" ref="K66">IFERROR(INDEX(Ipad_List!C:C,MATCH(All_User_backup!D66,Ipad_List!J:J,0)),"없음")</f>
        <v>DG3XL2W5VX</v>
      </c>
      <c r="L66" s="23" t="str">
        <f t="array" ref="L66">IFERROR(INDEX(TeamsNumber!B:B,MATCH(All_User_backup!D66,TeamsNumber!D:D,0)),"없음")</f>
        <v>tel:+82234517605</v>
      </c>
      <c r="M66" s="23" t="str">
        <f t="array" ref="M66">IFERROR(INDEX(Printer!D:D,MATCH(All_User_backup!D66,Printer!H:H,0)),"없음")</f>
        <v>없음</v>
      </c>
      <c r="N66" s="24" t="str">
        <f t="array" ref="N66">IFERROR(INDEX(Monitor!A:A,MATCH(D66,Monitor!D:D,0)),"없음")</f>
        <v>LCD 모니터</v>
      </c>
      <c r="O66" s="24" t="str">
        <f t="array" ref="O66">IFERROR(INDEX(sales!D:D,MATCH(D66,sales!C:C,0)),"없음")</f>
        <v/>
      </c>
      <c r="P66" s="24" t="str">
        <f t="array" ref="P66">IFERROR(INDEX(sales!E:E,MATCH(D66,sales!C:C,0)),"없음")</f>
        <v>MKT</v>
      </c>
      <c r="Q66" s="24" t="str">
        <f t="array" ref="Q66">IFERROR(INDEX(sales!C:C,MATCH(D66,sales!C:C,0)),"list없음")</f>
        <v>jenny.jung@stryker.com</v>
      </c>
      <c r="R66" s="24"/>
    </row>
    <row r="67">
      <c r="A67" s="13">
        <v>67.0</v>
      </c>
      <c r="B67" s="15" t="s">
        <v>276</v>
      </c>
      <c r="C67" s="15" t="s">
        <v>277</v>
      </c>
      <c r="D67" s="15" t="s">
        <v>278</v>
      </c>
      <c r="E67" s="15" t="s">
        <v>72</v>
      </c>
      <c r="F67" s="15" t="s">
        <v>2471</v>
      </c>
      <c r="G67" s="15" t="s">
        <v>2473</v>
      </c>
      <c r="H67" s="19" t="str">
        <f t="array" ref="H67">IFERROR(INDEX(Lease_List!D:D,MATCH(All_User_backup!D67,Lease_List!H:H,0)),"없음")</f>
        <v>5CD4305D8X</v>
      </c>
      <c r="I67" s="22" t="s">
        <v>29</v>
      </c>
      <c r="J67" s="21"/>
      <c r="K67" s="22" t="str">
        <f t="array" ref="K67">IFERROR(INDEX(Ipad_List!C:C,MATCH(All_User_backup!D67,Ipad_List!J:J,0)),"없음")</f>
        <v>XCYDTQ4H1F</v>
      </c>
      <c r="L67" s="23" t="str">
        <f t="array" ref="L67">IFERROR(INDEX(TeamsNumber!B:B,MATCH(All_User_backup!D67,TeamsNumber!D:D,0)),"없음")</f>
        <v>tel:+82234517584</v>
      </c>
      <c r="M67" s="23" t="str">
        <f t="array" ref="M67">IFERROR(INDEX(Printer!D:D,MATCH(All_User_backup!D67,Printer!H:H,0)),"없음")</f>
        <v>없음</v>
      </c>
      <c r="N67" s="24" t="str">
        <f t="array" ref="N67">IFERROR(INDEX(Monitor!A:A,MATCH(D67,Monitor!D:D,0)),"없음")</f>
        <v>없음</v>
      </c>
      <c r="O67" s="24" t="str">
        <f t="array" ref="O67">IFERROR(INDEX(sales!D:D,MATCH(D67,sales!C:C,0)),"없음")</f>
        <v>Mako</v>
      </c>
      <c r="P67" s="24" t="str">
        <f t="array" ref="P67">IFERROR(INDEX(sales!E:E,MATCH(D67,sales!C:C,0)),"없음")</f>
        <v>MPS</v>
      </c>
      <c r="Q67" s="24" t="str">
        <f t="array" ref="Q67">IFERROR(INDEX(sales!C:C,MATCH(D67,sales!C:C,0)),"list없음")</f>
        <v>suhwan.jung@stryker.com</v>
      </c>
      <c r="R67" s="24"/>
    </row>
    <row r="68">
      <c r="A68" s="89">
        <v>68.0</v>
      </c>
      <c r="B68" s="90" t="s">
        <v>2488</v>
      </c>
      <c r="C68" s="90" t="s">
        <v>2489</v>
      </c>
      <c r="D68" s="90" t="s">
        <v>2490</v>
      </c>
      <c r="E68" s="90" t="s">
        <v>72</v>
      </c>
      <c r="F68" s="90" t="s">
        <v>2471</v>
      </c>
      <c r="G68" s="90" t="s">
        <v>2473</v>
      </c>
      <c r="H68" s="92" t="str">
        <f t="array" ref="H68">IFERROR(INDEX(Lease_List!D:D,MATCH(All_User_backup!D68,Lease_List!H:H,0)),"없음")</f>
        <v>없음</v>
      </c>
      <c r="I68" s="93" t="s">
        <v>29</v>
      </c>
      <c r="J68" s="99"/>
      <c r="K68" s="93" t="str">
        <f t="array" ref="K68">IFERROR(INDEX(Ipad_List!C:C,MATCH(All_User_backup!D68,Ipad_List!J:J,0)),"없음")</f>
        <v>없음</v>
      </c>
      <c r="L68" s="376" t="str">
        <f t="array" ref="L68">IFERROR(INDEX(TeamsNumber!B:B,MATCH(All_User_backup!D68,TeamsNumber!D:D,0)),"없음")</f>
        <v>없음</v>
      </c>
      <c r="M68" s="376" t="str">
        <f t="array" ref="M68">IFERROR(INDEX(Printer!D:D,MATCH(All_User_backup!D68,Printer!H:H,0)),"없음")</f>
        <v>없음</v>
      </c>
      <c r="N68" s="96" t="str">
        <f t="array" ref="N68">IFERROR(INDEX(Monitor!A:A,MATCH(D68,Monitor!D:D,0)),"없음")</f>
        <v>없음</v>
      </c>
      <c r="O68" s="96" t="str">
        <f t="array" ref="O68">IFERROR(INDEX(sales!D:D,MATCH(D68,sales!C:C,0)),"없음")</f>
        <v>Mako</v>
      </c>
      <c r="P68" s="96" t="str">
        <f t="array" ref="P68">IFERROR(INDEX(sales!E:E,MATCH(D68,sales!C:C,0)),"없음")</f>
        <v>MPS</v>
      </c>
      <c r="Q68" s="96" t="str">
        <f t="array" ref="Q68">IFERROR(INDEX(sales!C:C,MATCH(D68,sales!C:C,0)),"list없음")</f>
        <v>seohyun.jung@stryker.com</v>
      </c>
      <c r="R68" s="97">
        <v>46024.0</v>
      </c>
    </row>
    <row r="69">
      <c r="A69" s="13">
        <v>69.0</v>
      </c>
      <c r="B69" s="15" t="s">
        <v>279</v>
      </c>
      <c r="C69" s="15" t="s">
        <v>280</v>
      </c>
      <c r="D69" s="15" t="s">
        <v>281</v>
      </c>
      <c r="E69" s="15" t="s">
        <v>282</v>
      </c>
      <c r="F69" s="15" t="s">
        <v>2478</v>
      </c>
      <c r="G69" s="15" t="s">
        <v>2479</v>
      </c>
      <c r="H69" s="19" t="str">
        <f t="array" ref="H69">IFERROR(INDEX(Lease_List!D:D,MATCH(All_User_backup!D69,Lease_List!H:H,0)),"없음")</f>
        <v>5CD4232BFG</v>
      </c>
      <c r="I69" s="22" t="s">
        <v>29</v>
      </c>
      <c r="J69" s="21"/>
      <c r="K69" s="22" t="str">
        <f t="array" ref="K69">IFERROR(INDEX(Ipad_List!C:C,MATCH(All_User_backup!D69,Ipad_List!J:J,0)),"없음")</f>
        <v>없음</v>
      </c>
      <c r="L69" s="35" t="str">
        <f t="array" ref="L69">IFERROR(INDEX(TeamsNumber!B:B,MATCH(All_User_backup!D69,TeamsNumber!D:D,0)),"없음")</f>
        <v>tel:+82234517636</v>
      </c>
      <c r="M69" s="35" t="str">
        <f t="array" ref="M69">IFERROR(INDEX(Printer!D:D,MATCH(All_User_backup!D69,Printer!H:H,0)),"없음")</f>
        <v>없음</v>
      </c>
      <c r="N69" s="24" t="str">
        <f t="array" ref="N69">IFERROR(INDEX(Monitor!A:A,MATCH(D69,Monitor!D:D,0)),"없음")</f>
        <v>없음</v>
      </c>
      <c r="O69" s="24" t="str">
        <f t="array" ref="O69">IFERROR(INDEX(sales!D:D,MATCH(D69,sales!C:C,0)),"없음")</f>
        <v>없음</v>
      </c>
      <c r="P69" s="24" t="str">
        <f t="array" ref="P69">IFERROR(INDEX(sales!E:E,MATCH(D69,sales!C:C,0)),"없음")</f>
        <v>없음</v>
      </c>
      <c r="Q69" s="24"/>
      <c r="R69" s="24"/>
    </row>
    <row r="70">
      <c r="A70" s="13">
        <v>70.0</v>
      </c>
      <c r="B70" s="15" t="s">
        <v>283</v>
      </c>
      <c r="C70" s="15" t="s">
        <v>284</v>
      </c>
      <c r="D70" s="15" t="s">
        <v>285</v>
      </c>
      <c r="E70" s="15" t="s">
        <v>57</v>
      </c>
      <c r="F70" s="15" t="s">
        <v>2471</v>
      </c>
      <c r="G70" s="15" t="s">
        <v>2473</v>
      </c>
      <c r="H70" s="19" t="str">
        <f t="array" ref="H70">IFERROR(INDEX(Lease_List!D:D,MATCH(All_User_backup!D70,Lease_List!H:H,0)),"없음")</f>
        <v>5CD5062YF8</v>
      </c>
      <c r="I70" s="22" t="s">
        <v>286</v>
      </c>
      <c r="J70" s="21"/>
      <c r="K70" s="22" t="str">
        <f t="array" ref="K70">IFERROR(INDEX(Ipad_List!C:C,MATCH(All_User_backup!D70,Ipad_List!J:J,0)),"없음")</f>
        <v>G09WDG49T4</v>
      </c>
      <c r="L70" s="23" t="str">
        <f t="array" ref="L70">IFERROR(INDEX(TeamsNumber!B:B,MATCH(All_User_backup!D70,TeamsNumber!D:D,0)),"없음")</f>
        <v>tel:+82234517694</v>
      </c>
      <c r="M70" s="23" t="str">
        <f t="array" ref="M70">IFERROR(INDEX(Printer!D:D,MATCH(All_User_backup!D70,Printer!H:H,0)),"없음")</f>
        <v>없음</v>
      </c>
      <c r="N70" s="24" t="str">
        <f t="array" ref="N70">IFERROR(INDEX(Monitor!A:A,MATCH(D70,Monitor!D:D,0)),"없음")</f>
        <v>없음</v>
      </c>
      <c r="O70" s="24" t="str">
        <f t="array" ref="O70">IFERROR(INDEX(sales!D:D,MATCH(D70,sales!C:C,0)),"없음")</f>
        <v>Mako</v>
      </c>
      <c r="P70" s="24" t="str">
        <f t="array" ref="P70">IFERROR(INDEX(sales!E:E,MATCH(D70,sales!C:C,0)),"없음")</f>
        <v>MPS</v>
      </c>
      <c r="Q70" s="24" t="str">
        <f t="array" ref="Q70">IFERROR(INDEX(sales!C:C,MATCH(D70,sales!C:C,0)),"list없음")</f>
        <v>sol.jung@stryker.com</v>
      </c>
      <c r="R70" s="24"/>
    </row>
    <row r="71">
      <c r="A71" s="89"/>
      <c r="B71" s="90"/>
      <c r="C71" s="90"/>
      <c r="D71" s="90"/>
      <c r="E71" s="90"/>
      <c r="F71" s="90"/>
      <c r="G71" s="90"/>
      <c r="H71" s="92"/>
      <c r="I71" s="93"/>
      <c r="J71" s="99"/>
      <c r="K71" s="93"/>
      <c r="L71" s="95"/>
      <c r="M71" s="95"/>
      <c r="N71" s="96"/>
      <c r="O71" s="96"/>
      <c r="P71" s="96"/>
      <c r="Q71" s="97"/>
      <c r="R71" s="97"/>
    </row>
    <row r="72">
      <c r="A72" s="13">
        <v>72.0</v>
      </c>
      <c r="B72" s="15" t="s">
        <v>2369</v>
      </c>
      <c r="C72" s="26"/>
      <c r="D72" s="15" t="s">
        <v>2370</v>
      </c>
      <c r="E72" s="15" t="s">
        <v>2491</v>
      </c>
      <c r="F72" s="15" t="s">
        <v>2471</v>
      </c>
      <c r="G72" s="15" t="s">
        <v>203</v>
      </c>
      <c r="H72" s="19" t="str">
        <f t="array" ref="H72">IFERROR(INDEX(Lease_List!D:D,MATCH(All_User_backup!D72,Lease_List!H:H,0)),"없음")</f>
        <v>없음</v>
      </c>
      <c r="I72" s="22" t="s">
        <v>2492</v>
      </c>
      <c r="J72" s="21"/>
      <c r="K72" s="22" t="str">
        <f t="array" ref="K72">IFERROR(INDEX(Ipad_List!C:C,MATCH(All_User_backup!D72,Ipad_List!J:J,0)),"없음")</f>
        <v>없음</v>
      </c>
      <c r="L72" s="35" t="str">
        <f t="array" ref="L72">IFERROR(INDEX(TeamsNumber!B:B,MATCH(All_User_backup!D72,TeamsNumber!D:D,0)),"없음")</f>
        <v>없음</v>
      </c>
      <c r="M72" s="35" t="str">
        <f t="array" ref="M72">IFERROR(INDEX(Printer!D:D,MATCH(All_User_backup!D72,Printer!H:H,0)),"없음")</f>
        <v>없음</v>
      </c>
      <c r="N72" s="24" t="str">
        <f t="array" ref="N72">IFERROR(INDEX(Monitor!A:A,MATCH(D72,Monitor!D:D,0)),"없음")</f>
        <v>없음</v>
      </c>
      <c r="O72" s="24" t="str">
        <f t="array" ref="O72">IFERROR(INDEX(sales!D:D,MATCH(D72,sales!C:C,0)),"없음")</f>
        <v>없음</v>
      </c>
      <c r="P72" s="24" t="str">
        <f t="array" ref="P72">IFERROR(INDEX(sales!E:E,MATCH(D72,sales!C:C,0)),"없음")</f>
        <v>없음</v>
      </c>
      <c r="Q72" s="24"/>
      <c r="R72" s="35" t="s">
        <v>2255</v>
      </c>
    </row>
    <row r="73">
      <c r="A73" s="13">
        <v>73.0</v>
      </c>
      <c r="B73" s="15" t="s">
        <v>287</v>
      </c>
      <c r="C73" s="15" t="s">
        <v>288</v>
      </c>
      <c r="D73" s="15" t="s">
        <v>289</v>
      </c>
      <c r="E73" s="15" t="s">
        <v>76</v>
      </c>
      <c r="F73" s="15" t="s">
        <v>2471</v>
      </c>
      <c r="G73" s="15" t="s">
        <v>2480</v>
      </c>
      <c r="H73" s="19" t="str">
        <f t="array" ref="H73">IFERROR(INDEX(Lease_List!D:D,MATCH(All_User_backup!D73,Lease_List!H:H,0)),"없음")</f>
        <v>5CD5179KHH</v>
      </c>
      <c r="I73" s="22" t="s">
        <v>290</v>
      </c>
      <c r="J73" s="21"/>
      <c r="K73" s="22" t="str">
        <f t="array" ref="K73">IFERROR(INDEX(Ipad_List!C:C,MATCH(All_User_backup!D73,Ipad_List!J:J,0)),"없음")</f>
        <v>H7Q22YXYWF</v>
      </c>
      <c r="L73" s="23" t="str">
        <f t="array" ref="L73">IFERROR(INDEX(TeamsNumber!B:B,MATCH(All_User_backup!D73,TeamsNumber!D:D,0)),"없음")</f>
        <v>tel:+82234517550</v>
      </c>
      <c r="M73" s="23" t="str">
        <f t="array" ref="M73">IFERROR(INDEX(Printer!D:D,MATCH(All_User_backup!D73,Printer!H:H,0)),"없음")</f>
        <v>SL-C563W</v>
      </c>
      <c r="N73" s="24" t="str">
        <f t="array" ref="N73">IFERROR(INDEX(Monitor!A:A,MATCH(D73,Monitor!D:D,0)),"없음")</f>
        <v>없음</v>
      </c>
      <c r="O73" s="24" t="str">
        <f t="array" ref="O73">IFERROR(INDEX(sales!D:D,MATCH(D73,sales!C:C,0)),"없음")</f>
        <v>Knee</v>
      </c>
      <c r="P73" s="24" t="str">
        <f t="array" ref="P73">IFERROR(INDEX(sales!E:E,MATCH(D73,sales!C:C,0)),"없음")</f>
        <v>Sales</v>
      </c>
      <c r="Q73" s="24" t="str">
        <f t="array" ref="Q73">IFERROR(INDEX(sales!C:C,MATCH(D73,sales!C:C,0)),"list없음")</f>
        <v>louis.kang@stryker.com</v>
      </c>
      <c r="R73" s="24"/>
    </row>
    <row r="74">
      <c r="A74" s="13">
        <v>74.0</v>
      </c>
      <c r="B74" s="15" t="s">
        <v>291</v>
      </c>
      <c r="C74" s="15" t="s">
        <v>292</v>
      </c>
      <c r="D74" s="15" t="s">
        <v>293</v>
      </c>
      <c r="E74" s="15" t="s">
        <v>294</v>
      </c>
      <c r="F74" s="126" t="s">
        <v>295</v>
      </c>
      <c r="G74" s="15" t="s">
        <v>2493</v>
      </c>
      <c r="H74" s="19" t="str">
        <f t="array" ref="H74">IFERROR(INDEX(Lease_List!D:D,MATCH(All_User_backup!D74,Lease_List!H:H,0)),"없음")</f>
        <v>5CD5179KHM</v>
      </c>
      <c r="I74" s="22" t="s">
        <v>29</v>
      </c>
      <c r="J74" s="21"/>
      <c r="K74" s="22" t="str">
        <f t="array" ref="K74">IFERROR(INDEX(Ipad_List!C:C,MATCH(All_User_backup!D74,Ipad_List!J:J,0)),"없음")</f>
        <v>없음</v>
      </c>
      <c r="L74" s="35" t="str">
        <f t="array" ref="L74">IFERROR(INDEX(TeamsNumber!B:B,MATCH(All_User_backup!D74,TeamsNumber!D:D,0)),"없음")</f>
        <v>tel:+82234517543</v>
      </c>
      <c r="M74" s="35" t="str">
        <f t="array" ref="M74">IFERROR(INDEX(Printer!D:D,MATCH(All_User_backup!D74,Printer!H:H,0)),"없음")</f>
        <v>없음</v>
      </c>
      <c r="N74" s="24" t="str">
        <f t="array" ref="N74">IFERROR(INDEX(Monitor!A:A,MATCH(D74,Monitor!D:D,0)),"없음")</f>
        <v>LCD 모니터</v>
      </c>
      <c r="O74" s="24" t="str">
        <f t="array" ref="O74">IFERROR(INDEX(sales!D:D,MATCH(D74,sales!C:C,0)),"없음")</f>
        <v>없음</v>
      </c>
      <c r="P74" s="24" t="str">
        <f t="array" ref="P74">IFERROR(INDEX(sales!E:E,MATCH(D74,sales!C:C,0)),"없음")</f>
        <v>없음</v>
      </c>
      <c r="Q74" s="24"/>
      <c r="R74" s="24"/>
    </row>
    <row r="75">
      <c r="A75" s="78"/>
      <c r="B75" s="79"/>
      <c r="C75" s="79"/>
      <c r="D75" s="79"/>
      <c r="E75" s="79"/>
      <c r="F75" s="79"/>
      <c r="G75" s="79"/>
      <c r="H75" s="83"/>
      <c r="I75" s="84"/>
      <c r="J75" s="85"/>
      <c r="K75" s="84"/>
      <c r="L75" s="86"/>
      <c r="M75" s="86"/>
      <c r="N75" s="87"/>
      <c r="O75" s="87"/>
      <c r="P75" s="87"/>
      <c r="Q75" s="86"/>
      <c r="R75" s="86"/>
    </row>
    <row r="76">
      <c r="A76" s="13">
        <v>76.0</v>
      </c>
      <c r="B76" s="15" t="s">
        <v>297</v>
      </c>
      <c r="C76" s="15" t="s">
        <v>298</v>
      </c>
      <c r="D76" s="15" t="s">
        <v>299</v>
      </c>
      <c r="E76" s="15" t="s">
        <v>300</v>
      </c>
      <c r="F76" s="15" t="s">
        <v>2478</v>
      </c>
      <c r="G76" s="15" t="s">
        <v>67</v>
      </c>
      <c r="H76" s="19" t="str">
        <f t="array" ref="H76">IFERROR(INDEX(Lease_List!D:D,MATCH(All_User_backup!D76,Lease_List!H:H,0)),"없음")</f>
        <v>5CD4232BF3</v>
      </c>
      <c r="I76" s="22" t="s">
        <v>29</v>
      </c>
      <c r="J76" s="21"/>
      <c r="K76" s="22" t="str">
        <f t="array" ref="K76">IFERROR(INDEX(Ipad_List!C:C,MATCH(All_User_backup!D76,Ipad_List!J:J,0)),"없음")</f>
        <v>TRW5JJG7JP</v>
      </c>
      <c r="L76" s="35" t="str">
        <f t="array" ref="L76">IFERROR(INDEX(TeamsNumber!B:B,MATCH(All_User_backup!D76,TeamsNumber!D:D,0)),"없음")</f>
        <v>tel:+82234517524</v>
      </c>
      <c r="M76" s="35" t="str">
        <f t="array" ref="M76">IFERROR(INDEX(Printer!D:D,MATCH(All_User_backup!D76,Printer!H:H,0)),"없음")</f>
        <v>없음</v>
      </c>
      <c r="N76" s="24" t="str">
        <f t="array" ref="N76">IFERROR(INDEX(Monitor!A:A,MATCH(D76,Monitor!D:D,0)),"없음")</f>
        <v>LCD 모니터</v>
      </c>
      <c r="O76" s="24" t="str">
        <f t="array" ref="O76">IFERROR(INDEX(sales!D:D,MATCH(D76,sales!C:C,0)),"없음")</f>
        <v>없음</v>
      </c>
      <c r="P76" s="24" t="str">
        <f t="array" ref="P76">IFERROR(INDEX(sales!E:E,MATCH(D76,sales!C:C,0)),"없음")</f>
        <v>없음</v>
      </c>
      <c r="Q76" s="24"/>
      <c r="R76" s="24"/>
    </row>
    <row r="77">
      <c r="A77" s="13">
        <v>77.0</v>
      </c>
      <c r="B77" s="15" t="s">
        <v>301</v>
      </c>
      <c r="C77" s="15" t="s">
        <v>302</v>
      </c>
      <c r="D77" s="15" t="s">
        <v>303</v>
      </c>
      <c r="E77" s="15" t="s">
        <v>304</v>
      </c>
      <c r="F77" s="15" t="s">
        <v>2471</v>
      </c>
      <c r="G77" s="15" t="s">
        <v>2472</v>
      </c>
      <c r="H77" s="19" t="str">
        <f t="array" ref="H77">IFERROR(INDEX(Lease_List!D:D,MATCH(All_User_backup!D77,Lease_List!H:H,0)),"없음")</f>
        <v>5CD5062YF1</v>
      </c>
      <c r="I77" s="22" t="s">
        <v>29</v>
      </c>
      <c r="J77" s="21"/>
      <c r="K77" s="22" t="str">
        <f t="array" ref="K77">IFERROR(INDEX(Ipad_List!C:C,MATCH(All_User_backup!D77,Ipad_List!J:J,0)),"없음")</f>
        <v>THD6Q4W3LT</v>
      </c>
      <c r="L77" s="23" t="str">
        <f t="array" ref="L77">IFERROR(INDEX(TeamsNumber!B:B,MATCH(All_User_backup!D77,TeamsNumber!D:D,0)),"없음")</f>
        <v>tel:+82234517558</v>
      </c>
      <c r="M77" s="23" t="str">
        <f t="array" ref="M77">IFERROR(INDEX(Printer!D:D,MATCH(All_User_backup!D77,Printer!H:H,0)),"없음")</f>
        <v>SL-C565W / SL-C563W</v>
      </c>
      <c r="N77" s="24" t="str">
        <f t="array" ref="N77">IFERROR(INDEX(Monitor!A:A,MATCH(D77,Monitor!D:D,0)),"없음")</f>
        <v>없음</v>
      </c>
      <c r="O77" s="24" t="str">
        <f t="array" ref="O77">IFERROR(INDEX(sales!D:D,MATCH(D77,sales!C:C,0)),"없음")</f>
        <v>Mako</v>
      </c>
      <c r="P77" s="24" t="str">
        <f t="array" ref="P77">IFERROR(INDEX(sales!E:E,MATCH(D77,sales!C:C,0)),"없음")</f>
        <v>Sales</v>
      </c>
      <c r="Q77" s="24" t="str">
        <f t="array" ref="Q77">IFERROR(INDEX(sales!C:C,MATCH(D77,sales!C:C,0)),"list없음")</f>
        <v>Justin.Kim@stryker.com</v>
      </c>
      <c r="R77" s="24"/>
    </row>
    <row r="78">
      <c r="A78" s="13">
        <v>78.0</v>
      </c>
      <c r="B78" s="15" t="s">
        <v>305</v>
      </c>
      <c r="C78" s="15" t="s">
        <v>306</v>
      </c>
      <c r="D78" s="15" t="s">
        <v>307</v>
      </c>
      <c r="E78" s="15" t="s">
        <v>308</v>
      </c>
      <c r="F78" s="15" t="s">
        <v>2471</v>
      </c>
      <c r="G78" s="15" t="s">
        <v>2485</v>
      </c>
      <c r="H78" s="19" t="str">
        <f t="array" ref="H78">IFERROR(INDEX(Lease_List!D:D,MATCH(All_User_backup!D78,Lease_List!H:H,0)),"없음")</f>
        <v>5CD409908M</v>
      </c>
      <c r="I78" s="22" t="s">
        <v>29</v>
      </c>
      <c r="J78" s="21"/>
      <c r="K78" s="22" t="str">
        <f t="array" ref="K78">IFERROR(INDEX(Ipad_List!C:C,MATCH(All_User_backup!D78,Ipad_List!J:J,0)),"없음")</f>
        <v>DDPWWYNVPX</v>
      </c>
      <c r="L78" s="35" t="str">
        <f t="array" ref="L78">IFERROR(INDEX(TeamsNumber!B:B,MATCH(All_User_backup!D78,TeamsNumber!D:D,0)),"없음")</f>
        <v>tel:+82234517676</v>
      </c>
      <c r="M78" s="35" t="str">
        <f t="array" ref="M78">IFERROR(INDEX(Printer!D:D,MATCH(All_User_backup!D78,Printer!H:H,0)),"없음")</f>
        <v>SL-M2035</v>
      </c>
      <c r="N78" s="24" t="str">
        <f t="array" ref="N78">IFERROR(INDEX(Monitor!A:A,MATCH(D78,Monitor!D:D,0)),"없음")</f>
        <v>없음</v>
      </c>
      <c r="O78" s="24" t="str">
        <f t="array" ref="O78">IFERROR(INDEX(sales!D:D,MATCH(D78,sales!C:C,0)),"없음")</f>
        <v/>
      </c>
      <c r="P78" s="24" t="str">
        <f t="array" ref="P78">IFERROR(INDEX(sales!E:E,MATCH(D78,sales!C:C,0)),"없음")</f>
        <v/>
      </c>
      <c r="Q78" s="24"/>
      <c r="R78" s="24"/>
    </row>
    <row r="79">
      <c r="A79" s="13">
        <v>79.0</v>
      </c>
      <c r="B79" s="15" t="s">
        <v>309</v>
      </c>
      <c r="C79" s="15" t="s">
        <v>310</v>
      </c>
      <c r="D79" s="15" t="s">
        <v>311</v>
      </c>
      <c r="E79" s="15" t="s">
        <v>150</v>
      </c>
      <c r="F79" s="15" t="s">
        <v>2471</v>
      </c>
      <c r="G79" s="15" t="s">
        <v>2480</v>
      </c>
      <c r="H79" s="19" t="str">
        <f t="array" ref="H79">IFERROR(INDEX(Lease_List!D:D,MATCH(All_User_backup!D79,Lease_List!H:H,0)),"없음")</f>
        <v>5CD4232BFN</v>
      </c>
      <c r="I79" s="22" t="s">
        <v>29</v>
      </c>
      <c r="J79" s="21"/>
      <c r="K79" s="22" t="str">
        <f t="array" ref="K79">IFERROR(INDEX(Ipad_List!C:C,MATCH(All_User_backup!D79,Ipad_List!J:J,0)),"없음")</f>
        <v>DWFLMWX243</v>
      </c>
      <c r="L79" s="23" t="str">
        <f t="array" ref="L79">IFERROR(INDEX(TeamsNumber!B:B,MATCH(All_User_backup!D79,TeamsNumber!D:D,0)),"없음")</f>
        <v>tel:+82234517530</v>
      </c>
      <c r="M79" s="23" t="str">
        <f t="array" ref="M79">IFERROR(INDEX(Printer!D:D,MATCH(All_User_backup!D79,Printer!H:H,0)),"없음")</f>
        <v>SL-C563W</v>
      </c>
      <c r="N79" s="24" t="str">
        <f t="array" ref="N79">IFERROR(INDEX(Monitor!A:A,MATCH(D79,Monitor!D:D,0)),"없음")</f>
        <v>없음</v>
      </c>
      <c r="O79" s="24" t="str">
        <f t="array" ref="O79">IFERROR(INDEX(sales!D:D,MATCH(D79,sales!C:C,0)),"없음")</f>
        <v>MedSurg</v>
      </c>
      <c r="P79" s="24" t="str">
        <f t="array" ref="P79">IFERROR(INDEX(sales!E:E,MATCH(D79,sales!C:C,0)),"없음")</f>
        <v>Sales</v>
      </c>
      <c r="Q79" s="24" t="str">
        <f t="array" ref="Q79">IFERROR(INDEX(sales!C:C,MATCH(D79,sales!C:C,0)),"list없음")</f>
        <v>danny.kim@stryker.com</v>
      </c>
      <c r="R79" s="24"/>
    </row>
    <row r="80">
      <c r="A80" s="13">
        <v>80.0</v>
      </c>
      <c r="B80" s="15" t="s">
        <v>312</v>
      </c>
      <c r="C80" s="15" t="s">
        <v>298</v>
      </c>
      <c r="D80" s="15" t="s">
        <v>313</v>
      </c>
      <c r="E80" s="15" t="s">
        <v>314</v>
      </c>
      <c r="F80" s="15" t="s">
        <v>2471</v>
      </c>
      <c r="G80" s="15" t="s">
        <v>315</v>
      </c>
      <c r="H80" s="19" t="str">
        <f t="array" ref="H80">IFERROR(INDEX(Lease_List!D:D,MATCH(All_User_backup!D80,Lease_List!H:H,0)),"없음")</f>
        <v>5CD5179KJB</v>
      </c>
      <c r="I80" s="22" t="s">
        <v>316</v>
      </c>
      <c r="J80" s="21"/>
      <c r="K80" s="22" t="str">
        <f t="array" ref="K80">IFERROR(INDEX(Ipad_List!C:C,MATCH(All_User_backup!D80,Ipad_List!J:J,0)),"없음")</f>
        <v>FQPW2GVP7C</v>
      </c>
      <c r="L80" s="23" t="str">
        <f t="array" ref="L80">IFERROR(INDEX(TeamsNumber!B:B,MATCH(All_User_backup!D80,TeamsNumber!D:D,0)),"없음")</f>
        <v>tel:+82234517680</v>
      </c>
      <c r="M80" s="23" t="str">
        <f t="array" ref="M80">IFERROR(INDEX(Printer!D:D,MATCH(All_User_backup!D80,Printer!H:H,0)),"없음")</f>
        <v>없음</v>
      </c>
      <c r="N80" s="24" t="str">
        <f t="array" ref="N80">IFERROR(INDEX(Monitor!A:A,MATCH(D80,Monitor!D:D,0)),"없음")</f>
        <v>없음</v>
      </c>
      <c r="O80" s="24" t="str">
        <f t="array" ref="O80">IFERROR(INDEX(sales!D:D,MATCH(D80,sales!C:C,0)),"없음")</f>
        <v/>
      </c>
      <c r="P80" s="24" t="str">
        <f t="array" ref="P80">IFERROR(INDEX(sales!E:E,MATCH(D80,sales!C:C,0)),"없음")</f>
        <v>MKT</v>
      </c>
      <c r="Q80" s="24" t="str">
        <f t="array" ref="Q80">IFERROR(INDEX(sales!C:C,MATCH(D80,sales!C:C,0)),"list없음")</f>
        <v>Rayna.Kim@stryker.com</v>
      </c>
      <c r="R80" s="24"/>
    </row>
    <row r="81">
      <c r="A81" s="13">
        <v>81.0</v>
      </c>
      <c r="B81" s="15" t="s">
        <v>317</v>
      </c>
      <c r="C81" s="15" t="s">
        <v>318</v>
      </c>
      <c r="D81" s="15" t="s">
        <v>319</v>
      </c>
      <c r="E81" s="15" t="s">
        <v>320</v>
      </c>
      <c r="F81" s="15" t="s">
        <v>2471</v>
      </c>
      <c r="G81" s="15" t="s">
        <v>2485</v>
      </c>
      <c r="H81" s="19" t="str">
        <f t="array" ref="H81">IFERROR(INDEX(Lease_List!D:D,MATCH(All_User_backup!D81,Lease_List!H:H,0)),"없음")</f>
        <v>5CD409908J</v>
      </c>
      <c r="I81" s="22" t="s">
        <v>29</v>
      </c>
      <c r="J81" s="21"/>
      <c r="K81" s="22" t="str">
        <f t="array" ref="K81">IFERROR(INDEX(Ipad_List!C:C,MATCH(All_User_backup!D81,Ipad_List!J:J,0)),"없음")</f>
        <v>MQ6X021QX2</v>
      </c>
      <c r="L81" s="23" t="str">
        <f t="array" ref="L81">IFERROR(INDEX(TeamsNumber!B:B,MATCH(All_User_backup!D81,TeamsNumber!D:D,0)),"없음")</f>
        <v>tel:+82234517598</v>
      </c>
      <c r="M81" s="23" t="str">
        <f t="array" ref="M81">IFERROR(INDEX(Printer!D:D,MATCH(All_User_backup!D81,Printer!H:H,0)),"없음")</f>
        <v>SL-C486FW</v>
      </c>
      <c r="N81" s="24" t="str">
        <f t="array" ref="N81">IFERROR(INDEX(Monitor!A:A,MATCH(D81,Monitor!D:D,0)),"없음")</f>
        <v>없음</v>
      </c>
      <c r="O81" s="24" t="str">
        <f t="array" ref="O81">IFERROR(INDEX(sales!D:D,MATCH(D81,sales!C:C,0)),"없음")</f>
        <v>Implants</v>
      </c>
      <c r="P81" s="24" t="str">
        <f t="array" ref="P81">IFERROR(INDEX(sales!E:E,MATCH(D81,sales!C:C,0)),"없음")</f>
        <v>Sales</v>
      </c>
      <c r="Q81" s="24" t="str">
        <f t="array" ref="Q81">IFERROR(INDEX(sales!C:C,MATCH(D81,sales!C:C,0)),"list없음")</f>
        <v>Suhyun.Kim@stryker.com</v>
      </c>
      <c r="R81" s="24"/>
    </row>
    <row r="82">
      <c r="A82" s="13">
        <v>82.0</v>
      </c>
      <c r="B82" s="15" t="s">
        <v>321</v>
      </c>
      <c r="C82" s="15" t="s">
        <v>322</v>
      </c>
      <c r="D82" s="15" t="s">
        <v>323</v>
      </c>
      <c r="E82" s="15" t="s">
        <v>324</v>
      </c>
      <c r="F82" s="15" t="s">
        <v>2494</v>
      </c>
      <c r="G82" s="15" t="s">
        <v>2495</v>
      </c>
      <c r="H82" s="19" t="str">
        <f t="array" ref="H82">IFERROR(INDEX(Lease_List!D:D,MATCH(All_User_backup!D82,Lease_List!H:H,0)),"없음")</f>
        <v>5CD409908K</v>
      </c>
      <c r="I82" s="22" t="s">
        <v>29</v>
      </c>
      <c r="J82" s="21"/>
      <c r="K82" s="22" t="str">
        <f t="array" ref="K82">IFERROR(INDEX(Ipad_List!C:C,MATCH(All_User_backup!D82,Ipad_List!J:J,0)),"없음")</f>
        <v>C14X1226DV</v>
      </c>
      <c r="L82" s="35" t="str">
        <f t="array" ref="L82">IFERROR(INDEX(TeamsNumber!B:B,MATCH(All_User_backup!D82,TeamsNumber!D:D,0)),"없음")</f>
        <v>tel:+82234517540</v>
      </c>
      <c r="M82" s="35" t="str">
        <f t="array" ref="M82">IFERROR(INDEX(Printer!D:D,MATCH(All_User_backup!D82,Printer!H:H,0)),"없음")</f>
        <v>없음</v>
      </c>
      <c r="N82" s="24" t="str">
        <f t="array" ref="N82">IFERROR(INDEX(Monitor!A:A,MATCH(D82,Monitor!D:D,0)),"없음")</f>
        <v>없음</v>
      </c>
      <c r="O82" s="24" t="str">
        <f t="array" ref="O82">IFERROR(INDEX(sales!D:D,MATCH(D82,sales!C:C,0)),"없음")</f>
        <v>없음</v>
      </c>
      <c r="P82" s="24" t="str">
        <f t="array" ref="P82">IFERROR(INDEX(sales!E:E,MATCH(D82,sales!C:C,0)),"없음")</f>
        <v>없음</v>
      </c>
      <c r="Q82" s="24"/>
      <c r="R82" s="24"/>
    </row>
    <row r="83">
      <c r="A83" s="13">
        <v>83.0</v>
      </c>
      <c r="B83" s="15" t="s">
        <v>325</v>
      </c>
      <c r="C83" s="15" t="s">
        <v>326</v>
      </c>
      <c r="D83" s="15" t="s">
        <v>327</v>
      </c>
      <c r="E83" s="15" t="s">
        <v>328</v>
      </c>
      <c r="F83" s="126" t="s">
        <v>956</v>
      </c>
      <c r="G83" s="15" t="s">
        <v>329</v>
      </c>
      <c r="H83" s="19" t="str">
        <f t="array" ref="H83">IFERROR(INDEX(Lease_List!D:D,MATCH(All_User_backup!D83,Lease_List!H:H,0)),"없음")</f>
        <v>5CD3469HDJ</v>
      </c>
      <c r="I83" s="22" t="s">
        <v>29</v>
      </c>
      <c r="J83" s="21"/>
      <c r="K83" s="22" t="str">
        <f t="array" ref="K83">IFERROR(INDEX(Ipad_List!C:C,MATCH(All_User_backup!D83,Ipad_List!J:J,0)),"없음")</f>
        <v>없음</v>
      </c>
      <c r="L83" s="35" t="str">
        <f t="array" ref="L83">IFERROR(INDEX(TeamsNumber!B:B,MATCH(All_User_backup!D83,TeamsNumber!D:D,0)),"없음")</f>
        <v>tel:+82234517633</v>
      </c>
      <c r="M83" s="35" t="str">
        <f t="array" ref="M83">IFERROR(INDEX(Printer!D:D,MATCH(All_User_backup!D83,Printer!H:H,0)),"없음")</f>
        <v>없음</v>
      </c>
      <c r="N83" s="24" t="str">
        <f t="array" ref="N83">IFERROR(INDEX(Monitor!A:A,MATCH(D83,Monitor!D:D,0)),"없음")</f>
        <v>없음</v>
      </c>
      <c r="O83" s="24" t="str">
        <f t="array" ref="O83">IFERROR(INDEX(sales!D:D,MATCH(D83,sales!C:C,0)),"없음")</f>
        <v>없음</v>
      </c>
      <c r="P83" s="24" t="str">
        <f t="array" ref="P83">IFERROR(INDEX(sales!E:E,MATCH(D83,sales!C:C,0)),"없음")</f>
        <v>없음</v>
      </c>
      <c r="Q83" s="24"/>
      <c r="R83" s="24"/>
    </row>
    <row r="84">
      <c r="A84" s="13">
        <v>84.0</v>
      </c>
      <c r="B84" s="15" t="s">
        <v>330</v>
      </c>
      <c r="C84" s="15" t="s">
        <v>331</v>
      </c>
      <c r="D84" s="15" t="s">
        <v>332</v>
      </c>
      <c r="E84" s="15" t="s">
        <v>333</v>
      </c>
      <c r="F84" s="15" t="s">
        <v>2471</v>
      </c>
      <c r="G84" s="15" t="s">
        <v>2482</v>
      </c>
      <c r="H84" s="19" t="str">
        <f t="array" ref="H84">IFERROR(INDEX(Lease_List!D:D,MATCH(All_User_backup!D84,Lease_List!H:H,0)),"없음")</f>
        <v>5CD5179KJ1</v>
      </c>
      <c r="I84" s="22" t="s">
        <v>334</v>
      </c>
      <c r="J84" s="21"/>
      <c r="K84" s="22" t="str">
        <f t="array" ref="K84">IFERROR(INDEX(Ipad_List!C:C,MATCH(All_User_backup!D84,Ipad_List!J:J,0)),"없음")</f>
        <v>MK21Q5L65C</v>
      </c>
      <c r="L84" s="23" t="str">
        <f t="array" ref="L84">IFERROR(INDEX(TeamsNumber!B:B,MATCH(All_User_backup!D84,TeamsNumber!D:D,0)),"없음")</f>
        <v>tel:+82234517685</v>
      </c>
      <c r="M84" s="23" t="str">
        <f t="array" ref="M84">IFERROR(INDEX(Printer!D:D,MATCH(All_User_backup!D84,Printer!H:H,0)),"없음")</f>
        <v>SL-C486FW</v>
      </c>
      <c r="N84" s="24" t="str">
        <f t="array" ref="N84">IFERROR(INDEX(Monitor!A:A,MATCH(D84,Monitor!D:D,0)),"없음")</f>
        <v>없음</v>
      </c>
      <c r="O84" s="24" t="str">
        <f t="array" ref="O84">IFERROR(INDEX(sales!D:D,MATCH(D84,sales!C:C,0)),"없음")</f>
        <v/>
      </c>
      <c r="P84" s="24" t="str">
        <f t="array" ref="P84">IFERROR(INDEX(sales!E:E,MATCH(D84,sales!C:C,0)),"없음")</f>
        <v>Sales</v>
      </c>
      <c r="Q84" s="24" t="str">
        <f t="array" ref="Q84">IFERROR(INDEX(sales!C:C,MATCH(D84,sales!C:C,0)),"list없음")</f>
        <v>jackson.kim@stryker.com</v>
      </c>
      <c r="R84" s="24"/>
    </row>
    <row r="85">
      <c r="A85" s="13">
        <v>85.0</v>
      </c>
      <c r="B85" s="15" t="s">
        <v>335</v>
      </c>
      <c r="C85" s="15" t="s">
        <v>336</v>
      </c>
      <c r="D85" s="15" t="s">
        <v>337</v>
      </c>
      <c r="E85" s="15" t="s">
        <v>125</v>
      </c>
      <c r="F85" s="15" t="s">
        <v>2471</v>
      </c>
      <c r="G85" s="15" t="s">
        <v>2480</v>
      </c>
      <c r="H85" s="19" t="str">
        <f t="array" ref="H85">IFERROR(INDEX(Lease_List!D:D,MATCH(All_User_backup!D85,Lease_List!H:H,0)),"없음")</f>
        <v>5CD5179KHX</v>
      </c>
      <c r="I85" s="22" t="s">
        <v>338</v>
      </c>
      <c r="J85" s="21"/>
      <c r="K85" s="22" t="str">
        <f t="array" ref="K85">IFERROR(INDEX(Ipad_List!C:C,MATCH(All_User_backup!D85,Ipad_List!J:J,0)),"없음")</f>
        <v>J9157FQXYM</v>
      </c>
      <c r="L85" s="23" t="str">
        <f t="array" ref="L85">IFERROR(INDEX(TeamsNumber!B:B,MATCH(All_User_backup!D85,TeamsNumber!D:D,0)),"없음")</f>
        <v>tel:+82234517596</v>
      </c>
      <c r="M85" s="23" t="str">
        <f t="array" ref="M85">IFERROR(INDEX(Printer!D:D,MATCH(All_User_backup!D85,Printer!H:H,0)),"없음")</f>
        <v>반납</v>
      </c>
      <c r="N85" s="24" t="str">
        <f t="array" ref="N85">IFERROR(INDEX(Monitor!A:A,MATCH(D85,Monitor!D:D,0)),"없음")</f>
        <v>없음</v>
      </c>
      <c r="O85" s="24" t="str">
        <f t="array" ref="O85">IFERROR(INDEX(sales!D:D,MATCH(D85,sales!C:C,0)),"없음")</f>
        <v>Implants</v>
      </c>
      <c r="P85" s="24" t="str">
        <f t="array" ref="P85">IFERROR(INDEX(sales!E:E,MATCH(D85,sales!C:C,0)),"없음")</f>
        <v>Sales</v>
      </c>
      <c r="Q85" s="24" t="str">
        <f t="array" ref="Q85">IFERROR(INDEX(sales!C:C,MATCH(D85,sales!C:C,0)),"list없음")</f>
        <v>genie.kim@stryker.com</v>
      </c>
      <c r="R85" s="24"/>
    </row>
    <row r="86">
      <c r="A86" s="13">
        <v>86.0</v>
      </c>
      <c r="B86" s="15" t="s">
        <v>339</v>
      </c>
      <c r="C86" s="15" t="s">
        <v>340</v>
      </c>
      <c r="D86" s="15" t="s">
        <v>341</v>
      </c>
      <c r="E86" s="15" t="s">
        <v>76</v>
      </c>
      <c r="F86" s="15" t="s">
        <v>2471</v>
      </c>
      <c r="G86" s="15" t="s">
        <v>2480</v>
      </c>
      <c r="H86" s="19" t="str">
        <f t="array" ref="H86">IFERROR(INDEX(Lease_List!D:D,MATCH(All_User_backup!D86,Lease_List!H:H,0)),"없음")</f>
        <v>5CD5062YDG</v>
      </c>
      <c r="I86" s="22" t="s">
        <v>342</v>
      </c>
      <c r="J86" s="21"/>
      <c r="K86" s="22" t="str">
        <f t="array" ref="K86">IFERROR(INDEX(Ipad_List!C:C,MATCH(All_User_backup!D86,Ipad_List!J:J,0)),"없음")</f>
        <v>M6T0VJHK6P</v>
      </c>
      <c r="L86" s="23" t="str">
        <f t="array" ref="L86">IFERROR(INDEX(TeamsNumber!B:B,MATCH(All_User_backup!D86,TeamsNumber!D:D,0)),"없음")</f>
        <v>tel:+82234517597</v>
      </c>
      <c r="M86" s="23" t="str">
        <f t="array" ref="M86">IFERROR(INDEX(Printer!D:D,MATCH(All_User_backup!D86,Printer!H:H,0)),"없음")</f>
        <v>2차 조사 정보 없음</v>
      </c>
      <c r="N86" s="24" t="str">
        <f t="array" ref="N86">IFERROR(INDEX(Monitor!A:A,MATCH(D86,Monitor!D:D,0)),"없음")</f>
        <v>없음</v>
      </c>
      <c r="O86" s="24" t="str">
        <f t="array" ref="O86">IFERROR(INDEX(sales!D:D,MATCH(D86,sales!C:C,0)),"없음")</f>
        <v>Implants</v>
      </c>
      <c r="P86" s="24" t="str">
        <f t="array" ref="P86">IFERROR(INDEX(sales!E:E,MATCH(D86,sales!C:C,0)),"없음")</f>
        <v>Sales</v>
      </c>
      <c r="Q86" s="24" t="str">
        <f t="array" ref="Q86">IFERROR(INDEX(sales!C:C,MATCH(D86,sales!C:C,0)),"list없음")</f>
        <v>jason.kim1@stryker.com</v>
      </c>
      <c r="R86" s="24"/>
    </row>
    <row r="87">
      <c r="A87" s="13">
        <v>87.0</v>
      </c>
      <c r="B87" s="15" t="s">
        <v>343</v>
      </c>
      <c r="C87" s="15" t="s">
        <v>344</v>
      </c>
      <c r="D87" s="15" t="s">
        <v>345</v>
      </c>
      <c r="E87" s="15" t="s">
        <v>211</v>
      </c>
      <c r="F87" s="15" t="s">
        <v>2471</v>
      </c>
      <c r="G87" s="15" t="s">
        <v>2472</v>
      </c>
      <c r="H87" s="19" t="str">
        <f t="array" ref="H87">IFERROR(INDEX(Lease_List!D:D,MATCH(All_User_backup!D87,Lease_List!H:H,0)),"없음")</f>
        <v>5CD409908L</v>
      </c>
      <c r="I87" s="22" t="s">
        <v>29</v>
      </c>
      <c r="J87" s="21"/>
      <c r="K87" s="22" t="str">
        <f t="array" ref="K87">IFERROR(INDEX(Ipad_List!C:C,MATCH(All_User_backup!D87,Ipad_List!J:J,0)),"없음")</f>
        <v>R75T7C9N17</v>
      </c>
      <c r="L87" s="23" t="str">
        <f t="array" ref="L87">IFERROR(INDEX(TeamsNumber!B:B,MATCH(All_User_backup!D87,TeamsNumber!D:D,0)),"없음")</f>
        <v>tel:+82234517687</v>
      </c>
      <c r="M87" s="23" t="str">
        <f t="array" ref="M87">IFERROR(INDEX(Printer!D:D,MATCH(All_User_backup!D87,Printer!H:H,0)),"없음")</f>
        <v>SL-C486FW</v>
      </c>
      <c r="N87" s="24" t="str">
        <f t="array" ref="N87">IFERROR(INDEX(Monitor!A:A,MATCH(D87,Monitor!D:D,0)),"없음")</f>
        <v>없음</v>
      </c>
      <c r="O87" s="24" t="str">
        <f t="array" ref="O87">IFERROR(INDEX(sales!D:D,MATCH(D87,sales!C:C,0)),"없음")</f>
        <v>NV</v>
      </c>
      <c r="P87" s="24" t="str">
        <f t="array" ref="P87">IFERROR(INDEX(sales!E:E,MATCH(D87,sales!C:C,0)),"없음")</f>
        <v>NV</v>
      </c>
      <c r="Q87" s="24" t="str">
        <f t="array" ref="Q87">IFERROR(INDEX(sales!C:C,MATCH(D87,sales!C:C,0)),"list없음")</f>
        <v>henry.kim1@stryker.com</v>
      </c>
      <c r="R87" s="24"/>
    </row>
    <row r="88">
      <c r="A88" s="89"/>
      <c r="B88" s="90"/>
      <c r="C88" s="90"/>
      <c r="D88" s="101"/>
      <c r="E88" s="90"/>
      <c r="F88" s="90"/>
      <c r="G88" s="90"/>
      <c r="H88" s="92"/>
      <c r="I88" s="93"/>
      <c r="J88" s="99"/>
      <c r="K88" s="93"/>
      <c r="L88" s="95"/>
      <c r="M88" s="95"/>
      <c r="N88" s="96"/>
      <c r="O88" s="96"/>
      <c r="P88" s="96"/>
      <c r="Q88" s="97"/>
      <c r="R88" s="97"/>
    </row>
    <row r="89">
      <c r="A89" s="13">
        <v>89.0</v>
      </c>
      <c r="B89" s="15" t="s">
        <v>346</v>
      </c>
      <c r="C89" s="15" t="s">
        <v>347</v>
      </c>
      <c r="D89" s="15" t="s">
        <v>348</v>
      </c>
      <c r="E89" s="15" t="s">
        <v>349</v>
      </c>
      <c r="F89" s="15" t="s">
        <v>2471</v>
      </c>
      <c r="G89" s="15" t="s">
        <v>2482</v>
      </c>
      <c r="H89" s="19" t="str">
        <f t="array" ref="H89">IFERROR(INDEX(Lease_List!D:D,MATCH(All_User_backup!D89,Lease_List!H:H,0)),"없음")</f>
        <v>5CD4232BF7</v>
      </c>
      <c r="I89" s="22" t="s">
        <v>29</v>
      </c>
      <c r="J89" s="21"/>
      <c r="K89" s="22" t="str">
        <f t="array" ref="K89">IFERROR(INDEX(Ipad_List!C:C,MATCH(All_User_backup!D89,Ipad_List!J:J,0)),"없음")</f>
        <v>HYFKQFR4RD</v>
      </c>
      <c r="L89" s="23" t="str">
        <f t="array" ref="L89">IFERROR(INDEX(TeamsNumber!B:B,MATCH(All_User_backup!D89,TeamsNumber!D:D,0)),"없음")</f>
        <v>tel:+82234517560</v>
      </c>
      <c r="M89" s="23" t="str">
        <f t="array" ref="M89">IFERROR(INDEX(Printer!D:D,MATCH(All_User_backup!D89,Printer!H:H,0)),"없음")</f>
        <v>SL-C563W</v>
      </c>
      <c r="N89" s="24" t="str">
        <f t="array" ref="N89">IFERROR(INDEX(Monitor!A:A,MATCH(D89,Monitor!D:D,0)),"없음")</f>
        <v>없음</v>
      </c>
      <c r="O89" s="24" t="str">
        <f t="array" ref="O89">IFERROR(INDEX(sales!D:D,MATCH(D89,sales!C:C,0)),"없음")</f>
        <v/>
      </c>
      <c r="P89" s="24" t="str">
        <f t="array" ref="P89">IFERROR(INDEX(sales!E:E,MATCH(D89,sales!C:C,0)),"없음")</f>
        <v>MKT</v>
      </c>
      <c r="Q89" s="24" t="str">
        <f t="array" ref="Q89">IFERROR(INDEX(sales!C:C,MATCH(D89,sales!C:C,0)),"list없음")</f>
        <v>yeonjoo.kim@stryker.com</v>
      </c>
      <c r="R89" s="24"/>
    </row>
    <row r="90">
      <c r="A90" s="13">
        <v>90.0</v>
      </c>
      <c r="B90" s="15" t="s">
        <v>350</v>
      </c>
      <c r="C90" s="15" t="s">
        <v>351</v>
      </c>
      <c r="D90" s="15" t="s">
        <v>352</v>
      </c>
      <c r="E90" s="15" t="s">
        <v>353</v>
      </c>
      <c r="F90" s="15" t="s">
        <v>2481</v>
      </c>
      <c r="G90" s="15" t="s">
        <v>354</v>
      </c>
      <c r="H90" s="19" t="str">
        <f t="array" ref="H90">IFERROR(INDEX(Lease_List!D:D,MATCH(All_User_backup!D90,Lease_List!H:H,0)),"없음")</f>
        <v>5CD4305D8Q</v>
      </c>
      <c r="I90" s="22" t="s">
        <v>29</v>
      </c>
      <c r="J90" s="21"/>
      <c r="K90" s="22" t="str">
        <f t="array" ref="K90">IFERROR(INDEX(Ipad_List!C:C,MATCH(All_User_backup!D90,Ipad_List!J:J,0)),"없음")</f>
        <v>없음</v>
      </c>
      <c r="L90" s="35" t="str">
        <f t="array" ref="L90">IFERROR(INDEX(TeamsNumber!B:B,MATCH(All_User_backup!D90,TeamsNumber!D:D,0)),"없음")</f>
        <v>tel:+82234517646</v>
      </c>
      <c r="M90" s="35" t="str">
        <f t="array" ref="M90">IFERROR(INDEX(Printer!D:D,MATCH(All_User_backup!D90,Printer!H:H,0)),"없음")</f>
        <v>없음</v>
      </c>
      <c r="N90" s="24" t="str">
        <f t="array" ref="N90">IFERROR(INDEX(Monitor!A:A,MATCH(D90,Monitor!D:D,0)),"없음")</f>
        <v>없음</v>
      </c>
      <c r="O90" s="24" t="str">
        <f t="array" ref="O90">IFERROR(INDEX(sales!D:D,MATCH(D90,sales!C:C,0)),"없음")</f>
        <v>없음</v>
      </c>
      <c r="P90" s="24" t="str">
        <f t="array" ref="P90">IFERROR(INDEX(sales!E:E,MATCH(D90,sales!C:C,0)),"없음")</f>
        <v>없음</v>
      </c>
      <c r="Q90" s="24"/>
      <c r="R90" s="24"/>
    </row>
    <row r="91">
      <c r="A91" s="13">
        <v>91.0</v>
      </c>
      <c r="B91" s="15" t="s">
        <v>355</v>
      </c>
      <c r="C91" s="15" t="s">
        <v>356</v>
      </c>
      <c r="D91" s="15" t="s">
        <v>357</v>
      </c>
      <c r="E91" s="15" t="s">
        <v>358</v>
      </c>
      <c r="F91" s="15" t="s">
        <v>2481</v>
      </c>
      <c r="G91" s="15" t="s">
        <v>252</v>
      </c>
      <c r="H91" s="19" t="str">
        <f t="array" ref="H91">IFERROR(INDEX(Lease_List!D:D,MATCH(All_User_backup!D91,Lease_List!H:H,0)),"없음")</f>
        <v>5CD5179KHJ</v>
      </c>
      <c r="I91" s="22" t="s">
        <v>29</v>
      </c>
      <c r="J91" s="21"/>
      <c r="K91" s="22" t="str">
        <f t="array" ref="K91">IFERROR(INDEX(Ipad_List!C:C,MATCH(All_User_backup!D91,Ipad_List!J:J,0)),"없음")</f>
        <v>없음</v>
      </c>
      <c r="L91" s="35" t="str">
        <f t="array" ref="L91">IFERROR(INDEX(TeamsNumber!B:B,MATCH(All_User_backup!D91,TeamsNumber!D:D,0)),"없음")</f>
        <v>tel:+82234517647</v>
      </c>
      <c r="M91" s="35" t="str">
        <f t="array" ref="M91">IFERROR(INDEX(Printer!D:D,MATCH(All_User_backup!D91,Printer!H:H,0)),"없음")</f>
        <v>없음</v>
      </c>
      <c r="N91" s="24" t="str">
        <f t="array" ref="N91">IFERROR(INDEX(Monitor!A:A,MATCH(D91,Monitor!D:D,0)),"없음")</f>
        <v>LCD 모니터</v>
      </c>
      <c r="O91" s="24" t="str">
        <f t="array" ref="O91">IFERROR(INDEX(sales!D:D,MATCH(D91,sales!C:C,0)),"없음")</f>
        <v>없음</v>
      </c>
      <c r="P91" s="24" t="str">
        <f t="array" ref="P91">IFERROR(INDEX(sales!E:E,MATCH(D91,sales!C:C,0)),"없음")</f>
        <v>없음</v>
      </c>
      <c r="Q91" s="24"/>
      <c r="R91" s="24"/>
    </row>
    <row r="92">
      <c r="A92" s="13">
        <v>92.0</v>
      </c>
      <c r="B92" s="15" t="s">
        <v>359</v>
      </c>
      <c r="C92" s="15" t="s">
        <v>360</v>
      </c>
      <c r="D92" s="15" t="s">
        <v>361</v>
      </c>
      <c r="E92" s="15" t="s">
        <v>362</v>
      </c>
      <c r="F92" s="15" t="s">
        <v>2478</v>
      </c>
      <c r="G92" s="15" t="s">
        <v>363</v>
      </c>
      <c r="H92" s="19" t="str">
        <f t="array" ref="H92">IFERROR(INDEX(Lease_List!D:D,MATCH(All_User_backup!D92,Lease_List!H:H,0)),"없음")</f>
        <v>5CD3469HDV</v>
      </c>
      <c r="I92" s="22" t="s">
        <v>29</v>
      </c>
      <c r="J92" s="21"/>
      <c r="K92" s="22" t="str">
        <f t="array" ref="K92">IFERROR(INDEX(Ipad_List!C:C,MATCH(All_User_backup!D92,Ipad_List!J:J,0)),"없음")</f>
        <v>없음</v>
      </c>
      <c r="L92" s="35" t="str">
        <f t="array" ref="L92">IFERROR(INDEX(TeamsNumber!B:B,MATCH(All_User_backup!D92,TeamsNumber!D:D,0)),"없음")</f>
        <v>tel:+82234517638</v>
      </c>
      <c r="M92" s="35" t="str">
        <f t="array" ref="M92">IFERROR(INDEX(Printer!D:D,MATCH(All_User_backup!D92,Printer!H:H,0)),"없음")</f>
        <v>없음</v>
      </c>
      <c r="N92" s="24" t="str">
        <f t="array" ref="N92">IFERROR(INDEX(Monitor!A:A,MATCH(D92,Monitor!D:D,0)),"없음")</f>
        <v>없음</v>
      </c>
      <c r="O92" s="24" t="str">
        <f t="array" ref="O92">IFERROR(INDEX(sales!D:D,MATCH(D92,sales!C:C,0)),"없음")</f>
        <v>없음</v>
      </c>
      <c r="P92" s="24" t="str">
        <f t="array" ref="P92">IFERROR(INDEX(sales!E:E,MATCH(D92,sales!C:C,0)),"없음")</f>
        <v>없음</v>
      </c>
      <c r="Q92" s="24"/>
      <c r="R92" s="24"/>
    </row>
    <row r="93">
      <c r="A93" s="13">
        <v>93.0</v>
      </c>
      <c r="B93" s="15" t="s">
        <v>364</v>
      </c>
      <c r="C93" s="15" t="s">
        <v>365</v>
      </c>
      <c r="D93" s="15" t="s">
        <v>366</v>
      </c>
      <c r="E93" s="15" t="s">
        <v>125</v>
      </c>
      <c r="F93" s="15" t="s">
        <v>2471</v>
      </c>
      <c r="G93" s="15" t="s">
        <v>2472</v>
      </c>
      <c r="H93" s="19" t="str">
        <f t="array" ref="H93">IFERROR(INDEX(Lease_List!D:D,MATCH(All_User_backup!D93,Lease_List!H:H,0)),"없음")</f>
        <v>5CD4305D8W</v>
      </c>
      <c r="I93" s="22" t="s">
        <v>29</v>
      </c>
      <c r="J93" s="21"/>
      <c r="K93" s="22" t="str">
        <f t="array" ref="K93">IFERROR(INDEX(Ipad_List!C:C,MATCH(All_User_backup!D93,Ipad_List!J:J,0)),"없음")</f>
        <v>P7Q3X0HYFW</v>
      </c>
      <c r="L93" s="23" t="str">
        <f t="array" ref="L93">IFERROR(INDEX(TeamsNumber!B:B,MATCH(All_User_backup!D93,TeamsNumber!D:D,0)),"없음")</f>
        <v>tel:+82234517582</v>
      </c>
      <c r="M93" s="23" t="str">
        <f t="array" ref="M93">IFERROR(INDEX(Printer!D:D,MATCH(All_User_backup!D93,Printer!H:H,0)),"없음")</f>
        <v>SL-C563W</v>
      </c>
      <c r="N93" s="24" t="str">
        <f t="array" ref="N93">IFERROR(INDEX(Monitor!A:A,MATCH(D93,Monitor!D:D,0)),"없음")</f>
        <v>없음</v>
      </c>
      <c r="O93" s="24" t="str">
        <f t="array" ref="O93">IFERROR(INDEX(sales!D:D,MATCH(D93,sales!C:C,0)),"없음")</f>
        <v>Mako</v>
      </c>
      <c r="P93" s="24" t="str">
        <f t="array" ref="P93">IFERROR(INDEX(sales!E:E,MATCH(D93,sales!C:C,0)),"없음")</f>
        <v>Sales</v>
      </c>
      <c r="Q93" s="24" t="str">
        <f t="array" ref="Q93">IFERROR(INDEX(sales!C:C,MATCH(D93,sales!C:C,0)),"list없음")</f>
        <v>jayden.kim@stryker.com</v>
      </c>
      <c r="R93" s="24"/>
    </row>
    <row r="94">
      <c r="A94" s="89"/>
      <c r="B94" s="90"/>
      <c r="C94" s="90"/>
      <c r="D94" s="90"/>
      <c r="E94" s="90"/>
      <c r="F94" s="90"/>
      <c r="G94" s="90"/>
      <c r="H94" s="92"/>
      <c r="I94" s="93"/>
      <c r="J94" s="99"/>
      <c r="K94" s="93"/>
      <c r="L94" s="95"/>
      <c r="M94" s="95"/>
      <c r="N94" s="96"/>
      <c r="O94" s="96"/>
      <c r="P94" s="96"/>
      <c r="Q94" s="97"/>
      <c r="R94" s="97"/>
    </row>
    <row r="95">
      <c r="A95" s="13">
        <v>95.0</v>
      </c>
      <c r="B95" s="15" t="s">
        <v>367</v>
      </c>
      <c r="C95" s="15" t="s">
        <v>368</v>
      </c>
      <c r="D95" s="15" t="s">
        <v>369</v>
      </c>
      <c r="E95" s="15" t="s">
        <v>57</v>
      </c>
      <c r="F95" s="15" t="s">
        <v>2471</v>
      </c>
      <c r="G95" s="15" t="s">
        <v>2473</v>
      </c>
      <c r="H95" s="19" t="str">
        <f t="array" ref="H95">IFERROR(INDEX(Lease_List!D:D,MATCH(All_User_backup!D95,Lease_List!H:H,0)),"없음")</f>
        <v>5CD4305D81</v>
      </c>
      <c r="I95" s="22" t="s">
        <v>29</v>
      </c>
      <c r="J95" s="21"/>
      <c r="K95" s="22" t="str">
        <f t="array" ref="K95">IFERROR(INDEX(Ipad_List!C:C,MATCH(All_User_backup!D95,Ipad_List!J:J,0)),"없음")</f>
        <v>F9XWF4345F</v>
      </c>
      <c r="L95" s="23" t="str">
        <f t="array" ref="L95">IFERROR(INDEX(TeamsNumber!B:B,MATCH(All_User_backup!D95,TeamsNumber!D:D,0)),"없음")</f>
        <v>tel:+82234517536</v>
      </c>
      <c r="M95" s="23" t="str">
        <f t="array" ref="M95">IFERROR(INDEX(Printer!D:D,MATCH(All_User_backup!D95,Printer!H:H,0)),"없음")</f>
        <v>없음</v>
      </c>
      <c r="N95" s="24" t="str">
        <f t="array" ref="N95">IFERROR(INDEX(Monitor!A:A,MATCH(D95,Monitor!D:D,0)),"없음")</f>
        <v>없음</v>
      </c>
      <c r="O95" s="24" t="str">
        <f t="array" ref="O95">IFERROR(INDEX(sales!D:D,MATCH(D95,sales!C:C,0)),"없음")</f>
        <v>Mako</v>
      </c>
      <c r="P95" s="24" t="str">
        <f t="array" ref="P95">IFERROR(INDEX(sales!E:E,MATCH(D95,sales!C:C,0)),"없음")</f>
        <v>MPS</v>
      </c>
      <c r="Q95" s="24" t="str">
        <f t="array" ref="Q95">IFERROR(INDEX(sales!C:C,MATCH(D95,sales!C:C,0)),"list없음")</f>
        <v>dongkyu.kim@stryker.com</v>
      </c>
      <c r="R95" s="24"/>
    </row>
    <row r="96">
      <c r="A96" s="13">
        <v>96.0</v>
      </c>
      <c r="B96" s="15" t="s">
        <v>370</v>
      </c>
      <c r="C96" s="15" t="s">
        <v>371</v>
      </c>
      <c r="D96" s="15" t="s">
        <v>372</v>
      </c>
      <c r="E96" s="15" t="s">
        <v>373</v>
      </c>
      <c r="F96" s="15" t="s">
        <v>2471</v>
      </c>
      <c r="G96" s="15" t="s">
        <v>2482</v>
      </c>
      <c r="H96" s="19" t="str">
        <f t="array" ref="H96">IFERROR(INDEX(Lease_List!D:D,MATCH(All_User_backup!D96,Lease_List!H:H,0)),"없음")</f>
        <v>5CD442C07F</v>
      </c>
      <c r="I96" s="22" t="s">
        <v>29</v>
      </c>
      <c r="J96" s="21"/>
      <c r="K96" s="22" t="str">
        <f t="array" ref="K96">IFERROR(INDEX(Ipad_List!C:C,MATCH(All_User_backup!D96,Ipad_List!J:J,0)),"없음")</f>
        <v>XGH27YLWQM</v>
      </c>
      <c r="L96" s="23" t="str">
        <f t="array" ref="L96">IFERROR(INDEX(TeamsNumber!B:B,MATCH(All_User_backup!D96,TeamsNumber!D:D,0)),"없음")</f>
        <v>tel:+82234517555</v>
      </c>
      <c r="M96" s="23" t="str">
        <f t="array" ref="M96">IFERROR(INDEX(Printer!D:D,MATCH(All_User_backup!D96,Printer!H:H,0)),"없음")</f>
        <v>없음</v>
      </c>
      <c r="N96" s="24" t="str">
        <f t="array" ref="N96">IFERROR(INDEX(Monitor!A:A,MATCH(D96,Monitor!D:D,0)),"없음")</f>
        <v>없음</v>
      </c>
      <c r="O96" s="24" t="str">
        <f t="array" ref="O96">IFERROR(INDEX(sales!D:D,MATCH(D96,sales!C:C,0)),"없음")</f>
        <v/>
      </c>
      <c r="P96" s="24" t="str">
        <f t="array" ref="P96">IFERROR(INDEX(sales!E:E,MATCH(D96,sales!C:C,0)),"없음")</f>
        <v>MKT</v>
      </c>
      <c r="Q96" s="24" t="str">
        <f t="array" ref="Q96">IFERROR(INDEX(sales!C:C,MATCH(D96,sales!C:C,0)),"list없음")</f>
        <v>minki.kim@stryker.com</v>
      </c>
      <c r="R96" s="24"/>
    </row>
    <row r="97">
      <c r="A97" s="13">
        <v>97.0</v>
      </c>
      <c r="B97" s="15" t="s">
        <v>374</v>
      </c>
      <c r="C97" s="15" t="s">
        <v>375</v>
      </c>
      <c r="D97" s="15" t="s">
        <v>376</v>
      </c>
      <c r="E97" s="15" t="s">
        <v>377</v>
      </c>
      <c r="F97" s="15" t="s">
        <v>2496</v>
      </c>
      <c r="G97" s="15" t="s">
        <v>628</v>
      </c>
      <c r="H97" s="19" t="str">
        <f t="array" ref="H97">IFERROR(INDEX(Lease_List!D:D,MATCH(All_User_backup!D97,Lease_List!H:H,0)),"없음")</f>
        <v>5CD5179KH1</v>
      </c>
      <c r="I97" s="22" t="s">
        <v>379</v>
      </c>
      <c r="J97" s="21"/>
      <c r="K97" s="22" t="str">
        <f t="array" ref="K97">IFERROR(INDEX(Ipad_List!C:C,MATCH(All_User_backup!D97,Ipad_List!J:J,0)),"없음")</f>
        <v>QT422FMH26</v>
      </c>
      <c r="L97" s="35" t="str">
        <f t="array" ref="L97">IFERROR(INDEX(TeamsNumber!B:B,MATCH(All_User_backup!D97,TeamsNumber!D:D,0)),"없음")</f>
        <v>tel:+82234517529</v>
      </c>
      <c r="M97" s="35" t="str">
        <f t="array" ref="M97">IFERROR(INDEX(Printer!D:D,MATCH(All_User_backup!D97,Printer!H:H,0)),"없음")</f>
        <v>없음</v>
      </c>
      <c r="N97" s="24" t="str">
        <f t="array" ref="N97">IFERROR(INDEX(Monitor!A:A,MATCH(D97,Monitor!D:D,0)),"없음")</f>
        <v>없음</v>
      </c>
      <c r="O97" s="24" t="str">
        <f t="array" ref="O97">IFERROR(INDEX(sales!D:D,MATCH(D97,sales!C:C,0)),"없음")</f>
        <v>없음</v>
      </c>
      <c r="P97" s="24" t="str">
        <f t="array" ref="P97">IFERROR(INDEX(sales!E:E,MATCH(D97,sales!C:C,0)),"없음")</f>
        <v>없음</v>
      </c>
      <c r="Q97" s="24"/>
      <c r="R97" s="24"/>
    </row>
    <row r="98">
      <c r="A98" s="13">
        <v>98.0</v>
      </c>
      <c r="B98" s="15" t="s">
        <v>380</v>
      </c>
      <c r="C98" s="15" t="s">
        <v>381</v>
      </c>
      <c r="D98" s="15" t="s">
        <v>382</v>
      </c>
      <c r="E98" s="15" t="s">
        <v>383</v>
      </c>
      <c r="F98" s="18" t="s">
        <v>2481</v>
      </c>
      <c r="G98" s="15" t="s">
        <v>2497</v>
      </c>
      <c r="H98" s="19" t="str">
        <f t="array" ref="H98">IFERROR(INDEX(Lease_List!D:D,MATCH(All_User_backup!D98,Lease_List!H:H,0)),"없음")</f>
        <v>5CG53403D1</v>
      </c>
      <c r="I98" s="22" t="s">
        <v>384</v>
      </c>
      <c r="J98" s="21"/>
      <c r="K98" s="22" t="str">
        <f t="array" ref="K98">IFERROR(INDEX(Ipad_List!C:C,MATCH(All_User_backup!D98,Ipad_List!J:J,0)),"없음")</f>
        <v>없음</v>
      </c>
      <c r="L98" s="35" t="str">
        <f t="array" ref="L98">IFERROR(INDEX(TeamsNumber!B:B,MATCH(All_User_backup!D98,TeamsNumber!D:D,0)),"없음")</f>
        <v>tel:+82234517601</v>
      </c>
      <c r="M98" s="35" t="str">
        <f t="array" ref="M98">IFERROR(INDEX(Printer!D:D,MATCH(All_User_backup!D98,Printer!H:H,0)),"없음")</f>
        <v>없음</v>
      </c>
      <c r="N98" s="24" t="str">
        <f t="array" ref="N98">IFERROR(INDEX(Monitor!A:A,MATCH(D98,Monitor!D:D,0)),"없음")</f>
        <v>없음</v>
      </c>
      <c r="O98" s="24" t="str">
        <f t="array" ref="O98">IFERROR(INDEX(sales!D:D,MATCH(D98,sales!C:C,0)),"없음")</f>
        <v>없음</v>
      </c>
      <c r="P98" s="24" t="str">
        <f t="array" ref="P98">IFERROR(INDEX(sales!E:E,MATCH(D98,sales!C:C,0)),"없음")</f>
        <v>없음</v>
      </c>
      <c r="Q98" s="24"/>
      <c r="R98" s="24"/>
    </row>
    <row r="99">
      <c r="A99" s="13">
        <v>99.0</v>
      </c>
      <c r="B99" s="15" t="s">
        <v>385</v>
      </c>
      <c r="C99" s="15" t="s">
        <v>386</v>
      </c>
      <c r="D99" s="15" t="s">
        <v>387</v>
      </c>
      <c r="E99" s="15" t="s">
        <v>388</v>
      </c>
      <c r="F99" s="15" t="s">
        <v>2471</v>
      </c>
      <c r="G99" s="15" t="s">
        <v>2473</v>
      </c>
      <c r="H99" s="19" t="str">
        <f t="array" ref="H99">IFERROR(INDEX(Lease_List!D:D,MATCH(All_User_backup!D99,Lease_List!H:H,0)),"없음")</f>
        <v>5CD4145N3K</v>
      </c>
      <c r="I99" s="22" t="s">
        <v>29</v>
      </c>
      <c r="J99" s="21"/>
      <c r="K99" s="22" t="str">
        <f t="array" ref="K99">IFERROR(INDEX(Ipad_List!C:C,MATCH(All_User_backup!D99,Ipad_List!J:J,0)),"없음")</f>
        <v>P40KK7NLQG</v>
      </c>
      <c r="L99" s="23" t="str">
        <f t="array" ref="L99">IFERROR(INDEX(TeamsNumber!B:B,MATCH(All_User_backup!D99,TeamsNumber!D:D,0)),"없음")</f>
        <v>tel:+82234517692</v>
      </c>
      <c r="M99" s="23" t="str">
        <f t="array" ref="M99">IFERROR(INDEX(Printer!D:D,MATCH(All_User_backup!D99,Printer!H:H,0)),"없음")</f>
        <v>없음</v>
      </c>
      <c r="N99" s="24" t="str">
        <f t="array" ref="N99">IFERROR(INDEX(Monitor!A:A,MATCH(D99,Monitor!D:D,0)),"없음")</f>
        <v>없음</v>
      </c>
      <c r="O99" s="24" t="str">
        <f t="array" ref="O99">IFERROR(INDEX(sales!D:D,MATCH(D99,sales!C:C,0)),"없음")</f>
        <v>Mako</v>
      </c>
      <c r="P99" s="24" t="str">
        <f t="array" ref="P99">IFERROR(INDEX(sales!E:E,MATCH(D99,sales!C:C,0)),"없음")</f>
        <v>MPS</v>
      </c>
      <c r="Q99" s="24" t="str">
        <f t="array" ref="Q99">IFERROR(INDEX(sales!C:C,MATCH(D99,sales!C:C,0)),"list없음")</f>
        <v>mason.kim1@stryker.com</v>
      </c>
      <c r="R99" s="24"/>
    </row>
    <row r="100">
      <c r="A100" s="13">
        <v>100.0</v>
      </c>
      <c r="B100" s="15" t="s">
        <v>389</v>
      </c>
      <c r="C100" s="15" t="s">
        <v>390</v>
      </c>
      <c r="D100" s="15" t="s">
        <v>391</v>
      </c>
      <c r="E100" s="15" t="s">
        <v>57</v>
      </c>
      <c r="F100" s="15" t="s">
        <v>2471</v>
      </c>
      <c r="G100" s="15" t="s">
        <v>2473</v>
      </c>
      <c r="H100" s="19" t="str">
        <f t="array" ref="H100">IFERROR(INDEX(Lease_List!D:D,MATCH(All_User_backup!D100,Lease_List!H:H,0)),"없음")</f>
        <v>없음</v>
      </c>
      <c r="I100" s="22" t="s">
        <v>29</v>
      </c>
      <c r="J100" s="25" t="s">
        <v>392</v>
      </c>
      <c r="K100" s="22" t="str">
        <f t="array" ref="K100">IFERROR(INDEX(Ipad_List!C:C,MATCH(All_User_backup!D100,Ipad_List!J:J,0)),"없음")</f>
        <v>LY9JGJQMTP</v>
      </c>
      <c r="L100" s="23" t="str">
        <f t="array" ref="L100">IFERROR(INDEX(TeamsNumber!B:B,MATCH(All_User_backup!D100,TeamsNumber!D:D,0)),"없음")</f>
        <v>tel:+82234517615</v>
      </c>
      <c r="M100" s="23" t="str">
        <f t="array" ref="M100">IFERROR(INDEX(Printer!D:D,MATCH(All_User_backup!D100,Printer!G:G,0)),"없음")</f>
        <v>없음</v>
      </c>
      <c r="N100" s="24" t="str">
        <f t="array" ref="N100">IFERROR(INDEX(Monitor!A:A,MATCH(D100,Monitor!D:D,0)),"없음")</f>
        <v>없음</v>
      </c>
      <c r="O100" s="24" t="str">
        <f t="array" ref="O100">IFERROR(INDEX(sales!D:D,MATCH(D100,sales!C:C,0)),"없음")</f>
        <v>Mako</v>
      </c>
      <c r="P100" s="24" t="str">
        <f t="array" ref="P100">IFERROR(INDEX(sales!E:E,MATCH(D100,sales!C:C,0)),"없음")</f>
        <v>MPS</v>
      </c>
      <c r="Q100" s="24" t="str">
        <f t="array" ref="Q100">IFERROR(INDEX(sales!C:C,MATCH(D100,sales!C:C,0)),"list없음")</f>
        <v>mindo.kim@stryker.com</v>
      </c>
      <c r="R100" s="24"/>
    </row>
    <row r="101">
      <c r="A101" s="13">
        <v>101.0</v>
      </c>
      <c r="B101" s="15" t="s">
        <v>393</v>
      </c>
      <c r="C101" s="15" t="s">
        <v>394</v>
      </c>
      <c r="D101" s="15" t="s">
        <v>395</v>
      </c>
      <c r="E101" s="15" t="s">
        <v>57</v>
      </c>
      <c r="F101" s="15" t="s">
        <v>2471</v>
      </c>
      <c r="G101" s="15" t="s">
        <v>2473</v>
      </c>
      <c r="H101" s="19" t="str">
        <f t="array" ref="H101">IFERROR(INDEX(Lease_List!D:D,MATCH(All_User_backup!D101,Lease_List!H:H,0)),"없음")</f>
        <v>없음</v>
      </c>
      <c r="I101" s="20" t="s">
        <v>396</v>
      </c>
      <c r="J101" s="25" t="s">
        <v>396</v>
      </c>
      <c r="K101" s="22" t="str">
        <f t="array" ref="K101">IFERROR(INDEX(Ipad_List!C:C,MATCH(All_User_backup!D101,Ipad_List!J:J,0)),"없음")</f>
        <v>JJWL6VTHKK</v>
      </c>
      <c r="L101" s="23" t="str">
        <f t="array" ref="L101">IFERROR(INDEX(TeamsNumber!B:B,MATCH(All_User_backup!D101,TeamsNumber!D:D,0)),"없음")</f>
        <v>tel:+82234517620</v>
      </c>
      <c r="M101" s="23" t="str">
        <f t="array" ref="M101">IFERROR(INDEX(Printer!D:D,MATCH(All_User_backup!D101,Printer!G:G,0)),"없음")</f>
        <v>없음</v>
      </c>
      <c r="N101" s="24" t="str">
        <f t="array" ref="N101">IFERROR(INDEX(Monitor!A:A,MATCH(D101,Monitor!D:D,0)),"없음")</f>
        <v>없음</v>
      </c>
      <c r="O101" s="24" t="str">
        <f t="array" ref="O101">IFERROR(INDEX(sales!D:D,MATCH(D101,sales!C:C,0)),"없음")</f>
        <v>Mako</v>
      </c>
      <c r="P101" s="24" t="str">
        <f t="array" ref="P101">IFERROR(INDEX(sales!E:E,MATCH(D101,sales!C:C,0)),"없음")</f>
        <v>MPS</v>
      </c>
      <c r="Q101" s="24" t="str">
        <f t="array" ref="Q101">IFERROR(INDEX(sales!C:C,MATCH(D101,sales!C:C,0)),"list없음")</f>
        <v>aspyn.kim@stryker.com</v>
      </c>
      <c r="R101" s="24"/>
    </row>
    <row r="102">
      <c r="A102" s="89">
        <v>102.0</v>
      </c>
      <c r="B102" s="90" t="s">
        <v>2498</v>
      </c>
      <c r="C102" s="90" t="s">
        <v>2499</v>
      </c>
      <c r="D102" s="90" t="s">
        <v>1780</v>
      </c>
      <c r="E102" s="90" t="s">
        <v>57</v>
      </c>
      <c r="F102" s="90" t="s">
        <v>2471</v>
      </c>
      <c r="G102" s="90" t="s">
        <v>2473</v>
      </c>
      <c r="H102" s="92" t="str">
        <f t="array" ref="H102">IFERROR(INDEX(Lease_List!D:D,MATCH(All_User_backup!D102,Lease_List!H:H,0)),"없음")</f>
        <v>없음</v>
      </c>
      <c r="I102" s="93" t="s">
        <v>29</v>
      </c>
      <c r="J102" s="99"/>
      <c r="K102" s="93" t="str">
        <f t="array" ref="K102">IFERROR(INDEX(Ipad_List!C:C,MATCH(All_User_backup!D102,Ipad_List!J:J,0)),"없음")</f>
        <v>없음</v>
      </c>
      <c r="L102" s="376" t="str">
        <f t="array" ref="L102">IFERROR(INDEX(TeamsNumber!B:B,MATCH(All_User_backup!D102,TeamsNumber!D:D,0)),"없음")</f>
        <v>tel:+82234517628</v>
      </c>
      <c r="M102" s="376" t="str">
        <f t="array" ref="M102">IFERROR(INDEX(Printer!D:D,MATCH(All_User_backup!D102,Printer!H:H,0)),"없음")</f>
        <v>없음</v>
      </c>
      <c r="N102" s="96" t="str">
        <f t="array" ref="N102">IFERROR(INDEX(Monitor!A:A,MATCH(D102,Monitor!D:D,0)),"없음")</f>
        <v>없음</v>
      </c>
      <c r="O102" s="96" t="str">
        <f t="array" ref="O102">IFERROR(INDEX(sales!D:D,MATCH(D102,sales!C:C,0)),"없음")</f>
        <v>Mako</v>
      </c>
      <c r="P102" s="96" t="str">
        <f t="array" ref="P102">IFERROR(INDEX(sales!E:E,MATCH(D102,sales!C:C,0)),"없음")</f>
        <v>MPS</v>
      </c>
      <c r="Q102" s="96" t="str">
        <f t="array" ref="Q102">IFERROR(INDEX(sales!C:C,MATCH(D102,sales!C:C,0)),"list없음")</f>
        <v>minjeong.kim@stryker.com</v>
      </c>
      <c r="R102" s="97">
        <v>46356.0</v>
      </c>
    </row>
    <row r="103">
      <c r="A103" s="13">
        <v>103.0</v>
      </c>
      <c r="B103" s="15" t="s">
        <v>397</v>
      </c>
      <c r="C103" s="15" t="s">
        <v>398</v>
      </c>
      <c r="D103" s="15" t="s">
        <v>399</v>
      </c>
      <c r="E103" s="15" t="s">
        <v>196</v>
      </c>
      <c r="F103" s="15" t="s">
        <v>2471</v>
      </c>
      <c r="G103" s="15" t="s">
        <v>82</v>
      </c>
      <c r="H103" s="19" t="str">
        <f t="array" ref="H103">IFERROR(INDEX(Lease_List!D:D,MATCH(All_User_backup!D103,Lease_List!H:H,0)),"없음")</f>
        <v>5CD4305D8K</v>
      </c>
      <c r="I103" s="22" t="s">
        <v>29</v>
      </c>
      <c r="J103" s="21"/>
      <c r="K103" s="22" t="str">
        <f t="array" ref="K103">IFERROR(INDEX(Ipad_List!C:C,MATCH(All_User_backup!D103,Ipad_List!J:J,0)),"없음")</f>
        <v>CK7JHKH443</v>
      </c>
      <c r="L103" s="35" t="str">
        <f t="array" ref="L103">IFERROR(INDEX(TeamsNumber!B:B,MATCH(All_User_backup!D103,TeamsNumber!D:D,0)),"없음")</f>
        <v>tel:+82234517697</v>
      </c>
      <c r="M103" s="35" t="str">
        <f t="array" ref="M103">IFERROR(INDEX(Printer!D:D,MATCH(All_User_backup!D103,Printer!H:H,0)),"없음")</f>
        <v>없음</v>
      </c>
      <c r="N103" s="24" t="str">
        <f t="array" ref="N103">IFERROR(INDEX(Monitor!A:A,MATCH(D103,Monitor!D:D,0)),"없음")</f>
        <v>LCD 모니터</v>
      </c>
      <c r="O103" s="24" t="str">
        <f t="array" ref="O103">IFERROR(INDEX(sales!D:D,MATCH(D103,sales!C:C,0)),"없음")</f>
        <v>없음</v>
      </c>
      <c r="P103" s="24" t="str">
        <f t="array" ref="P103">IFERROR(INDEX(sales!E:E,MATCH(D103,sales!C:C,0)),"없음")</f>
        <v>없음</v>
      </c>
      <c r="Q103" s="24"/>
      <c r="R103" s="24"/>
    </row>
    <row r="104">
      <c r="A104" s="13">
        <v>104.0</v>
      </c>
      <c r="B104" s="15" t="s">
        <v>400</v>
      </c>
      <c r="C104" s="15" t="s">
        <v>401</v>
      </c>
      <c r="D104" s="15" t="s">
        <v>402</v>
      </c>
      <c r="E104" s="15" t="s">
        <v>76</v>
      </c>
      <c r="F104" s="15" t="s">
        <v>2471</v>
      </c>
      <c r="G104" s="15" t="s">
        <v>2480</v>
      </c>
      <c r="H104" s="19" t="str">
        <f t="array" ref="H104">IFERROR(INDEX(Lease_List!D:D,MATCH(All_User_backup!D104,Lease_List!H:H,0)),"없음")</f>
        <v>없음</v>
      </c>
      <c r="I104" s="22" t="s">
        <v>118</v>
      </c>
      <c r="J104" s="21"/>
      <c r="K104" s="22" t="str">
        <f t="array" ref="K104">IFERROR(INDEX(Ipad_List!C:C,MATCH(All_User_backup!D104,Ipad_List!J:J,0)),"없음")</f>
        <v>HC0FP2JHG7</v>
      </c>
      <c r="L104" s="23" t="str">
        <f t="array" ref="L104">IFERROR(INDEX(TeamsNumber!B:B,MATCH(All_User_backup!D104,TeamsNumber!D:D,0)),"없음")</f>
        <v>tel:+82234517590</v>
      </c>
      <c r="M104" s="23" t="str">
        <f t="array" ref="M104">IFERROR(INDEX(Printer!D:D,MATCH(All_User_backup!D104,Printer!G:G,0)),"없음")</f>
        <v>없음</v>
      </c>
      <c r="N104" s="24" t="str">
        <f t="array" ref="N104">IFERROR(INDEX(Monitor!A:A,MATCH(D104,Monitor!D:D,0)),"없음")</f>
        <v>없음</v>
      </c>
      <c r="O104" s="24" t="str">
        <f t="array" ref="O104">IFERROR(INDEX(sales!D:D,MATCH(D104,sales!C:C,0)),"없음")</f>
        <v>MedSurg</v>
      </c>
      <c r="P104" s="24" t="str">
        <f t="array" ref="P104">IFERROR(INDEX(sales!E:E,MATCH(D104,sales!C:C,0)),"없음")</f>
        <v>Sales</v>
      </c>
      <c r="Q104" s="24" t="str">
        <f t="array" ref="Q104">IFERROR(INDEX(sales!C:C,MATCH(D104,sales!C:C,0)),"list없음")</f>
        <v>david.kim3@stryker.com</v>
      </c>
      <c r="R104" s="24"/>
    </row>
    <row r="105">
      <c r="A105" s="13">
        <v>105.0</v>
      </c>
      <c r="B105" s="15" t="s">
        <v>403</v>
      </c>
      <c r="C105" s="15" t="s">
        <v>404</v>
      </c>
      <c r="D105" s="15" t="s">
        <v>405</v>
      </c>
      <c r="E105" s="15" t="s">
        <v>76</v>
      </c>
      <c r="F105" s="15" t="s">
        <v>2471</v>
      </c>
      <c r="G105" s="15" t="s">
        <v>2480</v>
      </c>
      <c r="H105" s="19" t="str">
        <f t="array" ref="H105">IFERROR(INDEX(Lease_List!D:D,MATCH(All_User_backup!D105,Lease_List!H:H,0)),"없음")</f>
        <v>5CD5179KHQ</v>
      </c>
      <c r="I105" s="22" t="s">
        <v>29</v>
      </c>
      <c r="J105" s="25" t="s">
        <v>406</v>
      </c>
      <c r="K105" s="22" t="str">
        <f t="array" ref="K105">IFERROR(INDEX(Ipad_List!C:C,MATCH(All_User_backup!D105,Ipad_List!J:J,0)),"없음")</f>
        <v>Q5M6F1YX19</v>
      </c>
      <c r="L105" s="23" t="str">
        <f t="array" ref="L105">IFERROR(INDEX(TeamsNumber!B:B,MATCH(All_User_backup!D105,TeamsNumber!D:D,0)),"없음")</f>
        <v>tel:+82234517696</v>
      </c>
      <c r="M105" s="23" t="str">
        <f t="array" ref="M105">IFERROR(INDEX(Printer!D:D,MATCH(All_User_backup!D105,Printer!H:H,0)),"없음")</f>
        <v>SL-C486FW</v>
      </c>
      <c r="N105" s="24" t="str">
        <f t="array" ref="N105">IFERROR(INDEX(Monitor!A:A,MATCH(D105,Monitor!D:D,0)),"없음")</f>
        <v>없음</v>
      </c>
      <c r="O105" s="24" t="str">
        <f t="array" ref="O105">IFERROR(INDEX(sales!D:D,MATCH(D105,sales!C:C,0)),"없음")</f>
        <v>Shoulder</v>
      </c>
      <c r="P105" s="24" t="str">
        <f t="array" ref="P105">IFERROR(INDEX(sales!E:E,MATCH(D105,sales!C:C,0)),"없음")</f>
        <v>Sales</v>
      </c>
      <c r="Q105" s="24" t="str">
        <f t="array" ref="Q105">IFERROR(INDEX(sales!C:C,MATCH(D105,sales!C:C,0)),"list없음")</f>
        <v>james.kim@stryker.com</v>
      </c>
      <c r="R105" s="24"/>
    </row>
    <row r="106">
      <c r="A106" s="13">
        <v>106.0</v>
      </c>
      <c r="B106" s="15" t="s">
        <v>407</v>
      </c>
      <c r="C106" s="15" t="s">
        <v>408</v>
      </c>
      <c r="D106" s="15" t="s">
        <v>409</v>
      </c>
      <c r="E106" s="15" t="s">
        <v>57</v>
      </c>
      <c r="F106" s="15" t="s">
        <v>2471</v>
      </c>
      <c r="G106" s="15" t="s">
        <v>2473</v>
      </c>
      <c r="H106" s="19" t="str">
        <f t="array" ref="H106">IFERROR(INDEX(Lease_List!D:D,MATCH(All_User_backup!D106,Lease_List!H:H,0)),"없음")</f>
        <v>5CD5062YF0</v>
      </c>
      <c r="I106" s="22" t="s">
        <v>29</v>
      </c>
      <c r="J106" s="21"/>
      <c r="K106" s="22" t="str">
        <f t="array" ref="K106">IFERROR(INDEX(Ipad_List!C:C,MATCH(All_User_backup!D106,Ipad_List!J:J,0)),"없음")</f>
        <v>VHJMJWTK6N</v>
      </c>
      <c r="L106" s="23" t="str">
        <f t="array" ref="L106">IFERROR(INDEX(TeamsNumber!B:B,MATCH(All_User_backup!D106,TeamsNumber!D:D,0)),"없음")</f>
        <v>없음</v>
      </c>
      <c r="M106" s="23" t="str">
        <f t="array" ref="M106">IFERROR(INDEX(Printer!D:D,MATCH(All_User_backup!D106,Printer!H:H,0)),"없음")</f>
        <v>없음</v>
      </c>
      <c r="N106" s="24" t="str">
        <f t="array" ref="N106">IFERROR(INDEX(Monitor!A:A,MATCH(D106,Monitor!D:D,0)),"없음")</f>
        <v>없음</v>
      </c>
      <c r="O106" s="24" t="str">
        <f t="array" ref="O106">IFERROR(INDEX(sales!D:D,MATCH(D106,sales!C:C,0)),"없음")</f>
        <v>Mako</v>
      </c>
      <c r="P106" s="24" t="str">
        <f t="array" ref="P106">IFERROR(INDEX(sales!E:E,MATCH(D106,sales!C:C,0)),"없음")</f>
        <v>MPS</v>
      </c>
      <c r="Q106" s="24" t="str">
        <f t="array" ref="Q106">IFERROR(INDEX(sales!C:C,MATCH(D106,sales!C:C,0)),"list없음")</f>
        <v>hannah.kim@stryker.com</v>
      </c>
      <c r="R106" s="24"/>
    </row>
    <row r="107">
      <c r="A107" s="13">
        <v>107.0</v>
      </c>
      <c r="B107" s="15" t="s">
        <v>410</v>
      </c>
      <c r="C107" s="15" t="s">
        <v>411</v>
      </c>
      <c r="D107" s="15" t="s">
        <v>412</v>
      </c>
      <c r="E107" s="15" t="s">
        <v>413</v>
      </c>
      <c r="F107" s="15" t="s">
        <v>2500</v>
      </c>
      <c r="G107" s="15" t="s">
        <v>414</v>
      </c>
      <c r="H107" s="19" t="str">
        <f t="array" ref="H107">IFERROR(INDEX(Lease_List!D:D,MATCH(All_User_backup!D107,Lease_List!H:H,0)),"없음")</f>
        <v>5CD4145N3P</v>
      </c>
      <c r="I107" s="22" t="s">
        <v>29</v>
      </c>
      <c r="J107" s="21"/>
      <c r="K107" s="22" t="str">
        <f t="array" ref="K107">IFERROR(INDEX(Ipad_List!C:C,MATCH(All_User_backup!D107,Ipad_List!J:J,0)),"없음")</f>
        <v>없음</v>
      </c>
      <c r="L107" s="35" t="str">
        <f t="array" ref="L107">IFERROR(INDEX(TeamsNumber!B:B,MATCH(All_User_backup!D107,TeamsNumber!D:D,0)),"없음")</f>
        <v>tel:+82234517593</v>
      </c>
      <c r="M107" s="35" t="str">
        <f t="array" ref="M107">IFERROR(INDEX(Printer!D:D,MATCH(All_User_backup!D107,Printer!H:H,0)),"없음")</f>
        <v>없음</v>
      </c>
      <c r="N107" s="24" t="str">
        <f t="array" ref="N107">IFERROR(INDEX(Monitor!A:A,MATCH(D107,Monitor!D:D,0)),"없음")</f>
        <v>없음</v>
      </c>
      <c r="O107" s="24" t="str">
        <f t="array" ref="O107">IFERROR(INDEX(sales!D:D,MATCH(D107,sales!C:C,0)),"없음")</f>
        <v>없음</v>
      </c>
      <c r="P107" s="24" t="str">
        <f t="array" ref="P107">IFERROR(INDEX(sales!E:E,MATCH(D107,sales!C:C,0)),"없음")</f>
        <v>없음</v>
      </c>
      <c r="Q107" s="24"/>
      <c r="R107" s="24"/>
    </row>
    <row r="108">
      <c r="A108" s="13">
        <v>109.0</v>
      </c>
      <c r="B108" s="15" t="s">
        <v>415</v>
      </c>
      <c r="C108" s="15" t="s">
        <v>416</v>
      </c>
      <c r="D108" s="15" t="s">
        <v>417</v>
      </c>
      <c r="E108" s="15" t="s">
        <v>418</v>
      </c>
      <c r="F108" s="15" t="s">
        <v>2474</v>
      </c>
      <c r="G108" s="15" t="s">
        <v>420</v>
      </c>
      <c r="H108" s="19" t="str">
        <f t="array" ref="H108">IFERROR(INDEX(Lease_List!D:D,MATCH(All_User_backup!D108,Lease_List!H:H,0)),"없음")</f>
        <v>5CD3469HDD</v>
      </c>
      <c r="I108" s="22" t="s">
        <v>29</v>
      </c>
      <c r="J108" s="21"/>
      <c r="K108" s="22" t="str">
        <f t="array" ref="K108">IFERROR(INDEX(Ipad_List!C:C,MATCH(All_User_backup!D108,Ipad_List!J:J,0)),"없음")</f>
        <v>없음</v>
      </c>
      <c r="L108" s="35" t="str">
        <f t="array" ref="L108">IFERROR(INDEX(TeamsNumber!B:B,MATCH(All_User_backup!D108,TeamsNumber!D:D,0)),"없음")</f>
        <v>없음</v>
      </c>
      <c r="M108" s="35" t="str">
        <f t="array" ref="M108">IFERROR(INDEX(Printer!D:D,MATCH(All_User_backup!D108,Printer!H:H,0)),"없음")</f>
        <v>없음</v>
      </c>
      <c r="N108" s="24" t="str">
        <f t="array" ref="N108">IFERROR(INDEX(Monitor!A:A,MATCH(D108,Monitor!D:D,0)),"없음")</f>
        <v>없음</v>
      </c>
      <c r="O108" s="24" t="str">
        <f t="array" ref="O108">IFERROR(INDEX(sales!D:D,MATCH(D108,sales!C:C,0)),"없음")</f>
        <v>없음</v>
      </c>
      <c r="P108" s="24" t="str">
        <f t="array" ref="P108">IFERROR(INDEX(sales!E:E,MATCH(D108,sales!C:C,0)),"없음")</f>
        <v>없음</v>
      </c>
      <c r="Q108" s="24"/>
      <c r="R108" s="24"/>
    </row>
    <row r="109">
      <c r="A109" s="13">
        <v>110.0</v>
      </c>
      <c r="B109" s="15" t="s">
        <v>421</v>
      </c>
      <c r="C109" s="15" t="s">
        <v>422</v>
      </c>
      <c r="D109" s="15" t="s">
        <v>423</v>
      </c>
      <c r="E109" s="15" t="s">
        <v>424</v>
      </c>
      <c r="F109" s="15" t="s">
        <v>2474</v>
      </c>
      <c r="G109" s="15" t="s">
        <v>2476</v>
      </c>
      <c r="H109" s="19" t="str">
        <f t="array" ref="H109">IFERROR(INDEX(Lease_List!D:D,MATCH(All_User_backup!D109,Lease_List!H:H,0)),"없음")</f>
        <v>5CD5062YDM</v>
      </c>
      <c r="I109" s="22" t="s">
        <v>29</v>
      </c>
      <c r="J109" s="21"/>
      <c r="K109" s="22" t="str">
        <f t="array" ref="K109">IFERROR(INDEX(Ipad_List!C:C,MATCH(All_User_backup!D109,Ipad_List!J:J,0)),"없음")</f>
        <v>없음</v>
      </c>
      <c r="L109" s="35" t="str">
        <f t="array" ref="L109">IFERROR(INDEX(TeamsNumber!B:B,MATCH(All_User_backup!D109,TeamsNumber!D:D,0)),"없음")</f>
        <v>tel:+82234517690</v>
      </c>
      <c r="M109" s="35" t="str">
        <f t="array" ref="M109">IFERROR(INDEX(Printer!D:D,MATCH(All_User_backup!D109,Printer!H:H,0)),"없음")</f>
        <v>없음</v>
      </c>
      <c r="N109" s="24" t="str">
        <f t="array" ref="N109">IFERROR(INDEX(Monitor!A:A,MATCH(D109,Monitor!D:D,0)),"없음")</f>
        <v>없음</v>
      </c>
      <c r="O109" s="24" t="str">
        <f t="array" ref="O109">IFERROR(INDEX(sales!D:D,MATCH(D109,sales!C:C,0)),"없음")</f>
        <v>없음</v>
      </c>
      <c r="P109" s="24" t="str">
        <f t="array" ref="P109">IFERROR(INDEX(sales!E:E,MATCH(D109,sales!C:C,0)),"없음")</f>
        <v>없음</v>
      </c>
      <c r="Q109" s="24"/>
      <c r="R109" s="24"/>
    </row>
    <row r="110">
      <c r="A110" s="13">
        <v>111.0</v>
      </c>
      <c r="B110" s="15" t="s">
        <v>425</v>
      </c>
      <c r="C110" s="15" t="s">
        <v>426</v>
      </c>
      <c r="D110" s="15" t="s">
        <v>427</v>
      </c>
      <c r="E110" s="15" t="s">
        <v>72</v>
      </c>
      <c r="F110" s="15" t="s">
        <v>2471</v>
      </c>
      <c r="G110" s="15" t="s">
        <v>2473</v>
      </c>
      <c r="H110" s="19" t="str">
        <f t="array" ref="H110">IFERROR(INDEX(Lease_List!D:D,MATCH(All_User_backup!D110,Lease_List!H:H,0)),"없음")</f>
        <v>5CD4232BFT</v>
      </c>
      <c r="I110" s="22" t="s">
        <v>29</v>
      </c>
      <c r="J110" s="21"/>
      <c r="K110" s="22" t="str">
        <f t="array" ref="K110">IFERROR(INDEX(Ipad_List!C:C,MATCH(All_User_backup!D110,Ipad_List!J:J,0)),"없음")</f>
        <v>CJ66CPWXQ2</v>
      </c>
      <c r="L110" s="23" t="str">
        <f t="array" ref="L110">IFERROR(INDEX(TeamsNumber!B:B,MATCH(All_User_backup!D110,TeamsNumber!D:D,0)),"없음")</f>
        <v>tel:+82234517587</v>
      </c>
      <c r="M110" s="23" t="str">
        <f t="array" ref="M110">IFERROR(INDEX(Printer!D:D,MATCH(All_User_backup!D110,Printer!H:H,0)),"없음")</f>
        <v>없음</v>
      </c>
      <c r="N110" s="24" t="str">
        <f t="array" ref="N110">IFERROR(INDEX(Monitor!A:A,MATCH(D110,Monitor!D:D,0)),"없음")</f>
        <v>없음</v>
      </c>
      <c r="O110" s="24" t="str">
        <f t="array" ref="O110">IFERROR(INDEX(sales!D:D,MATCH(D110,sales!C:C,0)),"없음")</f>
        <v>Mako</v>
      </c>
      <c r="P110" s="24" t="str">
        <f t="array" ref="P110">IFERROR(INDEX(sales!E:E,MATCH(D110,sales!C:C,0)),"없음")</f>
        <v>MPS</v>
      </c>
      <c r="Q110" s="24" t="str">
        <f t="array" ref="Q110">IFERROR(INDEX(sales!C:C,MATCH(D110,sales!C:C,0)),"list없음")</f>
        <v>ara.ko@stryker.com</v>
      </c>
      <c r="R110" s="24"/>
    </row>
    <row r="111">
      <c r="A111" s="13">
        <v>112.0</v>
      </c>
      <c r="B111" s="15" t="s">
        <v>428</v>
      </c>
      <c r="C111" s="15" t="s">
        <v>429</v>
      </c>
      <c r="D111" s="15" t="s">
        <v>430</v>
      </c>
      <c r="E111" s="15" t="s">
        <v>431</v>
      </c>
      <c r="F111" s="15" t="s">
        <v>2475</v>
      </c>
      <c r="G111" s="15" t="s">
        <v>42</v>
      </c>
      <c r="H111" s="19" t="str">
        <f t="array" ref="H111">IFERROR(INDEX(Lease_List!D:D,MATCH(All_User_backup!D111,Lease_List!H:H,0)),"없음")</f>
        <v>5CD3469HDS</v>
      </c>
      <c r="I111" s="22" t="s">
        <v>29</v>
      </c>
      <c r="J111" s="21"/>
      <c r="K111" s="22" t="str">
        <f t="array" ref="K111">IFERROR(INDEX(Ipad_List!C:C,MATCH(All_User_backup!D111,Ipad_List!J:J,0)),"없음")</f>
        <v>없음</v>
      </c>
      <c r="L111" s="35" t="str">
        <f t="array" ref="L111">IFERROR(INDEX(TeamsNumber!B:B,MATCH(All_User_backup!D111,TeamsNumber!D:D,0)),"없음")</f>
        <v>tel:+82234517614</v>
      </c>
      <c r="M111" s="35" t="str">
        <f t="array" ref="M111">IFERROR(INDEX(Printer!D:D,MATCH(All_User_backup!D111,Printer!H:H,0)),"없음")</f>
        <v>없음</v>
      </c>
      <c r="N111" s="24" t="str">
        <f t="array" ref="N111">IFERROR(INDEX(Monitor!A:A,MATCH(D111,Monitor!D:D,0)),"없음")</f>
        <v>없음</v>
      </c>
      <c r="O111" s="24" t="str">
        <f t="array" ref="O111">IFERROR(INDEX(sales!D:D,MATCH(D111,sales!C:C,0)),"없음")</f>
        <v>없음</v>
      </c>
      <c r="P111" s="24" t="str">
        <f t="array" ref="P111">IFERROR(INDEX(sales!E:E,MATCH(D111,sales!C:C,0)),"없음")</f>
        <v>없음</v>
      </c>
      <c r="Q111" s="24"/>
      <c r="R111" s="24"/>
    </row>
    <row r="112">
      <c r="A112" s="13">
        <v>113.0</v>
      </c>
      <c r="B112" s="15" t="s">
        <v>432</v>
      </c>
      <c r="C112" s="15" t="s">
        <v>433</v>
      </c>
      <c r="D112" s="15" t="s">
        <v>434</v>
      </c>
      <c r="E112" s="15" t="s">
        <v>435</v>
      </c>
      <c r="F112" s="126" t="s">
        <v>27</v>
      </c>
      <c r="G112" s="15" t="s">
        <v>2493</v>
      </c>
      <c r="H112" s="19" t="str">
        <f t="array" ref="H112">IFERROR(INDEX(Lease_List!D:D,MATCH(All_User_backup!D112,Lease_List!H:H,0)),"없음")</f>
        <v>5CD4232BFH</v>
      </c>
      <c r="I112" s="22" t="s">
        <v>29</v>
      </c>
      <c r="J112" s="21"/>
      <c r="K112" s="22" t="str">
        <f t="array" ref="K112">IFERROR(INDEX(Ipad_List!C:C,MATCH(All_User_backup!D112,Ipad_List!J:J,0)),"없음")</f>
        <v>없음</v>
      </c>
      <c r="L112" s="35" t="str">
        <f t="array" ref="L112">IFERROR(INDEX(TeamsNumber!B:B,MATCH(All_User_backup!D112,TeamsNumber!D:D,0)),"없음")</f>
        <v>없음</v>
      </c>
      <c r="M112" s="35" t="str">
        <f t="array" ref="M112">IFERROR(INDEX(Printer!D:D,MATCH(All_User_backup!D112,Printer!H:H,0)),"없음")</f>
        <v>없음</v>
      </c>
      <c r="N112" s="24" t="str">
        <f t="array" ref="N112">IFERROR(INDEX(Monitor!A:A,MATCH(D112,Monitor!D:D,0)),"없음")</f>
        <v>없음</v>
      </c>
      <c r="O112" s="24" t="str">
        <f t="array" ref="O112">IFERROR(INDEX(sales!D:D,MATCH(D112,sales!C:C,0)),"없음")</f>
        <v>없음</v>
      </c>
      <c r="P112" s="24" t="str">
        <f t="array" ref="P112">IFERROR(INDEX(sales!E:E,MATCH(D112,sales!C:C,0)),"없음")</f>
        <v>없음</v>
      </c>
      <c r="Q112" s="24"/>
      <c r="R112" s="24"/>
    </row>
    <row r="113">
      <c r="A113" s="13">
        <v>114.0</v>
      </c>
      <c r="B113" s="15" t="s">
        <v>437</v>
      </c>
      <c r="C113" s="15" t="s">
        <v>438</v>
      </c>
      <c r="D113" s="15" t="s">
        <v>439</v>
      </c>
      <c r="E113" s="15" t="s">
        <v>72</v>
      </c>
      <c r="F113" s="15" t="s">
        <v>2471</v>
      </c>
      <c r="G113" s="15" t="s">
        <v>2473</v>
      </c>
      <c r="H113" s="19" t="str">
        <f t="array" ref="H113">IFERROR(INDEX(Lease_List!D:D,MATCH(All_User_backup!D113,Lease_List!H:H,0)),"없음")</f>
        <v>없음</v>
      </c>
      <c r="I113" s="22" t="s">
        <v>29</v>
      </c>
      <c r="J113" s="25" t="s">
        <v>440</v>
      </c>
      <c r="K113" s="22" t="str">
        <f t="array" ref="K113">IFERROR(INDEX(Ipad_List!C:C,MATCH(All_User_backup!D113,Ipad_List!J:J,0)),"없음")</f>
        <v>F2PL7Y4JWM</v>
      </c>
      <c r="L113" s="23" t="str">
        <f t="array" ref="L113">IFERROR(INDEX(TeamsNumber!B:B,MATCH(All_User_backup!D113,TeamsNumber!D:D,0)),"없음")</f>
        <v>tel:+82234517575</v>
      </c>
      <c r="M113" s="23" t="str">
        <f t="array" ref="M113">IFERROR(INDEX(Printer!D:D,MATCH(All_User_backup!D113,Printer!G:G,0)),"없음")</f>
        <v>없음</v>
      </c>
      <c r="N113" s="24" t="str">
        <f t="array" ref="N113">IFERROR(INDEX(Monitor!A:A,MATCH(D113,Monitor!D:D,0)),"없음")</f>
        <v>없음</v>
      </c>
      <c r="O113" s="24" t="str">
        <f t="array" ref="O113">IFERROR(INDEX(sales!D:D,MATCH(D113,sales!C:C,0)),"없음")</f>
        <v>Mako</v>
      </c>
      <c r="P113" s="24" t="str">
        <f t="array" ref="P113">IFERROR(INDEX(sales!E:E,MATCH(D113,sales!C:C,0)),"없음")</f>
        <v>MPS</v>
      </c>
      <c r="Q113" s="24" t="str">
        <f t="array" ref="Q113">IFERROR(INDEX(sales!C:C,MATCH(D113,sales!C:C,0)),"list없음")</f>
        <v>allen.ku@stryker.com</v>
      </c>
      <c r="R113" s="24"/>
    </row>
    <row r="114">
      <c r="A114" s="13">
        <v>115.0</v>
      </c>
      <c r="B114" s="15" t="s">
        <v>441</v>
      </c>
      <c r="C114" s="15" t="s">
        <v>442</v>
      </c>
      <c r="D114" s="15" t="s">
        <v>443</v>
      </c>
      <c r="E114" s="15" t="s">
        <v>444</v>
      </c>
      <c r="F114" s="15" t="s">
        <v>2471</v>
      </c>
      <c r="G114" s="15" t="s">
        <v>2485</v>
      </c>
      <c r="H114" s="19" t="str">
        <f t="array" ref="H114">IFERROR(INDEX(Lease_List!D:D,MATCH(All_User_backup!D114,Lease_List!H:H,0)),"없음")</f>
        <v>5CD442C07K</v>
      </c>
      <c r="I114" s="22" t="s">
        <v>29</v>
      </c>
      <c r="J114" s="21"/>
      <c r="K114" s="22" t="str">
        <f t="array" ref="K114">IFERROR(INDEX(Ipad_List!C:C,MATCH(All_User_backup!D114,Ipad_List!J:J,0)),"없음")</f>
        <v>M7WVNHQ0YQ</v>
      </c>
      <c r="L114" s="35" t="str">
        <f t="array" ref="L114">IFERROR(INDEX(TeamsNumber!B:B,MATCH(All_User_backup!D114,TeamsNumber!D:D,0)),"없음")</f>
        <v>tel:+82234517547</v>
      </c>
      <c r="M114" s="35" t="str">
        <f t="array" ref="M114">IFERROR(INDEX(Printer!D:D,MATCH(All_User_backup!D114,Printer!H:H,0)),"없음")</f>
        <v>2차 조사 정보 없음</v>
      </c>
      <c r="N114" s="24" t="str">
        <f t="array" ref="N114">IFERROR(INDEX(Monitor!A:A,MATCH(D114,Monitor!D:D,0)),"없음")</f>
        <v>LCD 모니터</v>
      </c>
      <c r="O114" s="24" t="str">
        <f t="array" ref="O114">IFERROR(INDEX(sales!D:D,MATCH(D114,sales!C:C,0)),"없음")</f>
        <v/>
      </c>
      <c r="P114" s="24" t="str">
        <f t="array" ref="P114">IFERROR(INDEX(sales!E:E,MATCH(D114,sales!C:C,0)),"없음")</f>
        <v/>
      </c>
      <c r="Q114" s="24"/>
      <c r="R114" s="24"/>
    </row>
    <row r="115">
      <c r="A115" s="13">
        <v>116.0</v>
      </c>
      <c r="B115" s="15" t="s">
        <v>445</v>
      </c>
      <c r="C115" s="15" t="s">
        <v>446</v>
      </c>
      <c r="D115" s="15" t="s">
        <v>447</v>
      </c>
      <c r="E115" s="15" t="s">
        <v>76</v>
      </c>
      <c r="F115" s="15" t="s">
        <v>2471</v>
      </c>
      <c r="G115" s="15" t="s">
        <v>2480</v>
      </c>
      <c r="H115" s="19" t="str">
        <f t="array" ref="H115">IFERROR(INDEX(Lease_List!D:D,MATCH(All_User_backup!D115,Lease_List!H:H,0)),"없음")</f>
        <v>5CD442C07L</v>
      </c>
      <c r="I115" s="22" t="s">
        <v>29</v>
      </c>
      <c r="J115" s="21"/>
      <c r="K115" s="22" t="str">
        <f t="array" ref="K115">IFERROR(INDEX(Ipad_List!C:C,MATCH(All_User_backup!D115,Ipad_List!J:J,0)),"없음")</f>
        <v>KXDGGF9C90</v>
      </c>
      <c r="L115" s="23" t="str">
        <f t="array" ref="L115">IFERROR(INDEX(TeamsNumber!B:B,MATCH(All_User_backup!D115,TeamsNumber!D:D,0)),"없음")</f>
        <v>tel:+82234517613</v>
      </c>
      <c r="M115" s="23" t="str">
        <f t="array" ref="M115">IFERROR(INDEX(Printer!D:D,MATCH(All_User_backup!D115,Printer!H:H,0)),"없음")</f>
        <v>SL-C563W</v>
      </c>
      <c r="N115" s="24" t="str">
        <f t="array" ref="N115">IFERROR(INDEX(Monitor!A:A,MATCH(D115,Monitor!D:D,0)),"없음")</f>
        <v>없음</v>
      </c>
      <c r="O115" s="24" t="str">
        <f t="array" ref="O115">IFERROR(INDEX(sales!D:D,MATCH(D115,sales!C:C,0)),"없음")</f>
        <v>MedSurg</v>
      </c>
      <c r="P115" s="24" t="str">
        <f t="array" ref="P115">IFERROR(INDEX(sales!E:E,MATCH(D115,sales!C:C,0)),"없음")</f>
        <v>Sales</v>
      </c>
      <c r="Q115" s="24" t="str">
        <f t="array" ref="Q115">IFERROR(INDEX(sales!C:C,MATCH(D115,sales!C:C,0)),"list없음")</f>
        <v>joy.lee@stryker.com</v>
      </c>
      <c r="R115" s="24"/>
    </row>
    <row r="116">
      <c r="A116" s="13">
        <v>117.0</v>
      </c>
      <c r="B116" s="15" t="s">
        <v>448</v>
      </c>
      <c r="C116" s="15" t="s">
        <v>449</v>
      </c>
      <c r="D116" s="15" t="s">
        <v>450</v>
      </c>
      <c r="E116" s="15" t="s">
        <v>451</v>
      </c>
      <c r="F116" s="15" t="s">
        <v>2481</v>
      </c>
      <c r="G116" s="15" t="s">
        <v>452</v>
      </c>
      <c r="H116" s="19" t="str">
        <f t="array" ref="H116">IFERROR(INDEX(Lease_List!D:D,MATCH(All_User_backup!D116,Lease_List!H:H,0)),"없음")</f>
        <v>5CG53403DF</v>
      </c>
      <c r="I116" s="22" t="s">
        <v>29</v>
      </c>
      <c r="J116" s="21"/>
      <c r="K116" s="22" t="str">
        <f t="array" ref="K116">IFERROR(INDEX(Ipad_List!C:C,MATCH(All_User_backup!D116,Ipad_List!J:J,0)),"없음")</f>
        <v>없음</v>
      </c>
      <c r="L116" s="35" t="str">
        <f t="array" ref="L116">IFERROR(INDEX(TeamsNumber!B:B,MATCH(All_User_backup!D116,TeamsNumber!D:D,0)),"없음")</f>
        <v>tel:+82234517651</v>
      </c>
      <c r="M116" s="35" t="str">
        <f t="array" ref="M116">IFERROR(INDEX(Printer!D:D,MATCH(All_User_backup!D116,Printer!H:H,0)),"없음")</f>
        <v>없음</v>
      </c>
      <c r="N116" s="24" t="str">
        <f t="array" ref="N116">IFERROR(INDEX(Monitor!A:A,MATCH(D116,Monitor!D:D,0)),"없음")</f>
        <v>LCD 모니터</v>
      </c>
      <c r="O116" s="24" t="str">
        <f t="array" ref="O116">IFERROR(INDEX(sales!D:D,MATCH(D116,sales!C:C,0)),"없음")</f>
        <v>없음</v>
      </c>
      <c r="P116" s="24" t="str">
        <f t="array" ref="P116">IFERROR(INDEX(sales!E:E,MATCH(D116,sales!C:C,0)),"없음")</f>
        <v>없음</v>
      </c>
      <c r="Q116" s="24"/>
      <c r="R116" s="24"/>
    </row>
    <row r="117">
      <c r="A117" s="13">
        <v>118.0</v>
      </c>
      <c r="B117" s="15" t="s">
        <v>453</v>
      </c>
      <c r="C117" s="15" t="s">
        <v>454</v>
      </c>
      <c r="D117" s="15" t="s">
        <v>455</v>
      </c>
      <c r="E117" s="15" t="s">
        <v>456</v>
      </c>
      <c r="F117" s="15" t="s">
        <v>2478</v>
      </c>
      <c r="G117" s="15" t="s">
        <v>2479</v>
      </c>
      <c r="H117" s="19" t="str">
        <f t="array" ref="H117">IFERROR(INDEX(Lease_List!D:D,MATCH(All_User_backup!D117,Lease_List!H:H,0)),"없음")</f>
        <v>5CD3469HD7</v>
      </c>
      <c r="I117" s="22" t="s">
        <v>29</v>
      </c>
      <c r="J117" s="21"/>
      <c r="K117" s="22" t="str">
        <f t="array" ref="K117">IFERROR(INDEX(Ipad_List!C:C,MATCH(All_User_backup!D117,Ipad_List!J:J,0)),"없음")</f>
        <v>없음</v>
      </c>
      <c r="L117" s="35" t="str">
        <f t="array" ref="L117">IFERROR(INDEX(TeamsNumber!B:B,MATCH(All_User_backup!D117,TeamsNumber!D:D,0)),"없음")</f>
        <v>tel:+82234517521</v>
      </c>
      <c r="M117" s="35" t="str">
        <f t="array" ref="M117">IFERROR(INDEX(Printer!D:D,MATCH(All_User_backup!D117,Printer!H:H,0)),"없음")</f>
        <v>없음</v>
      </c>
      <c r="N117" s="24" t="str">
        <f t="array" ref="N117">IFERROR(INDEX(Monitor!A:A,MATCH(D117,Monitor!D:D,0)),"없음")</f>
        <v>LCD 모니터</v>
      </c>
      <c r="O117" s="24" t="str">
        <f t="array" ref="O117">IFERROR(INDEX(sales!D:D,MATCH(D117,sales!C:C,0)),"없음")</f>
        <v>없음</v>
      </c>
      <c r="P117" s="24" t="str">
        <f t="array" ref="P117">IFERROR(INDEX(sales!E:E,MATCH(D117,sales!C:C,0)),"없음")</f>
        <v>없음</v>
      </c>
      <c r="Q117" s="24"/>
      <c r="R117" s="24"/>
    </row>
    <row r="118">
      <c r="A118" s="13">
        <v>119.0</v>
      </c>
      <c r="B118" s="15" t="s">
        <v>457</v>
      </c>
      <c r="C118" s="15" t="s">
        <v>458</v>
      </c>
      <c r="D118" s="15" t="s">
        <v>459</v>
      </c>
      <c r="E118" s="15" t="s">
        <v>460</v>
      </c>
      <c r="F118" s="15" t="s">
        <v>2474</v>
      </c>
      <c r="G118" s="15" t="s">
        <v>420</v>
      </c>
      <c r="H118" s="19" t="str">
        <f t="array" ref="H118">IFERROR(INDEX(Lease_List!D:D,MATCH(All_User_backup!D118,Lease_List!H:H,0)),"없음")</f>
        <v>5CD4232BFP</v>
      </c>
      <c r="I118" s="22" t="s">
        <v>29</v>
      </c>
      <c r="J118" s="21"/>
      <c r="K118" s="22" t="str">
        <f t="array" ref="K118">IFERROR(INDEX(Ipad_List!C:C,MATCH(All_User_backup!D118,Ipad_List!J:J,0)),"없음")</f>
        <v>Q0C6LC7F3X</v>
      </c>
      <c r="L118" s="23" t="str">
        <f t="array" ref="L118">IFERROR(INDEX(TeamsNumber!B:B,MATCH(All_User_backup!D118,TeamsNumber!D:D,0)),"없음")</f>
        <v>tel:+82234517531</v>
      </c>
      <c r="M118" s="23" t="str">
        <f t="array" ref="M118">IFERROR(INDEX(Printer!D:D,MATCH(All_User_backup!D118,Printer!H:H,0)),"없음")</f>
        <v>SL-C563W</v>
      </c>
      <c r="N118" s="24" t="str">
        <f t="array" ref="N118">IFERROR(INDEX(Monitor!A:A,MATCH(D118,Monitor!D:D,0)),"없음")</f>
        <v>없음</v>
      </c>
      <c r="O118" s="24" t="str">
        <f t="array" ref="O118">IFERROR(INDEX(sales!D:D,MATCH(D118,sales!C:C,0)),"없음")</f>
        <v/>
      </c>
      <c r="P118" s="24" t="str">
        <f t="array" ref="P118">IFERROR(INDEX(sales!E:E,MATCH(D118,sales!C:C,0)),"없음")</f>
        <v>TS</v>
      </c>
      <c r="Q118" s="24" t="str">
        <f t="array" ref="Q118">IFERROR(INDEX(sales!C:C,MATCH(D118,sales!C:C,0)),"list없음")</f>
        <v>david.lee4@stryker.com</v>
      </c>
      <c r="R118" s="24"/>
    </row>
    <row r="119">
      <c r="A119" s="13">
        <v>120.0</v>
      </c>
      <c r="B119" s="15" t="s">
        <v>461</v>
      </c>
      <c r="C119" s="15" t="s">
        <v>462</v>
      </c>
      <c r="D119" s="15" t="s">
        <v>463</v>
      </c>
      <c r="E119" s="15" t="s">
        <v>72</v>
      </c>
      <c r="F119" s="15" t="s">
        <v>2471</v>
      </c>
      <c r="G119" s="15" t="s">
        <v>2473</v>
      </c>
      <c r="H119" s="19" t="str">
        <f t="array" ref="H119">IFERROR(INDEX(Lease_List!D:D,MATCH(All_User_backup!D119,Lease_List!H:H,0)),"없음")</f>
        <v>5CD3469HD1</v>
      </c>
      <c r="I119" s="22" t="s">
        <v>29</v>
      </c>
      <c r="J119" s="21"/>
      <c r="K119" s="22" t="str">
        <f t="array" ref="K119">IFERROR(INDEX(Ipad_List!C:C,MATCH(All_User_backup!D119,Ipad_List!J:J,0)),"없음")</f>
        <v>XD791W017Y</v>
      </c>
      <c r="L119" s="23" t="str">
        <f t="array" ref="L119">IFERROR(INDEX(TeamsNumber!B:B,MATCH(All_User_backup!D119,TeamsNumber!D:D,0)),"없음")</f>
        <v>tel:+82234517579</v>
      </c>
      <c r="M119" s="23" t="str">
        <f t="array" ref="M119">IFERROR(INDEX(Printer!D:D,MATCH(All_User_backup!D119,Printer!H:H,0)),"없음")</f>
        <v>없음</v>
      </c>
      <c r="N119" s="24" t="str">
        <f t="array" ref="N119">IFERROR(INDEX(Monitor!A:A,MATCH(D119,Monitor!D:D,0)),"없음")</f>
        <v>없음</v>
      </c>
      <c r="O119" s="24" t="str">
        <f t="array" ref="O119">IFERROR(INDEX(sales!D:D,MATCH(D119,sales!C:C,0)),"없음")</f>
        <v>Mako</v>
      </c>
      <c r="P119" s="24" t="str">
        <f t="array" ref="P119">IFERROR(INDEX(sales!E:E,MATCH(D119,sales!C:C,0)),"없음")</f>
        <v>MPS</v>
      </c>
      <c r="Q119" s="24" t="str">
        <f t="array" ref="Q119">IFERROR(INDEX(sales!C:C,MATCH(D119,sales!C:C,0)),"list없음")</f>
        <v>nathan.lee@stryker.com</v>
      </c>
      <c r="R119" s="24"/>
    </row>
    <row r="120">
      <c r="A120" s="13">
        <v>121.0</v>
      </c>
      <c r="B120" s="15" t="s">
        <v>464</v>
      </c>
      <c r="C120" s="15" t="s">
        <v>465</v>
      </c>
      <c r="D120" s="15" t="s">
        <v>466</v>
      </c>
      <c r="E120" s="15" t="s">
        <v>275</v>
      </c>
      <c r="F120" s="15" t="s">
        <v>2471</v>
      </c>
      <c r="G120" s="15" t="s">
        <v>2482</v>
      </c>
      <c r="H120" s="19" t="str">
        <f t="array" ref="H120">IFERROR(INDEX(Lease_List!D:D,MATCH(All_User_backup!D120,Lease_List!H:H,0)),"없음")</f>
        <v>5CD3469HDH</v>
      </c>
      <c r="I120" s="22" t="s">
        <v>29</v>
      </c>
      <c r="J120" s="21"/>
      <c r="K120" s="22" t="str">
        <f t="array" ref="K120">IFERROR(INDEX(Ipad_List!C:C,MATCH(All_User_backup!D120,Ipad_List!J:J,0)),"없음")</f>
        <v>GWR3CYT2GJ</v>
      </c>
      <c r="L120" s="23" t="str">
        <f t="array" ref="L120">IFERROR(INDEX(TeamsNumber!B:B,MATCH(All_User_backup!D120,TeamsNumber!D:D,0)),"없음")</f>
        <v>tel:+82234517562</v>
      </c>
      <c r="M120" s="23" t="str">
        <f t="array" ref="M120">IFERROR(INDEX(Printer!D:D,MATCH(All_User_backup!D120,Printer!H:H,0)),"없음")</f>
        <v>없음</v>
      </c>
      <c r="N120" s="24" t="str">
        <f t="array" ref="N120">IFERROR(INDEX(Monitor!A:A,MATCH(D120,Monitor!D:D,0)),"없음")</f>
        <v>없음</v>
      </c>
      <c r="O120" s="24" t="str">
        <f t="array" ref="O120">IFERROR(INDEX(sales!D:D,MATCH(D120,sales!C:C,0)),"없음")</f>
        <v/>
      </c>
      <c r="P120" s="24" t="str">
        <f t="array" ref="P120">IFERROR(INDEX(sales!E:E,MATCH(D120,sales!C:C,0)),"없음")</f>
        <v>MKT</v>
      </c>
      <c r="Q120" s="24" t="str">
        <f t="array" ref="Q120">IFERROR(INDEX(sales!C:C,MATCH(D120,sales!C:C,0)),"list없음")</f>
        <v>rosie.lee@stryker.com</v>
      </c>
      <c r="R120" s="24"/>
    </row>
    <row r="121">
      <c r="A121" s="13">
        <v>122.0</v>
      </c>
      <c r="B121" s="15" t="s">
        <v>467</v>
      </c>
      <c r="C121" s="15" t="s">
        <v>468</v>
      </c>
      <c r="D121" s="15" t="s">
        <v>469</v>
      </c>
      <c r="E121" s="15" t="s">
        <v>470</v>
      </c>
      <c r="F121" s="15" t="s">
        <v>2474</v>
      </c>
      <c r="G121" s="15" t="s">
        <v>420</v>
      </c>
      <c r="H121" s="19" t="str">
        <f t="array" ref="H121">IFERROR(INDEX(Lease_List!D:D,MATCH(All_User_backup!D121,Lease_List!H:H,0)),"없음")</f>
        <v>5CD5062YDZ</v>
      </c>
      <c r="I121" s="22" t="s">
        <v>29</v>
      </c>
      <c r="J121" s="21"/>
      <c r="K121" s="22" t="str">
        <f t="array" ref="K121">IFERROR(INDEX(Ipad_List!C:C,MATCH(All_User_backup!D121,Ipad_List!J:J,0)),"없음")</f>
        <v>FN47DRXYYW</v>
      </c>
      <c r="L121" s="23" t="str">
        <f t="array" ref="L121">IFERROR(INDEX(TeamsNumber!B:B,MATCH(All_User_backup!D121,TeamsNumber!D:D,0)),"없음")</f>
        <v>tel:+82234517691</v>
      </c>
      <c r="M121" s="23" t="str">
        <f t="array" ref="M121">IFERROR(INDEX(Printer!D:D,MATCH(All_User_backup!D121,Printer!H:H,0)),"없음")</f>
        <v>SL-C563W</v>
      </c>
      <c r="N121" s="24" t="str">
        <f t="array" ref="N121">IFERROR(INDEX(Monitor!A:A,MATCH(D121,Monitor!D:D,0)),"없음")</f>
        <v>없음</v>
      </c>
      <c r="O121" s="24" t="str">
        <f t="array" ref="O121">IFERROR(INDEX(sales!D:D,MATCH(D121,sales!C:C,0)),"없음")</f>
        <v/>
      </c>
      <c r="P121" s="24" t="str">
        <f t="array" ref="P121">IFERROR(INDEX(sales!E:E,MATCH(D121,sales!C:C,0)),"없음")</f>
        <v>TS</v>
      </c>
      <c r="Q121" s="24" t="str">
        <f t="array" ref="Q121">IFERROR(INDEX(sales!C:C,MATCH(D121,sales!C:C,0)),"list없음")</f>
        <v>daniel.lee1@stryker.com</v>
      </c>
      <c r="R121" s="24"/>
    </row>
    <row r="122">
      <c r="A122" s="13">
        <v>123.0</v>
      </c>
      <c r="B122" s="15" t="s">
        <v>471</v>
      </c>
      <c r="C122" s="15" t="s">
        <v>472</v>
      </c>
      <c r="D122" s="15" t="s">
        <v>473</v>
      </c>
      <c r="E122" s="15" t="s">
        <v>76</v>
      </c>
      <c r="F122" s="15" t="s">
        <v>2471</v>
      </c>
      <c r="G122" s="15" t="s">
        <v>2472</v>
      </c>
      <c r="H122" s="19" t="str">
        <f t="array" ref="H122">IFERROR(INDEX(Lease_List!D:D,MATCH(All_User_backup!D122,Lease_List!H:H,0)),"없음")</f>
        <v>5CD5179KH2</v>
      </c>
      <c r="I122" s="34"/>
      <c r="J122" s="21"/>
      <c r="K122" s="22" t="str">
        <f t="array" ref="K122">IFERROR(INDEX(Ipad_List!C:C,MATCH(All_User_backup!D122,Ipad_List!J:J,0)),"없음")</f>
        <v>JN14143DQC</v>
      </c>
      <c r="L122" s="23" t="str">
        <f t="array" ref="L122">IFERROR(INDEX(TeamsNumber!B:B,MATCH(All_User_backup!D122,TeamsNumber!D:D,0)),"없음")</f>
        <v>tel:+82234517606</v>
      </c>
      <c r="M122" s="23" t="str">
        <f t="array" ref="M122">IFERROR(INDEX(Printer!D:D,MATCH(All_User_backup!D122,Printer!H:H,0)),"없음")</f>
        <v>SL-C486FW</v>
      </c>
      <c r="N122" s="24" t="str">
        <f t="array" ref="N122">IFERROR(INDEX(Monitor!A:A,MATCH(D122,Monitor!D:D,0)),"없음")</f>
        <v>없음</v>
      </c>
      <c r="O122" s="24" t="str">
        <f t="array" ref="O122">IFERROR(INDEX(sales!D:D,MATCH(D122,sales!C:C,0)),"없음")</f>
        <v>MedSurg</v>
      </c>
      <c r="P122" s="24" t="str">
        <f t="array" ref="P122">IFERROR(INDEX(sales!E:E,MATCH(D122,sales!C:C,0)),"없음")</f>
        <v>Sales</v>
      </c>
      <c r="Q122" s="24" t="str">
        <f t="array" ref="Q122">IFERROR(INDEX(sales!C:C,MATCH(D122,sales!C:C,0)),"list없음")</f>
        <v>henry.lee@stryker.com</v>
      </c>
      <c r="R122" s="24"/>
    </row>
    <row r="123">
      <c r="A123" s="13">
        <v>124.0</v>
      </c>
      <c r="B123" s="15" t="s">
        <v>474</v>
      </c>
      <c r="C123" s="15" t="s">
        <v>475</v>
      </c>
      <c r="D123" s="15" t="s">
        <v>476</v>
      </c>
      <c r="E123" s="15" t="s">
        <v>141</v>
      </c>
      <c r="F123" s="15" t="s">
        <v>2471</v>
      </c>
      <c r="G123" s="15" t="s">
        <v>2480</v>
      </c>
      <c r="H123" s="19" t="str">
        <f t="array" ref="H123">IFERROR(INDEX(Lease_List!D:D,MATCH(All_User_backup!D123,Lease_List!H:H,0)),"없음")</f>
        <v>없음</v>
      </c>
      <c r="I123" s="20" t="s">
        <v>477</v>
      </c>
      <c r="J123" s="21"/>
      <c r="K123" s="22" t="str">
        <f t="array" ref="K123">IFERROR(INDEX(Ipad_List!C:C,MATCH(All_User_backup!D123,Ipad_List!J:J,0)),"없음")</f>
        <v>LHJDGDMQCH</v>
      </c>
      <c r="L123" s="23" t="str">
        <f t="array" ref="L123">IFERROR(INDEX(TeamsNumber!B:B,MATCH(All_User_backup!D123,TeamsNumber!D:D,0)),"없음")</f>
        <v>tel:+82234517563</v>
      </c>
      <c r="M123" s="23" t="str">
        <f t="array" ref="M123">IFERROR(INDEX(Printer!D:D,MATCH(All_User_backup!D123,Printer!G:G,0)),"없음")</f>
        <v>없음</v>
      </c>
      <c r="N123" s="24" t="str">
        <f t="array" ref="N123">IFERROR(INDEX(Monitor!A:A,MATCH(D123,Monitor!D:D,0)),"없음")</f>
        <v>없음</v>
      </c>
      <c r="O123" s="24" t="str">
        <f t="array" ref="O123">IFERROR(INDEX(sales!D:D,MATCH(D123,sales!C:C,0)),"없음")</f>
        <v>Implants</v>
      </c>
      <c r="P123" s="24" t="str">
        <f t="array" ref="P123">IFERROR(INDEX(sales!E:E,MATCH(D123,sales!C:C,0)),"없음")</f>
        <v>Sales</v>
      </c>
      <c r="Q123" s="24" t="str">
        <f t="array" ref="Q123">IFERROR(INDEX(sales!C:C,MATCH(D123,sales!C:C,0)),"list없음")</f>
        <v>ayaan.lee@stryker.com</v>
      </c>
      <c r="R123" s="24"/>
    </row>
    <row r="124">
      <c r="A124" s="13">
        <v>125.0</v>
      </c>
      <c r="B124" s="15" t="s">
        <v>478</v>
      </c>
      <c r="C124" s="15" t="s">
        <v>479</v>
      </c>
      <c r="D124" s="15" t="s">
        <v>480</v>
      </c>
      <c r="E124" s="15" t="s">
        <v>481</v>
      </c>
      <c r="F124" s="15" t="s">
        <v>2496</v>
      </c>
      <c r="G124" s="15" t="s">
        <v>329</v>
      </c>
      <c r="H124" s="19" t="str">
        <f t="array" ref="H124">IFERROR(INDEX(Lease_List!D:D,MATCH(All_User_backup!D124,Lease_List!H:H,0)),"없음")</f>
        <v>없음</v>
      </c>
      <c r="I124" s="22" t="s">
        <v>118</v>
      </c>
      <c r="J124" s="21"/>
      <c r="K124" s="22" t="str">
        <f t="array" ref="K124">IFERROR(INDEX(Ipad_List!C:C,MATCH(All_User_backup!D124,Ipad_List!J:J,0)),"없음")</f>
        <v>없음</v>
      </c>
      <c r="L124" s="35" t="str">
        <f t="array" ref="L124">IFERROR(INDEX(TeamsNumber!B:B,MATCH(All_User_backup!D124,TeamsNumber!D:D,0)),"없음")</f>
        <v>없음</v>
      </c>
      <c r="M124" s="35" t="str">
        <f t="array" ref="M124">IFERROR(INDEX(Printer!D:D,MATCH(All_User_backup!D124,Printer!G:G,0)),"없음")</f>
        <v>없음</v>
      </c>
      <c r="N124" s="24" t="str">
        <f t="array" ref="N124">IFERROR(INDEX(Monitor!A:A,MATCH(D124,Monitor!D:D,0)),"없음")</f>
        <v>없음</v>
      </c>
      <c r="O124" s="24" t="str">
        <f t="array" ref="O124">IFERROR(INDEX(sales!D:D,MATCH(D124,sales!C:C,0)),"없음")</f>
        <v>없음</v>
      </c>
      <c r="P124" s="24" t="str">
        <f t="array" ref="P124">IFERROR(INDEX(sales!E:E,MATCH(D124,sales!C:C,0)),"없음")</f>
        <v>없음</v>
      </c>
      <c r="Q124" s="24"/>
      <c r="R124" s="24"/>
    </row>
    <row r="125">
      <c r="A125" s="13">
        <v>126.0</v>
      </c>
      <c r="B125" s="15" t="s">
        <v>482</v>
      </c>
      <c r="C125" s="15" t="s">
        <v>483</v>
      </c>
      <c r="D125" s="15" t="s">
        <v>484</v>
      </c>
      <c r="E125" s="15" t="s">
        <v>485</v>
      </c>
      <c r="F125" s="15" t="s">
        <v>2475</v>
      </c>
      <c r="G125" s="15" t="s">
        <v>2477</v>
      </c>
      <c r="H125" s="19" t="str">
        <f t="array" ref="H125">IFERROR(INDEX(Lease_List!D:D,MATCH(All_User_backup!D125,Lease_List!H:H,0)),"없음")</f>
        <v>5CD4305D91</v>
      </c>
      <c r="I125" s="22" t="s">
        <v>486</v>
      </c>
      <c r="J125" s="21"/>
      <c r="K125" s="22" t="str">
        <f t="array" ref="K125">IFERROR(INDEX(Ipad_List!C:C,MATCH(All_User_backup!D125,Ipad_List!J:J,0)),"없음")</f>
        <v>없음</v>
      </c>
      <c r="L125" s="35" t="str">
        <f t="array" ref="L125">IFERROR(INDEX(TeamsNumber!B:B,MATCH(All_User_backup!D125,TeamsNumber!D:D,0)),"없음")</f>
        <v>tel:+82234517645</v>
      </c>
      <c r="M125" s="35" t="str">
        <f t="array" ref="M125">IFERROR(INDEX(Printer!D:D,MATCH(All_User_backup!D125,Printer!H:H,0)),"없음")</f>
        <v>없음</v>
      </c>
      <c r="N125" s="24" t="str">
        <f t="array" ref="N125">IFERROR(INDEX(Monitor!A:A,MATCH(D125,Monitor!D:D,0)),"없음")</f>
        <v>없음</v>
      </c>
      <c r="O125" s="24" t="str">
        <f t="array" ref="O125">IFERROR(INDEX(sales!D:D,MATCH(D125,sales!C:C,0)),"없음")</f>
        <v>없음</v>
      </c>
      <c r="P125" s="24" t="str">
        <f t="array" ref="P125">IFERROR(INDEX(sales!E:E,MATCH(D125,sales!C:C,0)),"없음")</f>
        <v>없음</v>
      </c>
      <c r="Q125" s="24"/>
      <c r="R125" s="24"/>
    </row>
    <row r="126">
      <c r="A126" s="13">
        <v>127.0</v>
      </c>
      <c r="B126" s="15" t="s">
        <v>487</v>
      </c>
      <c r="C126" s="15" t="s">
        <v>488</v>
      </c>
      <c r="D126" s="15" t="s">
        <v>489</v>
      </c>
      <c r="E126" s="15" t="s">
        <v>383</v>
      </c>
      <c r="F126" s="15" t="s">
        <v>2481</v>
      </c>
      <c r="G126" s="15" t="s">
        <v>354</v>
      </c>
      <c r="H126" s="19" t="str">
        <f t="array" ref="H126">IFERROR(INDEX(Lease_List!D:D,MATCH(All_User_backup!D126,Lease_List!H:H,0)),"없음")</f>
        <v>5CD3469HDF</v>
      </c>
      <c r="I126" s="22" t="s">
        <v>29</v>
      </c>
      <c r="J126" s="21"/>
      <c r="K126" s="22" t="str">
        <f t="array" ref="K126">IFERROR(INDEX(Ipad_List!C:C,MATCH(All_User_backup!D126,Ipad_List!J:J,0)),"없음")</f>
        <v>없음</v>
      </c>
      <c r="L126" s="35" t="str">
        <f t="array" ref="L126">IFERROR(INDEX(TeamsNumber!B:B,MATCH(All_User_backup!D126,TeamsNumber!D:D,0)),"없음")</f>
        <v>tel:+82234517502</v>
      </c>
      <c r="M126" s="35" t="str">
        <f t="array" ref="M126">IFERROR(INDEX(Printer!D:D,MATCH(All_User_backup!D126,Printer!H:H,0)),"없음")</f>
        <v>없음</v>
      </c>
      <c r="N126" s="24" t="str">
        <f t="array" ref="N126">IFERROR(INDEX(Monitor!A:A,MATCH(D126,Monitor!D:D,0)),"없음")</f>
        <v>없음</v>
      </c>
      <c r="O126" s="24" t="str">
        <f t="array" ref="O126">IFERROR(INDEX(sales!D:D,MATCH(D126,sales!C:C,0)),"없음")</f>
        <v>없음</v>
      </c>
      <c r="P126" s="24" t="str">
        <f t="array" ref="P126">IFERROR(INDEX(sales!E:E,MATCH(D126,sales!C:C,0)),"없음")</f>
        <v>없음</v>
      </c>
      <c r="Q126" s="24"/>
      <c r="R126" s="24"/>
    </row>
    <row r="127">
      <c r="A127" s="13">
        <v>128.0</v>
      </c>
      <c r="B127" s="15" t="s">
        <v>490</v>
      </c>
      <c r="C127" s="15" t="s">
        <v>491</v>
      </c>
      <c r="D127" s="15" t="s">
        <v>492</v>
      </c>
      <c r="E127" s="15" t="s">
        <v>493</v>
      </c>
      <c r="F127" s="15" t="s">
        <v>2474</v>
      </c>
      <c r="G127" s="15" t="s">
        <v>420</v>
      </c>
      <c r="H127" s="19" t="str">
        <f t="array" ref="H127">IFERROR(INDEX(Lease_List!D:D,MATCH(All_User_backup!D127,Lease_List!H:H,0)),"없음")</f>
        <v>5CD4305D8T</v>
      </c>
      <c r="I127" s="22" t="s">
        <v>29</v>
      </c>
      <c r="J127" s="21"/>
      <c r="K127" s="22" t="str">
        <f t="array" ref="K127">IFERROR(INDEX(Ipad_List!C:C,MATCH(All_User_backup!D127,Ipad_List!J:J,0)),"없음")</f>
        <v>없음</v>
      </c>
      <c r="L127" s="35" t="str">
        <f t="array" ref="L127">IFERROR(INDEX(TeamsNumber!B:B,MATCH(All_User_backup!D127,TeamsNumber!D:D,0)),"없음")</f>
        <v>tel:+82234517625</v>
      </c>
      <c r="M127" s="35" t="str">
        <f t="array" ref="M127">IFERROR(INDEX(Printer!D:D,MATCH(All_User_backup!D127,Printer!H:H,0)),"없음")</f>
        <v>없음</v>
      </c>
      <c r="N127" s="24" t="str">
        <f t="array" ref="N127">IFERROR(INDEX(Monitor!A:A,MATCH(D127,Monitor!D:D,0)),"없음")</f>
        <v>없음</v>
      </c>
      <c r="O127" s="24" t="str">
        <f t="array" ref="O127">IFERROR(INDEX(sales!D:D,MATCH(D127,sales!C:C,0)),"없음")</f>
        <v>없음</v>
      </c>
      <c r="P127" s="24" t="str">
        <f t="array" ref="P127">IFERROR(INDEX(sales!E:E,MATCH(D127,sales!C:C,0)),"없음")</f>
        <v>없음</v>
      </c>
      <c r="Q127" s="24"/>
      <c r="R127" s="24"/>
    </row>
    <row r="128">
      <c r="A128" s="13">
        <v>129.0</v>
      </c>
      <c r="B128" s="15" t="s">
        <v>494</v>
      </c>
      <c r="C128" s="15" t="s">
        <v>495</v>
      </c>
      <c r="D128" s="15" t="s">
        <v>496</v>
      </c>
      <c r="E128" s="15" t="s">
        <v>497</v>
      </c>
      <c r="F128" s="15" t="s">
        <v>2475</v>
      </c>
      <c r="G128" s="15" t="s">
        <v>2477</v>
      </c>
      <c r="H128" s="19" t="str">
        <f t="array" ref="H128">IFERROR(INDEX(Lease_List!D:D,MATCH(All_User_backup!D128,Lease_List!H:H,0)),"없음")</f>
        <v>5CD442C077</v>
      </c>
      <c r="I128" s="22" t="s">
        <v>29</v>
      </c>
      <c r="J128" s="21"/>
      <c r="K128" s="22" t="str">
        <f t="array" ref="K128">IFERROR(INDEX(Ipad_List!C:C,MATCH(All_User_backup!D128,Ipad_List!J:J,0)),"없음")</f>
        <v>없음</v>
      </c>
      <c r="L128" s="35" t="str">
        <f t="array" ref="L128">IFERROR(INDEX(TeamsNumber!B:B,MATCH(All_User_backup!D128,TeamsNumber!D:D,0)),"없음")</f>
        <v>tel:+82234517652</v>
      </c>
      <c r="M128" s="35" t="str">
        <f t="array" ref="M128">IFERROR(INDEX(Printer!D:D,MATCH(All_User_backup!D128,Printer!H:H,0)),"없음")</f>
        <v>없음</v>
      </c>
      <c r="N128" s="24" t="str">
        <f t="array" ref="N128">IFERROR(INDEX(Monitor!A:A,MATCH(D128,Monitor!D:D,0)),"없음")</f>
        <v>없음</v>
      </c>
      <c r="O128" s="24" t="str">
        <f t="array" ref="O128">IFERROR(INDEX(sales!D:D,MATCH(D128,sales!C:C,0)),"없음")</f>
        <v>없음</v>
      </c>
      <c r="P128" s="24" t="str">
        <f t="array" ref="P128">IFERROR(INDEX(sales!E:E,MATCH(D128,sales!C:C,0)),"없음")</f>
        <v>없음</v>
      </c>
      <c r="Q128" s="24"/>
      <c r="R128" s="24"/>
    </row>
    <row r="129">
      <c r="A129" s="13">
        <v>130.0</v>
      </c>
      <c r="B129" s="15" t="s">
        <v>498</v>
      </c>
      <c r="C129" s="15" t="s">
        <v>499</v>
      </c>
      <c r="D129" s="15" t="s">
        <v>500</v>
      </c>
      <c r="E129" s="15" t="s">
        <v>46</v>
      </c>
      <c r="F129" s="15" t="s">
        <v>2474</v>
      </c>
      <c r="G129" s="15" t="s">
        <v>2476</v>
      </c>
      <c r="H129" s="19" t="str">
        <f t="array" ref="H129">IFERROR(INDEX(Lease_List!D:D,MATCH(All_User_backup!D129,Lease_List!H:H,0)),"없음")</f>
        <v>5CD4232BFR</v>
      </c>
      <c r="I129" s="22" t="s">
        <v>29</v>
      </c>
      <c r="J129" s="21"/>
      <c r="K129" s="22" t="str">
        <f t="array" ref="K129">IFERROR(INDEX(Ipad_List!C:C,MATCH(All_User_backup!D129,Ipad_List!J:J,0)),"없음")</f>
        <v>없음</v>
      </c>
      <c r="L129" s="35" t="str">
        <f t="array" ref="L129">IFERROR(INDEX(TeamsNumber!B:B,MATCH(All_User_backup!D129,TeamsNumber!D:D,0)),"없음")</f>
        <v>tel:+82234517585</v>
      </c>
      <c r="M129" s="35" t="str">
        <f t="array" ref="M129">IFERROR(INDEX(Printer!D:D,MATCH(All_User_backup!D129,Printer!H:H,0)),"없음")</f>
        <v>없음</v>
      </c>
      <c r="N129" s="24" t="str">
        <f t="array" ref="N129">IFERROR(INDEX(Monitor!A:A,MATCH(D129,Monitor!D:D,0)),"없음")</f>
        <v>없음</v>
      </c>
      <c r="O129" s="24" t="str">
        <f t="array" ref="O129">IFERROR(INDEX(sales!D:D,MATCH(D129,sales!C:C,0)),"없음")</f>
        <v>없음</v>
      </c>
      <c r="P129" s="24" t="str">
        <f t="array" ref="P129">IFERROR(INDEX(sales!E:E,MATCH(D129,sales!C:C,0)),"없음")</f>
        <v>없음</v>
      </c>
      <c r="Q129" s="24"/>
      <c r="R129" s="24"/>
    </row>
    <row r="130">
      <c r="A130" s="13">
        <v>131.0</v>
      </c>
      <c r="B130" s="15" t="s">
        <v>501</v>
      </c>
      <c r="C130" s="15" t="s">
        <v>502</v>
      </c>
      <c r="D130" s="15" t="s">
        <v>503</v>
      </c>
      <c r="E130" s="15" t="s">
        <v>504</v>
      </c>
      <c r="F130" s="15" t="s">
        <v>2471</v>
      </c>
      <c r="G130" s="15" t="s">
        <v>2485</v>
      </c>
      <c r="H130" s="19" t="str">
        <f t="array" ref="H130">IFERROR(INDEX(Lease_List!D:D,MATCH(All_User_backup!D130,Lease_List!H:H,0)),"없음")</f>
        <v>없음</v>
      </c>
      <c r="I130" s="22" t="s">
        <v>29</v>
      </c>
      <c r="J130" s="25" t="s">
        <v>505</v>
      </c>
      <c r="K130" s="22" t="str">
        <f t="array" ref="K130">IFERROR(INDEX(Ipad_List!C:C,MATCH(All_User_backup!D130,Ipad_List!J:J,0)),"없음")</f>
        <v>GYGG3N90Y4</v>
      </c>
      <c r="L130" s="35" t="str">
        <f t="array" ref="L130">IFERROR(INDEX(TeamsNumber!B:B,MATCH(All_User_backup!D130,TeamsNumber!D:D,0)),"없음")</f>
        <v>tel:+82234517595</v>
      </c>
      <c r="M130" s="35" t="str">
        <f t="array" ref="M130">IFERROR(INDEX(Printer!D:D,MATCH(All_User_backup!D130,Printer!G:G,0)),"없음")</f>
        <v>없음</v>
      </c>
      <c r="N130" s="24" t="str">
        <f t="array" ref="N130">IFERROR(INDEX(Monitor!A:A,MATCH(D130,Monitor!D:D,0)),"없음")</f>
        <v>없음</v>
      </c>
      <c r="O130" s="24" t="str">
        <f t="array" ref="O130">IFERROR(INDEX(sales!D:D,MATCH(D130,sales!C:C,0)),"없음")</f>
        <v>없음</v>
      </c>
      <c r="P130" s="24" t="str">
        <f t="array" ref="P130">IFERROR(INDEX(sales!E:E,MATCH(D130,sales!C:C,0)),"없음")</f>
        <v>없음</v>
      </c>
      <c r="Q130" s="24"/>
      <c r="R130" s="24"/>
    </row>
    <row r="131">
      <c r="A131" s="13">
        <v>132.0</v>
      </c>
      <c r="B131" s="15" t="s">
        <v>506</v>
      </c>
      <c r="C131" s="15" t="s">
        <v>507</v>
      </c>
      <c r="D131" s="15" t="s">
        <v>508</v>
      </c>
      <c r="E131" s="15" t="s">
        <v>509</v>
      </c>
      <c r="F131" s="15" t="s">
        <v>2474</v>
      </c>
      <c r="G131" s="15" t="s">
        <v>2476</v>
      </c>
      <c r="H131" s="19" t="str">
        <f t="array" ref="H131">IFERROR(INDEX(Lease_List!D:D,MATCH(All_User_backup!D131,Lease_List!H:H,0)),"없음")</f>
        <v>5CG53403DD</v>
      </c>
      <c r="I131" s="22" t="s">
        <v>118</v>
      </c>
      <c r="J131" s="21"/>
      <c r="K131" s="22" t="str">
        <f t="array" ref="K131">IFERROR(INDEX(Ipad_List!C:C,MATCH(All_User_backup!D131,Ipad_List!J:J,0)),"없음")</f>
        <v>없음</v>
      </c>
      <c r="L131" s="35" t="str">
        <f t="array" ref="L131">IFERROR(INDEX(TeamsNumber!B:B,MATCH(All_User_backup!D131,TeamsNumber!D:D,0)),"없음")</f>
        <v>tel:+82234517576</v>
      </c>
      <c r="M131" s="35" t="str">
        <f t="array" ref="M131">IFERROR(INDEX(Printer!D:D,MATCH(All_User_backup!D131,Printer!G:G,0)),"없음")</f>
        <v>없음</v>
      </c>
      <c r="N131" s="24" t="str">
        <f t="array" ref="N131">IFERROR(INDEX(Monitor!A:A,MATCH(D131,Monitor!D:D,0)),"없음")</f>
        <v>없음</v>
      </c>
      <c r="O131" s="24" t="str">
        <f t="array" ref="O131">IFERROR(INDEX(sales!D:D,MATCH(D131,sales!C:C,0)),"없음")</f>
        <v>없음</v>
      </c>
      <c r="P131" s="24" t="str">
        <f t="array" ref="P131">IFERROR(INDEX(sales!E:E,MATCH(D131,sales!C:C,0)),"없음")</f>
        <v>없음</v>
      </c>
      <c r="Q131" s="24"/>
      <c r="R131" s="24"/>
    </row>
    <row r="132">
      <c r="A132" s="13">
        <v>133.0</v>
      </c>
      <c r="B132" s="15" t="s">
        <v>510</v>
      </c>
      <c r="C132" s="15" t="s">
        <v>511</v>
      </c>
      <c r="D132" s="15" t="s">
        <v>512</v>
      </c>
      <c r="E132" s="15" t="s">
        <v>513</v>
      </c>
      <c r="F132" s="15" t="s">
        <v>2494</v>
      </c>
      <c r="G132" s="15" t="s">
        <v>2495</v>
      </c>
      <c r="H132" s="19" t="str">
        <f t="array" ref="H132">IFERROR(INDEX(Lease_List!D:D,MATCH(All_User_backup!D132,Lease_List!H:H,0)),"없음")</f>
        <v>5CD4305D8R</v>
      </c>
      <c r="I132" s="22" t="s">
        <v>29</v>
      </c>
      <c r="J132" s="21"/>
      <c r="K132" s="22" t="str">
        <f t="array" ref="K132">IFERROR(INDEX(Ipad_List!C:C,MATCH(All_User_backup!D132,Ipad_List!J:J,0)),"없음")</f>
        <v>없음</v>
      </c>
      <c r="L132" s="35" t="str">
        <f t="array" ref="L132">IFERROR(INDEX(TeamsNumber!B:B,MATCH(All_User_backup!D132,TeamsNumber!D:D,0)),"없음")</f>
        <v>tel:+82234517664</v>
      </c>
      <c r="M132" s="35" t="str">
        <f t="array" ref="M132">IFERROR(INDEX(Printer!D:D,MATCH(All_User_backup!D132,Printer!H:H,0)),"없음")</f>
        <v>없음</v>
      </c>
      <c r="N132" s="24" t="str">
        <f t="array" ref="N132">IFERROR(INDEX(Monitor!A:A,MATCH(D132,Monitor!D:D,0)),"없음")</f>
        <v>없음</v>
      </c>
      <c r="O132" s="24" t="str">
        <f t="array" ref="O132">IFERROR(INDEX(sales!D:D,MATCH(D132,sales!C:C,0)),"없음")</f>
        <v>없음</v>
      </c>
      <c r="P132" s="24" t="str">
        <f t="array" ref="P132">IFERROR(INDEX(sales!E:E,MATCH(D132,sales!C:C,0)),"없음")</f>
        <v>없음</v>
      </c>
      <c r="Q132" s="24"/>
      <c r="R132" s="24"/>
    </row>
    <row r="133">
      <c r="A133" s="13">
        <v>135.0</v>
      </c>
      <c r="B133" s="15" t="s">
        <v>515</v>
      </c>
      <c r="C133" s="15" t="s">
        <v>516</v>
      </c>
      <c r="D133" s="15" t="s">
        <v>517</v>
      </c>
      <c r="E133" s="15" t="s">
        <v>518</v>
      </c>
      <c r="F133" s="15" t="s">
        <v>2481</v>
      </c>
      <c r="G133" s="15" t="s">
        <v>104</v>
      </c>
      <c r="H133" s="19" t="str">
        <f t="array" ref="H133">IFERROR(INDEX(Lease_List!D:D,MATCH(All_User_backup!D133,Lease_List!H:H,0)),"없음")</f>
        <v>5CD4145N3S</v>
      </c>
      <c r="I133" s="22" t="s">
        <v>29</v>
      </c>
      <c r="J133" s="21"/>
      <c r="K133" s="22" t="str">
        <f t="array" ref="K133">IFERROR(INDEX(Ipad_List!C:C,MATCH(All_User_backup!D133,Ipad_List!J:J,0)),"없음")</f>
        <v>없음</v>
      </c>
      <c r="L133" s="35" t="str">
        <f t="array" ref="L133">IFERROR(INDEX(TeamsNumber!B:B,MATCH(All_User_backup!D133,TeamsNumber!D:D,0)),"없음")</f>
        <v>tel:+82234517617</v>
      </c>
      <c r="M133" s="35" t="str">
        <f t="array" ref="M133">IFERROR(INDEX(Printer!D:D,MATCH(All_User_backup!D133,Printer!H:H,0)),"없음")</f>
        <v>없음</v>
      </c>
      <c r="N133" s="24" t="str">
        <f t="array" ref="N133">IFERROR(INDEX(Monitor!A:A,MATCH(D133,Monitor!D:D,0)),"없음")</f>
        <v>없음</v>
      </c>
      <c r="O133" s="24" t="str">
        <f t="array" ref="O133">IFERROR(INDEX(sales!D:D,MATCH(D133,sales!C:C,0)),"없음")</f>
        <v>없음</v>
      </c>
      <c r="P133" s="24" t="str">
        <f t="array" ref="P133">IFERROR(INDEX(sales!E:E,MATCH(D133,sales!C:C,0)),"없음")</f>
        <v>없음</v>
      </c>
      <c r="Q133" s="24"/>
      <c r="R133" s="24"/>
    </row>
    <row r="134">
      <c r="A134" s="13">
        <v>136.0</v>
      </c>
      <c r="B134" s="15" t="s">
        <v>519</v>
      </c>
      <c r="C134" s="15" t="s">
        <v>520</v>
      </c>
      <c r="D134" s="15" t="s">
        <v>521</v>
      </c>
      <c r="E134" s="15" t="s">
        <v>320</v>
      </c>
      <c r="F134" s="15" t="s">
        <v>2471</v>
      </c>
      <c r="G134" s="15" t="s">
        <v>2480</v>
      </c>
      <c r="H134" s="19" t="str">
        <f t="array" ref="H134">IFERROR(INDEX(Lease_List!D:D,MATCH(All_User_backup!D134,Lease_List!H:H,0)),"없음")</f>
        <v>5CD4145N3L</v>
      </c>
      <c r="I134" s="22" t="s">
        <v>29</v>
      </c>
      <c r="J134" s="21"/>
      <c r="K134" s="22" t="str">
        <f t="array" ref="K134">IFERROR(INDEX(Ipad_List!C:C,MATCH(All_User_backup!D134,Ipad_List!J:J,0)),"없음")</f>
        <v>MXK59D7LPL</v>
      </c>
      <c r="L134" s="23" t="str">
        <f t="array" ref="L134">IFERROR(INDEX(TeamsNumber!B:B,MATCH(All_User_backup!D134,TeamsNumber!D:D,0)),"없음")</f>
        <v>tel:+82234517612</v>
      </c>
      <c r="M134" s="23" t="str">
        <f t="array" ref="M134">IFERROR(INDEX(Printer!D:D,MATCH(All_User_backup!D134,Printer!H:H,0)),"없음")</f>
        <v>SL-C563W</v>
      </c>
      <c r="N134" s="24" t="str">
        <f t="array" ref="N134">IFERROR(INDEX(Monitor!A:A,MATCH(D134,Monitor!D:D,0)),"없음")</f>
        <v>없음</v>
      </c>
      <c r="O134" s="24" t="str">
        <f t="array" ref="O134">IFERROR(INDEX(sales!D:D,MATCH(D134,sales!C:C,0)),"없음")</f>
        <v>MedSurg</v>
      </c>
      <c r="P134" s="24" t="str">
        <f t="array" ref="P134">IFERROR(INDEX(sales!E:E,MATCH(D134,sales!C:C,0)),"없음")</f>
        <v>Sales</v>
      </c>
      <c r="Q134" s="24" t="str">
        <f t="array" ref="Q134">IFERROR(INDEX(sales!C:C,MATCH(D134,sales!C:C,0)),"list없음")</f>
        <v>ethan.na@stryker.com</v>
      </c>
      <c r="R134" s="24"/>
    </row>
    <row r="135">
      <c r="A135" s="13">
        <v>137.0</v>
      </c>
      <c r="B135" s="15" t="s">
        <v>522</v>
      </c>
      <c r="C135" s="15" t="s">
        <v>523</v>
      </c>
      <c r="D135" s="15" t="s">
        <v>524</v>
      </c>
      <c r="E135" s="15" t="s">
        <v>125</v>
      </c>
      <c r="F135" s="15" t="s">
        <v>2471</v>
      </c>
      <c r="G135" s="15" t="s">
        <v>2480</v>
      </c>
      <c r="H135" s="19" t="str">
        <f t="array" ref="H135">IFERROR(INDEX(Lease_List!D:D,MATCH(All_User_backup!D135,Lease_List!H:H,0)),"없음")</f>
        <v>5CD3469HD9</v>
      </c>
      <c r="I135" s="22" t="s">
        <v>29</v>
      </c>
      <c r="J135" s="21"/>
      <c r="K135" s="22" t="str">
        <f t="array" ref="K135">IFERROR(INDEX(Ipad_List!C:C,MATCH(All_User_backup!D135,Ipad_List!J:J,0)),"없음")</f>
        <v>GXDWV9GT62</v>
      </c>
      <c r="L135" s="23" t="str">
        <f t="array" ref="L135">IFERROR(INDEX(TeamsNumber!B:B,MATCH(All_User_backup!D135,TeamsNumber!D:D,0)),"없음")</f>
        <v>tel:+82234517532</v>
      </c>
      <c r="M135" s="23" t="str">
        <f t="array" ref="M135">IFERROR(INDEX(Printer!D:D,MATCH(All_User_backup!D135,Printer!H:H,0)),"없음")</f>
        <v>SL-C486FW</v>
      </c>
      <c r="N135" s="24" t="str">
        <f t="array" ref="N135">IFERROR(INDEX(Monitor!A:A,MATCH(D135,Monitor!D:D,0)),"없음")</f>
        <v>없음</v>
      </c>
      <c r="O135" s="24" t="str">
        <f t="array" ref="O135">IFERROR(INDEX(sales!D:D,MATCH(D135,sales!C:C,0)),"없음")</f>
        <v>Shoulder</v>
      </c>
      <c r="P135" s="24" t="str">
        <f t="array" ref="P135">IFERROR(INDEX(sales!E:E,MATCH(D135,sales!C:C,0)),"없음")</f>
        <v>Sales</v>
      </c>
      <c r="Q135" s="24" t="str">
        <f t="array" ref="Q135">IFERROR(INDEX(sales!C:C,MATCH(D135,sales!C:C,0)),"list없음")</f>
        <v>david.oh@stryker.com</v>
      </c>
      <c r="R135" s="24"/>
    </row>
    <row r="136">
      <c r="A136" s="13">
        <v>138.0</v>
      </c>
      <c r="B136" s="15" t="s">
        <v>525</v>
      </c>
      <c r="C136" s="15" t="s">
        <v>526</v>
      </c>
      <c r="D136" s="15" t="s">
        <v>527</v>
      </c>
      <c r="E136" s="15" t="s">
        <v>2501</v>
      </c>
      <c r="F136" s="15" t="s">
        <v>2471</v>
      </c>
      <c r="G136" s="15" t="s">
        <v>2485</v>
      </c>
      <c r="H136" s="19" t="str">
        <f t="array" ref="H136">IFERROR(INDEX(Lease_List!D:D,MATCH(All_User_backup!D136,Lease_List!H:H,0)),"없음")</f>
        <v>5CG5430CQ6</v>
      </c>
      <c r="I136" s="22" t="s">
        <v>29</v>
      </c>
      <c r="J136" s="21"/>
      <c r="K136" s="22" t="str">
        <f t="array" ref="K136">IFERROR(INDEX(Ipad_List!C:C,MATCH(All_User_backup!D136,Ipad_List!J:J,0)),"없음")</f>
        <v>MP2C9F46FN</v>
      </c>
      <c r="L136" s="35" t="str">
        <f t="array" ref="L136">IFERROR(INDEX(TeamsNumber!B:B,MATCH(All_User_backup!D136,TeamsNumber!D:D,0)),"없음")</f>
        <v>tel:+82234517545</v>
      </c>
      <c r="M136" s="35" t="str">
        <f t="array" ref="M136">IFERROR(INDEX(Printer!D:D,MATCH(All_User_backup!D136,Printer!H:H,0)),"없음")</f>
        <v>없음</v>
      </c>
      <c r="N136" s="24" t="str">
        <f t="array" ref="N136">IFERROR(INDEX(Monitor!A:A,MATCH(D136,Monitor!D:D,0)),"없음")</f>
        <v>없음</v>
      </c>
      <c r="O136" s="35" t="s">
        <v>77</v>
      </c>
      <c r="P136" s="35" t="s">
        <v>53</v>
      </c>
      <c r="Q136" s="24"/>
      <c r="R136" s="24"/>
    </row>
    <row r="137">
      <c r="A137" s="13">
        <v>139.0</v>
      </c>
      <c r="B137" s="15" t="s">
        <v>529</v>
      </c>
      <c r="C137" s="15" t="s">
        <v>530</v>
      </c>
      <c r="D137" s="15" t="s">
        <v>531</v>
      </c>
      <c r="E137" s="15" t="s">
        <v>532</v>
      </c>
      <c r="F137" s="15" t="s">
        <v>2471</v>
      </c>
      <c r="G137" s="15" t="s">
        <v>2480</v>
      </c>
      <c r="H137" s="19" t="str">
        <f t="array" ref="H137">IFERROR(INDEX(Lease_List!D:D,MATCH(All_User_backup!D137,Lease_List!H:H,0)),"없음")</f>
        <v>5CD4232BFQ</v>
      </c>
      <c r="I137" s="22" t="s">
        <v>533</v>
      </c>
      <c r="J137" s="21"/>
      <c r="K137" s="22" t="str">
        <f t="array" ref="K137">IFERROR(INDEX(Ipad_List!C:C,MATCH(All_User_backup!D137,Ipad_List!J:J,0)),"없음")</f>
        <v>MX224565CF</v>
      </c>
      <c r="L137" s="23" t="str">
        <f t="array" ref="L137">IFERROR(INDEX(TeamsNumber!B:B,MATCH(All_User_backup!D137,TeamsNumber!D:D,0)),"없음")</f>
        <v>tel:+82234517624</v>
      </c>
      <c r="M137" s="23" t="str">
        <f t="array" ref="M137">IFERROR(INDEX(Printer!D:D,MATCH(All_User_backup!D137,Printer!G:G,0)),"없음")</f>
        <v>없음</v>
      </c>
      <c r="N137" s="24" t="str">
        <f t="array" ref="N137">IFERROR(INDEX(Monitor!A:A,MATCH(D137,Monitor!D:D,0)),"없음")</f>
        <v>없음</v>
      </c>
      <c r="O137" s="24" t="str">
        <f t="array" ref="O137">IFERROR(INDEX(sales!D:D,MATCH(D137,sales!C:C,0)),"없음")</f>
        <v>Shoulder</v>
      </c>
      <c r="P137" s="24" t="str">
        <f t="array" ref="P137">IFERROR(INDEX(sales!E:E,MATCH(D137,sales!C:C,0)),"없음")</f>
        <v>Sales</v>
      </c>
      <c r="Q137" s="24" t="str">
        <f t="array" ref="Q137">IFERROR(INDEX(sales!C:C,MATCH(D137,sales!C:C,0)),"list없음")</f>
        <v>mason.oh@stryker.com</v>
      </c>
      <c r="R137" s="24"/>
    </row>
    <row r="138">
      <c r="A138" s="13">
        <v>140.0</v>
      </c>
      <c r="B138" s="15" t="s">
        <v>534</v>
      </c>
      <c r="C138" s="15" t="s">
        <v>535</v>
      </c>
      <c r="D138" s="15" t="s">
        <v>536</v>
      </c>
      <c r="E138" s="15" t="s">
        <v>537</v>
      </c>
      <c r="F138" s="15" t="s">
        <v>2471</v>
      </c>
      <c r="G138" s="15" t="s">
        <v>2482</v>
      </c>
      <c r="H138" s="19" t="str">
        <f t="array" ref="H138">IFERROR(INDEX(Lease_List!D:D,MATCH(All_User_backup!D138,Lease_List!H:H,0)),"없음")</f>
        <v>없음</v>
      </c>
      <c r="I138" s="20" t="s">
        <v>538</v>
      </c>
      <c r="J138" s="21"/>
      <c r="K138" s="22" t="str">
        <f t="array" ref="K138">IFERROR(INDEX(Ipad_List!C:C,MATCH(All_User_backup!D138,Ipad_List!J:J,0)),"없음")</f>
        <v>없음</v>
      </c>
      <c r="L138" s="35" t="str">
        <f t="array" ref="L138">IFERROR(INDEX(TeamsNumber!B:B,MATCH(All_User_backup!D138,TeamsNumber!D:D,0)),"없음")</f>
        <v>tel:+82234517683</v>
      </c>
      <c r="M138" s="35" t="str">
        <f t="array" ref="M138">IFERROR(INDEX(Printer!D:D,MATCH(All_User_backup!D138,Printer!G:G,0)),"없음")</f>
        <v>없음</v>
      </c>
      <c r="N138" s="24" t="str">
        <f t="array" ref="N138">IFERROR(INDEX(Monitor!A:A,MATCH(D138,Monitor!D:D,0)),"없음")</f>
        <v>없음</v>
      </c>
      <c r="O138" s="24" t="str">
        <f t="array" ref="O138">IFERROR(INDEX(sales!D:D,MATCH(D138,sales!C:C,0)),"없음")</f>
        <v/>
      </c>
      <c r="P138" s="24" t="str">
        <f t="array" ref="P138">IFERROR(INDEX(sales!E:E,MATCH(D138,sales!C:C,0)),"없음")</f>
        <v>MKT</v>
      </c>
      <c r="Q138" s="24"/>
      <c r="R138" s="24"/>
    </row>
    <row r="139">
      <c r="A139" s="13">
        <v>141.0</v>
      </c>
      <c r="B139" s="15" t="s">
        <v>539</v>
      </c>
      <c r="C139" s="15" t="s">
        <v>540</v>
      </c>
      <c r="D139" s="15" t="s">
        <v>541</v>
      </c>
      <c r="E139" s="15" t="s">
        <v>542</v>
      </c>
      <c r="F139" s="15" t="s">
        <v>2478</v>
      </c>
      <c r="G139" s="15" t="s">
        <v>67</v>
      </c>
      <c r="H139" s="19" t="str">
        <f t="array" ref="H139">IFERROR(INDEX(Lease_List!D:D,MATCH(All_User_backup!D139,Lease_List!H:H,0)),"없음")</f>
        <v>5CD4232BFB</v>
      </c>
      <c r="I139" s="22" t="s">
        <v>29</v>
      </c>
      <c r="J139" s="21"/>
      <c r="K139" s="22" t="str">
        <f t="array" ref="K139">IFERROR(INDEX(Ipad_List!C:C,MATCH(All_User_backup!D139,Ipad_List!J:J,0)),"없음")</f>
        <v>없음</v>
      </c>
      <c r="L139" s="35" t="str">
        <f t="array" ref="L139">IFERROR(INDEX(TeamsNumber!B:B,MATCH(All_User_backup!D139,TeamsNumber!D:D,0)),"없음")</f>
        <v>tel:+82234517564</v>
      </c>
      <c r="M139" s="35" t="str">
        <f t="array" ref="M139">IFERROR(INDEX(Printer!D:D,MATCH(All_User_backup!D139,Printer!H:H,0)),"없음")</f>
        <v>없음</v>
      </c>
      <c r="N139" s="24" t="str">
        <f t="array" ref="N139">IFERROR(INDEX(Monitor!A:A,MATCH(D139,Monitor!D:D,0)),"없음")</f>
        <v>없음</v>
      </c>
      <c r="O139" s="24" t="str">
        <f t="array" ref="O139">IFERROR(INDEX(sales!D:D,MATCH(D139,sales!C:C,0)),"없음")</f>
        <v>없음</v>
      </c>
      <c r="P139" s="24" t="str">
        <f t="array" ref="P139">IFERROR(INDEX(sales!E:E,MATCH(D139,sales!C:C,0)),"없음")</f>
        <v>없음</v>
      </c>
      <c r="Q139" s="24"/>
      <c r="R139" s="24"/>
    </row>
    <row r="140">
      <c r="A140" s="371">
        <v>142.0</v>
      </c>
      <c r="B140" s="372" t="s">
        <v>543</v>
      </c>
      <c r="C140" s="372" t="s">
        <v>544</v>
      </c>
      <c r="D140" s="372" t="s">
        <v>545</v>
      </c>
      <c r="E140" s="372" t="s">
        <v>546</v>
      </c>
      <c r="F140" s="372" t="s">
        <v>2471</v>
      </c>
      <c r="G140" s="372" t="s">
        <v>82</v>
      </c>
      <c r="H140" s="19" t="str">
        <f t="array" ref="H140">IFERROR(INDEX(Lease_List!D:D,MATCH(All_User_backup!D140,Lease_List!H:H,0)),"없음")</f>
        <v>5CG53403D4</v>
      </c>
      <c r="I140" s="22" t="s">
        <v>29</v>
      </c>
      <c r="J140" s="25" t="s">
        <v>547</v>
      </c>
      <c r="K140" s="22" t="str">
        <f t="array" ref="K140">IFERROR(INDEX(Ipad_List!C:C,MATCH(All_User_backup!D140,Ipad_List!J:J,0)),"없음")</f>
        <v>없음</v>
      </c>
      <c r="L140" s="35" t="str">
        <f t="array" ref="L140">IFERROR(INDEX(TeamsNumber!B:B,MATCH(All_User_backup!D140,TeamsNumber!D:D,0)),"없음")</f>
        <v>tel:+82234517609</v>
      </c>
      <c r="M140" s="35" t="str">
        <f t="array" ref="M140">IFERROR(INDEX(Printer!D:D,MATCH(All_User_backup!D140,Printer!G:G,0)),"없음")</f>
        <v>없음</v>
      </c>
      <c r="N140" s="24" t="str">
        <f t="array" ref="N140">IFERROR(INDEX(Monitor!A:A,MATCH(D140,Monitor!D:D,0)),"없음")</f>
        <v>LCD 모니터</v>
      </c>
      <c r="O140" s="24" t="str">
        <f t="array" ref="O140">IFERROR(INDEX(sales!D:D,MATCH(D140,sales!C:C,0)),"없음")</f>
        <v>Mako</v>
      </c>
      <c r="P140" s="24" t="str">
        <f t="array" ref="P140">IFERROR(INDEX(sales!E:E,MATCH(D140,sales!C:C,0)),"없음")</f>
        <v>Sales</v>
      </c>
      <c r="Q140" s="24"/>
      <c r="R140" s="24"/>
    </row>
    <row r="141">
      <c r="A141" s="13">
        <v>143.0</v>
      </c>
      <c r="B141" s="15" t="s">
        <v>548</v>
      </c>
      <c r="C141" s="15" t="s">
        <v>549</v>
      </c>
      <c r="D141" s="15" t="s">
        <v>550</v>
      </c>
      <c r="E141" s="15" t="s">
        <v>551</v>
      </c>
      <c r="F141" s="15" t="s">
        <v>2471</v>
      </c>
      <c r="G141" s="15" t="s">
        <v>2472</v>
      </c>
      <c r="H141" s="19" t="str">
        <f t="array" ref="H141">IFERROR(INDEX(Lease_List!D:D,MATCH(All_User_backup!D141,Lease_List!H:H,0)),"없음")</f>
        <v>5CD5179KHL</v>
      </c>
      <c r="I141" s="22" t="s">
        <v>552</v>
      </c>
      <c r="J141" s="21"/>
      <c r="K141" s="22" t="str">
        <f t="array" ref="K141">IFERROR(INDEX(Ipad_List!C:C,MATCH(All_User_backup!D141,Ipad_List!J:J,0)),"없음")</f>
        <v>VCF25MJ6YY</v>
      </c>
      <c r="L141" s="23" t="str">
        <f t="array" ref="L141">IFERROR(INDEX(TeamsNumber!B:B,MATCH(All_User_backup!D141,TeamsNumber!D:D,0)),"없음")</f>
        <v>tel:+82234517684</v>
      </c>
      <c r="M141" s="23" t="str">
        <f t="array" ref="M141">IFERROR(INDEX(Printer!D:D,MATCH(All_User_backup!D141,Printer!H:H,0)),"없음")</f>
        <v>반납</v>
      </c>
      <c r="N141" s="24" t="str">
        <f t="array" ref="N141">IFERROR(INDEX(Monitor!A:A,MATCH(D141,Monitor!D:D,0)),"없음")</f>
        <v>없음</v>
      </c>
      <c r="O141" s="24" t="str">
        <f t="array" ref="O141">IFERROR(INDEX(sales!D:D,MATCH(D141,sales!C:C,0)),"없음")</f>
        <v>NV</v>
      </c>
      <c r="P141" s="24" t="str">
        <f t="array" ref="P141">IFERROR(INDEX(sales!E:E,MATCH(D141,sales!C:C,0)),"없음")</f>
        <v>NV</v>
      </c>
      <c r="Q141" s="24" t="str">
        <f t="array" ref="Q141">IFERROR(INDEX(sales!C:C,MATCH(D141,sales!C:C,0)),"list없음")</f>
        <v>tyler.park@stryker.com</v>
      </c>
      <c r="R141" s="24"/>
    </row>
    <row r="142">
      <c r="A142" s="13">
        <v>144.0</v>
      </c>
      <c r="B142" s="15" t="s">
        <v>553</v>
      </c>
      <c r="C142" s="15" t="s">
        <v>554</v>
      </c>
      <c r="D142" s="15" t="s">
        <v>555</v>
      </c>
      <c r="E142" s="15" t="s">
        <v>556</v>
      </c>
      <c r="F142" s="15" t="s">
        <v>2471</v>
      </c>
      <c r="G142" s="15" t="s">
        <v>2482</v>
      </c>
      <c r="H142" s="19" t="str">
        <f t="array" ref="H142">IFERROR(INDEX(Lease_List!D:D,MATCH(All_User_backup!D142,Lease_List!H:H,0)),"없음")</f>
        <v>5CD4305D84</v>
      </c>
      <c r="I142" s="22" t="s">
        <v>29</v>
      </c>
      <c r="J142" s="21"/>
      <c r="K142" s="22" t="str">
        <f t="array" ref="K142">IFERROR(INDEX(Ipad_List!C:C,MATCH(All_User_backup!D142,Ipad_List!J:J,0)),"없음")</f>
        <v>TK79FYYWPV</v>
      </c>
      <c r="L142" s="23" t="str">
        <f t="array" ref="L142">IFERROR(INDEX(TeamsNumber!B:B,MATCH(All_User_backup!D142,TeamsNumber!D:D,0)),"없음")</f>
        <v>tel:+82234517679</v>
      </c>
      <c r="M142" s="23" t="str">
        <f t="array" ref="M142">IFERROR(INDEX(Printer!D:D,MATCH(All_User_backup!D142,Printer!H:H,0)),"없음")</f>
        <v>없음</v>
      </c>
      <c r="N142" s="24" t="str">
        <f t="array" ref="N142">IFERROR(INDEX(Monitor!A:A,MATCH(D142,Monitor!D:D,0)),"없음")</f>
        <v>없음</v>
      </c>
      <c r="O142" s="24" t="str">
        <f t="array" ref="O142">IFERROR(INDEX(sales!D:D,MATCH(D142,sales!C:C,0)),"없음")</f>
        <v/>
      </c>
      <c r="P142" s="24" t="str">
        <f t="array" ref="P142">IFERROR(INDEX(sales!E:E,MATCH(D142,sales!C:C,0)),"없음")</f>
        <v>MKT</v>
      </c>
      <c r="Q142" s="24" t="str">
        <f t="array" ref="Q142">IFERROR(INDEX(sales!C:C,MATCH(D142,sales!C:C,0)),"list없음")</f>
        <v>julie.park@stryker.com</v>
      </c>
      <c r="R142" s="24"/>
    </row>
    <row r="143">
      <c r="A143" s="13">
        <v>145.0</v>
      </c>
      <c r="B143" s="377" t="s">
        <v>557</v>
      </c>
      <c r="C143" s="15" t="s">
        <v>558</v>
      </c>
      <c r="D143" s="15" t="s">
        <v>559</v>
      </c>
      <c r="E143" s="15" t="s">
        <v>560</v>
      </c>
      <c r="F143" s="126" t="s">
        <v>1189</v>
      </c>
      <c r="G143" s="15" t="s">
        <v>2493</v>
      </c>
      <c r="H143" s="19" t="str">
        <f t="array" ref="H143">IFERROR(INDEX(Lease_List!D:D,MATCH(All_User_backup!D143,Lease_List!H:H,0)),"없음")</f>
        <v>5CD5062YDX</v>
      </c>
      <c r="I143" s="22" t="s">
        <v>29</v>
      </c>
      <c r="J143" s="21"/>
      <c r="K143" s="22" t="str">
        <f t="array" ref="K143">IFERROR(INDEX(Ipad_List!C:C,MATCH(All_User_backup!D143,Ipad_List!J:J,0)),"없음")</f>
        <v>없음</v>
      </c>
      <c r="L143" s="35" t="str">
        <f t="array" ref="L143">IFERROR(INDEX(TeamsNumber!B:B,MATCH(All_User_backup!D143,TeamsNumber!D:D,0)),"없음")</f>
        <v>tel:+82234517673</v>
      </c>
      <c r="M143" s="35" t="str">
        <f t="array" ref="M143">IFERROR(INDEX(Printer!D:D,MATCH(All_User_backup!D143,Printer!H:H,0)),"없음")</f>
        <v>없음</v>
      </c>
      <c r="N143" s="24" t="str">
        <f t="array" ref="N143">IFERROR(INDEX(Monitor!A:A,MATCH(D143,Monitor!D:D,0)),"없음")</f>
        <v>없음</v>
      </c>
      <c r="O143" s="24" t="str">
        <f t="array" ref="O143">IFERROR(INDEX(sales!D:D,MATCH(D143,sales!C:C,0)),"없음")</f>
        <v>없음</v>
      </c>
      <c r="P143" s="24" t="str">
        <f t="array" ref="P143">IFERROR(INDEX(sales!E:E,MATCH(D143,sales!C:C,0)),"없음")</f>
        <v>없음</v>
      </c>
      <c r="Q143" s="24"/>
      <c r="R143" s="24"/>
    </row>
    <row r="144">
      <c r="A144" s="13">
        <v>146.0</v>
      </c>
      <c r="B144" s="15" t="s">
        <v>561</v>
      </c>
      <c r="C144" s="15" t="s">
        <v>562</v>
      </c>
      <c r="D144" s="15" t="s">
        <v>563</v>
      </c>
      <c r="E144" s="15" t="s">
        <v>564</v>
      </c>
      <c r="F144" s="15" t="s">
        <v>2475</v>
      </c>
      <c r="G144" s="15" t="s">
        <v>2502</v>
      </c>
      <c r="H144" s="19" t="str">
        <f t="array" ref="H144">IFERROR(INDEX(Lease_List!D:D,MATCH(All_User_backup!D144,Lease_List!H:H,0)),"없음")</f>
        <v>5CG53403D9</v>
      </c>
      <c r="I144" s="22" t="s">
        <v>565</v>
      </c>
      <c r="J144" s="21"/>
      <c r="K144" s="22" t="str">
        <f t="array" ref="K144">IFERROR(INDEX(Ipad_List!C:C,MATCH(All_User_backup!D144,Ipad_List!J:J,0)),"없음")</f>
        <v>없음</v>
      </c>
      <c r="L144" s="35" t="str">
        <f t="array" ref="L144">IFERROR(INDEX(TeamsNumber!B:B,MATCH(All_User_backup!D144,TeamsNumber!D:D,0)),"없음")</f>
        <v>tel:+82234517663</v>
      </c>
      <c r="M144" s="35" t="str">
        <f t="array" ref="M144">IFERROR(INDEX(Printer!D:D,MATCH(All_User_backup!D144,Printer!H:H,0)),"없음")</f>
        <v>없음</v>
      </c>
      <c r="N144" s="24" t="str">
        <f t="array" ref="N144">IFERROR(INDEX(Monitor!A:A,MATCH(D144,Monitor!D:D,0)),"없음")</f>
        <v>LCD 모니터</v>
      </c>
      <c r="O144" s="24" t="str">
        <f t="array" ref="O144">IFERROR(INDEX(sales!D:D,MATCH(D144,sales!C:C,0)),"없음")</f>
        <v>없음</v>
      </c>
      <c r="P144" s="24" t="str">
        <f t="array" ref="P144">IFERROR(INDEX(sales!E:E,MATCH(D144,sales!C:C,0)),"없음")</f>
        <v>없음</v>
      </c>
      <c r="Q144" s="24"/>
      <c r="R144" s="24"/>
    </row>
    <row r="145">
      <c r="A145" s="13">
        <v>147.0</v>
      </c>
      <c r="B145" s="15" t="s">
        <v>566</v>
      </c>
      <c r="C145" s="15" t="s">
        <v>567</v>
      </c>
      <c r="D145" s="15" t="s">
        <v>568</v>
      </c>
      <c r="E145" s="15" t="s">
        <v>72</v>
      </c>
      <c r="F145" s="15" t="s">
        <v>2471</v>
      </c>
      <c r="G145" s="15" t="s">
        <v>2473</v>
      </c>
      <c r="H145" s="19" t="str">
        <f t="array" ref="H145">IFERROR(INDEX(Lease_List!D:D,MATCH(All_User_backup!D145,Lease_List!H:H,0)),"없음")</f>
        <v>5CD3469HD5</v>
      </c>
      <c r="I145" s="22" t="s">
        <v>29</v>
      </c>
      <c r="J145" s="21"/>
      <c r="K145" s="22" t="str">
        <f t="array" ref="K145">IFERROR(INDEX(Ipad_List!C:C,MATCH(All_User_backup!D145,Ipad_List!J:J,0)),"없음")</f>
        <v>DY5F770LQ3</v>
      </c>
      <c r="L145" s="23" t="str">
        <f t="array" ref="L145">IFERROR(INDEX(TeamsNumber!B:B,MATCH(All_User_backup!D145,TeamsNumber!D:D,0)),"없음")</f>
        <v>tel:+82234517578</v>
      </c>
      <c r="M145" s="23" t="str">
        <f t="array" ref="M145">IFERROR(INDEX(Printer!D:D,MATCH(All_User_backup!D145,Printer!H:H,0)),"없음")</f>
        <v>없음</v>
      </c>
      <c r="N145" s="24" t="str">
        <f t="array" ref="N145">IFERROR(INDEX(Monitor!A:A,MATCH(D145,Monitor!D:D,0)),"없음")</f>
        <v>없음</v>
      </c>
      <c r="O145" s="24" t="str">
        <f t="array" ref="O145">IFERROR(INDEX(sales!D:D,MATCH(D145,sales!C:C,0)),"없음")</f>
        <v>Mako</v>
      </c>
      <c r="P145" s="24" t="str">
        <f t="array" ref="P145">IFERROR(INDEX(sales!E:E,MATCH(D145,sales!C:C,0)),"없음")</f>
        <v>MPS</v>
      </c>
      <c r="Q145" s="24" t="str">
        <f t="array" ref="Q145">IFERROR(INDEX(sales!C:C,MATCH(D145,sales!C:C,0)),"list없음")</f>
        <v>jackson.park@stryker.com</v>
      </c>
      <c r="R145" s="24"/>
    </row>
    <row r="146">
      <c r="A146" s="13">
        <v>148.0</v>
      </c>
      <c r="B146" s="15" t="s">
        <v>569</v>
      </c>
      <c r="C146" s="15" t="s">
        <v>570</v>
      </c>
      <c r="D146" s="15" t="s">
        <v>571</v>
      </c>
      <c r="E146" s="15" t="s">
        <v>207</v>
      </c>
      <c r="F146" s="15" t="s">
        <v>2474</v>
      </c>
      <c r="G146" s="15" t="s">
        <v>420</v>
      </c>
      <c r="H146" s="19" t="str">
        <f t="array" ref="H146">IFERROR(INDEX(Lease_List!D:D,MATCH(All_User_backup!D146,Lease_List!H:H,0)),"없음")</f>
        <v>5CD3469HDC</v>
      </c>
      <c r="I146" s="22" t="s">
        <v>29</v>
      </c>
      <c r="J146" s="21"/>
      <c r="K146" s="22" t="str">
        <f t="array" ref="K146">IFERROR(INDEX(Ipad_List!C:C,MATCH(All_User_backup!D146,Ipad_List!J:J,0)),"없음")</f>
        <v>DP77MWKXNR</v>
      </c>
      <c r="L146" s="23" t="str">
        <f t="array" ref="L146">IFERROR(INDEX(TeamsNumber!B:B,MATCH(All_User_backup!D146,TeamsNumber!D:D,0)),"없음")</f>
        <v>tel:+82234517672</v>
      </c>
      <c r="M146" s="23" t="str">
        <f t="array" ref="M146">IFERROR(INDEX(Printer!D:D,MATCH(All_User_backup!D146,Printer!H:H,0)),"없음")</f>
        <v>없음</v>
      </c>
      <c r="N146" s="24" t="str">
        <f t="array" ref="N146">IFERROR(INDEX(Monitor!A:A,MATCH(D146,Monitor!D:D,0)),"없음")</f>
        <v>없음</v>
      </c>
      <c r="O146" s="24" t="str">
        <f t="array" ref="O146">IFERROR(INDEX(sales!D:D,MATCH(D146,sales!C:C,0)),"없음")</f>
        <v/>
      </c>
      <c r="P146" s="24" t="str">
        <f t="array" ref="P146">IFERROR(INDEX(sales!E:E,MATCH(D146,sales!C:C,0)),"없음")</f>
        <v>TS</v>
      </c>
      <c r="Q146" s="24" t="str">
        <f t="array" ref="Q146">IFERROR(INDEX(sales!C:C,MATCH(D146,sales!C:C,0)),"list없음")</f>
        <v>owen.park@stryker.com</v>
      </c>
      <c r="R146" s="24"/>
    </row>
    <row r="147">
      <c r="A147" s="13">
        <v>149.0</v>
      </c>
      <c r="B147" s="15" t="s">
        <v>572</v>
      </c>
      <c r="C147" s="15" t="s">
        <v>573</v>
      </c>
      <c r="D147" s="15" t="s">
        <v>574</v>
      </c>
      <c r="E147" s="15" t="s">
        <v>575</v>
      </c>
      <c r="F147" s="15" t="s">
        <v>2481</v>
      </c>
      <c r="G147" s="15" t="s">
        <v>354</v>
      </c>
      <c r="H147" s="19" t="str">
        <f t="array" ref="H147">IFERROR(INDEX(Lease_List!D:D,MATCH(All_User_backup!D147,Lease_List!H:H,0)),"없음")</f>
        <v>5CD3469HD4</v>
      </c>
      <c r="I147" s="22" t="s">
        <v>29</v>
      </c>
      <c r="J147" s="21"/>
      <c r="K147" s="22" t="str">
        <f t="array" ref="K147">IFERROR(INDEX(Ipad_List!C:C,MATCH(All_User_backup!D147,Ipad_List!J:J,0)),"없음")</f>
        <v>없음</v>
      </c>
      <c r="L147" s="35" t="str">
        <f t="array" ref="L147">IFERROR(INDEX(TeamsNumber!B:B,MATCH(All_User_backup!D147,TeamsNumber!D:D,0)),"없음")</f>
        <v>tel:+82234517544</v>
      </c>
      <c r="M147" s="35" t="str">
        <f t="array" ref="M147">IFERROR(INDEX(Printer!D:D,MATCH(All_User_backup!D147,Printer!H:H,0)),"없음")</f>
        <v>없음</v>
      </c>
      <c r="N147" s="24" t="str">
        <f t="array" ref="N147">IFERROR(INDEX(Monitor!A:A,MATCH(D147,Monitor!D:D,0)),"없음")</f>
        <v>LCD 모니터</v>
      </c>
      <c r="O147" s="24" t="str">
        <f t="array" ref="O147">IFERROR(INDEX(sales!D:D,MATCH(D147,sales!C:C,0)),"없음")</f>
        <v>없음</v>
      </c>
      <c r="P147" s="24" t="str">
        <f t="array" ref="P147">IFERROR(INDEX(sales!E:E,MATCH(D147,sales!C:C,0)),"없음")</f>
        <v>없음</v>
      </c>
      <c r="Q147" s="24"/>
      <c r="R147" s="24"/>
    </row>
    <row r="148">
      <c r="A148" s="13">
        <v>150.0</v>
      </c>
      <c r="B148" s="15" t="s">
        <v>576</v>
      </c>
      <c r="C148" s="15" t="s">
        <v>577</v>
      </c>
      <c r="D148" s="15" t="s">
        <v>578</v>
      </c>
      <c r="E148" s="15" t="s">
        <v>76</v>
      </c>
      <c r="F148" s="15" t="s">
        <v>2471</v>
      </c>
      <c r="G148" s="15" t="s">
        <v>2480</v>
      </c>
      <c r="H148" s="19" t="str">
        <f t="array" ref="H148">IFERROR(INDEX(Lease_List!D:D,MATCH(All_User_backup!D148,Lease_List!H:H,0)),"없음")</f>
        <v>5CG53403DL</v>
      </c>
      <c r="I148" s="22" t="s">
        <v>29</v>
      </c>
      <c r="J148" s="25" t="s">
        <v>579</v>
      </c>
      <c r="K148" s="22" t="str">
        <f t="array" ref="K148">IFERROR(INDEX(Ipad_List!C:C,MATCH(All_User_backup!D148,Ipad_List!J:J,0)),"없음")</f>
        <v>GXK670F7DH</v>
      </c>
      <c r="L148" s="23" t="str">
        <f t="array" ref="L148">IFERROR(INDEX(TeamsNumber!B:B,MATCH(All_User_backup!D148,TeamsNumber!D:D,0)),"없음")</f>
        <v>tel:+82234517608</v>
      </c>
      <c r="M148" s="23" t="str">
        <f t="array" ref="M148">IFERROR(INDEX(Printer!D:D,MATCH(All_User_backup!D148,Printer!G:G,0)),"없음")</f>
        <v>없음</v>
      </c>
      <c r="N148" s="24" t="str">
        <f t="array" ref="N148">IFERROR(INDEX(Monitor!A:A,MATCH(D148,Monitor!D:D,0)),"없음")</f>
        <v>없음</v>
      </c>
      <c r="O148" s="24" t="str">
        <f t="array" ref="O148">IFERROR(INDEX(sales!D:D,MATCH(D148,sales!C:C,0)),"없음")</f>
        <v>Shoulder</v>
      </c>
      <c r="P148" s="24" t="str">
        <f t="array" ref="P148">IFERROR(INDEX(sales!E:E,MATCH(D148,sales!C:C,0)),"없음")</f>
        <v>Sales</v>
      </c>
      <c r="Q148" s="24" t="str">
        <f t="array" ref="Q148">IFERROR(INDEX(sales!C:C,MATCH(D148,sales!C:C,0)),"list없음")</f>
        <v>peter.park@stryker.com</v>
      </c>
      <c r="R148" s="24"/>
    </row>
    <row r="149">
      <c r="A149" s="13">
        <v>151.0</v>
      </c>
      <c r="B149" s="15" t="s">
        <v>580</v>
      </c>
      <c r="C149" s="15" t="s">
        <v>581</v>
      </c>
      <c r="D149" s="15" t="s">
        <v>582</v>
      </c>
      <c r="E149" s="15" t="s">
        <v>583</v>
      </c>
      <c r="F149" s="15" t="s">
        <v>2471</v>
      </c>
      <c r="G149" s="15" t="s">
        <v>2480</v>
      </c>
      <c r="H149" s="19" t="str">
        <f t="array" ref="H149">IFERROR(INDEX(Lease_List!D:D,MATCH(All_User_backup!D149,Lease_List!H:H,0)),"없음")</f>
        <v>5CD4305D88</v>
      </c>
      <c r="I149" s="22" t="s">
        <v>29</v>
      </c>
      <c r="J149" s="21"/>
      <c r="K149" s="22" t="str">
        <f t="array" ref="K149">IFERROR(INDEX(Ipad_List!C:C,MATCH(All_User_backup!D149,Ipad_List!J:J,0)),"없음")</f>
        <v>M9CN2VYJ46</v>
      </c>
      <c r="L149" s="23" t="str">
        <f t="array" ref="L149">IFERROR(INDEX(TeamsNumber!B:B,MATCH(All_User_backup!D149,TeamsNumber!D:D,0)),"없음")</f>
        <v>tel:+82234517571</v>
      </c>
      <c r="M149" s="23" t="str">
        <f t="array" ref="M149">IFERROR(INDEX(Printer!D:D,MATCH(All_User_backup!D149,Printer!H:H,0)),"없음")</f>
        <v>2차 조사 정보 없음</v>
      </c>
      <c r="N149" s="24" t="str">
        <f t="array" ref="N149">IFERROR(INDEX(Monitor!A:A,MATCH(D149,Monitor!D:D,0)),"없음")</f>
        <v>없음</v>
      </c>
      <c r="O149" s="24" t="str">
        <f t="array" ref="O149">IFERROR(INDEX(sales!D:D,MATCH(D149,sales!C:C,0)),"없음")</f>
        <v>Medical</v>
      </c>
      <c r="P149" s="24" t="str">
        <f t="array" ref="P149">IFERROR(INDEX(sales!E:E,MATCH(D149,sales!C:C,0)),"없음")</f>
        <v>Sales</v>
      </c>
      <c r="Q149" s="24" t="str">
        <f t="array" ref="Q149">IFERROR(INDEX(sales!C:C,MATCH(D149,sales!C:C,0)),"list없음")</f>
        <v>michelle.park@stryker.com</v>
      </c>
      <c r="R149" s="24"/>
    </row>
    <row r="150">
      <c r="A150" s="13">
        <v>152.0</v>
      </c>
      <c r="B150" s="15" t="s">
        <v>585</v>
      </c>
      <c r="C150" s="15" t="s">
        <v>586</v>
      </c>
      <c r="D150" s="15" t="s">
        <v>587</v>
      </c>
      <c r="E150" s="15" t="s">
        <v>588</v>
      </c>
      <c r="F150" s="18" t="s">
        <v>52</v>
      </c>
      <c r="G150" s="18" t="s">
        <v>53</v>
      </c>
      <c r="H150" s="19" t="str">
        <f t="array" ref="H150">IFERROR(INDEX(Lease_List!D:D,MATCH(All_User_backup!D150,Lease_List!H:H,0)),"없음")</f>
        <v>없음</v>
      </c>
      <c r="I150" s="22" t="s">
        <v>589</v>
      </c>
      <c r="J150" s="21"/>
      <c r="K150" s="22" t="str">
        <f t="array" ref="K150">IFERROR(INDEX(Ipad_List!C:C,MATCH(All_User_backup!D150,Ipad_List!J:J,0)),"없음")</f>
        <v>YWFN4L7RQJ</v>
      </c>
      <c r="L150" s="23" t="str">
        <f t="array" ref="L150">IFERROR(INDEX(TeamsNumber!B:B,MATCH(All_User_backup!D150,TeamsNumber!D:D,0)),"없음")</f>
        <v>tel:+82234517650</v>
      </c>
      <c r="M150" s="23" t="str">
        <f t="array" ref="M150">IFERROR(INDEX(Printer!D:D,MATCH(All_User_backup!D150,Printer!H:H,0)),"없음")</f>
        <v>2차 조사 정보 없음</v>
      </c>
      <c r="N150" s="24" t="str">
        <f t="array" ref="N150">IFERROR(INDEX(Monitor!A:A,MATCH(D150,Monitor!D:D,0)),"없음")</f>
        <v>없음</v>
      </c>
      <c r="O150" s="24" t="str">
        <f t="array" ref="O150">IFERROR(INDEX(sales!D:D,MATCH(D150,sales!C:C,0)),"없음")</f>
        <v>MedSurg</v>
      </c>
      <c r="P150" s="24" t="str">
        <f t="array" ref="P150">IFERROR(INDEX(sales!E:E,MATCH(D150,sales!C:C,0)),"없음")</f>
        <v>Sales</v>
      </c>
      <c r="Q150" s="24" t="str">
        <f t="array" ref="Q150">IFERROR(INDEX(sales!C:C,MATCH(D150,sales!C:C,0)),"list없음")</f>
        <v>jin.park@stryker.com</v>
      </c>
      <c r="R150" s="24"/>
    </row>
    <row r="151">
      <c r="A151" s="13">
        <v>153.0</v>
      </c>
      <c r="B151" s="15" t="s">
        <v>590</v>
      </c>
      <c r="C151" s="15" t="s">
        <v>591</v>
      </c>
      <c r="D151" s="15" t="s">
        <v>592</v>
      </c>
      <c r="E151" s="15" t="s">
        <v>593</v>
      </c>
      <c r="F151" s="15" t="s">
        <v>2478</v>
      </c>
      <c r="G151" s="15" t="s">
        <v>2487</v>
      </c>
      <c r="H151" s="19" t="str">
        <f t="array" ref="H151">IFERROR(INDEX(Lease_List!D:D,MATCH(All_User_backup!D151,Lease_List!H:H,0)),"없음")</f>
        <v>없음</v>
      </c>
      <c r="I151" s="20" t="s">
        <v>594</v>
      </c>
      <c r="J151" s="21"/>
      <c r="K151" s="22" t="str">
        <f t="array" ref="K151">IFERROR(INDEX(Ipad_List!C:C,MATCH(All_User_backup!D151,Ipad_List!J:J,0)),"없음")</f>
        <v>없음</v>
      </c>
      <c r="L151" s="35" t="str">
        <f t="array" ref="L151">IFERROR(INDEX(TeamsNumber!B:B,MATCH(All_User_backup!D151,TeamsNumber!D:D,0)),"없음")</f>
        <v>tel:+82234517616</v>
      </c>
      <c r="M151" s="35" t="str">
        <f t="array" ref="M151">IFERROR(INDEX(Printer!D:D,MATCH(All_User_backup!D151,Printer!G:G,0)),"없음")</f>
        <v>없음</v>
      </c>
      <c r="N151" s="24" t="str">
        <f t="array" ref="N151">IFERROR(INDEX(Monitor!A:A,MATCH(D151,Monitor!D:D,0)),"없음")</f>
        <v>없음</v>
      </c>
      <c r="O151" s="24" t="str">
        <f t="array" ref="O151">IFERROR(INDEX(sales!D:D,MATCH(D151,sales!C:C,0)),"없음")</f>
        <v>없음</v>
      </c>
      <c r="P151" s="24" t="str">
        <f t="array" ref="P151">IFERROR(INDEX(sales!E:E,MATCH(D151,sales!C:C,0)),"없음")</f>
        <v>없음</v>
      </c>
      <c r="Q151" s="24"/>
      <c r="R151" s="24"/>
    </row>
    <row r="152">
      <c r="A152" s="13">
        <v>154.0</v>
      </c>
      <c r="B152" s="15" t="s">
        <v>595</v>
      </c>
      <c r="C152" s="15" t="s">
        <v>596</v>
      </c>
      <c r="D152" s="15" t="s">
        <v>597</v>
      </c>
      <c r="E152" s="15" t="s">
        <v>76</v>
      </c>
      <c r="F152" s="15" t="s">
        <v>2471</v>
      </c>
      <c r="G152" s="15" t="s">
        <v>2472</v>
      </c>
      <c r="H152" s="19" t="str">
        <f t="array" ref="H152">IFERROR(INDEX(Lease_List!D:D,MATCH(All_User_backup!D152,Lease_List!H:H,0)),"없음")</f>
        <v>없음</v>
      </c>
      <c r="I152" s="22" t="s">
        <v>598</v>
      </c>
      <c r="J152" s="25" t="s">
        <v>599</v>
      </c>
      <c r="K152" s="22" t="str">
        <f t="array" ref="K152">IFERROR(INDEX(Ipad_List!C:C,MATCH(All_User_backup!D152,Ipad_List!J:J,0)),"없음")</f>
        <v>W6RQPLQLJY</v>
      </c>
      <c r="L152" s="23" t="str">
        <f t="array" ref="L152">IFERROR(INDEX(TeamsNumber!B:B,MATCH(All_User_backup!D152,TeamsNumber!D:D,0)),"없음")</f>
        <v>tel:+82234517622</v>
      </c>
      <c r="M152" s="23" t="str">
        <f t="array" ref="M152">IFERROR(INDEX(Printer!D:D,MATCH(All_User_backup!D152,Printer!G:G,0)),"없음")</f>
        <v>없음</v>
      </c>
      <c r="N152" s="24" t="str">
        <f t="array" ref="N152">IFERROR(INDEX(Monitor!A:A,MATCH(D152,Monitor!D:D,0)),"없음")</f>
        <v>없음</v>
      </c>
      <c r="O152" s="24" t="str">
        <f t="array" ref="O152">IFERROR(INDEX(sales!D:D,MATCH(D152,sales!C:C,0)),"없음")</f>
        <v>MedSurg</v>
      </c>
      <c r="P152" s="24" t="str">
        <f t="array" ref="P152">IFERROR(INDEX(sales!E:E,MATCH(D152,sales!C:C,0)),"없음")</f>
        <v>Sales</v>
      </c>
      <c r="Q152" s="24" t="str">
        <f t="array" ref="Q152">IFERROR(INDEX(sales!C:C,MATCH(D152,sales!C:C,0)),"list없음")</f>
        <v>daniel.park@stryker.com</v>
      </c>
      <c r="R152" s="24"/>
    </row>
    <row r="153">
      <c r="A153" s="13">
        <v>155.0</v>
      </c>
      <c r="B153" s="15" t="s">
        <v>600</v>
      </c>
      <c r="C153" s="15" t="s">
        <v>601</v>
      </c>
      <c r="D153" s="15" t="s">
        <v>602</v>
      </c>
      <c r="E153" s="15" t="s">
        <v>125</v>
      </c>
      <c r="F153" s="15" t="s">
        <v>2471</v>
      </c>
      <c r="G153" s="15" t="s">
        <v>2472</v>
      </c>
      <c r="H153" s="19" t="str">
        <f t="array" ref="H153">IFERROR(INDEX(Lease_List!D:D,MATCH(All_User_backup!D153,Lease_List!H:H,0)),"없음")</f>
        <v>5CD442C073</v>
      </c>
      <c r="I153" s="22" t="s">
        <v>29</v>
      </c>
      <c r="J153" s="21"/>
      <c r="K153" s="22" t="str">
        <f t="array" ref="K153">IFERROR(INDEX(Ipad_List!C:C,MATCH(All_User_backup!D153,Ipad_List!J:J,0)),"없음")</f>
        <v>MNPXXL2C5X</v>
      </c>
      <c r="L153" s="23" t="str">
        <f t="array" ref="L153">IFERROR(INDEX(TeamsNumber!B:B,MATCH(All_User_backup!D153,TeamsNumber!D:D,0)),"없음")</f>
        <v>tel:+82234517649</v>
      </c>
      <c r="M153" s="23" t="str">
        <f t="array" ref="M153">IFERROR(INDEX(Printer!D:D,MATCH(All_User_backup!D153,Printer!H:H,0)),"없음")</f>
        <v>SL-C563W</v>
      </c>
      <c r="N153" s="24" t="str">
        <f t="array" ref="N153">IFERROR(INDEX(Monitor!A:A,MATCH(D153,Monitor!D:D,0)),"없음")</f>
        <v>없음</v>
      </c>
      <c r="O153" s="24" t="str">
        <f t="array" ref="O153">IFERROR(INDEX(sales!D:D,MATCH(D153,sales!C:C,0)),"없음")</f>
        <v>MedSurg</v>
      </c>
      <c r="P153" s="24" t="str">
        <f t="array" ref="P153">IFERROR(INDEX(sales!E:E,MATCH(D153,sales!C:C,0)),"없음")</f>
        <v>Sales</v>
      </c>
      <c r="Q153" s="24" t="str">
        <f t="array" ref="Q153">IFERROR(INDEX(sales!C:C,MATCH(D153,sales!C:C,0)),"list없음")</f>
        <v>hyoseon.park@stryker.com</v>
      </c>
      <c r="R153" s="24"/>
    </row>
    <row r="154">
      <c r="A154" s="89"/>
      <c r="B154" s="90"/>
      <c r="C154" s="90"/>
      <c r="D154" s="90"/>
      <c r="E154" s="90"/>
      <c r="F154" s="90"/>
      <c r="G154" s="90"/>
      <c r="H154" s="92"/>
      <c r="I154" s="93"/>
      <c r="J154" s="99"/>
      <c r="K154" s="93"/>
      <c r="L154" s="95"/>
      <c r="M154" s="95"/>
      <c r="N154" s="96"/>
      <c r="O154" s="96"/>
      <c r="P154" s="96"/>
      <c r="Q154" s="97"/>
      <c r="R154" s="97"/>
    </row>
    <row r="155">
      <c r="A155" s="13">
        <v>157.0</v>
      </c>
      <c r="B155" s="15" t="s">
        <v>603</v>
      </c>
      <c r="C155" s="15" t="s">
        <v>604</v>
      </c>
      <c r="D155" s="15" t="s">
        <v>605</v>
      </c>
      <c r="E155" s="15" t="s">
        <v>606</v>
      </c>
      <c r="F155" s="15" t="s">
        <v>2471</v>
      </c>
      <c r="G155" s="15" t="s">
        <v>2485</v>
      </c>
      <c r="H155" s="19" t="str">
        <f t="array" ref="H155">IFERROR(INDEX(Lease_List!D:D,MATCH(All_User_backup!D155,Lease_List!H:H,0)),"없음")</f>
        <v>5CD5179KH4</v>
      </c>
      <c r="I155" s="22" t="s">
        <v>29</v>
      </c>
      <c r="J155" s="21"/>
      <c r="K155" s="22" t="str">
        <f t="array" ref="K155">IFERROR(INDEX(Ipad_List!C:C,MATCH(All_User_backup!D155,Ipad_List!J:J,0)),"없음")</f>
        <v>K9J441WF9W</v>
      </c>
      <c r="L155" s="35" t="str">
        <f t="array" ref="L155">IFERROR(INDEX(TeamsNumber!B:B,MATCH(All_User_backup!D155,TeamsNumber!D:D,0)),"없음")</f>
        <v>tel:+82234517515</v>
      </c>
      <c r="M155" s="35" t="str">
        <f t="array" ref="M155">IFERROR(INDEX(Printer!D:D,MATCH(All_User_backup!D155,Printer!H:H,0)),"없음")</f>
        <v>없음</v>
      </c>
      <c r="N155" s="24" t="str">
        <f t="array" ref="N155">IFERROR(INDEX(Monitor!A:A,MATCH(D155,Monitor!D:D,0)),"없음")</f>
        <v>LCD 모니터</v>
      </c>
      <c r="O155" s="24" t="str">
        <f t="array" ref="O155">IFERROR(INDEX(sales!D:D,MATCH(D155,sales!C:C,0)),"없음")</f>
        <v>없음</v>
      </c>
      <c r="P155" s="24" t="str">
        <f t="array" ref="P155">IFERROR(INDEX(sales!E:E,MATCH(D155,sales!C:C,0)),"없음")</f>
        <v>없음</v>
      </c>
      <c r="Q155" s="24"/>
      <c r="R155" s="24"/>
    </row>
    <row r="156">
      <c r="A156" s="13">
        <v>158.0</v>
      </c>
      <c r="B156" s="15" t="s">
        <v>607</v>
      </c>
      <c r="C156" s="15" t="s">
        <v>608</v>
      </c>
      <c r="D156" s="15" t="s">
        <v>609</v>
      </c>
      <c r="E156" s="15" t="s">
        <v>57</v>
      </c>
      <c r="F156" s="15" t="s">
        <v>2471</v>
      </c>
      <c r="G156" s="15" t="s">
        <v>2473</v>
      </c>
      <c r="H156" s="19" t="str">
        <f t="array" ref="H156">IFERROR(INDEX(Lease_List!D:D,MATCH(All_User_backup!D156,Lease_List!H:H,0)),"없음")</f>
        <v>5CD5062YDP</v>
      </c>
      <c r="I156" s="22" t="s">
        <v>29</v>
      </c>
      <c r="J156" s="21"/>
      <c r="K156" s="22" t="str">
        <f t="array" ref="K156">IFERROR(INDEX(Ipad_List!C:C,MATCH(All_User_backup!D156,Ipad_List!J:J,0)),"없음")</f>
        <v>L2717D33PM</v>
      </c>
      <c r="L156" s="23" t="str">
        <f t="array" ref="L156">IFERROR(INDEX(TeamsNumber!B:B,MATCH(All_User_backup!D156,TeamsNumber!D:D,0)),"없음")</f>
        <v>없음</v>
      </c>
      <c r="M156" s="23" t="str">
        <f t="array" ref="M156">IFERROR(INDEX(Printer!D:D,MATCH(All_User_backup!D156,Printer!H:H,0)),"없음")</f>
        <v>없음</v>
      </c>
      <c r="N156" s="24" t="str">
        <f t="array" ref="N156">IFERROR(INDEX(Monitor!A:A,MATCH(D156,Monitor!D:D,0)),"없음")</f>
        <v>없음</v>
      </c>
      <c r="O156" s="24" t="str">
        <f t="array" ref="O156">IFERROR(INDEX(sales!D:D,MATCH(D156,sales!C:C,0)),"없음")</f>
        <v>Mako</v>
      </c>
      <c r="P156" s="24" t="str">
        <f t="array" ref="P156">IFERROR(INDEX(sales!E:E,MATCH(D156,sales!C:C,0)),"없음")</f>
        <v>MPS</v>
      </c>
      <c r="Q156" s="24" t="str">
        <f t="array" ref="Q156">IFERROR(INDEX(sales!C:C,MATCH(D156,sales!C:C,0)),"list없음")</f>
        <v>lucia.park@stryker.com</v>
      </c>
      <c r="R156" s="24"/>
    </row>
    <row r="157">
      <c r="A157" s="89">
        <v>159.0</v>
      </c>
      <c r="B157" s="90" t="s">
        <v>2503</v>
      </c>
      <c r="C157" s="90" t="s">
        <v>2504</v>
      </c>
      <c r="D157" s="90" t="s">
        <v>1262</v>
      </c>
      <c r="E157" s="90" t="s">
        <v>2505</v>
      </c>
      <c r="F157" s="90"/>
      <c r="G157" s="90"/>
      <c r="H157" s="92" t="str">
        <f t="array" ref="H157">IFERROR(INDEX(Lease_List!D:D,MATCH(All_User_backup!D157,Lease_List!H:H,0)),"없음")</f>
        <v>5CD5179KJ0</v>
      </c>
      <c r="I157" s="93" t="s">
        <v>2506</v>
      </c>
      <c r="J157" s="99"/>
      <c r="K157" s="93" t="str">
        <f t="array" ref="K157">IFERROR(INDEX(Ipad_List!C:C,MATCH(All_User_backup!D157,Ipad_List!J:J,0)),"없음")</f>
        <v>없음</v>
      </c>
      <c r="L157" s="95" t="str">
        <f t="array" ref="L157">IFERROR(INDEX(TeamsNumber!B:B,MATCH(All_User_backup!D157,TeamsNumber!D:D,0)),"없음")</f>
        <v>없음</v>
      </c>
      <c r="M157" s="95" t="str">
        <f t="array" ref="M157">IFERROR(INDEX(Printer!D:D,MATCH(All_User_backup!D157,Printer!H:H,0)),"없음")</f>
        <v>없음</v>
      </c>
      <c r="N157" s="96" t="str">
        <f t="array" ref="N157">IFERROR(INDEX(Monitor!A:A,MATCH(D157,Monitor!D:D,0)),"없음")</f>
        <v>없음</v>
      </c>
      <c r="O157" s="96" t="str">
        <f t="array" ref="O157">IFERROR(INDEX(sales!D:D,MATCH(D157,sales!C:C,0)),"없음")</f>
        <v>없음</v>
      </c>
      <c r="P157" s="96" t="str">
        <f t="array" ref="P157">IFERROR(INDEX(sales!E:E,MATCH(D157,sales!C:C,0)),"없음")</f>
        <v>없음</v>
      </c>
      <c r="Q157" s="96"/>
      <c r="R157" s="97">
        <v>46338.0</v>
      </c>
    </row>
    <row r="158">
      <c r="A158" s="13">
        <v>160.0</v>
      </c>
      <c r="B158" s="15" t="s">
        <v>610</v>
      </c>
      <c r="C158" s="15" t="s">
        <v>611</v>
      </c>
      <c r="D158" s="15" t="s">
        <v>612</v>
      </c>
      <c r="E158" s="15" t="s">
        <v>613</v>
      </c>
      <c r="F158" s="15" t="s">
        <v>2475</v>
      </c>
      <c r="G158" s="15" t="s">
        <v>2477</v>
      </c>
      <c r="H158" s="19" t="str">
        <f t="array" ref="H158">IFERROR(INDEX(Lease_List!D:D,MATCH(All_User_backup!D158,Lease_List!H:H,0)),"없음")</f>
        <v>5CD5179KH8</v>
      </c>
      <c r="I158" s="22" t="s">
        <v>614</v>
      </c>
      <c r="J158" s="21"/>
      <c r="K158" s="22" t="str">
        <f t="array" ref="K158">IFERROR(INDEX(Ipad_List!C:C,MATCH(All_User_backup!D158,Ipad_List!J:J,0)),"없음")</f>
        <v>JWXX9D7C0H</v>
      </c>
      <c r="L158" s="35" t="str">
        <f t="array" ref="L158">IFERROR(INDEX(TeamsNumber!B:B,MATCH(All_User_backup!D158,TeamsNumber!D:D,0)),"없음")</f>
        <v>tel:+82234517653</v>
      </c>
      <c r="M158" s="35" t="str">
        <f t="array" ref="M158">IFERROR(INDEX(Printer!D:D,MATCH(All_User_backup!D158,Printer!H:H,0)),"없음")</f>
        <v>없음</v>
      </c>
      <c r="N158" s="24" t="str">
        <f t="array" ref="N158">IFERROR(INDEX(Monitor!A:A,MATCH(D158,Monitor!D:D,0)),"없음")</f>
        <v>없음</v>
      </c>
      <c r="O158" s="24" t="str">
        <f t="array" ref="O158">IFERROR(INDEX(sales!D:D,MATCH(D158,sales!C:C,0)),"없음")</f>
        <v>없음</v>
      </c>
      <c r="P158" s="24" t="str">
        <f t="array" ref="P158">IFERROR(INDEX(sales!E:E,MATCH(D158,sales!C:C,0)),"없음")</f>
        <v>없음</v>
      </c>
      <c r="Q158" s="24"/>
      <c r="R158" s="24"/>
    </row>
    <row r="159">
      <c r="A159" s="13">
        <v>161.0</v>
      </c>
      <c r="B159" s="15" t="s">
        <v>615</v>
      </c>
      <c r="C159" s="15" t="s">
        <v>616</v>
      </c>
      <c r="D159" s="15" t="s">
        <v>617</v>
      </c>
      <c r="E159" s="15" t="s">
        <v>618</v>
      </c>
      <c r="F159" s="15" t="s">
        <v>2471</v>
      </c>
      <c r="G159" s="15" t="s">
        <v>2472</v>
      </c>
      <c r="H159" s="19" t="str">
        <f t="array" ref="H159">IFERROR(INDEX(Lease_List!D:D,MATCH(All_User_backup!D159,Lease_List!H:H,0)),"없음")</f>
        <v>없음</v>
      </c>
      <c r="I159" s="22" t="s">
        <v>619</v>
      </c>
      <c r="J159" s="21"/>
      <c r="K159" s="22" t="str">
        <f t="array" ref="K159">IFERROR(INDEX(Ipad_List!C:C,MATCH(All_User_backup!D159,Ipad_List!J:J,0)),"없음")</f>
        <v>KJ44CP93XQ</v>
      </c>
      <c r="L159" s="23" t="str">
        <f t="array" ref="L159">IFERROR(INDEX(TeamsNumber!B:B,MATCH(All_User_backup!D159,TeamsNumber!D:D,0)),"없음")</f>
        <v>tel:+82234517548</v>
      </c>
      <c r="M159" s="23" t="str">
        <f t="array" ref="M159">IFERROR(INDEX(Printer!D:D,MATCH(All_User_backup!D159,Printer!H:H,0)),"없음")</f>
        <v>SL-C563W</v>
      </c>
      <c r="N159" s="24" t="str">
        <f t="array" ref="N159">IFERROR(INDEX(Monitor!A:A,MATCH(D159,Monitor!D:D,0)),"없음")</f>
        <v>없음</v>
      </c>
      <c r="O159" s="24" t="str">
        <f t="array" ref="O159">IFERROR(INDEX(sales!D:D,MATCH(D159,sales!C:C,0)),"없음")</f>
        <v/>
      </c>
      <c r="P159" s="24" t="str">
        <f t="array" ref="P159">IFERROR(INDEX(sales!E:E,MATCH(D159,sales!C:C,0)),"없음")</f>
        <v>Sales</v>
      </c>
      <c r="Q159" s="24" t="str">
        <f t="array" ref="Q159">IFERROR(INDEX(sales!C:C,MATCH(D159,sales!C:C,0)),"list없음")</f>
        <v>Gregory.Seo@stryker.com</v>
      </c>
      <c r="R159" s="24"/>
    </row>
    <row r="160">
      <c r="A160" s="13">
        <v>162.0</v>
      </c>
      <c r="B160" s="15" t="s">
        <v>620</v>
      </c>
      <c r="C160" s="15" t="s">
        <v>621</v>
      </c>
      <c r="D160" s="15" t="s">
        <v>622</v>
      </c>
      <c r="E160" s="15" t="s">
        <v>623</v>
      </c>
      <c r="F160" s="15" t="s">
        <v>2471</v>
      </c>
      <c r="G160" s="15" t="s">
        <v>82</v>
      </c>
      <c r="H160" s="19" t="str">
        <f t="array" ref="H160">IFERROR(INDEX(Lease_List!D:D,MATCH(All_User_backup!D160,Lease_List!H:H,0)),"없음")</f>
        <v>5CG53403DB</v>
      </c>
      <c r="I160" s="22" t="s">
        <v>29</v>
      </c>
      <c r="J160" s="21"/>
      <c r="K160" s="22" t="str">
        <f t="array" ref="K160">IFERROR(INDEX(Ipad_List!C:C,MATCH(All_User_backup!D160,Ipad_List!J:J,0)),"없음")</f>
        <v>없음</v>
      </c>
      <c r="L160" s="35" t="str">
        <f t="array" ref="L160">IFERROR(INDEX(TeamsNumber!B:B,MATCH(All_User_backup!D160,TeamsNumber!D:D,0)),"없음")</f>
        <v>tel:+82234517698</v>
      </c>
      <c r="M160" s="35" t="str">
        <f t="array" ref="M160">IFERROR(INDEX(Printer!D:D,MATCH(All_User_backup!D160,Printer!H:H,0)),"없음")</f>
        <v>없음</v>
      </c>
      <c r="N160" s="24" t="str">
        <f t="array" ref="N160">IFERROR(INDEX(Monitor!A:A,MATCH(D160,Monitor!D:D,0)),"없음")</f>
        <v>없음</v>
      </c>
      <c r="O160" s="24" t="str">
        <f t="array" ref="O160">IFERROR(INDEX(sales!D:D,MATCH(D160,sales!C:C,0)),"없음")</f>
        <v/>
      </c>
      <c r="P160" s="24" t="str">
        <f t="array" ref="P160">IFERROR(INDEX(sales!E:E,MATCH(D160,sales!C:C,0)),"없음")</f>
        <v/>
      </c>
      <c r="Q160" s="24"/>
      <c r="R160" s="24"/>
    </row>
    <row r="161">
      <c r="A161" s="28">
        <v>163.0</v>
      </c>
      <c r="B161" s="29" t="s">
        <v>624</v>
      </c>
      <c r="C161" s="29" t="s">
        <v>625</v>
      </c>
      <c r="D161" s="29" t="s">
        <v>626</v>
      </c>
      <c r="E161" s="29" t="s">
        <v>627</v>
      </c>
      <c r="F161" s="29" t="s">
        <v>2496</v>
      </c>
      <c r="G161" s="29" t="s">
        <v>628</v>
      </c>
      <c r="H161" s="375" t="str">
        <f t="array" ref="H161">IFERROR(INDEX(Lease_List!D:D,MATCH(All_User_backup!D161,Lease_List!H:H,0)),"없음")</f>
        <v>5CD5179KH0</v>
      </c>
      <c r="I161" s="31" t="s">
        <v>629</v>
      </c>
      <c r="J161" s="32"/>
      <c r="K161" s="31" t="str">
        <f t="array" ref="K161">IFERROR(INDEX(Ipad_List!C:C,MATCH(All_User_backup!D161,Ipad_List!J:J,0)),"없음")</f>
        <v>없음</v>
      </c>
      <c r="L161" s="46" t="str">
        <f t="array" ref="L161">IFERROR(INDEX(TeamsNumber!B:B,MATCH(All_User_backup!D161,TeamsNumber!D:D,0)),"없음")</f>
        <v>tel:+82234517619</v>
      </c>
      <c r="M161" s="46" t="str">
        <f t="array" ref="M161">IFERROR(INDEX(Printer!D:D,MATCH(All_User_backup!D161,Printer!H:H,0)),"없음")</f>
        <v>없음</v>
      </c>
      <c r="N161" s="24" t="str">
        <f t="array" ref="N161">IFERROR(INDEX(Monitor!A:A,MATCH(D161,Monitor!D:D,0)),"없음")</f>
        <v>없음</v>
      </c>
      <c r="O161" s="288" t="str">
        <f t="array" ref="O161">IFERROR(INDEX(sales!D:D,MATCH(D161,sales!C:C,0)),"없음")</f>
        <v>없음</v>
      </c>
      <c r="P161" s="24" t="str">
        <f t="array" ref="P161">IFERROR(INDEX(sales!E:E,MATCH(D161,sales!C:C,0)),"없음")</f>
        <v>없음</v>
      </c>
    </row>
    <row r="162">
      <c r="A162" s="13">
        <v>164.0</v>
      </c>
      <c r="B162" s="15" t="s">
        <v>630</v>
      </c>
      <c r="C162" s="15" t="s">
        <v>631</v>
      </c>
      <c r="D162" s="15" t="s">
        <v>632</v>
      </c>
      <c r="E162" s="15" t="s">
        <v>633</v>
      </c>
      <c r="F162" s="15" t="s">
        <v>634</v>
      </c>
      <c r="G162" s="15" t="s">
        <v>635</v>
      </c>
      <c r="H162" s="19" t="str">
        <f t="array" ref="H162">IFERROR(INDEX(Lease_List!D:D,MATCH(All_User_backup!D162,Lease_List!H:H,0)),"없음")</f>
        <v>5CD4232BF9</v>
      </c>
      <c r="I162" s="22" t="s">
        <v>29</v>
      </c>
      <c r="J162" s="21"/>
      <c r="K162" s="22" t="str">
        <f t="array" ref="K162">IFERROR(INDEX(Ipad_List!C:C,MATCH(All_User_backup!D162,Ipad_List!J:J,0)),"없음")</f>
        <v>DLXCC00MKC43</v>
      </c>
      <c r="L162" s="35" t="str">
        <f t="array" ref="L162">IFERROR(INDEX(TeamsNumber!B:B,MATCH(All_User_backup!D162,TeamsNumber!D:D,0)),"없음")</f>
        <v>tel:+82234517520</v>
      </c>
      <c r="M162" s="35" t="str">
        <f t="array" ref="M162">IFERROR(INDEX(Printer!D:D,MATCH(All_User_backup!D162,Printer!H:H,0)),"없음")</f>
        <v>없음</v>
      </c>
      <c r="N162" s="24" t="str">
        <f t="array" ref="N162">IFERROR(INDEX(Monitor!A:A,MATCH(D162,Monitor!D:D,0)),"없음")</f>
        <v>없음</v>
      </c>
      <c r="O162" s="24" t="str">
        <f t="array" ref="O162">IFERROR(INDEX(sales!D:D,MATCH(D162,sales!C:C,0)),"없음")</f>
        <v>없음</v>
      </c>
      <c r="P162" s="24" t="str">
        <f t="array" ref="P162">IFERROR(INDEX(sales!E:E,MATCH(D162,sales!C:C,0)),"없음")</f>
        <v>없음</v>
      </c>
      <c r="Q162" s="24"/>
      <c r="R162" s="24"/>
    </row>
    <row r="163">
      <c r="A163" s="89"/>
      <c r="B163" s="90"/>
      <c r="C163" s="90"/>
      <c r="D163" s="90"/>
      <c r="E163" s="90"/>
      <c r="F163" s="90"/>
      <c r="G163" s="90"/>
      <c r="H163" s="92"/>
      <c r="I163" s="93"/>
      <c r="J163" s="94"/>
      <c r="K163" s="93"/>
      <c r="L163" s="95"/>
      <c r="M163" s="95"/>
      <c r="N163" s="96"/>
      <c r="O163" s="96"/>
      <c r="P163" s="96"/>
      <c r="Q163" s="97"/>
      <c r="R163" s="97"/>
    </row>
    <row r="164">
      <c r="A164" s="13">
        <v>166.0</v>
      </c>
      <c r="B164" s="15" t="s">
        <v>636</v>
      </c>
      <c r="C164" s="15" t="s">
        <v>637</v>
      </c>
      <c r="D164" s="15" t="s">
        <v>638</v>
      </c>
      <c r="E164" s="15" t="s">
        <v>72</v>
      </c>
      <c r="F164" s="15" t="s">
        <v>2471</v>
      </c>
      <c r="G164" s="15" t="s">
        <v>2473</v>
      </c>
      <c r="H164" s="19" t="str">
        <f t="array" ref="H164">IFERROR(INDEX(Lease_List!D:D,MATCH(All_User_backup!D164,Lease_List!H:H,0)),"없음")</f>
        <v>없음</v>
      </c>
      <c r="I164" s="22" t="s">
        <v>29</v>
      </c>
      <c r="J164" s="25" t="s">
        <v>639</v>
      </c>
      <c r="K164" s="22" t="str">
        <f t="array" ref="K164">IFERROR(INDEX(Ipad_List!C:C,MATCH(All_User_backup!D164,Ipad_List!J:J,0)),"없음")</f>
        <v>LR4DPX93T4</v>
      </c>
      <c r="L164" s="23" t="str">
        <f t="array" ref="L164">IFERROR(INDEX(TeamsNumber!B:B,MATCH(All_User_backup!D164,TeamsNumber!D:D,0)),"없음")</f>
        <v>tel:+82234517522</v>
      </c>
      <c r="M164" s="23" t="str">
        <f t="array" ref="M164">IFERROR(INDEX(Printer!D:D,MATCH(All_User_backup!D164,Printer!G:G,0)),"없음")</f>
        <v>없음</v>
      </c>
      <c r="N164" s="24" t="str">
        <f t="array" ref="N164">IFERROR(INDEX(Monitor!A:A,MATCH(D164,Monitor!D:D,0)),"없음")</f>
        <v>없음</v>
      </c>
      <c r="O164" s="24" t="str">
        <f t="array" ref="O164">IFERROR(INDEX(sales!D:D,MATCH(D164,sales!C:C,0)),"없음")</f>
        <v>Mako</v>
      </c>
      <c r="P164" s="24" t="str">
        <f t="array" ref="P164">IFERROR(INDEX(sales!E:E,MATCH(D164,sales!C:C,0)),"없음")</f>
        <v>MPS</v>
      </c>
      <c r="Q164" s="24" t="str">
        <f t="array" ref="Q164">IFERROR(INDEX(sales!C:C,MATCH(D164,sales!C:C,0)),"list없음")</f>
        <v>chris.shin@stryker.com</v>
      </c>
      <c r="R164" s="24"/>
    </row>
    <row r="165">
      <c r="A165" s="13">
        <v>167.0</v>
      </c>
      <c r="B165" s="15" t="s">
        <v>640</v>
      </c>
      <c r="C165" s="15" t="s">
        <v>641</v>
      </c>
      <c r="D165" s="15" t="s">
        <v>642</v>
      </c>
      <c r="E165" s="15" t="s">
        <v>643</v>
      </c>
      <c r="F165" s="15" t="s">
        <v>2494</v>
      </c>
      <c r="G165" s="15" t="s">
        <v>2495</v>
      </c>
      <c r="H165" s="19" t="str">
        <f t="array" ref="H165">IFERROR(INDEX(Lease_List!D:D,MATCH(All_User_backup!D165,Lease_List!H:H,0)),"없음")</f>
        <v>5CD3469HDM</v>
      </c>
      <c r="I165" s="22" t="s">
        <v>29</v>
      </c>
      <c r="J165" s="21"/>
      <c r="K165" s="22" t="str">
        <f t="array" ref="K165">IFERROR(INDEX(Ipad_List!C:C,MATCH(All_User_backup!D165,Ipad_List!J:J,0)),"없음")</f>
        <v>없음</v>
      </c>
      <c r="L165" s="35" t="str">
        <f t="array" ref="L165">IFERROR(INDEX(TeamsNumber!B:B,MATCH(All_User_backup!D165,TeamsNumber!D:D,0)),"없음")</f>
        <v>tel:+82234517541</v>
      </c>
      <c r="M165" s="35" t="str">
        <f t="array" ref="M165">IFERROR(INDEX(Printer!D:D,MATCH(All_User_backup!D165,Printer!H:H,0)),"없음")</f>
        <v>없음</v>
      </c>
      <c r="N165" s="24" t="str">
        <f t="array" ref="N165">IFERROR(INDEX(Monitor!A:A,MATCH(D165,Monitor!D:D,0)),"없음")</f>
        <v>없음</v>
      </c>
      <c r="O165" s="24" t="str">
        <f t="array" ref="O165">IFERROR(INDEX(sales!D:D,MATCH(D165,sales!C:C,0)),"없음")</f>
        <v>없음</v>
      </c>
      <c r="P165" s="24" t="str">
        <f t="array" ref="P165">IFERROR(INDEX(sales!E:E,MATCH(D165,sales!C:C,0)),"없음")</f>
        <v>없음</v>
      </c>
      <c r="Q165" s="24"/>
      <c r="R165" s="24"/>
    </row>
    <row r="166">
      <c r="A166" s="13">
        <v>168.0</v>
      </c>
      <c r="B166" s="15" t="s">
        <v>644</v>
      </c>
      <c r="C166" s="15" t="s">
        <v>645</v>
      </c>
      <c r="D166" s="15" t="s">
        <v>646</v>
      </c>
      <c r="E166" s="15" t="s">
        <v>109</v>
      </c>
      <c r="F166" s="15" t="s">
        <v>2471</v>
      </c>
      <c r="G166" s="15" t="s">
        <v>2480</v>
      </c>
      <c r="H166" s="19" t="str">
        <f t="array" ref="H166">IFERROR(INDEX(Lease_List!D:D,MATCH(All_User_backup!D166,Lease_List!H:H,0)),"없음")</f>
        <v>5CD5179KHC</v>
      </c>
      <c r="I166" s="22" t="s">
        <v>647</v>
      </c>
      <c r="J166" s="21"/>
      <c r="K166" s="22" t="str">
        <f t="array" ref="K166">IFERROR(INDEX(Ipad_List!C:C,MATCH(All_User_backup!D166,Ipad_List!J:J,0)),"없음")</f>
        <v>M90KHK7Y1F</v>
      </c>
      <c r="L166" s="23" t="str">
        <f t="array" ref="L166">IFERROR(INDEX(TeamsNumber!B:B,MATCH(All_User_backup!D166,TeamsNumber!D:D,0)),"없음")</f>
        <v>tel:+82234517528</v>
      </c>
      <c r="M166" s="23" t="str">
        <f t="array" ref="M166">IFERROR(INDEX(Printer!D:D,MATCH(All_User_backup!D166,Printer!H:H,0)),"없음")</f>
        <v>SL-C486FW</v>
      </c>
      <c r="N166" s="24" t="str">
        <f t="array" ref="N166">IFERROR(INDEX(Monitor!A:A,MATCH(D166,Monitor!D:D,0)),"없음")</f>
        <v>없음</v>
      </c>
      <c r="O166" s="24" t="str">
        <f t="array" ref="O166">IFERROR(INDEX(sales!D:D,MATCH(D166,sales!C:C,0)),"없음")</f>
        <v>MedSurg</v>
      </c>
      <c r="P166" s="24" t="str">
        <f t="array" ref="P166">IFERROR(INDEX(sales!E:E,MATCH(D166,sales!C:C,0)),"없음")</f>
        <v>Sales</v>
      </c>
      <c r="Q166" s="24" t="str">
        <f t="array" ref="Q166">IFERROR(INDEX(sales!C:C,MATCH(D166,sales!C:C,0)),"list없음")</f>
        <v>dana.shin@stryker.com</v>
      </c>
      <c r="R166" s="24"/>
    </row>
    <row r="167">
      <c r="A167" s="89"/>
      <c r="B167" s="90"/>
      <c r="C167" s="90"/>
      <c r="D167" s="90"/>
      <c r="E167" s="90"/>
      <c r="F167" s="90"/>
      <c r="G167" s="90"/>
      <c r="H167" s="92"/>
      <c r="I167" s="93"/>
      <c r="J167" s="99"/>
      <c r="K167" s="93"/>
      <c r="L167" s="95"/>
      <c r="M167" s="95"/>
      <c r="N167" s="96"/>
      <c r="O167" s="96"/>
      <c r="P167" s="96"/>
      <c r="Q167" s="97"/>
      <c r="R167" s="97"/>
    </row>
    <row r="168">
      <c r="A168" s="78"/>
      <c r="B168" s="79"/>
      <c r="C168" s="79"/>
      <c r="D168" s="79"/>
      <c r="E168" s="79"/>
      <c r="F168" s="79"/>
      <c r="G168" s="79"/>
      <c r="H168" s="83"/>
      <c r="I168" s="84"/>
      <c r="J168" s="85"/>
      <c r="K168" s="84"/>
      <c r="L168" s="86"/>
      <c r="M168" s="86"/>
      <c r="N168" s="87"/>
      <c r="O168" s="87"/>
      <c r="P168" s="87"/>
      <c r="Q168" s="86"/>
      <c r="R168" s="86"/>
    </row>
    <row r="169">
      <c r="A169" s="13">
        <v>171.0</v>
      </c>
      <c r="B169" s="15" t="s">
        <v>648</v>
      </c>
      <c r="C169" s="15" t="s">
        <v>649</v>
      </c>
      <c r="D169" s="15" t="s">
        <v>650</v>
      </c>
      <c r="E169" s="15" t="s">
        <v>651</v>
      </c>
      <c r="F169" s="15" t="s">
        <v>2474</v>
      </c>
      <c r="G169" s="15" t="s">
        <v>420</v>
      </c>
      <c r="H169" s="19" t="str">
        <f t="array" ref="H169">IFERROR(INDEX(Lease_List!D:D,MATCH(All_User_backup!D169,Lease_List!H:H,0)),"없음")</f>
        <v>5CD5179KH7</v>
      </c>
      <c r="I169" s="22" t="s">
        <v>652</v>
      </c>
      <c r="J169" s="21"/>
      <c r="K169" s="22" t="str">
        <f t="array" ref="K169">IFERROR(INDEX(Ipad_List!C:C,MATCH(All_User_backup!D169,Ipad_List!J:J,0)),"없음")</f>
        <v>RFJJ97J4YG</v>
      </c>
      <c r="L169" s="23" t="str">
        <f t="array" ref="L169">IFERROR(INDEX(TeamsNumber!B:B,MATCH(All_User_backup!D169,TeamsNumber!D:D,0)),"없음")</f>
        <v>tel:+82234517667</v>
      </c>
      <c r="M169" s="23" t="str">
        <f t="array" ref="M169">IFERROR(INDEX(Printer!D:D,MATCH(All_User_backup!D169,Printer!H:H,0)),"없음")</f>
        <v>SL-C563W</v>
      </c>
      <c r="N169" s="24" t="str">
        <f t="array" ref="N169">IFERROR(INDEX(Monitor!A:A,MATCH(D169,Monitor!D:D,0)),"없음")</f>
        <v>없음</v>
      </c>
      <c r="O169" s="24" t="str">
        <f t="array" ref="O169">IFERROR(INDEX(sales!D:D,MATCH(D169,sales!C:C,0)),"없음")</f>
        <v/>
      </c>
      <c r="P169" s="24" t="str">
        <f t="array" ref="P169">IFERROR(INDEX(sales!E:E,MATCH(D169,sales!C:C,0)),"없음")</f>
        <v>TS</v>
      </c>
      <c r="Q169" s="24" t="str">
        <f t="array" ref="Q169">IFERROR(INDEX(sales!C:C,MATCH(D169,sales!C:C,0)),"list없음")</f>
        <v>Huey.Sim@stryker.com</v>
      </c>
      <c r="R169" s="24"/>
    </row>
    <row r="170">
      <c r="A170" s="13">
        <v>172.0</v>
      </c>
      <c r="B170" s="15" t="s">
        <v>653</v>
      </c>
      <c r="C170" s="15" t="s">
        <v>654</v>
      </c>
      <c r="D170" s="15" t="s">
        <v>655</v>
      </c>
      <c r="E170" s="15" t="s">
        <v>656</v>
      </c>
      <c r="F170" s="15" t="s">
        <v>2471</v>
      </c>
      <c r="G170" s="15" t="s">
        <v>2480</v>
      </c>
      <c r="H170" s="19" t="str">
        <f t="array" ref="H170">IFERROR(INDEX(Lease_List!D:D,MATCH(All_User_backup!D170,Lease_List!H:H,0)),"없음")</f>
        <v>5CD5179KH9</v>
      </c>
      <c r="I170" s="22" t="s">
        <v>657</v>
      </c>
      <c r="J170" s="21"/>
      <c r="K170" s="22" t="str">
        <f t="array" ref="K170">IFERROR(INDEX(Ipad_List!C:C,MATCH(All_User_backup!D170,Ipad_List!J:J,0)),"없음")</f>
        <v>FWJG39XV9Q</v>
      </c>
      <c r="L170" s="23" t="str">
        <f t="array" ref="L170">IFERROR(INDEX(TeamsNumber!B:B,MATCH(All_User_backup!D170,TeamsNumber!D:D,0)),"없음")</f>
        <v>tel:+82234517592</v>
      </c>
      <c r="M170" s="23" t="str">
        <f t="array" ref="M170">IFERROR(INDEX(Printer!D:D,MATCH(All_User_backup!D170,Printer!H:H,0)),"없음")</f>
        <v>SL-C486FW</v>
      </c>
      <c r="N170" s="24" t="str">
        <f t="array" ref="N170">IFERROR(INDEX(Monitor!A:A,MATCH(D170,Monitor!D:D,0)),"없음")</f>
        <v>없음</v>
      </c>
      <c r="O170" s="24" t="str">
        <f t="array" ref="O170">IFERROR(INDEX(sales!D:D,MATCH(D170,sales!C:C,0)),"없음")</f>
        <v>MedSurg</v>
      </c>
      <c r="P170" s="24" t="str">
        <f t="array" ref="P170">IFERROR(INDEX(sales!E:E,MATCH(D170,sales!C:C,0)),"없음")</f>
        <v>Sales</v>
      </c>
      <c r="Q170" s="24" t="str">
        <f t="array" ref="Q170">IFERROR(INDEX(sales!C:C,MATCH(D170,sales!C:C,0)),"list없음")</f>
        <v>Simon.sin@stryker.com</v>
      </c>
      <c r="R170" s="24"/>
    </row>
    <row r="171">
      <c r="A171" s="89"/>
      <c r="B171" s="90"/>
      <c r="C171" s="90"/>
      <c r="D171" s="90"/>
      <c r="E171" s="90"/>
      <c r="F171" s="90"/>
      <c r="G171" s="90"/>
      <c r="H171" s="92"/>
      <c r="I171" s="93"/>
      <c r="J171" s="99"/>
      <c r="K171" s="93"/>
      <c r="L171" s="95"/>
      <c r="M171" s="95"/>
      <c r="N171" s="96"/>
      <c r="O171" s="96"/>
      <c r="P171" s="96"/>
      <c r="Q171" s="97"/>
      <c r="R171" s="97"/>
    </row>
    <row r="172">
      <c r="A172" s="13">
        <v>174.0</v>
      </c>
      <c r="B172" s="15" t="s">
        <v>658</v>
      </c>
      <c r="C172" s="15" t="s">
        <v>659</v>
      </c>
      <c r="D172" s="15" t="s">
        <v>660</v>
      </c>
      <c r="E172" s="15" t="s">
        <v>661</v>
      </c>
      <c r="F172" s="15" t="s">
        <v>2471</v>
      </c>
      <c r="G172" s="15" t="s">
        <v>82</v>
      </c>
      <c r="H172" s="19" t="str">
        <f t="array" ref="H172">IFERROR(INDEX(Lease_List!D:D,MATCH(All_User_backup!D172,Lease_List!H:H,0)),"없음")</f>
        <v>5CD4305D8L</v>
      </c>
      <c r="I172" s="22" t="s">
        <v>29</v>
      </c>
      <c r="J172" s="21"/>
      <c r="K172" s="22" t="str">
        <f t="array" ref="K172">IFERROR(INDEX(Ipad_List!C:C,MATCH(All_User_backup!D172,Ipad_List!J:J,0)),"없음")</f>
        <v>없음</v>
      </c>
      <c r="L172" s="35" t="str">
        <f t="array" ref="L172">IFERROR(INDEX(TeamsNumber!B:B,MATCH(All_User_backup!D172,TeamsNumber!D:D,0)),"없음")</f>
        <v>tel:+82234517577</v>
      </c>
      <c r="M172" s="35" t="str">
        <f t="array" ref="M172">IFERROR(INDEX(Printer!D:D,MATCH(All_User_backup!D172,Printer!H:H,0)),"없음")</f>
        <v>없음</v>
      </c>
      <c r="N172" s="24" t="str">
        <f t="array" ref="N172">IFERROR(INDEX(Monitor!A:A,MATCH(D172,Monitor!D:D,0)),"없음")</f>
        <v>없음</v>
      </c>
      <c r="O172" s="24" t="str">
        <f t="array" ref="O172">IFERROR(INDEX(sales!D:D,MATCH(D172,sales!C:C,0)),"없음")</f>
        <v>없음</v>
      </c>
      <c r="P172" s="24" t="str">
        <f t="array" ref="P172">IFERROR(INDEX(sales!E:E,MATCH(D172,sales!C:C,0)),"없음")</f>
        <v>없음</v>
      </c>
      <c r="Q172" s="24"/>
      <c r="R172" s="24"/>
    </row>
    <row r="173">
      <c r="A173" s="28">
        <v>175.0</v>
      </c>
      <c r="B173" s="29" t="s">
        <v>662</v>
      </c>
      <c r="C173" s="29" t="s">
        <v>663</v>
      </c>
      <c r="D173" s="29" t="s">
        <v>664</v>
      </c>
      <c r="E173" s="29" t="s">
        <v>665</v>
      </c>
      <c r="F173" s="29" t="s">
        <v>2471</v>
      </c>
      <c r="G173" s="29" t="s">
        <v>2472</v>
      </c>
      <c r="H173" s="375" t="str">
        <f t="array" ref="H173">IFERROR(INDEX(Lease_List!D:D,MATCH(All_User_backup!D173,Lease_List!H:H,0)),"없음")</f>
        <v>없음</v>
      </c>
      <c r="I173" s="31" t="s">
        <v>29</v>
      </c>
      <c r="J173" s="38" t="s">
        <v>666</v>
      </c>
      <c r="K173" s="31" t="str">
        <f t="array" ref="K173">IFERROR(INDEX(Ipad_List!C:C,MATCH(All_User_backup!D173,Ipad_List!J:J,0)),"없음")</f>
        <v>C2QFHGVW92</v>
      </c>
      <c r="L173" s="187" t="str">
        <f t="array" ref="L173">IFERROR(INDEX(TeamsNumber!B:B,MATCH(All_User_backup!D173,TeamsNumber!D:D,0)),"없음")</f>
        <v>tel:+82234517678</v>
      </c>
      <c r="M173" s="187" t="str">
        <f t="array" ref="M173">IFERROR(INDEX(Printer!D:D,MATCH(All_User_backup!D173,Printer!H:H,0)),"없음")</f>
        <v>없음</v>
      </c>
      <c r="N173" s="24" t="str">
        <f t="array" ref="N173">IFERROR(INDEX(Monitor!A:A,MATCH(D173,Monitor!D:D,0)),"없음")</f>
        <v>없음</v>
      </c>
      <c r="O173" s="288" t="str">
        <f t="array" ref="O173">IFERROR(INDEX(sales!D:D,MATCH(D173,sales!C:C,0)),"없음")</f>
        <v>NV</v>
      </c>
      <c r="P173" s="24" t="str">
        <f t="array" ref="P173">IFERROR(INDEX(sales!E:E,MATCH(D173,sales!C:C,0)),"없음")</f>
        <v>NV</v>
      </c>
      <c r="Q173" s="24" t="str">
        <f t="array" ref="Q173">IFERROR(INDEX(sales!C:C,MATCH(D173,sales!C:C,0)),"list없음")</f>
        <v>mina.song@stryker.com</v>
      </c>
    </row>
    <row r="174">
      <c r="A174" s="13">
        <v>176.0</v>
      </c>
      <c r="B174" s="15" t="s">
        <v>667</v>
      </c>
      <c r="C174" s="15" t="s">
        <v>668</v>
      </c>
      <c r="D174" s="15" t="s">
        <v>669</v>
      </c>
      <c r="E174" s="15" t="s">
        <v>670</v>
      </c>
      <c r="F174" s="15" t="s">
        <v>2507</v>
      </c>
      <c r="G174" s="15" t="s">
        <v>2508</v>
      </c>
      <c r="H174" s="19" t="str">
        <f t="array" ref="H174">IFERROR(INDEX(Lease_List!D:D,MATCH(All_User_backup!D174,Lease_List!H:H,0)),"없음")</f>
        <v>5CG53403CW</v>
      </c>
      <c r="I174" s="22" t="s">
        <v>36</v>
      </c>
      <c r="J174" s="21"/>
      <c r="K174" s="22" t="str">
        <f t="array" ref="K174">IFERROR(INDEX(Ipad_List!C:C,MATCH(All_User_backup!D174,Ipad_List!J:J,0)),"없음")</f>
        <v>DXP5W6NH22</v>
      </c>
      <c r="L174" s="35" t="str">
        <f t="array" ref="L174">IFERROR(INDEX(TeamsNumber!B:B,MATCH(All_User_backup!D174,TeamsNumber!D:D,0)),"없음")</f>
        <v>없음</v>
      </c>
      <c r="M174" s="35" t="str">
        <f t="array" ref="M174">IFERROR(INDEX(Printer!D:D,MATCH(All_User_backup!D174,Printer!G:G,0)),"없음")</f>
        <v>없음</v>
      </c>
      <c r="N174" s="24" t="str">
        <f t="array" ref="N174">IFERROR(INDEX(Monitor!A:A,MATCH(D174,Monitor!D:D,0)),"없음")</f>
        <v>없음</v>
      </c>
      <c r="O174" s="24" t="str">
        <f t="array" ref="O174">IFERROR(INDEX(sales!D:D,MATCH(D174,sales!C:C,0)),"없음")</f>
        <v>없음</v>
      </c>
      <c r="P174" s="24" t="str">
        <f t="array" ref="P174">IFERROR(INDEX(sales!E:E,MATCH(D174,sales!C:C,0)),"없음")</f>
        <v>없음</v>
      </c>
      <c r="Q174" s="24"/>
      <c r="R174" s="24"/>
    </row>
    <row r="175">
      <c r="A175" s="13">
        <v>177.0</v>
      </c>
      <c r="B175" s="15" t="s">
        <v>672</v>
      </c>
      <c r="C175" s="15" t="s">
        <v>673</v>
      </c>
      <c r="D175" s="15" t="s">
        <v>674</v>
      </c>
      <c r="E175" s="15" t="s">
        <v>268</v>
      </c>
      <c r="F175" s="15" t="s">
        <v>2478</v>
      </c>
      <c r="G175" s="15" t="s">
        <v>2479</v>
      </c>
      <c r="H175" s="19" t="str">
        <f t="array" ref="H175">IFERROR(INDEX(Lease_List!D:D,MATCH(All_User_backup!D175,Lease_List!H:H,0)),"없음")</f>
        <v>없음</v>
      </c>
      <c r="I175" s="22" t="s">
        <v>29</v>
      </c>
      <c r="J175" s="21"/>
      <c r="K175" s="22" t="str">
        <f t="array" ref="K175">IFERROR(INDEX(Ipad_List!C:C,MATCH(All_User_backup!D175,Ipad_List!J:J,0)),"없음")</f>
        <v>없음</v>
      </c>
      <c r="L175" s="35" t="str">
        <f t="array" ref="L175">IFERROR(INDEX(TeamsNumber!B:B,MATCH(All_User_backup!D175,TeamsNumber!D:D,0)),"없음")</f>
        <v>tel:+82234517640</v>
      </c>
      <c r="M175" s="35" t="str">
        <f t="array" ref="M175">IFERROR(INDEX(Printer!D:D,MATCH(All_User_backup!D175,Printer!G:G,0)),"없음")</f>
        <v>없음</v>
      </c>
      <c r="N175" s="24" t="str">
        <f t="array" ref="N175">IFERROR(INDEX(Monitor!A:A,MATCH(D175,Monitor!D:D,0)),"없음")</f>
        <v>없음</v>
      </c>
      <c r="O175" s="24" t="str">
        <f t="array" ref="O175">IFERROR(INDEX(sales!D:D,MATCH(D175,sales!C:C,0)),"없음")</f>
        <v>없음</v>
      </c>
      <c r="P175" s="24" t="str">
        <f t="array" ref="P175">IFERROR(INDEX(sales!E:E,MATCH(D175,sales!C:C,0)),"없음")</f>
        <v>없음</v>
      </c>
      <c r="Q175" s="24"/>
      <c r="R175" s="24"/>
    </row>
    <row r="176">
      <c r="A176" s="39">
        <v>178.0</v>
      </c>
      <c r="B176" s="40" t="s">
        <v>675</v>
      </c>
      <c r="C176" s="40" t="s">
        <v>676</v>
      </c>
      <c r="D176" s="40" t="s">
        <v>677</v>
      </c>
      <c r="E176" s="40" t="s">
        <v>207</v>
      </c>
      <c r="F176" s="40" t="s">
        <v>2474</v>
      </c>
      <c r="G176" s="40" t="s">
        <v>420</v>
      </c>
      <c r="H176" s="19" t="str">
        <f t="array" ref="H176">IFERROR(INDEX(Lease_List!D:D,MATCH(All_User_backup!D176,Lease_List!H:H,0)),"없음")</f>
        <v>5CD4232BFS</v>
      </c>
      <c r="I176" s="22" t="s">
        <v>678</v>
      </c>
      <c r="J176" s="21"/>
      <c r="K176" s="22" t="str">
        <f t="array" ref="K176">IFERROR(INDEX(Ipad_List!C:C,MATCH(All_User_backup!D176,Ipad_List!J:J,0)),"없음")</f>
        <v>RVF25297YV</v>
      </c>
      <c r="L176" s="23" t="str">
        <f t="array" ref="L176">IFERROR(INDEX(TeamsNumber!B:B,MATCH(All_User_backup!D176,TeamsNumber!D:D,0)),"없음")</f>
        <v>tel:+82234517669</v>
      </c>
      <c r="M176" s="23" t="str">
        <f t="array" ref="M176">IFERROR(INDEX(Printer!D:D,MATCH(All_User_backup!D176,Printer!H:H,0)),"없음")</f>
        <v>없음</v>
      </c>
      <c r="N176" s="24" t="str">
        <f t="array" ref="N176">IFERROR(INDEX(Monitor!A:A,MATCH(D176,Monitor!D:D,0)),"없음")</f>
        <v>없음</v>
      </c>
      <c r="O176" s="24" t="str">
        <f t="array" ref="O176">IFERROR(INDEX(sales!D:D,MATCH(D176,sales!C:C,0)),"없음")</f>
        <v/>
      </c>
      <c r="P176" s="24" t="str">
        <f t="array" ref="P176">IFERROR(INDEX(sales!E:E,MATCH(D176,sales!C:C,0)),"없음")</f>
        <v>TS</v>
      </c>
      <c r="Q176" s="24" t="str">
        <f t="array" ref="Q176">IFERROR(INDEX(sales!C:C,MATCH(D176,sales!C:C,0)),"list없음")</f>
        <v>jayden.song@stryker.com</v>
      </c>
      <c r="R176" s="24"/>
    </row>
    <row r="177">
      <c r="A177" s="13">
        <v>179.0</v>
      </c>
      <c r="B177" s="15" t="s">
        <v>679</v>
      </c>
      <c r="C177" s="15" t="s">
        <v>680</v>
      </c>
      <c r="D177" s="15" t="s">
        <v>681</v>
      </c>
      <c r="E177" s="15" t="s">
        <v>72</v>
      </c>
      <c r="F177" s="15" t="s">
        <v>2471</v>
      </c>
      <c r="G177" s="15" t="s">
        <v>2473</v>
      </c>
      <c r="H177" s="19" t="str">
        <f t="array" ref="H177">IFERROR(INDEX(Lease_List!D:D,MATCH(All_User_backup!D177,Lease_List!H:H,0)),"없음")</f>
        <v>5CD5179KH3</v>
      </c>
      <c r="I177" s="22" t="s">
        <v>29</v>
      </c>
      <c r="J177" s="21"/>
      <c r="K177" s="22" t="str">
        <f t="array" ref="K177">IFERROR(INDEX(Ipad_List!C:C,MATCH(All_User_backup!D177,Ipad_List!J:J,0)),"없음")</f>
        <v>DPX6TM2FG4</v>
      </c>
      <c r="L177" s="23" t="str">
        <f t="array" ref="L177">IFERROR(INDEX(TeamsNumber!B:B,MATCH(All_User_backup!D177,TeamsNumber!D:D,0)),"없음")</f>
        <v>tel:+82234517542</v>
      </c>
      <c r="M177" s="23" t="str">
        <f t="array" ref="M177">IFERROR(INDEX(Printer!D:D,MATCH(All_User_backup!D177,Printer!H:H,0)),"없음")</f>
        <v>없음</v>
      </c>
      <c r="N177" s="24" t="str">
        <f t="array" ref="N177">IFERROR(INDEX(Monitor!A:A,MATCH(D177,Monitor!D:D,0)),"없음")</f>
        <v>없음</v>
      </c>
      <c r="O177" s="24" t="str">
        <f t="array" ref="O177">IFERROR(INDEX(sales!D:D,MATCH(D177,sales!C:C,0)),"없음")</f>
        <v>Mako</v>
      </c>
      <c r="P177" s="24" t="str">
        <f t="array" ref="P177">IFERROR(INDEX(sales!E:E,MATCH(D177,sales!C:C,0)),"없음")</f>
        <v>Sales</v>
      </c>
      <c r="Q177" s="24" t="str">
        <f t="array" ref="Q177">IFERROR(INDEX(sales!C:C,MATCH(D177,sales!C:C,0)),"list없음")</f>
        <v>ethan.song@stryker.com</v>
      </c>
      <c r="R177" s="24"/>
    </row>
    <row r="178">
      <c r="A178" s="13">
        <v>180.0</v>
      </c>
      <c r="B178" s="15" t="s">
        <v>682</v>
      </c>
      <c r="C178" s="15" t="s">
        <v>683</v>
      </c>
      <c r="D178" s="15" t="s">
        <v>684</v>
      </c>
      <c r="E178" s="15" t="s">
        <v>72</v>
      </c>
      <c r="F178" s="15" t="s">
        <v>2471</v>
      </c>
      <c r="G178" s="15" t="s">
        <v>2473</v>
      </c>
      <c r="H178" s="19" t="str">
        <f t="array" ref="H178">IFERROR(INDEX(Lease_List!D:D,MATCH(All_User_backup!D178,Lease_List!H:H,0)),"없음")</f>
        <v>5CD4232BFK</v>
      </c>
      <c r="I178" s="22" t="s">
        <v>29</v>
      </c>
      <c r="J178" s="21"/>
      <c r="K178" s="22" t="str">
        <f t="array" ref="K178">IFERROR(INDEX(Ipad_List!C:C,MATCH(All_User_backup!D178,Ipad_List!J:J,0)),"없음")</f>
        <v>F3720LW0J0</v>
      </c>
      <c r="L178" s="23" t="str">
        <f t="array" ref="L178">IFERROR(INDEX(TeamsNumber!B:B,MATCH(All_User_backup!D178,TeamsNumber!D:D,0)),"없음")</f>
        <v>tel:+82234517572</v>
      </c>
      <c r="M178" s="23" t="str">
        <f t="array" ref="M178">IFERROR(INDEX(Printer!D:D,MATCH(All_User_backup!D178,Printer!H:H,0)),"없음")</f>
        <v>SL-C563W</v>
      </c>
      <c r="N178" s="24" t="str">
        <f t="array" ref="N178">IFERROR(INDEX(Monitor!A:A,MATCH(D178,Monitor!D:D,0)),"없음")</f>
        <v>없음</v>
      </c>
      <c r="O178" s="24" t="str">
        <f t="array" ref="O178">IFERROR(INDEX(sales!D:D,MATCH(D178,sales!C:C,0)),"없음")</f>
        <v>Mako</v>
      </c>
      <c r="P178" s="24" t="str">
        <f t="array" ref="P178">IFERROR(INDEX(sales!E:E,MATCH(D178,sales!C:C,0)),"없음")</f>
        <v>MPS</v>
      </c>
      <c r="Q178" s="24" t="str">
        <f t="array" ref="Q178">IFERROR(INDEX(sales!C:C,MATCH(D178,sales!C:C,0)),"list없음")</f>
        <v>rosey.song@stryker.com</v>
      </c>
      <c r="R178" s="24"/>
    </row>
    <row r="179">
      <c r="A179" s="13">
        <v>181.0</v>
      </c>
      <c r="B179" s="15" t="s">
        <v>685</v>
      </c>
      <c r="C179" s="15" t="s">
        <v>686</v>
      </c>
      <c r="D179" s="15" t="s">
        <v>687</v>
      </c>
      <c r="E179" s="15" t="s">
        <v>72</v>
      </c>
      <c r="F179" s="15" t="s">
        <v>2471</v>
      </c>
      <c r="G179" s="15" t="s">
        <v>2473</v>
      </c>
      <c r="H179" s="19" t="str">
        <f t="array" ref="H179">IFERROR(INDEX(Lease_List!D:D,MATCH(All_User_backup!D179,Lease_List!H:H,0)),"없음")</f>
        <v>5CD5179KHP</v>
      </c>
      <c r="I179" s="22" t="s">
        <v>29</v>
      </c>
      <c r="J179" s="21"/>
      <c r="K179" s="22" t="str">
        <f t="array" ref="K179">IFERROR(INDEX(Ipad_List!C:C,MATCH(All_User_backup!D179,Ipad_List!J:J,0)),"없음")</f>
        <v>D1HJ9KM7XJ</v>
      </c>
      <c r="L179" s="23" t="str">
        <f t="array" ref="L179">IFERROR(INDEX(TeamsNumber!B:B,MATCH(All_User_backup!D179,TeamsNumber!D:D,0)),"없음")</f>
        <v>tel:+82234517583</v>
      </c>
      <c r="M179" s="23" t="str">
        <f t="array" ref="M179">IFERROR(INDEX(Printer!D:D,MATCH(All_User_backup!D179,Printer!H:H,0)),"없음")</f>
        <v>없음</v>
      </c>
      <c r="N179" s="24" t="str">
        <f t="array" ref="N179">IFERROR(INDEX(Monitor!A:A,MATCH(D179,Monitor!D:D,0)),"없음")</f>
        <v>없음</v>
      </c>
      <c r="O179" s="24" t="str">
        <f t="array" ref="O179">IFERROR(INDEX(sales!D:D,MATCH(D179,sales!C:C,0)),"없음")</f>
        <v>Mako</v>
      </c>
      <c r="P179" s="24" t="str">
        <f t="array" ref="P179">IFERROR(INDEX(sales!E:E,MATCH(D179,sales!C:C,0)),"없음")</f>
        <v>MPS</v>
      </c>
      <c r="Q179" s="24" t="str">
        <f t="array" ref="Q179">IFERROR(INDEX(sales!C:C,MATCH(D179,sales!C:C,0)),"list없음")</f>
        <v>hailey.song@stryker.com</v>
      </c>
      <c r="R179" s="24"/>
    </row>
    <row r="180">
      <c r="A180" s="13">
        <v>182.0</v>
      </c>
      <c r="B180" s="15" t="s">
        <v>688</v>
      </c>
      <c r="C180" s="15" t="s">
        <v>689</v>
      </c>
      <c r="D180" s="15" t="s">
        <v>690</v>
      </c>
      <c r="E180" s="15" t="s">
        <v>691</v>
      </c>
      <c r="F180" s="15" t="s">
        <v>2475</v>
      </c>
      <c r="G180" s="15" t="s">
        <v>692</v>
      </c>
      <c r="H180" s="19" t="str">
        <f t="array" ref="H180">IFERROR(INDEX(Lease_List!D:D,MATCH(All_User_backup!D180,Lease_List!H:H,0)),"없음")</f>
        <v>5CD4305D96</v>
      </c>
      <c r="I180" s="22" t="s">
        <v>29</v>
      </c>
      <c r="J180" s="21"/>
      <c r="K180" s="22" t="str">
        <f t="array" ref="K180">IFERROR(INDEX(Ipad_List!C:C,MATCH(All_User_backup!D180,Ipad_List!J:J,0)),"없음")</f>
        <v>없음</v>
      </c>
      <c r="L180" s="35" t="str">
        <f t="array" ref="L180">IFERROR(INDEX(TeamsNumber!B:B,MATCH(All_User_backup!D180,TeamsNumber!D:D,0)),"없음")</f>
        <v>tel:+82234517674</v>
      </c>
      <c r="M180" s="35" t="str">
        <f t="array" ref="M180">IFERROR(INDEX(Printer!D:D,MATCH(All_User_backup!D180,Printer!H:H,0)),"없음")</f>
        <v>없음</v>
      </c>
      <c r="N180" s="24" t="str">
        <f t="array" ref="N180">IFERROR(INDEX(Monitor!A:A,MATCH(D180,Monitor!D:D,0)),"없음")</f>
        <v>LCD 모니터</v>
      </c>
      <c r="O180" s="24" t="str">
        <f t="array" ref="O180">IFERROR(INDEX(sales!D:D,MATCH(D180,sales!C:C,0)),"없음")</f>
        <v>없음</v>
      </c>
      <c r="P180" s="24" t="str">
        <f t="array" ref="P180">IFERROR(INDEX(sales!E:E,MATCH(D180,sales!C:C,0)),"없음")</f>
        <v>없음</v>
      </c>
      <c r="Q180" s="24"/>
      <c r="R180" s="24"/>
    </row>
    <row r="181">
      <c r="A181" s="13">
        <v>183.0</v>
      </c>
      <c r="B181" s="15" t="s">
        <v>693</v>
      </c>
      <c r="C181" s="15" t="s">
        <v>694</v>
      </c>
      <c r="D181" s="15" t="s">
        <v>695</v>
      </c>
      <c r="E181" s="15" t="s">
        <v>89</v>
      </c>
      <c r="F181" s="15" t="s">
        <v>2471</v>
      </c>
      <c r="G181" s="15" t="s">
        <v>2473</v>
      </c>
      <c r="H181" s="19" t="str">
        <f t="array" ref="H181">IFERROR(INDEX(Lease_List!D:D,MATCH(All_User_backup!D181,Lease_List!H:H,0)),"없음")</f>
        <v>5CD5179KJ3</v>
      </c>
      <c r="I181" s="22" t="s">
        <v>697</v>
      </c>
      <c r="J181" s="21"/>
      <c r="K181" s="22" t="str">
        <f t="array" ref="K181">IFERROR(INDEX(Ipad_List!C:C,MATCH(All_User_backup!D181,Ipad_List!J:J,0)),"없음")</f>
        <v>T32JYKMQQF</v>
      </c>
      <c r="L181" s="23" t="str">
        <f t="array" ref="L181">IFERROR(INDEX(TeamsNumber!B:B,MATCH(All_User_backup!D181,TeamsNumber!D:D,0)),"없음")</f>
        <v>tel:+82234517533</v>
      </c>
      <c r="M181" s="23" t="str">
        <f t="array" ref="M181">IFERROR(INDEX(Printer!D:D,MATCH(All_User_backup!D181,Printer!H:H,0)),"없음")</f>
        <v>SL-C483FW</v>
      </c>
      <c r="N181" s="24" t="str">
        <f t="array" ref="N181">IFERROR(INDEX(Monitor!A:A,MATCH(D181,Monitor!D:D,0)),"없음")</f>
        <v>없음</v>
      </c>
      <c r="O181" s="24" t="str">
        <f t="array" ref="O181">IFERROR(INDEX(sales!D:D,MATCH(D181,sales!C:C,0)),"없음")</f>
        <v>Mako</v>
      </c>
      <c r="P181" s="24" t="str">
        <f t="array" ref="P181">IFERROR(INDEX(sales!E:E,MATCH(D181,sales!C:C,0)),"없음")</f>
        <v>Sales</v>
      </c>
      <c r="Q181" s="24" t="str">
        <f t="array" ref="Q181">IFERROR(INDEX(sales!C:C,MATCH(D181,sales!C:C,0)),"list없음")</f>
        <v>David.Yang@stryker.com</v>
      </c>
      <c r="R181" s="24"/>
    </row>
    <row r="182">
      <c r="A182" s="13">
        <v>184.0</v>
      </c>
      <c r="B182" s="15" t="s">
        <v>698</v>
      </c>
      <c r="C182" s="15" t="s">
        <v>699</v>
      </c>
      <c r="D182" s="15" t="s">
        <v>700</v>
      </c>
      <c r="E182" s="15" t="s">
        <v>701</v>
      </c>
      <c r="F182" s="15" t="s">
        <v>2475</v>
      </c>
      <c r="G182" s="15" t="s">
        <v>42</v>
      </c>
      <c r="H182" s="19" t="str">
        <f t="array" ref="H182">IFERROR(INDEX(Lease_List!D:D,MATCH(All_User_backup!D182,Lease_List!H:H,0)),"없음")</f>
        <v>5CD442C07J</v>
      </c>
      <c r="I182" s="22" t="s">
        <v>702</v>
      </c>
      <c r="J182" s="21"/>
      <c r="K182" s="22" t="str">
        <f t="array" ref="K182">IFERROR(INDEX(Ipad_List!C:C,MATCH(All_User_backup!D182,Ipad_List!J:J,0)),"없음")</f>
        <v>없음</v>
      </c>
      <c r="L182" s="35" t="str">
        <f t="array" ref="L182">IFERROR(INDEX(TeamsNumber!B:B,MATCH(All_User_backup!D182,TeamsNumber!D:D,0)),"없음")</f>
        <v>tel:+82234517657</v>
      </c>
      <c r="M182" s="35" t="str">
        <f t="array" ref="M182">IFERROR(INDEX(Printer!D:D,MATCH(All_User_backup!D182,Printer!H:H,0)),"없음")</f>
        <v>없음</v>
      </c>
      <c r="N182" s="24" t="str">
        <f t="array" ref="N182">IFERROR(INDEX(Monitor!A:A,MATCH(D182,Monitor!D:D,0)),"없음")</f>
        <v>없음</v>
      </c>
      <c r="O182" s="24" t="str">
        <f t="array" ref="O182">IFERROR(INDEX(sales!D:D,MATCH(D182,sales!C:C,0)),"없음")</f>
        <v>없음</v>
      </c>
      <c r="P182" s="24" t="str">
        <f t="array" ref="P182">IFERROR(INDEX(sales!E:E,MATCH(D182,sales!C:C,0)),"없음")</f>
        <v>없음</v>
      </c>
      <c r="Q182" s="24"/>
      <c r="R182" s="24"/>
    </row>
    <row r="183">
      <c r="A183" s="89">
        <v>185.0</v>
      </c>
      <c r="B183" s="90" t="s">
        <v>1120</v>
      </c>
      <c r="C183" s="90" t="s">
        <v>2509</v>
      </c>
      <c r="D183" s="90" t="s">
        <v>1121</v>
      </c>
      <c r="E183" s="90" t="s">
        <v>902</v>
      </c>
      <c r="F183" s="90" t="s">
        <v>2478</v>
      </c>
      <c r="G183" s="90" t="s">
        <v>67</v>
      </c>
      <c r="H183" s="92" t="str">
        <f t="array" ref="H183">IFERROR(INDEX(Lease_List!D:D,MATCH(All_User_backup!D183,Lease_List!H:H,0)),"없음")</f>
        <v>5CD4305D82</v>
      </c>
      <c r="I183" s="93" t="s">
        <v>29</v>
      </c>
      <c r="J183" s="99"/>
      <c r="K183" s="93" t="str">
        <f t="array" ref="K183">IFERROR(INDEX(Ipad_List!C:C,MATCH(All_User_backup!D183,Ipad_List!J:J,0)),"없음")</f>
        <v>없음</v>
      </c>
      <c r="L183" s="95" t="str">
        <f t="array" ref="L183">IFERROR(INDEX(TeamsNumber!B:B,MATCH(All_User_backup!D183,TeamsNumber!D:D,0)),"없음")</f>
        <v>tel:+82234517526</v>
      </c>
      <c r="M183" s="95" t="str">
        <f t="array" ref="M183">IFERROR(INDEX(Printer!D:D,MATCH(All_User_backup!D183,Printer!H:H,0)),"없음")</f>
        <v>없음</v>
      </c>
      <c r="N183" s="96" t="str">
        <f t="array" ref="N183">IFERROR(INDEX(Monitor!A:A,MATCH(D183,Monitor!D:D,0)),"없음")</f>
        <v>없음</v>
      </c>
      <c r="O183" s="96" t="str">
        <f t="array" ref="O183">IFERROR(INDEX(sales!D:D,MATCH(D183,sales!C:C,0)),"없음")</f>
        <v>없음</v>
      </c>
      <c r="P183" s="96" t="str">
        <f t="array" ref="P183">IFERROR(INDEX(sales!E:E,MATCH(D183,sales!C:C,0)),"없음")</f>
        <v>없음</v>
      </c>
      <c r="Q183" s="96"/>
      <c r="R183" s="97">
        <v>46387.0</v>
      </c>
    </row>
    <row r="184">
      <c r="A184" s="13">
        <v>186.0</v>
      </c>
      <c r="B184" s="15" t="s">
        <v>703</v>
      </c>
      <c r="C184" s="15" t="s">
        <v>704</v>
      </c>
      <c r="D184" s="15" t="s">
        <v>705</v>
      </c>
      <c r="E184" s="15" t="s">
        <v>706</v>
      </c>
      <c r="F184" s="15" t="s">
        <v>2494</v>
      </c>
      <c r="G184" s="15" t="s">
        <v>707</v>
      </c>
      <c r="H184" s="19" t="str">
        <f t="array" ref="H184">IFERROR(INDEX(Lease_List!D:D,MATCH(All_User_backup!D184,Lease_List!H:H,0)),"없음")</f>
        <v>5CD5062YDR</v>
      </c>
      <c r="I184" s="22" t="s">
        <v>29</v>
      </c>
      <c r="J184" s="21"/>
      <c r="K184" s="22" t="str">
        <f t="array" ref="K184">IFERROR(INDEX(Ipad_List!C:C,MATCH(All_User_backup!D184,Ipad_List!J:J,0)),"없음")</f>
        <v>없음</v>
      </c>
      <c r="L184" s="35" t="str">
        <f t="array" ref="L184">IFERROR(INDEX(TeamsNumber!B:B,MATCH(All_User_backup!D184,TeamsNumber!D:D,0)),"없음")</f>
        <v>tel:+82234517537</v>
      </c>
      <c r="M184" s="35" t="str">
        <f t="array" ref="M184">IFERROR(INDEX(Printer!D:D,MATCH(All_User_backup!D184,Printer!H:H,0)),"없음")</f>
        <v>없음</v>
      </c>
      <c r="N184" s="24" t="str">
        <f t="array" ref="N184">IFERROR(INDEX(Monitor!A:A,MATCH(D184,Monitor!D:D,0)),"없음")</f>
        <v>없음</v>
      </c>
      <c r="O184" s="24" t="str">
        <f t="array" ref="O184">IFERROR(INDEX(sales!D:D,MATCH(D184,sales!C:C,0)),"없음")</f>
        <v>없음</v>
      </c>
      <c r="P184" s="24" t="str">
        <f t="array" ref="P184">IFERROR(INDEX(sales!E:E,MATCH(D184,sales!C:C,0)),"없음")</f>
        <v>없음</v>
      </c>
      <c r="Q184" s="24"/>
      <c r="R184" s="24"/>
    </row>
    <row r="185">
      <c r="A185" s="13">
        <v>187.0</v>
      </c>
      <c r="B185" s="15" t="s">
        <v>708</v>
      </c>
      <c r="C185" s="15" t="s">
        <v>709</v>
      </c>
      <c r="D185" s="15" t="s">
        <v>710</v>
      </c>
      <c r="E185" s="15" t="s">
        <v>711</v>
      </c>
      <c r="F185" s="15" t="s">
        <v>2475</v>
      </c>
      <c r="G185" s="15" t="s">
        <v>2477</v>
      </c>
      <c r="H185" s="19" t="str">
        <f t="array" ref="H185">IFERROR(INDEX(Lease_List!D:D,MATCH(All_User_backup!D185,Lease_List!H:H,0)),"없음")</f>
        <v>5CD4305D8N</v>
      </c>
      <c r="I185" s="22" t="s">
        <v>29</v>
      </c>
      <c r="J185" s="21"/>
      <c r="K185" s="22" t="str">
        <f t="array" ref="K185">IFERROR(INDEX(Ipad_List!C:C,MATCH(All_User_backup!D185,Ipad_List!J:J,0)),"없음")</f>
        <v>G9YWDFP14H</v>
      </c>
      <c r="L185" s="35" t="str">
        <f t="array" ref="L185">IFERROR(INDEX(TeamsNumber!B:B,MATCH(All_User_backup!D185,TeamsNumber!D:D,0)),"없음")</f>
        <v>tel:+82234517586</v>
      </c>
      <c r="M185" s="35" t="str">
        <f t="array" ref="M185">IFERROR(INDEX(Printer!D:D,MATCH(All_User_backup!D185,Printer!H:H,0)),"없음")</f>
        <v>없음</v>
      </c>
      <c r="N185" s="24" t="str">
        <f t="array" ref="N185">IFERROR(INDEX(Monitor!A:A,MATCH(D185,Monitor!D:D,0)),"없음")</f>
        <v>LCD 모니터</v>
      </c>
      <c r="O185" s="24" t="str">
        <f t="array" ref="O185">IFERROR(INDEX(sales!D:D,MATCH(D185,sales!C:C,0)),"없음")</f>
        <v>없음</v>
      </c>
      <c r="P185" s="24" t="str">
        <f t="array" ref="P185">IFERROR(INDEX(sales!E:E,MATCH(D185,sales!C:C,0)),"없음")</f>
        <v>없음</v>
      </c>
      <c r="Q185" s="24"/>
      <c r="R185" s="24"/>
    </row>
    <row r="186">
      <c r="A186" s="13">
        <v>188.0</v>
      </c>
      <c r="B186" s="15" t="s">
        <v>712</v>
      </c>
      <c r="C186" s="15" t="s">
        <v>713</v>
      </c>
      <c r="D186" s="15" t="s">
        <v>714</v>
      </c>
      <c r="E186" s="15" t="s">
        <v>715</v>
      </c>
      <c r="F186" s="15" t="s">
        <v>2478</v>
      </c>
      <c r="G186" s="15" t="s">
        <v>2479</v>
      </c>
      <c r="H186" s="19" t="str">
        <f t="array" ref="H186">IFERROR(INDEX(Lease_List!D:D,MATCH(All_User_backup!D186,Lease_List!H:H,0)),"없음")</f>
        <v>5CD4305D8V</v>
      </c>
      <c r="I186" s="22" t="s">
        <v>29</v>
      </c>
      <c r="J186" s="21"/>
      <c r="K186" s="22" t="str">
        <f t="array" ref="K186">IFERROR(INDEX(Ipad_List!C:C,MATCH(All_User_backup!D186,Ipad_List!J:J,0)),"없음")</f>
        <v>없음</v>
      </c>
      <c r="L186" s="35" t="str">
        <f t="array" ref="L186">IFERROR(INDEX(TeamsNumber!B:B,MATCH(All_User_backup!D186,TeamsNumber!D:D,0)),"없음")</f>
        <v>tel:+82234517511</v>
      </c>
      <c r="M186" s="35" t="str">
        <f t="array" ref="M186">IFERROR(INDEX(Printer!D:D,MATCH(All_User_backup!D186,Printer!H:H,0)),"없음")</f>
        <v>없음</v>
      </c>
      <c r="N186" s="24" t="str">
        <f t="array" ref="N186">IFERROR(INDEX(Monitor!A:A,MATCH(D186,Monitor!D:D,0)),"없음")</f>
        <v>없음</v>
      </c>
      <c r="O186" s="24" t="str">
        <f t="array" ref="O186">IFERROR(INDEX(sales!D:D,MATCH(D186,sales!C:C,0)),"없음")</f>
        <v>없음</v>
      </c>
      <c r="P186" s="24" t="str">
        <f t="array" ref="P186">IFERROR(INDEX(sales!E:E,MATCH(D186,sales!C:C,0)),"없음")</f>
        <v>없음</v>
      </c>
      <c r="Q186" s="24"/>
      <c r="R186" s="24"/>
    </row>
    <row r="187">
      <c r="A187" s="13">
        <v>189.0</v>
      </c>
      <c r="B187" s="15" t="s">
        <v>716</v>
      </c>
      <c r="C187" s="15" t="s">
        <v>717</v>
      </c>
      <c r="D187" s="15" t="s">
        <v>718</v>
      </c>
      <c r="E187" s="15" t="s">
        <v>320</v>
      </c>
      <c r="F187" s="15" t="s">
        <v>2471</v>
      </c>
      <c r="G187" s="15" t="s">
        <v>2480</v>
      </c>
      <c r="H187" s="19" t="str">
        <f t="array" ref="H187">IFERROR(INDEX(Lease_List!D:D,MATCH(All_User_backup!D187,Lease_List!H:H,0)),"없음")</f>
        <v>5CD5179KH6</v>
      </c>
      <c r="I187" s="22" t="s">
        <v>719</v>
      </c>
      <c r="J187" s="21"/>
      <c r="K187" s="22" t="str">
        <f t="array" ref="K187">IFERROR(INDEX(Ipad_List!C:C,MATCH(All_User_backup!D187,Ipad_List!J:J,0)),"없음")</f>
        <v>JYVMXW3RWV</v>
      </c>
      <c r="L187" s="23" t="str">
        <f t="array" ref="L187">IFERROR(INDEX(TeamsNumber!B:B,MATCH(All_User_backup!D187,TeamsNumber!D:D,0)),"없음")</f>
        <v>tel:+82234517551</v>
      </c>
      <c r="M187" s="23" t="str">
        <f t="array" ref="M187">IFERROR(INDEX(Printer!D:D,MATCH(All_User_backup!D187,Printer!H:H,0)),"없음")</f>
        <v>SL-C486FW</v>
      </c>
      <c r="N187" s="24" t="str">
        <f t="array" ref="N187">IFERROR(INDEX(Monitor!A:A,MATCH(D187,Monitor!D:D,0)),"없음")</f>
        <v>없음</v>
      </c>
      <c r="O187" s="24" t="str">
        <f t="array" ref="O187">IFERROR(INDEX(sales!D:D,MATCH(D187,sales!C:C,0)),"없음")</f>
        <v>Knee</v>
      </c>
      <c r="P187" s="24" t="str">
        <f t="array" ref="P187">IFERROR(INDEX(sales!E:E,MATCH(D187,sales!C:C,0)),"없음")</f>
        <v>Sales</v>
      </c>
      <c r="Q187" s="24" t="str">
        <f t="array" ref="Q187">IFERROR(INDEX(sales!C:C,MATCH(D187,sales!C:C,0)),"list없음")</f>
        <v>jiho.yoo@stryker.com</v>
      </c>
      <c r="R187" s="24"/>
    </row>
    <row r="188">
      <c r="A188" s="13">
        <v>190.0</v>
      </c>
      <c r="B188" s="15" t="s">
        <v>720</v>
      </c>
      <c r="C188" s="15" t="s">
        <v>721</v>
      </c>
      <c r="D188" s="15" t="s">
        <v>722</v>
      </c>
      <c r="E188" s="15" t="s">
        <v>723</v>
      </c>
      <c r="F188" s="15" t="s">
        <v>2481</v>
      </c>
      <c r="G188" s="15" t="s">
        <v>252</v>
      </c>
      <c r="H188" s="19" t="str">
        <f t="array" ref="H188">IFERROR(INDEX(Lease_List!D:D,MATCH(All_User_backup!D188,Lease_List!H:H,0)),"없음")</f>
        <v>5CD3469HD8</v>
      </c>
      <c r="I188" s="22" t="s">
        <v>29</v>
      </c>
      <c r="J188" s="21"/>
      <c r="K188" s="22" t="str">
        <f t="array" ref="K188">IFERROR(INDEX(Ipad_List!C:C,MATCH(All_User_backup!D188,Ipad_List!J:J,0)),"없음")</f>
        <v>없음</v>
      </c>
      <c r="L188" s="35" t="str">
        <f t="array" ref="L188">IFERROR(INDEX(TeamsNumber!B:B,MATCH(All_User_backup!D188,TeamsNumber!D:D,0)),"없음")</f>
        <v>tel:+82234517631</v>
      </c>
      <c r="M188" s="35" t="str">
        <f t="array" ref="M188">IFERROR(INDEX(Printer!D:D,MATCH(All_User_backup!D188,Printer!H:H,0)),"없음")</f>
        <v>없음</v>
      </c>
      <c r="N188" s="24" t="str">
        <f t="array" ref="N188">IFERROR(INDEX(Monitor!A:A,MATCH(D188,Monitor!D:D,0)),"없음")</f>
        <v>없음</v>
      </c>
      <c r="O188" s="24" t="str">
        <f t="array" ref="O188">IFERROR(INDEX(sales!D:D,MATCH(D188,sales!C:C,0)),"없음")</f>
        <v>없음</v>
      </c>
      <c r="P188" s="24" t="str">
        <f t="array" ref="P188">IFERROR(INDEX(sales!E:E,MATCH(D188,sales!C:C,0)),"없음")</f>
        <v>없음</v>
      </c>
      <c r="Q188" s="24"/>
      <c r="R188" s="24"/>
    </row>
    <row r="189">
      <c r="A189" s="13">
        <v>191.0</v>
      </c>
      <c r="B189" s="15" t="s">
        <v>724</v>
      </c>
      <c r="C189" s="15" t="s">
        <v>725</v>
      </c>
      <c r="D189" s="15" t="s">
        <v>726</v>
      </c>
      <c r="E189" s="15" t="s">
        <v>136</v>
      </c>
      <c r="F189" s="15" t="s">
        <v>2471</v>
      </c>
      <c r="G189" s="15" t="s">
        <v>2482</v>
      </c>
      <c r="H189" s="19" t="str">
        <f t="array" ref="H189">IFERROR(INDEX(Lease_List!D:D,MATCH(All_User_backup!D189,Lease_List!H:H,0)),"없음")</f>
        <v>5CD4305D8F</v>
      </c>
      <c r="I189" s="22" t="s">
        <v>29</v>
      </c>
      <c r="J189" s="21"/>
      <c r="K189" s="22" t="str">
        <f t="array" ref="K189">IFERROR(INDEX(Ipad_List!C:C,MATCH(All_User_backup!D189,Ipad_List!J:J,0)),"없음")</f>
        <v>D50QVTWX76</v>
      </c>
      <c r="L189" s="23" t="str">
        <f t="array" ref="L189">IFERROR(INDEX(TeamsNumber!B:B,MATCH(All_User_backup!D189,TeamsNumber!D:D,0)),"없음")</f>
        <v>tel:+82234517561</v>
      </c>
      <c r="M189" s="23" t="str">
        <f t="array" ref="M189">IFERROR(INDEX(Printer!D:D,MATCH(All_User_backup!D189,Printer!H:H,0)),"없음")</f>
        <v>없음</v>
      </c>
      <c r="N189" s="24" t="str">
        <f t="array" ref="N189">IFERROR(INDEX(Monitor!A:A,MATCH(D189,Monitor!D:D,0)),"없음")</f>
        <v>LCD 모니터</v>
      </c>
      <c r="O189" s="24" t="str">
        <f t="array" ref="O189">IFERROR(INDEX(sales!D:D,MATCH(D189,sales!C:C,0)),"없음")</f>
        <v/>
      </c>
      <c r="P189" s="24" t="str">
        <f t="array" ref="P189">IFERROR(INDEX(sales!E:E,MATCH(D189,sales!C:C,0)),"없음")</f>
        <v>MKT</v>
      </c>
      <c r="Q189" s="24" t="str">
        <f t="array" ref="Q189">IFERROR(INDEX(sales!C:C,MATCH(D189,sales!C:C,0)),"list없음")</f>
        <v>bella.yoon@stryker.com</v>
      </c>
      <c r="R189" s="24"/>
    </row>
    <row r="190">
      <c r="A190" s="13">
        <v>192.0</v>
      </c>
      <c r="B190" s="15" t="s">
        <v>727</v>
      </c>
      <c r="C190" s="15" t="s">
        <v>728</v>
      </c>
      <c r="D190" s="15" t="s">
        <v>729</v>
      </c>
      <c r="E190" s="18" t="s">
        <v>72</v>
      </c>
      <c r="F190" s="15" t="s">
        <v>2471</v>
      </c>
      <c r="G190" s="15" t="s">
        <v>2473</v>
      </c>
      <c r="H190" s="19" t="str">
        <f t="array" ref="H190">IFERROR(INDEX(Lease_List!D:D,MATCH(All_User_backup!D190,Lease_List!H:H,0)),"없음")</f>
        <v>5CD4305D8P</v>
      </c>
      <c r="I190" s="22" t="s">
        <v>29</v>
      </c>
      <c r="J190" s="21"/>
      <c r="K190" s="22" t="str">
        <f t="array" ref="K190">IFERROR(INDEX(Ipad_List!C:C,MATCH(All_User_backup!D190,Ipad_List!J:J,0)),"없음")</f>
        <v>DMW34MWM7C</v>
      </c>
      <c r="L190" s="23" t="str">
        <f t="array" ref="L190">IFERROR(INDEX(TeamsNumber!B:B,MATCH(All_User_backup!D190,TeamsNumber!D:D,0)),"없음")</f>
        <v>tel:+82234517695</v>
      </c>
      <c r="M190" s="23" t="str">
        <f t="array" ref="M190">IFERROR(INDEX(Printer!D:D,MATCH(All_User_backup!D190,Printer!H:H,0)),"없음")</f>
        <v>없음</v>
      </c>
      <c r="N190" s="24" t="str">
        <f t="array" ref="N190">IFERROR(INDEX(Monitor!A:A,MATCH(D190,Monitor!D:D,0)),"없음")</f>
        <v>없음</v>
      </c>
      <c r="O190" s="24" t="str">
        <f t="array" ref="O190">IFERROR(INDEX(sales!D:D,MATCH(D190,sales!C:C,0)),"없음")</f>
        <v>Mako</v>
      </c>
      <c r="P190" s="24" t="str">
        <f t="array" ref="P190">IFERROR(INDEX(sales!E:E,MATCH(D190,sales!C:C,0)),"없음")</f>
        <v>MPS</v>
      </c>
      <c r="Q190" s="24" t="str">
        <f t="array" ref="Q190">IFERROR(INDEX(sales!C:C,MATCH(D190,sales!C:C,0)),"list없음")</f>
        <v>ayaan.yoon@stryker.com</v>
      </c>
      <c r="R190" s="24"/>
    </row>
    <row r="191">
      <c r="A191" s="13">
        <v>193.0</v>
      </c>
      <c r="B191" s="15" t="s">
        <v>730</v>
      </c>
      <c r="C191" s="15" t="s">
        <v>731</v>
      </c>
      <c r="D191" s="15" t="s">
        <v>732</v>
      </c>
      <c r="E191" s="15" t="s">
        <v>733</v>
      </c>
      <c r="F191" s="15" t="s">
        <v>2471</v>
      </c>
      <c r="G191" s="15" t="s">
        <v>2480</v>
      </c>
      <c r="H191" s="19" t="str">
        <f t="array" ref="H191">IFERROR(INDEX(Lease_List!D:D,MATCH(All_User_backup!D191,Lease_List!H:H,0)),"없음")</f>
        <v>5CD4145N3H</v>
      </c>
      <c r="I191" s="22" t="s">
        <v>29</v>
      </c>
      <c r="J191" s="21"/>
      <c r="K191" s="22" t="str">
        <f t="array" ref="K191">IFERROR(INDEX(Ipad_List!C:C,MATCH(All_User_backup!D191,Ipad_List!J:J,0)),"없음")</f>
        <v>JWR90CCXJ3</v>
      </c>
      <c r="L191" s="23" t="str">
        <f t="array" ref="L191">IFERROR(INDEX(TeamsNumber!B:B,MATCH(All_User_backup!D191,TeamsNumber!D:D,0)),"없음")</f>
        <v>tel:+82234517660</v>
      </c>
      <c r="M191" s="23" t="str">
        <f t="array" ref="M191">IFERROR(INDEX(Printer!D:D,MATCH(All_User_backup!D191,Printer!H:H,0)),"없음")</f>
        <v>2차 조사 정보 없음</v>
      </c>
      <c r="N191" s="24" t="str">
        <f t="array" ref="N191">IFERROR(INDEX(Monitor!A:A,MATCH(D191,Monitor!D:D,0)),"없음")</f>
        <v>없음</v>
      </c>
      <c r="O191" s="24" t="str">
        <f t="array" ref="O191">IFERROR(INDEX(sales!D:D,MATCH(D191,sales!C:C,0)),"없음")</f>
        <v>Knee</v>
      </c>
      <c r="P191" s="24" t="str">
        <f t="array" ref="P191">IFERROR(INDEX(sales!E:E,MATCH(D191,sales!C:C,0)),"없음")</f>
        <v>Sales</v>
      </c>
      <c r="Q191" s="24" t="str">
        <f t="array" ref="Q191">IFERROR(INDEX(sales!C:C,MATCH(D191,sales!C:C,0)),"list없음")</f>
        <v>jw.yoon@stryker.com</v>
      </c>
      <c r="R191" s="24"/>
    </row>
    <row r="192">
      <c r="A192" s="13">
        <v>194.0</v>
      </c>
      <c r="B192" s="15" t="s">
        <v>735</v>
      </c>
      <c r="C192" s="15" t="s">
        <v>736</v>
      </c>
      <c r="D192" s="15" t="s">
        <v>737</v>
      </c>
      <c r="E192" s="15" t="s">
        <v>57</v>
      </c>
      <c r="F192" s="15" t="s">
        <v>2471</v>
      </c>
      <c r="G192" s="15" t="s">
        <v>2473</v>
      </c>
      <c r="H192" s="19" t="str">
        <f t="array" ref="H192">IFERROR(INDEX(Lease_List!D:D,MATCH(All_User_backup!D192,Lease_List!H:H,0)),"없음")</f>
        <v>5CD5062YDK</v>
      </c>
      <c r="I192" s="22" t="s">
        <v>29</v>
      </c>
      <c r="J192" s="21"/>
      <c r="K192" s="22" t="str">
        <f t="array" ref="K192">IFERROR(INDEX(Ipad_List!C:C,MATCH(All_User_backup!D192,Ipad_List!J:J,0)),"없음")</f>
        <v>M90G1Q6XFP</v>
      </c>
      <c r="L192" s="23" t="str">
        <f t="array" ref="L192">IFERROR(INDEX(TeamsNumber!B:B,MATCH(All_User_backup!D192,TeamsNumber!D:D,0)),"없음")</f>
        <v>tel:+82234517689</v>
      </c>
      <c r="M192" s="23" t="str">
        <f t="array" ref="M192">IFERROR(INDEX(Printer!D:D,MATCH(All_User_backup!D192,Printer!H:H,0)),"없음")</f>
        <v>없음</v>
      </c>
      <c r="N192" s="24" t="str">
        <f t="array" ref="N192">IFERROR(INDEX(Monitor!A:A,MATCH(D192,Monitor!D:D,0)),"없음")</f>
        <v>없음</v>
      </c>
      <c r="O192" s="24" t="str">
        <f t="array" ref="O192">IFERROR(INDEX(sales!D:D,MATCH(D192,sales!C:C,0)),"없음")</f>
        <v>Mako</v>
      </c>
      <c r="P192" s="24" t="str">
        <f t="array" ref="P192">IFERROR(INDEX(sales!E:E,MATCH(D192,sales!C:C,0)),"없음")</f>
        <v>MPS</v>
      </c>
      <c r="Q192" s="24" t="str">
        <f t="array" ref="Q192">IFERROR(INDEX(sales!C:C,MATCH(D192,sales!C:C,0)),"list없음")</f>
        <v>aaron.yoon@stryker.com</v>
      </c>
      <c r="R192" s="24"/>
    </row>
    <row r="193">
      <c r="A193" s="13">
        <v>195.0</v>
      </c>
      <c r="B193" s="15" t="s">
        <v>738</v>
      </c>
      <c r="C193" s="15" t="s">
        <v>739</v>
      </c>
      <c r="D193" s="15" t="s">
        <v>740</v>
      </c>
      <c r="E193" s="15" t="s">
        <v>741</v>
      </c>
      <c r="F193" s="15" t="s">
        <v>2471</v>
      </c>
      <c r="G193" s="15" t="s">
        <v>2482</v>
      </c>
      <c r="H193" s="19" t="str">
        <f t="array" ref="H193">IFERROR(INDEX(Lease_List!D:D,MATCH(All_User_backup!D193,Lease_List!H:H,0)),"없음")</f>
        <v>5CG53403D3</v>
      </c>
      <c r="I193" s="22" t="s">
        <v>29</v>
      </c>
      <c r="J193" s="25" t="s">
        <v>742</v>
      </c>
      <c r="K193" s="22" t="str">
        <f t="array" ref="K193">IFERROR(INDEX(Ipad_List!C:C,MATCH(All_User_backup!D193,Ipad_List!J:J,0)),"없음")</f>
        <v>HYC714DK25</v>
      </c>
      <c r="L193" s="23" t="str">
        <f t="array" ref="L193">IFERROR(INDEX(TeamsNumber!B:B,MATCH(All_User_backup!D193,TeamsNumber!D:D,0)),"없음")</f>
        <v>tel:+82234517556</v>
      </c>
      <c r="M193" s="23" t="str">
        <f t="array" ref="M193">IFERROR(INDEX(Printer!D:D,MATCH(All_User_backup!D193,Printer!G:G,0)),"없음")</f>
        <v>없음</v>
      </c>
      <c r="N193" s="24" t="str">
        <f t="array" ref="N193">IFERROR(INDEX(Monitor!A:A,MATCH(D193,Monitor!D:D,0)),"없음")</f>
        <v>없음</v>
      </c>
      <c r="O193" s="24" t="str">
        <f t="array" ref="O193">IFERROR(INDEX(sales!D:D,MATCH(D193,sales!C:C,0)),"없음")</f>
        <v/>
      </c>
      <c r="P193" s="24" t="str">
        <f t="array" ref="P193">IFERROR(INDEX(sales!E:E,MATCH(D193,sales!C:C,0)),"없음")</f>
        <v>MKT</v>
      </c>
      <c r="Q193" s="24" t="str">
        <f t="array" ref="Q193">IFERROR(INDEX(sales!C:C,MATCH(D193,sales!C:C,0)),"list없음")</f>
        <v>sarah.youn@stryker.com</v>
      </c>
      <c r="R193" s="24"/>
    </row>
    <row r="194">
      <c r="A194" s="28">
        <v>196.0</v>
      </c>
      <c r="B194" s="378" t="s">
        <v>743</v>
      </c>
      <c r="C194" s="61"/>
      <c r="D194" s="29" t="s">
        <v>744</v>
      </c>
      <c r="E194" s="61"/>
      <c r="F194" s="61"/>
      <c r="G194" s="61"/>
      <c r="H194" s="375" t="str">
        <f t="array" ref="H194">IFERROR(INDEX(Lease_List!D:D,MATCH(All_User_backup!D194,Lease_List!H:H,0)),"없음")</f>
        <v>5CD3469HCZ</v>
      </c>
      <c r="I194" s="31" t="s">
        <v>29</v>
      </c>
      <c r="J194" s="32"/>
      <c r="K194" s="31" t="str">
        <f t="array" ref="K194">IFERROR(INDEX(Ipad_List!C:C,MATCH(All_User_backup!D194,Ipad_List!J:J,0)),"없음")</f>
        <v>J1XWPW66YY</v>
      </c>
      <c r="L194" s="46" t="str">
        <f t="array" ref="L194">IFERROR(INDEX(TeamsNumber!B:B,MATCH(All_User_backup!D194,TeamsNumber!D:D,0)),"없음")</f>
        <v>tel:+82234517681</v>
      </c>
      <c r="M194" s="46" t="str">
        <f t="array" ref="M194">IFERROR(INDEX(Printer!D:D,MATCH(All_User_backup!D194,Printer!H:H,0)),"없음")</f>
        <v>없음</v>
      </c>
      <c r="N194" s="288" t="str">
        <f t="array" ref="N194">IFERROR(INDEX(Monitor!A:A,MATCH(D194,Monitor!D:D,0)),"없음")</f>
        <v>없음</v>
      </c>
      <c r="O194" s="288" t="str">
        <f t="array" ref="O194">IFERROR(INDEX(sales!D:D,MATCH(D194,sales!C:C,0)),"없음")</f>
        <v>없음</v>
      </c>
      <c r="P194" s="288" t="str">
        <f t="array" ref="P194">IFERROR(INDEX(sales!E:E,MATCH(D194,sales!C:C,0)),"없음")</f>
        <v>없음</v>
      </c>
      <c r="R194" s="46" t="s">
        <v>747</v>
      </c>
    </row>
    <row r="195">
      <c r="A195" s="13">
        <v>197.0</v>
      </c>
      <c r="B195" s="379" t="s">
        <v>748</v>
      </c>
      <c r="C195" s="26"/>
      <c r="D195" s="15" t="s">
        <v>749</v>
      </c>
      <c r="E195" s="26"/>
      <c r="F195" s="26"/>
      <c r="G195" s="26"/>
      <c r="H195" s="19" t="str">
        <f t="array" ref="H195">IFERROR(INDEX(Lease_List!D:D,MATCH(All_User_backup!D195,Lease_List!H:H,0)),"없음")</f>
        <v>5CD3469HDG</v>
      </c>
      <c r="I195" s="22" t="s">
        <v>29</v>
      </c>
      <c r="J195" s="21"/>
      <c r="K195" s="22" t="str">
        <f t="array" ref="K195">IFERROR(INDEX(Ipad_List!C:C,MATCH(All_User_backup!D195,Ipad_List!J:J,0)),"없음")</f>
        <v>없음</v>
      </c>
      <c r="L195" s="35" t="str">
        <f t="array" ref="L195">IFERROR(INDEX(TeamsNumber!B:B,MATCH(All_User_backup!D195,TeamsNumber!D:D,0)),"없음")</f>
        <v>없음</v>
      </c>
      <c r="M195" s="35" t="str">
        <f t="array" ref="M195">IFERROR(INDEX(Printer!D:D,MATCH(All_User_backup!D195,Printer!H:H,0)),"없음")</f>
        <v>없음</v>
      </c>
      <c r="N195" s="24" t="str">
        <f t="array" ref="N195">IFERROR(INDEX(Monitor!A:A,MATCH(D195,Monitor!D:D,0)),"없음")</f>
        <v>없음</v>
      </c>
      <c r="O195" s="24" t="str">
        <f t="array" ref="O195">IFERROR(INDEX(sales!D:D,MATCH(D195,sales!C:C,0)),"없음")</f>
        <v>없음</v>
      </c>
      <c r="P195" s="24" t="str">
        <f t="array" ref="P195">IFERROR(INDEX(sales!E:E,MATCH(D195,sales!C:C,0)),"없음")</f>
        <v>없음</v>
      </c>
      <c r="Q195" s="24"/>
      <c r="R195" s="24"/>
    </row>
    <row r="196">
      <c r="A196" s="13">
        <v>198.0</v>
      </c>
      <c r="B196" s="379" t="s">
        <v>751</v>
      </c>
      <c r="C196" s="26"/>
      <c r="D196" s="15" t="s">
        <v>752</v>
      </c>
      <c r="E196" s="26"/>
      <c r="F196" s="26"/>
      <c r="G196" s="26"/>
      <c r="H196" s="19" t="str">
        <f t="array" ref="H196">IFERROR(INDEX(Lease_List!D:D,MATCH(All_User_backup!D196,Lease_List!H:H,0)),"없음")</f>
        <v>5CD3469HDK</v>
      </c>
      <c r="I196" s="22" t="s">
        <v>29</v>
      </c>
      <c r="J196" s="21"/>
      <c r="K196" s="22" t="str">
        <f t="array" ref="K196">IFERROR(INDEX(Ipad_List!C:C,MATCH(All_User_backup!D196,Ipad_List!J:J,0)),"없음")</f>
        <v>없음</v>
      </c>
      <c r="L196" s="35" t="str">
        <f t="array" ref="L196">IFERROR(INDEX(TeamsNumber!B:B,MATCH(All_User_backup!D196,TeamsNumber!D:D,0)),"없음")</f>
        <v>없음</v>
      </c>
      <c r="M196" s="35" t="str">
        <f t="array" ref="M196">IFERROR(INDEX(Printer!D:D,MATCH(All_User_backup!D196,Printer!H:H,0)),"없음")</f>
        <v>없음</v>
      </c>
      <c r="N196" s="24" t="str">
        <f t="array" ref="N196">IFERROR(INDEX(Monitor!A:A,MATCH(D196,Monitor!D:D,0)),"없음")</f>
        <v>없음</v>
      </c>
      <c r="O196" s="24" t="str">
        <f t="array" ref="O196">IFERROR(INDEX(sales!D:D,MATCH(D196,sales!C:C,0)),"없음")</f>
        <v>없음</v>
      </c>
      <c r="P196" s="24" t="str">
        <f t="array" ref="P196">IFERROR(INDEX(sales!E:E,MATCH(D196,sales!C:C,0)),"없음")</f>
        <v>없음</v>
      </c>
      <c r="Q196" s="24"/>
      <c r="R196" s="24"/>
    </row>
    <row r="197">
      <c r="A197" s="13">
        <v>199.0</v>
      </c>
      <c r="B197" s="379" t="s">
        <v>833</v>
      </c>
      <c r="C197" s="26"/>
      <c r="D197" s="15" t="s">
        <v>976</v>
      </c>
      <c r="E197" s="15"/>
      <c r="F197" s="26"/>
      <c r="G197" s="26"/>
      <c r="H197" s="19" t="str">
        <f t="array" ref="H197">IFERROR(INDEX(Lease_List!D:D,MATCH(All_User_backup!D197,Lease_List!H:H,0)),"없음")</f>
        <v>5CD3469HDP</v>
      </c>
      <c r="I197" s="22" t="s">
        <v>29</v>
      </c>
      <c r="J197" s="21"/>
      <c r="K197" s="22" t="str">
        <f t="array" ref="K197">IFERROR(INDEX(Ipad_List!C:C,MATCH(All_User_backup!D197,Ipad_List!J:J,0)),"없음")</f>
        <v>없음</v>
      </c>
      <c r="L197" s="35" t="str">
        <f t="array" ref="L197">IFERROR(INDEX(TeamsNumber!B:B,MATCH(All_User_backup!D197,TeamsNumber!D:D,0)),"없음")</f>
        <v>없음</v>
      </c>
      <c r="M197" s="35" t="str">
        <f t="array" ref="M197">IFERROR(INDEX(Printer!D:D,MATCH(All_User_backup!D197,Printer!H:H,0)),"없음")</f>
        <v>없음</v>
      </c>
      <c r="N197" s="24" t="str">
        <f t="array" ref="N197">IFERROR(INDEX(Monitor!A:A,MATCH(D197,Monitor!D:D,0)),"없음")</f>
        <v>없음</v>
      </c>
      <c r="O197" s="24" t="str">
        <f t="array" ref="O197">IFERROR(INDEX(sales!D:D,MATCH(D197,sales!C:C,0)),"없음")</f>
        <v>없음</v>
      </c>
      <c r="P197" s="24" t="str">
        <f t="array" ref="P197">IFERROR(INDEX(sales!E:E,MATCH(D197,sales!C:C,0)),"없음")</f>
        <v>없음</v>
      </c>
      <c r="Q197" s="24"/>
      <c r="R197" s="24"/>
    </row>
    <row r="198">
      <c r="A198" s="13">
        <v>200.0</v>
      </c>
      <c r="B198" s="378" t="s">
        <v>2510</v>
      </c>
      <c r="C198" s="26"/>
      <c r="D198" s="18" t="s">
        <v>2511</v>
      </c>
      <c r="E198" s="26"/>
      <c r="F198" s="26"/>
      <c r="G198" s="26"/>
      <c r="H198" s="19" t="str">
        <f t="array" ref="H198">IFERROR(INDEX(Lease_List!D:D,MATCH(All_User_backup!D198,Lease_List!H:H,0)),"없음")</f>
        <v>없음</v>
      </c>
      <c r="I198" s="22" t="s">
        <v>29</v>
      </c>
      <c r="J198" s="21"/>
      <c r="K198" s="22" t="str">
        <f t="array" ref="K198">IFERROR(INDEX(Ipad_List!C:C,MATCH(All_User_backup!D198,Ipad_List!J:J,0)),"없음")</f>
        <v>없음</v>
      </c>
      <c r="L198" s="35" t="str">
        <f t="array" ref="L198">IFERROR(INDEX(TeamsNumber!B:B,MATCH(All_User_backup!D198,TeamsNumber!D:D,0)),"없음")</f>
        <v>없음</v>
      </c>
      <c r="M198" s="35" t="str">
        <f t="array" ref="M198">IFERROR(INDEX(Printer!D:D,MATCH(All_User_backup!D198,Printer!H:H,0)),"없음")</f>
        <v>없음</v>
      </c>
      <c r="N198" s="24" t="str">
        <f t="array" ref="N198">IFERROR(INDEX(Monitor!A:A,MATCH(D198,Monitor!D:D,0)),"없음")</f>
        <v>없음</v>
      </c>
      <c r="O198" s="24" t="str">
        <f t="array" ref="O198">IFERROR(INDEX(sales!D:D,MATCH(D198,sales!C:C,0)),"없음")</f>
        <v>없음</v>
      </c>
      <c r="P198" s="24" t="str">
        <f t="array" ref="P198">IFERROR(INDEX(sales!E:E,MATCH(D198,sales!C:C,0)),"없음")</f>
        <v>없음</v>
      </c>
      <c r="Q198" s="24"/>
      <c r="R198" s="24"/>
    </row>
    <row r="199">
      <c r="A199" s="13">
        <v>201.0</v>
      </c>
      <c r="B199" s="379" t="s">
        <v>753</v>
      </c>
      <c r="C199" s="26"/>
      <c r="D199" s="15" t="s">
        <v>754</v>
      </c>
      <c r="E199" s="15"/>
      <c r="F199" s="26"/>
      <c r="G199" s="26"/>
      <c r="H199" s="19" t="str">
        <f t="array" ref="H199">IFERROR(INDEX(Lease_List!D:D,MATCH(All_User_backup!D199,Lease_List!H:H,0)),"없음")</f>
        <v>5CD4145N3F</v>
      </c>
      <c r="I199" s="22" t="s">
        <v>29</v>
      </c>
      <c r="J199" s="21"/>
      <c r="K199" s="22" t="str">
        <f t="array" ref="K199">IFERROR(INDEX(Ipad_List!C:C,MATCH(All_User_backup!D199,Ipad_List!J:J,0)),"없음")</f>
        <v>없음</v>
      </c>
      <c r="L199" s="35" t="str">
        <f t="array" ref="L199">IFERROR(INDEX(TeamsNumber!B:B,MATCH(All_User_backup!D199,TeamsNumber!D:D,0)),"없음")</f>
        <v>없음</v>
      </c>
      <c r="M199" s="35" t="str">
        <f t="array" ref="M199">IFERROR(INDEX(Printer!D:D,MATCH(All_User_backup!D199,Printer!H:H,0)),"없음")</f>
        <v>없음</v>
      </c>
      <c r="N199" s="24" t="str">
        <f t="array" ref="N199">IFERROR(INDEX(Monitor!A:A,MATCH(D199,Monitor!D:D,0)),"없음")</f>
        <v>없음</v>
      </c>
      <c r="O199" s="24" t="str">
        <f t="array" ref="O199">IFERROR(INDEX(sales!D:D,MATCH(D199,sales!C:C,0)),"없음")</f>
        <v>없음</v>
      </c>
      <c r="P199" s="24" t="str">
        <f t="array" ref="P199">IFERROR(INDEX(sales!E:E,MATCH(D199,sales!C:C,0)),"없음")</f>
        <v>없음</v>
      </c>
      <c r="Q199" s="24"/>
      <c r="R199" s="24"/>
    </row>
    <row r="200">
      <c r="A200" s="13">
        <v>202.0</v>
      </c>
      <c r="B200" s="379" t="s">
        <v>755</v>
      </c>
      <c r="C200" s="26"/>
      <c r="D200" s="15" t="s">
        <v>756</v>
      </c>
      <c r="E200" s="26"/>
      <c r="F200" s="26"/>
      <c r="G200" s="26"/>
      <c r="H200" s="19" t="str">
        <f t="array" ref="H200">IFERROR(INDEX(Lease_List!D:D,MATCH(All_User_backup!D200,Lease_List!H:H,0)),"없음")</f>
        <v>5CD4232BFM</v>
      </c>
      <c r="I200" s="22" t="s">
        <v>29</v>
      </c>
      <c r="J200" s="21"/>
      <c r="K200" s="22" t="str">
        <f t="array" ref="K200">IFERROR(INDEX(Ipad_List!C:C,MATCH(All_User_backup!D200,Ipad_List!J:J,0)),"없음")</f>
        <v>없음</v>
      </c>
      <c r="L200" s="35" t="str">
        <f t="array" ref="L200">IFERROR(INDEX(TeamsNumber!B:B,MATCH(All_User_backup!D200,TeamsNumber!D:D,0)),"없음")</f>
        <v>없음</v>
      </c>
      <c r="M200" s="35" t="str">
        <f t="array" ref="M200">IFERROR(INDEX(Printer!D:D,MATCH(All_User_backup!D200,Printer!H:H,0)),"없음")</f>
        <v>없음</v>
      </c>
      <c r="N200" s="24" t="str">
        <f t="array" ref="N200">IFERROR(INDEX(Monitor!A:A,MATCH(D200,Monitor!D:D,0)),"없음")</f>
        <v>없음</v>
      </c>
      <c r="O200" s="24" t="str">
        <f t="array" ref="O200">IFERROR(INDEX(sales!D:D,MATCH(D200,sales!C:C,0)),"없음")</f>
        <v>없음</v>
      </c>
      <c r="P200" s="24" t="str">
        <f t="array" ref="P200">IFERROR(INDEX(sales!E:E,MATCH(D200,sales!C:C,0)),"없음")</f>
        <v>없음</v>
      </c>
      <c r="Q200" s="24"/>
      <c r="R200" s="24"/>
    </row>
    <row r="201">
      <c r="A201" s="13">
        <v>203.0</v>
      </c>
      <c r="B201" s="379" t="s">
        <v>757</v>
      </c>
      <c r="C201" s="26"/>
      <c r="D201" s="15" t="s">
        <v>758</v>
      </c>
      <c r="E201" s="26"/>
      <c r="F201" s="26"/>
      <c r="G201" s="26"/>
      <c r="H201" s="19" t="str">
        <f t="array" ref="H201">IFERROR(INDEX(Lease_List!D:D,MATCH(All_User_backup!D201,Lease_List!H:H,0)),"없음")</f>
        <v>없음</v>
      </c>
      <c r="I201" s="22" t="s">
        <v>29</v>
      </c>
      <c r="J201" s="21"/>
      <c r="K201" s="22" t="str">
        <f t="array" ref="K201">IFERROR(INDEX(Ipad_List!C:C,MATCH(All_User_backup!D201,Ipad_List!J:J,0)),"없음")</f>
        <v>없음</v>
      </c>
      <c r="L201" s="35" t="str">
        <f t="array" ref="L201">IFERROR(INDEX(TeamsNumber!B:B,MATCH(All_User_backup!D201,TeamsNumber!D:D,0)),"없음")</f>
        <v>없음</v>
      </c>
      <c r="M201" s="35" t="str">
        <f t="array" ref="M201">IFERROR(INDEX(Printer!D:D,MATCH(All_User_backup!D201,Printer!H:H,0)),"없음")</f>
        <v>없음</v>
      </c>
      <c r="N201" s="24" t="str">
        <f t="array" ref="N201">IFERROR(INDEX(Monitor!A:A,MATCH(D201,Monitor!D:D,0)),"없음")</f>
        <v>없음</v>
      </c>
      <c r="O201" s="24" t="str">
        <f t="array" ref="O201">IFERROR(INDEX(sales!D:D,MATCH(D201,sales!C:C,0)),"없음")</f>
        <v>없음</v>
      </c>
      <c r="P201" s="24" t="str">
        <f t="array" ref="P201">IFERROR(INDEX(sales!E:E,MATCH(D201,sales!C:C,0)),"없음")</f>
        <v>없음</v>
      </c>
      <c r="Q201" s="24"/>
      <c r="R201" s="24"/>
    </row>
    <row r="202">
      <c r="A202" s="13">
        <v>204.0</v>
      </c>
      <c r="B202" s="379" t="s">
        <v>759</v>
      </c>
      <c r="C202" s="26"/>
      <c r="D202" s="15" t="s">
        <v>760</v>
      </c>
      <c r="E202" s="26"/>
      <c r="F202" s="26"/>
      <c r="G202" s="26"/>
      <c r="H202" s="19" t="str">
        <f t="array" ref="H202">IFERROR(INDEX(Lease_List!D:D,MATCH(All_User_backup!D202,Lease_List!H:H,0)),"없음")</f>
        <v>5CD4305D92</v>
      </c>
      <c r="I202" s="22" t="s">
        <v>761</v>
      </c>
      <c r="J202" s="21"/>
      <c r="K202" s="22" t="str">
        <f t="array" ref="K202">IFERROR(INDEX(Ipad_List!C:C,MATCH(All_User_backup!D202,Ipad_List!J:J,0)),"없음")</f>
        <v>없음</v>
      </c>
      <c r="L202" s="35" t="str">
        <f t="array" ref="L202">IFERROR(INDEX(TeamsNumber!B:B,MATCH(All_User_backup!D202,TeamsNumber!D:D,0)),"없음")</f>
        <v>없음</v>
      </c>
      <c r="M202" s="35" t="str">
        <f t="array" ref="M202">IFERROR(INDEX(Printer!D:D,MATCH(All_User_backup!D202,Printer!H:H,0)),"없음")</f>
        <v>없음</v>
      </c>
      <c r="N202" s="24" t="str">
        <f t="array" ref="N202">IFERROR(INDEX(Monitor!A:A,MATCH(D202,Monitor!D:D,0)),"없음")</f>
        <v>없음</v>
      </c>
      <c r="O202" s="24" t="str">
        <f t="array" ref="O202">IFERROR(INDEX(sales!D:D,MATCH(D202,sales!C:C,0)),"없음")</f>
        <v>없음</v>
      </c>
      <c r="P202" s="24" t="str">
        <f t="array" ref="P202">IFERROR(INDEX(sales!E:E,MATCH(D202,sales!C:C,0)),"없음")</f>
        <v>없음</v>
      </c>
      <c r="Q202" s="24"/>
      <c r="R202" s="24"/>
    </row>
    <row r="203">
      <c r="A203" s="13">
        <v>205.0</v>
      </c>
      <c r="B203" s="136" t="s">
        <v>762</v>
      </c>
      <c r="C203" s="26"/>
      <c r="D203" s="15" t="s">
        <v>763</v>
      </c>
      <c r="E203" s="26"/>
      <c r="F203" s="26"/>
      <c r="G203" s="26"/>
      <c r="H203" s="19" t="str">
        <f t="array" ref="H203">IFERROR(INDEX(Lease_List!D:D,MATCH(All_User_backup!D203,Lease_List!H:H,0)),"없음")</f>
        <v>5CD4305D8S</v>
      </c>
      <c r="I203" s="22" t="s">
        <v>29</v>
      </c>
      <c r="J203" s="21"/>
      <c r="K203" s="22" t="str">
        <f t="array" ref="K203">IFERROR(INDEX(Ipad_List!C:C,MATCH(All_User_backup!D203,Ipad_List!J:J,0)),"없음")</f>
        <v>F6PHK00AQ195 </v>
      </c>
      <c r="L203" s="35" t="str">
        <f t="array" ref="L203">IFERROR(INDEX(TeamsNumber!B:B,MATCH(All_User_backup!D203,TeamsNumber!D:D,0)),"없음")</f>
        <v>tel:+82234517677</v>
      </c>
      <c r="M203" s="35" t="str">
        <f t="array" ref="M203">IFERROR(INDEX(Printer!D:D,MATCH(All_User_backup!D203,Printer!H:H,0)),"없음")</f>
        <v>없음</v>
      </c>
      <c r="N203" s="24" t="str">
        <f t="array" ref="N203">IFERROR(INDEX(Monitor!A:A,MATCH(D203,Monitor!D:D,0)),"없음")</f>
        <v>없음</v>
      </c>
      <c r="O203" s="24" t="str">
        <f t="array" ref="O203">IFERROR(INDEX(sales!D:D,MATCH(D203,sales!C:C,0)),"없음")</f>
        <v>없음</v>
      </c>
      <c r="P203" s="24" t="str">
        <f t="array" ref="P203">IFERROR(INDEX(sales!E:E,MATCH(D203,sales!C:C,0)),"없음")</f>
        <v>없음</v>
      </c>
      <c r="Q203" s="24"/>
      <c r="R203" s="24"/>
    </row>
    <row r="204">
      <c r="A204" s="13">
        <v>206.0</v>
      </c>
      <c r="B204" s="379" t="s">
        <v>764</v>
      </c>
      <c r="C204" s="26"/>
      <c r="D204" s="15" t="s">
        <v>765</v>
      </c>
      <c r="E204" s="26"/>
      <c r="F204" s="26"/>
      <c r="G204" s="26"/>
      <c r="H204" s="19" t="str">
        <f t="array" ref="H204">IFERROR(INDEX(Lease_List!D:D,MATCH(All_User_backup!D204,Lease_List!H:H,0)),"없음")</f>
        <v>5CD4305D83</v>
      </c>
      <c r="I204" s="22" t="s">
        <v>29</v>
      </c>
      <c r="J204" s="21"/>
      <c r="K204" s="22" t="str">
        <f t="array" ref="K204">IFERROR(INDEX(Ipad_List!C:C,MATCH(All_User_backup!D204,Ipad_List!J:J,0)),"없음")</f>
        <v>없음</v>
      </c>
      <c r="L204" s="35" t="str">
        <f t="array" ref="L204">IFERROR(INDEX(TeamsNumber!B:B,MATCH(All_User_backup!D204,TeamsNumber!D:D,0)),"없음")</f>
        <v>없음</v>
      </c>
      <c r="M204" s="35" t="str">
        <f t="array" ref="M204">IFERROR(INDEX(Printer!D:D,MATCH(All_User_backup!D204,Printer!H:H,0)),"없음")</f>
        <v>없음</v>
      </c>
      <c r="N204" s="24" t="str">
        <f t="array" ref="N204">IFERROR(INDEX(Monitor!A:A,MATCH(D204,Monitor!D:D,0)),"없음")</f>
        <v>없음</v>
      </c>
      <c r="O204" s="24" t="str">
        <f t="array" ref="O204">IFERROR(INDEX(sales!D:D,MATCH(D204,sales!C:C,0)),"없음")</f>
        <v>없음</v>
      </c>
      <c r="P204" s="24" t="str">
        <f t="array" ref="P204">IFERROR(INDEX(sales!E:E,MATCH(D204,sales!C:C,0)),"없음")</f>
        <v>없음</v>
      </c>
      <c r="Q204" s="24"/>
      <c r="R204" s="24"/>
    </row>
    <row r="205">
      <c r="A205" s="13">
        <v>207.0</v>
      </c>
      <c r="B205" s="379" t="s">
        <v>766</v>
      </c>
      <c r="C205" s="26"/>
      <c r="D205" s="15" t="s">
        <v>767</v>
      </c>
      <c r="E205" s="26"/>
      <c r="F205" s="26"/>
      <c r="G205" s="26"/>
      <c r="H205" s="19" t="str">
        <f t="array" ref="H205">IFERROR(INDEX(Lease_List!D:D,MATCH(All_User_backup!D205,Lease_List!H:H,0)),"없음")</f>
        <v>5CD4305D86</v>
      </c>
      <c r="I205" s="22" t="s">
        <v>29</v>
      </c>
      <c r="J205" s="21"/>
      <c r="K205" s="22" t="str">
        <f t="array" ref="K205">IFERROR(INDEX(Ipad_List!C:C,MATCH(All_User_backup!D205,Ipad_List!J:J,0)),"없음")</f>
        <v>없음</v>
      </c>
      <c r="L205" s="35" t="str">
        <f t="array" ref="L205">IFERROR(INDEX(TeamsNumber!B:B,MATCH(All_User_backup!D205,TeamsNumber!D:D,0)),"없음")</f>
        <v>없음</v>
      </c>
      <c r="M205" s="35" t="str">
        <f t="array" ref="M205">IFERROR(INDEX(Printer!D:D,MATCH(All_User_backup!D205,Printer!H:H,0)),"없음")</f>
        <v>없음</v>
      </c>
      <c r="N205" s="24" t="str">
        <f t="array" ref="N205">IFERROR(INDEX(Monitor!A:A,MATCH(D205,Monitor!D:D,0)),"없음")</f>
        <v>없음</v>
      </c>
      <c r="O205" s="24" t="str">
        <f t="array" ref="O205">IFERROR(INDEX(sales!D:D,MATCH(D205,sales!C:C,0)),"없음")</f>
        <v>없음</v>
      </c>
      <c r="P205" s="24" t="str">
        <f t="array" ref="P205">IFERROR(INDEX(sales!E:E,MATCH(D205,sales!C:C,0)),"없음")</f>
        <v>없음</v>
      </c>
      <c r="Q205" s="24"/>
      <c r="R205" s="24"/>
    </row>
    <row r="206">
      <c r="A206" s="13">
        <v>208.0</v>
      </c>
      <c r="B206" s="379" t="s">
        <v>768</v>
      </c>
      <c r="C206" s="26"/>
      <c r="D206" s="15" t="s">
        <v>770</v>
      </c>
      <c r="E206" s="52" t="s">
        <v>27</v>
      </c>
      <c r="F206" s="26"/>
      <c r="G206" s="26"/>
      <c r="H206" s="19" t="str">
        <f t="array" ref="H206">IFERROR(INDEX(Lease_List!D:D,MATCH(All_User_backup!D206,Lease_List!H:H,0)),"없음")</f>
        <v>5CD5179KJ8</v>
      </c>
      <c r="I206" s="22" t="s">
        <v>29</v>
      </c>
      <c r="J206" s="21"/>
      <c r="K206" s="22" t="str">
        <f t="array" ref="K206">IFERROR(INDEX(Ipad_List!C:C,MATCH(All_User_backup!D206,Ipad_List!J:J,0)),"없음")</f>
        <v>FHTK4GJCF9</v>
      </c>
      <c r="L206" s="23" t="str">
        <f t="array" ref="L206">IFERROR(INDEX(TeamsNumber!B:B,MATCH(All_User_backup!D206,TeamsNumber!D:D,0)),"없음")</f>
        <v>없음</v>
      </c>
      <c r="M206" s="23" t="str">
        <f t="array" ref="M206">IFERROR(INDEX(Printer!D:D,MATCH(All_User_backup!D206,Printer!H:H,0)),"없음")</f>
        <v>SL-C563W</v>
      </c>
      <c r="N206" s="24" t="str">
        <f t="array" ref="N206">IFERROR(INDEX(Monitor!A:A,MATCH(D206,Monitor!D:D,0)),"없음")</f>
        <v>없음</v>
      </c>
      <c r="O206" s="24" t="str">
        <f t="array" ref="O206">IFERROR(INDEX(sales!D:D,MATCH(D206,sales!C:C,0)),"없음")</f>
        <v>Mako</v>
      </c>
      <c r="P206" s="24" t="str">
        <f t="array" ref="P206">IFERROR(INDEX(sales!E:E,MATCH(D206,sales!C:C,0)),"없음")</f>
        <v>Sales</v>
      </c>
      <c r="Q206" s="24" t="str">
        <f t="array" ref="Q206">IFERROR(INDEX(sales!C:C,MATCH(D206,sales!C:C,0)),"list없음")</f>
        <v>neal.kim@stryker.com</v>
      </c>
      <c r="R206" s="24"/>
    </row>
    <row r="207">
      <c r="A207" s="13">
        <v>209.0</v>
      </c>
      <c r="B207" s="379" t="s">
        <v>771</v>
      </c>
      <c r="C207" s="26"/>
      <c r="D207" s="15" t="s">
        <v>772</v>
      </c>
      <c r="E207" s="15"/>
      <c r="F207" s="26"/>
      <c r="G207" s="26"/>
      <c r="H207" s="19" t="str">
        <f t="array" ref="H207">IFERROR(INDEX(Lease_List!D:D,MATCH(All_User_backup!D207,Lease_List!H:H,0)),"없음")</f>
        <v>5CD4305D8B</v>
      </c>
      <c r="I207" s="22" t="s">
        <v>29</v>
      </c>
      <c r="J207" s="21"/>
      <c r="K207" s="22" t="str">
        <f t="array" ref="K207">IFERROR(INDEX(Ipad_List!C:C,MATCH(All_User_backup!D207,Ipad_List!J:J,0)),"없음")</f>
        <v>없음</v>
      </c>
      <c r="L207" s="35" t="str">
        <f t="array" ref="L207">IFERROR(INDEX(TeamsNumber!B:B,MATCH(All_User_backup!D207,TeamsNumber!D:D,0)),"없음")</f>
        <v>없음</v>
      </c>
      <c r="M207" s="35" t="str">
        <f t="array" ref="M207">IFERROR(INDEX(Printer!D:D,MATCH(All_User_backup!D207,Printer!H:H,0)),"없음")</f>
        <v>없음</v>
      </c>
      <c r="N207" s="24" t="str">
        <f t="array" ref="N207">IFERROR(INDEX(Monitor!A:A,MATCH(D207,Monitor!D:D,0)),"없음")</f>
        <v>없음</v>
      </c>
      <c r="O207" s="24" t="str">
        <f t="array" ref="O207">IFERROR(INDEX(sales!D:D,MATCH(D207,sales!C:C,0)),"없음")</f>
        <v>없음</v>
      </c>
      <c r="P207" s="24" t="str">
        <f t="array" ref="P207">IFERROR(INDEX(sales!E:E,MATCH(D207,sales!C:C,0)),"없음")</f>
        <v>없음</v>
      </c>
      <c r="Q207" s="24"/>
      <c r="R207" s="24"/>
    </row>
    <row r="208">
      <c r="A208" s="13">
        <v>210.0</v>
      </c>
      <c r="B208" s="379" t="s">
        <v>773</v>
      </c>
      <c r="C208" s="26"/>
      <c r="D208" s="15" t="s">
        <v>774</v>
      </c>
      <c r="E208" s="26"/>
      <c r="F208" s="26"/>
      <c r="G208" s="26"/>
      <c r="H208" s="19" t="str">
        <f t="array" ref="H208">IFERROR(INDEX(Lease_List!D:D,MATCH(All_User_backup!D208,Lease_List!H:H,0)),"없음")</f>
        <v>5CD5062YDL</v>
      </c>
      <c r="I208" s="22" t="s">
        <v>29</v>
      </c>
      <c r="J208" s="21"/>
      <c r="K208" s="22" t="str">
        <f t="array" ref="K208">IFERROR(INDEX(Ipad_List!C:C,MATCH(All_User_backup!D208,Ipad_List!J:J,0)),"없음")</f>
        <v>없음</v>
      </c>
      <c r="L208" s="35" t="str">
        <f t="array" ref="L208">IFERROR(INDEX(TeamsNumber!B:B,MATCH(All_User_backup!D208,TeamsNumber!D:D,0)),"없음")</f>
        <v>없음</v>
      </c>
      <c r="M208" s="35" t="str">
        <f t="array" ref="M208">IFERROR(INDEX(Printer!D:D,MATCH(All_User_backup!D208,Printer!H:H,0)),"없음")</f>
        <v>없음</v>
      </c>
      <c r="N208" s="24" t="str">
        <f t="array" ref="N208">IFERROR(INDEX(Monitor!A:A,MATCH(D208,Monitor!D:D,0)),"없음")</f>
        <v>없음</v>
      </c>
      <c r="O208" s="24" t="str">
        <f t="array" ref="O208">IFERROR(INDEX(sales!D:D,MATCH(D208,sales!C:C,0)),"없음")</f>
        <v>없음</v>
      </c>
      <c r="P208" s="24" t="str">
        <f t="array" ref="P208">IFERROR(INDEX(sales!E:E,MATCH(D208,sales!C:C,0)),"없음")</f>
        <v>없음</v>
      </c>
      <c r="Q208" s="24"/>
      <c r="R208" s="24"/>
    </row>
    <row r="209">
      <c r="A209" s="13">
        <v>211.0</v>
      </c>
      <c r="B209" s="379" t="s">
        <v>775</v>
      </c>
      <c r="C209" s="26"/>
      <c r="D209" s="15" t="s">
        <v>776</v>
      </c>
      <c r="E209" s="26"/>
      <c r="F209" s="26"/>
      <c r="G209" s="26"/>
      <c r="H209" s="19" t="str">
        <f t="array" ref="H209">IFERROR(INDEX(Lease_List!D:D,MATCH(All_User_backup!D209,Lease_List!H:H,0)),"없음")</f>
        <v>5CD5062YF7</v>
      </c>
      <c r="I209" s="22" t="s">
        <v>29</v>
      </c>
      <c r="J209" s="21"/>
      <c r="K209" s="22" t="str">
        <f t="array" ref="K209">IFERROR(INDEX(Ipad_List!C:C,MATCH(All_User_backup!D209,Ipad_List!J:J,0)),"없음")</f>
        <v>없음</v>
      </c>
      <c r="L209" s="35" t="str">
        <f t="array" ref="L209">IFERROR(INDEX(TeamsNumber!B:B,MATCH(All_User_backup!D209,TeamsNumber!D:D,0)),"없음")</f>
        <v>없음</v>
      </c>
      <c r="M209" s="35" t="str">
        <f t="array" ref="M209">IFERROR(INDEX(Printer!D:D,MATCH(All_User_backup!D209,Printer!H:H,0)),"없음")</f>
        <v>없음</v>
      </c>
      <c r="N209" s="24" t="str">
        <f t="array" ref="N209">IFERROR(INDEX(Monitor!A:A,MATCH(D209,Monitor!D:D,0)),"없음")</f>
        <v>E2422H</v>
      </c>
      <c r="O209" s="24" t="str">
        <f t="array" ref="O209">IFERROR(INDEX(sales!D:D,MATCH(D209,sales!C:C,0)),"없음")</f>
        <v>없음</v>
      </c>
      <c r="P209" s="24" t="str">
        <f t="array" ref="P209">IFERROR(INDEX(sales!E:E,MATCH(D209,sales!C:C,0)),"없음")</f>
        <v>없음</v>
      </c>
      <c r="Q209" s="24"/>
      <c r="R209" s="24"/>
    </row>
    <row r="210">
      <c r="A210" s="13">
        <v>212.0</v>
      </c>
      <c r="B210" s="379" t="s">
        <v>777</v>
      </c>
      <c r="C210" s="26"/>
      <c r="D210" s="15" t="s">
        <v>779</v>
      </c>
      <c r="E210" s="52" t="s">
        <v>2512</v>
      </c>
      <c r="F210" s="26"/>
      <c r="G210" s="26"/>
      <c r="H210" s="19" t="str">
        <f t="array" ref="H210">IFERROR(INDEX(Lease_List!D:D,MATCH(All_User_backup!D210,Lease_List!H:H,0)),"없음")</f>
        <v>5CD5062YF9</v>
      </c>
      <c r="I210" s="22" t="s">
        <v>29</v>
      </c>
      <c r="J210" s="21"/>
      <c r="K210" s="22" t="str">
        <f t="array" ref="K210">IFERROR(INDEX(Ipad_List!C:C,MATCH(All_User_backup!D210,Ipad_List!J:J,0)),"없음")</f>
        <v>없음</v>
      </c>
      <c r="L210" s="35" t="str">
        <f t="array" ref="L210">IFERROR(INDEX(TeamsNumber!B:B,MATCH(All_User_backup!D210,TeamsNumber!D:D,0)),"없음")</f>
        <v>없음</v>
      </c>
      <c r="M210" s="35" t="str">
        <f t="array" ref="M210">IFERROR(INDEX(Printer!D:D,MATCH(All_User_backup!D210,Printer!H:H,0)),"없음")</f>
        <v>없음</v>
      </c>
      <c r="N210" s="24" t="str">
        <f t="array" ref="N210">IFERROR(INDEX(Monitor!A:A,MATCH(D210,Monitor!D:D,0)),"없음")</f>
        <v>LCD 모니터</v>
      </c>
      <c r="O210" s="24" t="str">
        <f t="array" ref="O210">IFERROR(INDEX(sales!D:D,MATCH(D210,sales!C:C,0)),"없음")</f>
        <v>없음</v>
      </c>
      <c r="P210" s="24" t="str">
        <f t="array" ref="P210">IFERROR(INDEX(sales!E:E,MATCH(D210,sales!C:C,0)),"없음")</f>
        <v>없음</v>
      </c>
      <c r="Q210" s="24"/>
      <c r="R210" s="24"/>
    </row>
    <row r="211">
      <c r="A211" s="13">
        <v>213.0</v>
      </c>
      <c r="B211" s="379" t="s">
        <v>781</v>
      </c>
      <c r="C211" s="26"/>
      <c r="D211" s="15" t="s">
        <v>782</v>
      </c>
      <c r="E211" s="26"/>
      <c r="F211" s="26"/>
      <c r="G211" s="26"/>
      <c r="H211" s="19" t="str">
        <f t="array" ref="H211">IFERROR(INDEX(Lease_List!D:D,MATCH(All_User_backup!D211,Lease_List!H:H,0)),"없음")</f>
        <v>5CD5062YDS</v>
      </c>
      <c r="I211" s="22" t="s">
        <v>29</v>
      </c>
      <c r="J211" s="21"/>
      <c r="K211" s="22" t="str">
        <f t="array" ref="K211">IFERROR(INDEX(Ipad_List!C:C,MATCH(All_User_backup!D211,Ipad_List!J:J,0)),"없음")</f>
        <v>없음</v>
      </c>
      <c r="L211" s="35" t="str">
        <f t="array" ref="L211">IFERROR(INDEX(TeamsNumber!B:B,MATCH(All_User_backup!D211,TeamsNumber!D:D,0)),"없음")</f>
        <v>없음</v>
      </c>
      <c r="M211" s="35" t="str">
        <f t="array" ref="M211">IFERROR(INDEX(Printer!D:D,MATCH(All_User_backup!D211,Printer!H:H,0)),"없음")</f>
        <v>없음</v>
      </c>
      <c r="N211" s="24" t="str">
        <f t="array" ref="N211">IFERROR(INDEX(Monitor!A:A,MATCH(D211,Monitor!D:D,0)),"없음")</f>
        <v>없음</v>
      </c>
      <c r="O211" s="24" t="str">
        <f t="array" ref="O211">IFERROR(INDEX(sales!D:D,MATCH(D211,sales!C:C,0)),"없음")</f>
        <v>없음</v>
      </c>
      <c r="P211" s="24" t="str">
        <f t="array" ref="P211">IFERROR(INDEX(sales!E:E,MATCH(D211,sales!C:C,0)),"없음")</f>
        <v>없음</v>
      </c>
      <c r="Q211" s="24"/>
      <c r="R211" s="24"/>
    </row>
    <row r="212">
      <c r="A212" s="13">
        <v>214.0</v>
      </c>
      <c r="B212" s="379" t="s">
        <v>783</v>
      </c>
      <c r="C212" s="26"/>
      <c r="D212" s="15" t="s">
        <v>784</v>
      </c>
      <c r="E212" s="15"/>
      <c r="F212" s="26"/>
      <c r="G212" s="26"/>
      <c r="H212" s="19" t="str">
        <f t="array" ref="H212">IFERROR(INDEX(Lease_List!D:D,MATCH(All_User_backup!D212,Lease_List!H:H,0)),"없음")</f>
        <v>5CD5062YDQ</v>
      </c>
      <c r="I212" s="22" t="s">
        <v>29</v>
      </c>
      <c r="J212" s="21"/>
      <c r="K212" s="22" t="str">
        <f t="array" ref="K212">IFERROR(INDEX(Ipad_List!C:C,MATCH(All_User_backup!D212,Ipad_List!J:J,0)),"없음")</f>
        <v>없음</v>
      </c>
      <c r="L212" s="35" t="str">
        <f t="array" ref="L212">IFERROR(INDEX(TeamsNumber!B:B,MATCH(All_User_backup!D212,TeamsNumber!D:D,0)),"없음")</f>
        <v>없음</v>
      </c>
      <c r="M212" s="35" t="str">
        <f t="array" ref="M212">IFERROR(INDEX(Printer!D:D,MATCH(All_User_backup!D212,Printer!H:H,0)),"없음")</f>
        <v>없음</v>
      </c>
      <c r="N212" s="24" t="str">
        <f t="array" ref="N212">IFERROR(INDEX(Monitor!A:A,MATCH(D212,Monitor!D:D,0)),"없음")</f>
        <v>없음</v>
      </c>
      <c r="O212" s="24" t="str">
        <f t="array" ref="O212">IFERROR(INDEX(sales!D:D,MATCH(D212,sales!C:C,0)),"없음")</f>
        <v>없음</v>
      </c>
      <c r="P212" s="24" t="str">
        <f t="array" ref="P212">IFERROR(INDEX(sales!E:E,MATCH(D212,sales!C:C,0)),"없음")</f>
        <v>없음</v>
      </c>
      <c r="Q212" s="24"/>
      <c r="R212" s="24"/>
    </row>
    <row r="213">
      <c r="A213" s="13">
        <v>215.0</v>
      </c>
      <c r="B213" s="379" t="s">
        <v>785</v>
      </c>
      <c r="C213" s="26"/>
      <c r="D213" s="15" t="s">
        <v>786</v>
      </c>
      <c r="E213" s="26"/>
      <c r="F213" s="26"/>
      <c r="G213" s="26"/>
      <c r="H213" s="19" t="str">
        <f t="array" ref="H213">IFERROR(INDEX(Lease_List!D:D,MATCH(All_User_backup!D213,Lease_List!H:H,0)),"없음")</f>
        <v>5CD5062YDJ</v>
      </c>
      <c r="I213" s="22" t="s">
        <v>29</v>
      </c>
      <c r="J213" s="21"/>
      <c r="K213" s="22" t="str">
        <f t="array" ref="K213">IFERROR(INDEX(Ipad_List!C:C,MATCH(All_User_backup!D213,Ipad_List!J:J,0)),"없음")</f>
        <v>없음</v>
      </c>
      <c r="L213" s="35" t="str">
        <f t="array" ref="L213">IFERROR(INDEX(TeamsNumber!B:B,MATCH(All_User_backup!D213,TeamsNumber!D:D,0)),"없음")</f>
        <v>없음</v>
      </c>
      <c r="M213" s="35" t="str">
        <f t="array" ref="M213">IFERROR(INDEX(Printer!D:D,MATCH(All_User_backup!D213,Printer!H:H,0)),"없음")</f>
        <v>없음</v>
      </c>
      <c r="N213" s="24" t="str">
        <f t="array" ref="N213">IFERROR(INDEX(Monitor!A:A,MATCH(D213,Monitor!D:D,0)),"없음")</f>
        <v>없음</v>
      </c>
      <c r="O213" s="24" t="str">
        <f t="array" ref="O213">IFERROR(INDEX(sales!D:D,MATCH(D213,sales!C:C,0)),"없음")</f>
        <v>없음</v>
      </c>
      <c r="P213" s="24" t="str">
        <f t="array" ref="P213">IFERROR(INDEX(sales!E:E,MATCH(D213,sales!C:C,0)),"없음")</f>
        <v>없음</v>
      </c>
      <c r="Q213" s="24"/>
      <c r="R213" s="24"/>
    </row>
    <row r="214">
      <c r="A214" s="13">
        <v>216.0</v>
      </c>
      <c r="B214" s="379" t="s">
        <v>787</v>
      </c>
      <c r="C214" s="26"/>
      <c r="D214" s="380" t="s">
        <v>788</v>
      </c>
      <c r="E214" s="26"/>
      <c r="F214" s="26"/>
      <c r="G214" s="26"/>
      <c r="H214" s="19" t="str">
        <f t="array" ref="H214">IFERROR(INDEX(Lease_List!D:D,MATCH(All_User_backup!D214,Lease_List!H:H,0)),"없음")</f>
        <v>5CD5062YF3</v>
      </c>
      <c r="I214" s="22" t="s">
        <v>29</v>
      </c>
      <c r="J214" s="21"/>
      <c r="K214" s="22" t="str">
        <f t="array" ref="K214">IFERROR(INDEX(Ipad_List!C:C,MATCH(All_User_backup!D214,Ipad_List!J:J,0)),"없음")</f>
        <v>없음</v>
      </c>
      <c r="L214" s="35" t="str">
        <f t="array" ref="L214">IFERROR(INDEX(TeamsNumber!B:B,MATCH(All_User_backup!D214,TeamsNumber!D:D,0)),"없음")</f>
        <v>없음</v>
      </c>
      <c r="M214" s="35" t="str">
        <f t="array" ref="M214">IFERROR(INDEX(Printer!D:D,MATCH(All_User_backup!D214,Printer!H:H,0)),"없음")</f>
        <v>없음</v>
      </c>
      <c r="N214" s="24" t="str">
        <f t="array" ref="N214">IFERROR(INDEX(Monitor!A:A,MATCH(D214,Monitor!D:D,0)),"없음")</f>
        <v>없음</v>
      </c>
      <c r="O214" s="24" t="str">
        <f t="array" ref="O214">IFERROR(INDEX(sales!D:D,MATCH(D214,sales!C:C,0)),"없음")</f>
        <v>없음</v>
      </c>
      <c r="P214" s="24" t="str">
        <f t="array" ref="P214">IFERROR(INDEX(sales!E:E,MATCH(D214,sales!C:C,0)),"없음")</f>
        <v>없음</v>
      </c>
      <c r="Q214" s="24"/>
      <c r="R214" s="24"/>
    </row>
    <row r="215">
      <c r="A215" s="13">
        <v>217.0</v>
      </c>
      <c r="B215" s="379" t="s">
        <v>789</v>
      </c>
      <c r="C215" s="26"/>
      <c r="D215" s="15" t="s">
        <v>790</v>
      </c>
      <c r="E215" s="52" t="s">
        <v>27</v>
      </c>
      <c r="F215" s="26"/>
      <c r="G215" s="26"/>
      <c r="H215" s="19" t="str">
        <f t="array" ref="H215">IFERROR(INDEX(Lease_List!D:D,MATCH(All_User_backup!D215,Lease_List!H:H,0)),"없음")</f>
        <v>5CD5062YDF</v>
      </c>
      <c r="I215" s="22" t="s">
        <v>29</v>
      </c>
      <c r="J215" s="21"/>
      <c r="K215" s="22" t="str">
        <f t="array" ref="K215">IFERROR(INDEX(Ipad_List!C:C,MATCH(All_User_backup!D215,Ipad_List!J:J,0)),"없음")</f>
        <v>H2JWWY6V5C</v>
      </c>
      <c r="L215" s="23" t="str">
        <f t="array" ref="L215">IFERROR(INDEX(TeamsNumber!B:B,MATCH(All_User_backup!D215,TeamsNumber!D:D,0)),"없음")</f>
        <v>없음</v>
      </c>
      <c r="M215" s="23" t="str">
        <f t="array" ref="M215">IFERROR(INDEX(Printer!D:D,MATCH(All_User_backup!D215,Printer!H:H,0)),"없음")</f>
        <v>없음</v>
      </c>
      <c r="N215" s="24" t="str">
        <f t="array" ref="N215">IFERROR(INDEX(Monitor!A:A,MATCH(D215,Monitor!D:D,0)),"없음")</f>
        <v>없음</v>
      </c>
      <c r="O215" s="24" t="str">
        <f t="array" ref="O215">IFERROR(INDEX(sales!D:D,MATCH(D215,sales!C:C,0)),"없음")</f>
        <v>Mako</v>
      </c>
      <c r="P215" s="24" t="str">
        <f t="array" ref="P215">IFERROR(INDEX(sales!E:E,MATCH(D215,sales!C:C,0)),"없음")</f>
        <v>MPS</v>
      </c>
      <c r="Q215" s="24" t="str">
        <f t="array" ref="Q215">IFERROR(INDEX(sales!C:C,MATCH(D215,sales!C:C,0)),"list없음")</f>
        <v>lucas.heo@stryker.com</v>
      </c>
      <c r="R215" s="24"/>
    </row>
    <row r="216">
      <c r="A216" s="13">
        <v>218.0</v>
      </c>
      <c r="B216" s="379" t="s">
        <v>791</v>
      </c>
      <c r="C216" s="26"/>
      <c r="D216" s="15" t="s">
        <v>792</v>
      </c>
      <c r="E216" s="26"/>
      <c r="F216" s="26"/>
      <c r="G216" s="26"/>
      <c r="H216" s="19" t="str">
        <f t="array" ref="H216">IFERROR(INDEX(Lease_List!D:D,MATCH(All_User_backup!D216,Lease_List!H:H,0)),"없음")</f>
        <v>5CD5179KHB</v>
      </c>
      <c r="I216" s="22" t="s">
        <v>29</v>
      </c>
      <c r="J216" s="21"/>
      <c r="K216" s="22" t="str">
        <f t="array" ref="K216">IFERROR(INDEX(Ipad_List!C:C,MATCH(All_User_backup!D216,Ipad_List!J:J,0)),"없음")</f>
        <v>없음</v>
      </c>
      <c r="L216" s="35" t="str">
        <f t="array" ref="L216">IFERROR(INDEX(TeamsNumber!B:B,MATCH(All_User_backup!D216,TeamsNumber!D:D,0)),"없음")</f>
        <v>없음</v>
      </c>
      <c r="M216" s="35" t="str">
        <f t="array" ref="M216">IFERROR(INDEX(Printer!D:D,MATCH(All_User_backup!D216,Printer!H:H,0)),"없음")</f>
        <v>없음</v>
      </c>
      <c r="N216" s="24" t="str">
        <f t="array" ref="N216">IFERROR(INDEX(Monitor!A:A,MATCH(D216,Monitor!D:D,0)),"없음")</f>
        <v>없음</v>
      </c>
      <c r="O216" s="24" t="str">
        <f t="array" ref="O216">IFERROR(INDEX(sales!D:D,MATCH(D216,sales!C:C,0)),"없음")</f>
        <v>없음</v>
      </c>
      <c r="P216" s="24" t="str">
        <f t="array" ref="P216">IFERROR(INDEX(sales!E:E,MATCH(D216,sales!C:C,0)),"없음")</f>
        <v>없음</v>
      </c>
      <c r="Q216" s="24"/>
      <c r="R216" s="24"/>
    </row>
    <row r="217">
      <c r="A217" s="13">
        <v>219.0</v>
      </c>
      <c r="B217" s="379" t="s">
        <v>793</v>
      </c>
      <c r="C217" s="26"/>
      <c r="D217" s="15" t="s">
        <v>794</v>
      </c>
      <c r="E217" s="26"/>
      <c r="F217" s="26"/>
      <c r="G217" s="26"/>
      <c r="H217" s="19" t="str">
        <f t="array" ref="H217">IFERROR(INDEX(Lease_List!D:D,MATCH(All_User_backup!D217,Lease_List!H:H,0)),"없음")</f>
        <v>5CD5179KJD</v>
      </c>
      <c r="I217" s="22" t="s">
        <v>29</v>
      </c>
      <c r="J217" s="21"/>
      <c r="K217" s="22" t="str">
        <f t="array" ref="K217">IFERROR(INDEX(Ipad_List!C:C,MATCH(All_User_backup!D217,Ipad_List!J:J,0)),"없음")</f>
        <v>없음</v>
      </c>
      <c r="L217" s="35" t="str">
        <f t="array" ref="L217">IFERROR(INDEX(TeamsNumber!B:B,MATCH(All_User_backup!D217,TeamsNumber!D:D,0)),"없음")</f>
        <v>없음</v>
      </c>
      <c r="M217" s="35" t="str">
        <f t="array" ref="M217">IFERROR(INDEX(Printer!D:D,MATCH(All_User_backup!D217,Printer!H:H,0)),"없음")</f>
        <v>없음</v>
      </c>
      <c r="N217" s="24" t="str">
        <f t="array" ref="N217">IFERROR(INDEX(Monitor!A:A,MATCH(D217,Monitor!D:D,0)),"없음")</f>
        <v>없음</v>
      </c>
      <c r="O217" s="24" t="str">
        <f t="array" ref="O217">IFERROR(INDEX(sales!D:D,MATCH(D217,sales!C:C,0)),"없음")</f>
        <v>없음</v>
      </c>
      <c r="P217" s="24" t="str">
        <f t="array" ref="P217">IFERROR(INDEX(sales!E:E,MATCH(D217,sales!C:C,0)),"없음")</f>
        <v>없음</v>
      </c>
      <c r="Q217" s="24"/>
      <c r="R217" s="24"/>
    </row>
    <row r="218">
      <c r="A218" s="13">
        <v>220.0</v>
      </c>
      <c r="B218" s="379" t="s">
        <v>795</v>
      </c>
      <c r="C218" s="26"/>
      <c r="D218" s="15" t="s">
        <v>796</v>
      </c>
      <c r="E218" s="26"/>
      <c r="F218" s="26"/>
      <c r="G218" s="26"/>
      <c r="H218" s="19" t="str">
        <f t="array" ref="H218">IFERROR(INDEX(Lease_List!D:D,MATCH(All_User_backup!D218,Lease_List!H:H,0)),"없음")</f>
        <v>5CD5179KHV</v>
      </c>
      <c r="I218" s="22" t="s">
        <v>29</v>
      </c>
      <c r="J218" s="21"/>
      <c r="K218" s="22" t="str">
        <f t="array" ref="K218">IFERROR(INDEX(Ipad_List!C:C,MATCH(All_User_backup!D218,Ipad_List!J:J,0)),"없음")</f>
        <v>없음</v>
      </c>
      <c r="L218" s="35" t="str">
        <f t="array" ref="L218">IFERROR(INDEX(TeamsNumber!B:B,MATCH(All_User_backup!D218,TeamsNumber!D:D,0)),"없음")</f>
        <v>없음</v>
      </c>
      <c r="M218" s="35" t="str">
        <f t="array" ref="M218">IFERROR(INDEX(Printer!D:D,MATCH(All_User_backup!D218,Printer!H:H,0)),"없음")</f>
        <v>없음</v>
      </c>
      <c r="N218" s="24" t="str">
        <f t="array" ref="N218">IFERROR(INDEX(Monitor!A:A,MATCH(D218,Monitor!D:D,0)),"없음")</f>
        <v>없음</v>
      </c>
      <c r="O218" s="24" t="str">
        <f t="array" ref="O218">IFERROR(INDEX(sales!D:D,MATCH(D218,sales!C:C,0)),"없음")</f>
        <v>없음</v>
      </c>
      <c r="P218" s="24" t="str">
        <f t="array" ref="P218">IFERROR(INDEX(sales!E:E,MATCH(D218,sales!C:C,0)),"없음")</f>
        <v>없음</v>
      </c>
      <c r="Q218" s="24"/>
      <c r="R218" s="24"/>
    </row>
    <row r="219">
      <c r="A219" s="13">
        <v>221.0</v>
      </c>
      <c r="B219" s="379" t="s">
        <v>797</v>
      </c>
      <c r="C219" s="26"/>
      <c r="D219" s="15" t="s">
        <v>798</v>
      </c>
      <c r="E219" s="26"/>
      <c r="F219" s="26"/>
      <c r="G219" s="26"/>
      <c r="H219" s="19" t="str">
        <f t="array" ref="H219">IFERROR(INDEX(Lease_List!D:D,MATCH(All_User_backup!D219,Lease_List!H:H,0)),"없음")</f>
        <v>5CD5179KH5</v>
      </c>
      <c r="I219" s="22" t="s">
        <v>29</v>
      </c>
      <c r="J219" s="21"/>
      <c r="K219" s="22" t="str">
        <f t="array" ref="K219">IFERROR(INDEX(Ipad_List!C:C,MATCH(All_User_backup!D219,Ipad_List!J:J,0)),"없음")</f>
        <v>없음</v>
      </c>
      <c r="L219" s="35" t="str">
        <f t="array" ref="L219">IFERROR(INDEX(TeamsNumber!B:B,MATCH(All_User_backup!D219,TeamsNumber!D:D,0)),"없음")</f>
        <v>없음</v>
      </c>
      <c r="M219" s="35" t="str">
        <f t="array" ref="M219">IFERROR(INDEX(Printer!D:D,MATCH(All_User_backup!D219,Printer!H:H,0)),"없음")</f>
        <v>없음</v>
      </c>
      <c r="N219" s="24" t="str">
        <f t="array" ref="N219">IFERROR(INDEX(Monitor!A:A,MATCH(D219,Monitor!D:D,0)),"없음")</f>
        <v>없음</v>
      </c>
      <c r="O219" s="24" t="str">
        <f t="array" ref="O219">IFERROR(INDEX(sales!D:D,MATCH(D219,sales!C:C,0)),"없음")</f>
        <v>없음</v>
      </c>
      <c r="P219" s="24" t="str">
        <f t="array" ref="P219">IFERROR(INDEX(sales!E:E,MATCH(D219,sales!C:C,0)),"없음")</f>
        <v>없음</v>
      </c>
      <c r="Q219" s="24"/>
      <c r="R219" s="24"/>
    </row>
    <row r="220">
      <c r="A220" s="13">
        <v>222.0</v>
      </c>
      <c r="B220" s="379" t="s">
        <v>799</v>
      </c>
      <c r="C220" s="26"/>
      <c r="D220" s="15" t="s">
        <v>800</v>
      </c>
      <c r="E220" s="26"/>
      <c r="F220" s="26"/>
      <c r="G220" s="26"/>
      <c r="H220" s="19" t="str">
        <f t="array" ref="H220">IFERROR(INDEX(Lease_List!D:D,MATCH(All_User_backup!D220,Lease_List!H:H,0)),"없음")</f>
        <v>5CD5179KJ5</v>
      </c>
      <c r="I220" s="22" t="s">
        <v>29</v>
      </c>
      <c r="J220" s="21"/>
      <c r="K220" s="22" t="str">
        <f t="array" ref="K220">IFERROR(INDEX(Ipad_List!C:C,MATCH(All_User_backup!D220,Ipad_List!J:J,0)),"없음")</f>
        <v>없음</v>
      </c>
      <c r="L220" s="35" t="str">
        <f t="array" ref="L220">IFERROR(INDEX(TeamsNumber!B:B,MATCH(All_User_backup!D220,TeamsNumber!D:D,0)),"없음")</f>
        <v>없음</v>
      </c>
      <c r="M220" s="35" t="str">
        <f t="array" ref="M220">IFERROR(INDEX(Printer!D:D,MATCH(All_User_backup!D220,Printer!H:H,0)),"없음")</f>
        <v>없음</v>
      </c>
      <c r="N220" s="24" t="str">
        <f t="array" ref="N220">IFERROR(INDEX(Monitor!A:A,MATCH(D220,Monitor!D:D,0)),"없음")</f>
        <v>없음</v>
      </c>
      <c r="O220" s="24" t="str">
        <f t="array" ref="O220">IFERROR(INDEX(sales!D:D,MATCH(D220,sales!C:C,0)),"없음")</f>
        <v>없음</v>
      </c>
      <c r="P220" s="24" t="str">
        <f t="array" ref="P220">IFERROR(INDEX(sales!E:E,MATCH(D220,sales!C:C,0)),"없음")</f>
        <v>없음</v>
      </c>
      <c r="Q220" s="24"/>
      <c r="R220" s="24"/>
    </row>
    <row r="221">
      <c r="A221" s="13">
        <v>223.0</v>
      </c>
      <c r="B221" s="379" t="s">
        <v>801</v>
      </c>
      <c r="C221" s="26"/>
      <c r="D221" s="15" t="s">
        <v>802</v>
      </c>
      <c r="E221" s="26"/>
      <c r="F221" s="26"/>
      <c r="G221" s="26"/>
      <c r="H221" s="19" t="str">
        <f t="array" ref="H221">IFERROR(INDEX(Lease_List!D:D,MATCH(All_User_backup!D221,Lease_List!H:H,0)),"없음")</f>
        <v>5CD5179KHT</v>
      </c>
      <c r="I221" s="22" t="s">
        <v>29</v>
      </c>
      <c r="J221" s="21"/>
      <c r="K221" s="22" t="str">
        <f t="array" ref="K221">IFERROR(INDEX(Ipad_List!C:C,MATCH(All_User_backup!D221,Ipad_List!J:J,0)),"없음")</f>
        <v>없음</v>
      </c>
      <c r="L221" s="35" t="str">
        <f t="array" ref="L221">IFERROR(INDEX(TeamsNumber!B:B,MATCH(All_User_backup!D221,TeamsNumber!D:D,0)),"없음")</f>
        <v>없음</v>
      </c>
      <c r="M221" s="35" t="str">
        <f t="array" ref="M221">IFERROR(INDEX(Printer!D:D,MATCH(All_User_backup!D221,Printer!H:H,0)),"없음")</f>
        <v>없음</v>
      </c>
      <c r="N221" s="24" t="str">
        <f t="array" ref="N221">IFERROR(INDEX(Monitor!A:A,MATCH(D221,Monitor!D:D,0)),"없음")</f>
        <v>없음</v>
      </c>
      <c r="O221" s="24" t="str">
        <f t="array" ref="O221">IFERROR(INDEX(sales!D:D,MATCH(D221,sales!C:C,0)),"없음")</f>
        <v>없음</v>
      </c>
      <c r="P221" s="24" t="str">
        <f t="array" ref="P221">IFERROR(INDEX(sales!E:E,MATCH(D221,sales!C:C,0)),"없음")</f>
        <v>없음</v>
      </c>
      <c r="Q221" s="24"/>
      <c r="R221" s="24"/>
    </row>
    <row r="222">
      <c r="A222" s="13">
        <v>224.0</v>
      </c>
      <c r="B222" s="379" t="s">
        <v>803</v>
      </c>
      <c r="C222" s="26"/>
      <c r="D222" s="15" t="s">
        <v>804</v>
      </c>
      <c r="E222" s="26"/>
      <c r="F222" s="26"/>
      <c r="G222" s="26"/>
      <c r="H222" s="19" t="str">
        <f t="array" ref="H222">IFERROR(INDEX(Lease_List!D:D,MATCH(All_User_backup!D222,Lease_List!H:H,0)),"없음")</f>
        <v>5CD5179KHK</v>
      </c>
      <c r="I222" s="22" t="s">
        <v>29</v>
      </c>
      <c r="J222" s="21"/>
      <c r="K222" s="22" t="str">
        <f t="array" ref="K222">IFERROR(INDEX(Ipad_List!C:C,MATCH(All_User_backup!D222,Ipad_List!J:J,0)),"없음")</f>
        <v>없음</v>
      </c>
      <c r="L222" s="35" t="str">
        <f t="array" ref="L222">IFERROR(INDEX(TeamsNumber!B:B,MATCH(All_User_backup!D222,TeamsNumber!D:D,0)),"없음")</f>
        <v>없음</v>
      </c>
      <c r="M222" s="35" t="str">
        <f t="array" ref="M222">IFERROR(INDEX(Printer!D:D,MATCH(All_User_backup!D222,Printer!H:H,0)),"없음")</f>
        <v>없음</v>
      </c>
      <c r="N222" s="24" t="str">
        <f t="array" ref="N222">IFERROR(INDEX(Monitor!A:A,MATCH(D222,Monitor!D:D,0)),"없음")</f>
        <v>없음</v>
      </c>
      <c r="O222" s="24" t="str">
        <f t="array" ref="O222">IFERROR(INDEX(sales!D:D,MATCH(D222,sales!C:C,0)),"없음")</f>
        <v>없음</v>
      </c>
      <c r="P222" s="24" t="str">
        <f t="array" ref="P222">IFERROR(INDEX(sales!E:E,MATCH(D222,sales!C:C,0)),"없음")</f>
        <v>없음</v>
      </c>
      <c r="Q222" s="24"/>
      <c r="R222" s="24"/>
    </row>
    <row r="223">
      <c r="A223" s="13">
        <v>225.0</v>
      </c>
      <c r="B223" s="379" t="s">
        <v>805</v>
      </c>
      <c r="C223" s="26"/>
      <c r="D223" s="49" t="s">
        <v>806</v>
      </c>
      <c r="E223" s="26"/>
      <c r="F223" s="26"/>
      <c r="G223" s="26"/>
      <c r="H223" s="19" t="str">
        <f t="array" ref="H223">IFERROR(INDEX(Lease_List!D:D,MATCH(All_User_backup!D223,Lease_List!H:H,0)),"없음")</f>
        <v>5CD5179KHF</v>
      </c>
      <c r="I223" s="22" t="s">
        <v>29</v>
      </c>
      <c r="J223" s="21"/>
      <c r="K223" s="22" t="str">
        <f t="array" ref="K223">IFERROR(INDEX(Ipad_List!C:C,MATCH(All_User_backup!D223,Ipad_List!J:J,0)),"없음")</f>
        <v>없음</v>
      </c>
      <c r="L223" s="35" t="str">
        <f t="array" ref="L223">IFERROR(INDEX(TeamsNumber!B:B,MATCH(All_User_backup!D223,TeamsNumber!D:D,0)),"없음")</f>
        <v>없음</v>
      </c>
      <c r="M223" s="35" t="str">
        <f t="array" ref="M223">IFERROR(INDEX(Printer!D:D,MATCH(All_User_backup!D223,Printer!H:H,0)),"없음")</f>
        <v>없음</v>
      </c>
      <c r="N223" s="24" t="str">
        <f t="array" ref="N223">IFERROR(INDEX(Monitor!A:A,MATCH(D223,Monitor!D:D,0)),"없음")</f>
        <v>없음</v>
      </c>
      <c r="O223" s="24" t="str">
        <f t="array" ref="O223">IFERROR(INDEX(sales!D:D,MATCH(D223,sales!C:C,0)),"없음")</f>
        <v>없음</v>
      </c>
      <c r="P223" s="24" t="str">
        <f t="array" ref="P223">IFERROR(INDEX(sales!E:E,MATCH(D223,sales!C:C,0)),"없음")</f>
        <v>없음</v>
      </c>
      <c r="Q223" s="24"/>
      <c r="R223" s="24"/>
    </row>
    <row r="224">
      <c r="A224" s="13">
        <v>226.0</v>
      </c>
      <c r="B224" s="379" t="s">
        <v>807</v>
      </c>
      <c r="C224" s="379" t="s">
        <v>808</v>
      </c>
      <c r="D224" s="47" t="s">
        <v>809</v>
      </c>
      <c r="E224" s="379"/>
      <c r="F224" s="15"/>
      <c r="G224" s="15" t="s">
        <v>62</v>
      </c>
      <c r="H224" s="19" t="str">
        <f t="array" ref="H224">IFERROR(INDEX(Lease_List!D:D,MATCH(All_User_backup!D224,Lease_List!H:H,0)),"없음")</f>
        <v>5CD5062YF2</v>
      </c>
      <c r="I224" s="22" t="s">
        <v>29</v>
      </c>
      <c r="J224" s="21"/>
      <c r="K224" s="22" t="str">
        <f t="array" ref="K224">IFERROR(INDEX(Ipad_List!C:C,MATCH(All_User_backup!D224,Ipad_List!J:J,0)),"없음")</f>
        <v>없음</v>
      </c>
      <c r="L224" s="35" t="str">
        <f t="array" ref="L224">IFERROR(INDEX(TeamsNumber!B:B,MATCH(All_User_backup!D224,TeamsNumber!D:D,0)),"없음")</f>
        <v>없음</v>
      </c>
      <c r="M224" s="35" t="str">
        <f t="array" ref="M224">IFERROR(INDEX(Printer!D:D,MATCH(All_User_backup!D224,Printer!H:H,0)),"없음")</f>
        <v>없음</v>
      </c>
      <c r="N224" s="24" t="str">
        <f t="array" ref="N224">IFERROR(INDEX(Monitor!A:A,MATCH(D224,Monitor!D:D,0)),"없음")</f>
        <v>없음</v>
      </c>
      <c r="O224" s="24" t="str">
        <f t="array" ref="O224">IFERROR(INDEX(sales!D:D,MATCH(D224,sales!C:C,0)),"없음")</f>
        <v>없음</v>
      </c>
      <c r="P224" s="24" t="str">
        <f t="array" ref="P224">IFERROR(INDEX(sales!E:E,MATCH(D224,sales!C:C,0)),"없음")</f>
        <v>없음</v>
      </c>
      <c r="Q224" s="24"/>
      <c r="R224" s="24"/>
    </row>
    <row r="225">
      <c r="A225" s="13">
        <v>227.0</v>
      </c>
      <c r="B225" s="379" t="s">
        <v>2513</v>
      </c>
      <c r="C225" s="379" t="s">
        <v>811</v>
      </c>
      <c r="D225" s="381" t="s">
        <v>812</v>
      </c>
      <c r="E225" s="379"/>
      <c r="F225" s="15"/>
      <c r="G225" s="15" t="s">
        <v>52</v>
      </c>
      <c r="H225" s="19" t="str">
        <f t="array" ref="H225">IFERROR(INDEX(Lease_List!D:D,MATCH(All_User_backup!D225,Lease_List!H:H,0)),"없음")</f>
        <v>5CD5179KJ4</v>
      </c>
      <c r="I225" s="22" t="s">
        <v>29</v>
      </c>
      <c r="J225" s="21"/>
      <c r="K225" s="22" t="str">
        <f t="array" ref="K225">IFERROR(INDEX(Ipad_List!C:C,MATCH(All_User_backup!D225,Ipad_List!J:J,0)),"없음")</f>
        <v>없음</v>
      </c>
      <c r="L225" s="35" t="str">
        <f t="array" ref="L225">IFERROR(INDEX(TeamsNumber!B:B,MATCH(All_User_backup!D225,TeamsNumber!D:D,0)),"없음")</f>
        <v>없음</v>
      </c>
      <c r="M225" s="35" t="str">
        <f t="array" ref="M225">IFERROR(INDEX(Printer!D:D,MATCH(All_User_backup!D225,Printer!H:H,0)),"없음")</f>
        <v>없음</v>
      </c>
      <c r="N225" s="24" t="str">
        <f t="array" ref="N225">IFERROR(INDEX(Monitor!A:A,MATCH(D225,Monitor!D:D,0)),"없음")</f>
        <v>없음</v>
      </c>
      <c r="O225" s="24" t="str">
        <f t="array" ref="O225">IFERROR(INDEX(sales!D:D,MATCH(D225,sales!C:C,0)),"없음")</f>
        <v>없음</v>
      </c>
      <c r="P225" s="24" t="str">
        <f t="array" ref="P225">IFERROR(INDEX(sales!E:E,MATCH(D225,sales!C:C,0)),"없음")</f>
        <v>없음</v>
      </c>
      <c r="Q225" s="24"/>
      <c r="R225" s="24"/>
    </row>
    <row r="226">
      <c r="A226" s="13">
        <v>228.0</v>
      </c>
      <c r="B226" s="379" t="s">
        <v>813</v>
      </c>
      <c r="C226" s="379" t="s">
        <v>814</v>
      </c>
      <c r="D226" s="47" t="s">
        <v>815</v>
      </c>
      <c r="E226" s="379"/>
      <c r="F226" s="15"/>
      <c r="G226" s="15" t="s">
        <v>2514</v>
      </c>
      <c r="H226" s="19" t="str">
        <f t="array" ref="H226">IFERROR(INDEX(Lease_List!D:D,MATCH(All_User_backup!D226,Lease_List!H:H,0)),"없음")</f>
        <v>5CD5179KJ9</v>
      </c>
      <c r="I226" s="22" t="s">
        <v>29</v>
      </c>
      <c r="J226" s="21"/>
      <c r="K226" s="22" t="str">
        <f t="array" ref="K226">IFERROR(INDEX(Ipad_List!C:C,MATCH(All_User_backup!D226,Ipad_List!J:J,0)),"없음")</f>
        <v>WR34FVRW4C</v>
      </c>
      <c r="L226" s="23" t="str">
        <f t="array" ref="L226">IFERROR(INDEX(TeamsNumber!B:B,MATCH(All_User_backup!D226,TeamsNumber!D:D,0)),"없음")</f>
        <v>없음</v>
      </c>
      <c r="M226" s="23" t="str">
        <f t="array" ref="M226">IFERROR(INDEX(Printer!D:D,MATCH(All_User_backup!D226,Printer!H:H,0)),"없음")</f>
        <v>없음</v>
      </c>
      <c r="N226" s="24" t="str">
        <f t="array" ref="N226">IFERROR(INDEX(Monitor!A:A,MATCH(D226,Monitor!D:D,0)),"없음")</f>
        <v>없음</v>
      </c>
      <c r="O226" s="24" t="str">
        <f t="array" ref="O226">IFERROR(INDEX(sales!D:D,MATCH(D226,sales!C:C,0)),"없음")</f>
        <v>Mako</v>
      </c>
      <c r="P226" s="24" t="str">
        <f t="array" ref="P226">IFERROR(INDEX(sales!E:E,MATCH(D226,sales!C:C,0)),"없음")</f>
        <v>MPS</v>
      </c>
      <c r="Q226" s="24" t="str">
        <f t="array" ref="Q226">IFERROR(INDEX(sales!C:C,MATCH(D226,sales!C:C,0)),"list없음")</f>
        <v>bryan.park@stryker.com</v>
      </c>
      <c r="R226" s="24"/>
    </row>
    <row r="227">
      <c r="A227" s="382">
        <v>229.0</v>
      </c>
      <c r="B227" s="129" t="s">
        <v>816</v>
      </c>
      <c r="C227" s="129" t="s">
        <v>817</v>
      </c>
      <c r="D227" s="47" t="s">
        <v>818</v>
      </c>
      <c r="E227" s="129"/>
      <c r="F227" s="15"/>
      <c r="G227" s="15" t="s">
        <v>52</v>
      </c>
      <c r="H227" s="19" t="str">
        <f t="array" ref="H227">IFERROR(INDEX(Lease_List!D:D,MATCH(All_User_backup!D227,Lease_List!H:H,0)),"없음")</f>
        <v>5CD5179KJ7</v>
      </c>
      <c r="I227" s="22" t="s">
        <v>29</v>
      </c>
      <c r="J227" s="21"/>
      <c r="K227" s="22" t="str">
        <f t="array" ref="K227">IFERROR(INDEX(Ipad_List!C:C,MATCH(All_User_backup!D227,Ipad_List!J:J,0)),"없음")</f>
        <v>없음</v>
      </c>
      <c r="L227" s="35" t="str">
        <f t="array" ref="L227">IFERROR(INDEX(TeamsNumber!B:B,MATCH(All_User_backup!D227,TeamsNumber!D:D,0)),"없음")</f>
        <v>tel:+82234517580</v>
      </c>
      <c r="M227" s="35" t="str">
        <f t="array" ref="M227">IFERROR(INDEX(Printer!D:D,MATCH(All_User_backup!D227,Printer!H:H,0)),"없음")</f>
        <v>없음</v>
      </c>
      <c r="N227" s="24" t="str">
        <f t="array" ref="N227">IFERROR(INDEX(Monitor!A:A,MATCH(D227,Monitor!D:D,0)),"없음")</f>
        <v>없음</v>
      </c>
      <c r="O227" s="24" t="str">
        <f t="array" ref="O227">IFERROR(INDEX(sales!D:D,MATCH(D227,sales!C:C,0)),"없음")</f>
        <v>없음</v>
      </c>
      <c r="P227" s="24" t="str">
        <f t="array" ref="P227">IFERROR(INDEX(sales!E:E,MATCH(D227,sales!C:C,0)),"없음")</f>
        <v>없음</v>
      </c>
      <c r="Q227" s="24"/>
      <c r="R227" s="24"/>
    </row>
    <row r="228">
      <c r="A228" s="13">
        <v>230.0</v>
      </c>
      <c r="B228" s="378" t="s">
        <v>819</v>
      </c>
      <c r="C228" s="29" t="s">
        <v>817</v>
      </c>
      <c r="D228" s="29" t="s">
        <v>820</v>
      </c>
      <c r="E228" s="61"/>
      <c r="F228" s="29" t="s">
        <v>77</v>
      </c>
      <c r="G228" s="61"/>
      <c r="H228" s="19" t="str">
        <f t="array" ref="H228">IFERROR(INDEX(Lease_List!D:D,MATCH(All_User_backup!D228,Lease_List!H:H,0)),"없음")</f>
        <v>5CD409908N</v>
      </c>
      <c r="I228" s="22" t="s">
        <v>29</v>
      </c>
      <c r="J228" s="21"/>
      <c r="K228" s="22" t="str">
        <f t="array" ref="K228">IFERROR(INDEX(Ipad_List!C:C,MATCH(All_User_backup!D228,Ipad_List!J:J,0)),"없음")</f>
        <v>없음</v>
      </c>
      <c r="L228" s="35" t="str">
        <f t="array" ref="L228">IFERROR(INDEX(TeamsNumber!B:B,MATCH(All_User_backup!D228,TeamsNumber!D:D,0)),"없음")</f>
        <v>없음</v>
      </c>
      <c r="M228" s="35" t="str">
        <f t="array" ref="M228">IFERROR(INDEX(Printer!D:D,MATCH(All_User_backup!D228,Printer!H:H,0)),"없음")</f>
        <v>없음</v>
      </c>
      <c r="N228" s="24" t="str">
        <f t="array" ref="N228">IFERROR(INDEX(Monitor!A:A,MATCH(D228,Monitor!D:D,0)),"없음")</f>
        <v>없음</v>
      </c>
      <c r="O228" s="46" t="s">
        <v>77</v>
      </c>
      <c r="P228" s="24" t="str">
        <f t="array" ref="P228">IFERROR(INDEX(sales!E:E,MATCH(D228,sales!C:C,0)),"없음")</f>
        <v>없음</v>
      </c>
    </row>
    <row r="229">
      <c r="A229" s="382">
        <v>231.0</v>
      </c>
      <c r="B229" s="378" t="s">
        <v>821</v>
      </c>
      <c r="C229" s="29" t="s">
        <v>822</v>
      </c>
      <c r="D229" s="29" t="s">
        <v>823</v>
      </c>
      <c r="E229" s="61"/>
      <c r="F229" s="29" t="s">
        <v>202</v>
      </c>
      <c r="G229" s="61"/>
      <c r="H229" s="19" t="str">
        <f t="array" ref="H229">IFERROR(INDEX(Lease_List!D:D,MATCH(All_User_backup!D229,Lease_List!H:H,0)),"없음")</f>
        <v>5CD5179KHN</v>
      </c>
      <c r="I229" s="22" t="s">
        <v>29</v>
      </c>
      <c r="J229" s="21"/>
      <c r="K229" s="22" t="str">
        <f t="array" ref="K229">IFERROR(INDEX(Ipad_List!C:C,MATCH(All_User_backup!D229,Ipad_List!J:J,0)),"없음")</f>
        <v>없음</v>
      </c>
      <c r="L229" s="35" t="str">
        <f t="array" ref="L229">IFERROR(INDEX(TeamsNumber!B:B,MATCH(All_User_backup!D229,TeamsNumber!D:D,0)),"없음")</f>
        <v>tel:+82234517523</v>
      </c>
      <c r="M229" s="35" t="str">
        <f t="array" ref="M229">IFERROR(INDEX(Printer!D:D,MATCH(All_User_backup!D229,Printer!H:H,0)),"없음")</f>
        <v>없음</v>
      </c>
      <c r="N229" s="24" t="str">
        <f t="array" ref="N229">IFERROR(INDEX(Monitor!A:A,MATCH(D229,Monitor!D:D,0)),"없음")</f>
        <v>SE2425H</v>
      </c>
      <c r="O229" s="46" t="s">
        <v>202</v>
      </c>
      <c r="P229" s="24" t="str">
        <f t="array" ref="P229">IFERROR(INDEX(sales!E:E,MATCH(D229,sales!C:C,0)),"없음")</f>
        <v>없음</v>
      </c>
    </row>
    <row r="230">
      <c r="A230" s="13">
        <v>232.0</v>
      </c>
      <c r="B230" s="378" t="s">
        <v>826</v>
      </c>
      <c r="C230" s="29" t="s">
        <v>827</v>
      </c>
      <c r="D230" s="29" t="s">
        <v>828</v>
      </c>
      <c r="E230" s="61"/>
      <c r="F230" s="29" t="s">
        <v>20</v>
      </c>
      <c r="G230" s="131" t="s">
        <v>53</v>
      </c>
      <c r="H230" s="19" t="str">
        <f t="array" ref="H230">IFERROR(INDEX(Lease_List!D:D,MATCH(All_User_backup!D230,Lease_List!H:H,0)),"없음")</f>
        <v>5CD5062YDD</v>
      </c>
      <c r="I230" s="22" t="s">
        <v>29</v>
      </c>
      <c r="J230" s="21"/>
      <c r="K230" s="22" t="str">
        <f t="array" ref="K230">IFERROR(INDEX(Ipad_List!C:C,MATCH(All_User_backup!D230,Ipad_List!J:J,0)),"없음")</f>
        <v>GHL46K1F9M</v>
      </c>
      <c r="L230" s="23" t="str">
        <f t="array" ref="L230">IFERROR(INDEX(TeamsNumber!B:B,MATCH(All_User_backup!D230,TeamsNumber!D:D,0)),"없음")</f>
        <v>tel:+82234517573</v>
      </c>
      <c r="M230" s="23" t="str">
        <f t="array" ref="M230">IFERROR(INDEX(Printer!D:D,MATCH(All_User_backup!D230,Printer!H:H,0)),"없음")</f>
        <v>SL-C563W</v>
      </c>
      <c r="N230" s="24" t="str">
        <f t="array" ref="N230">IFERROR(INDEX(Monitor!A:A,MATCH(D230,Monitor!D:D,0)),"없음")</f>
        <v>없음</v>
      </c>
      <c r="O230" s="46" t="s">
        <v>20</v>
      </c>
      <c r="P230" s="24" t="str">
        <f t="array" ref="P230">IFERROR(INDEX(sales!E:E,MATCH(D230,sales!C:C,0)),"없음")</f>
        <v>Sales</v>
      </c>
      <c r="Q230" s="24" t="str">
        <f t="array" ref="Q230">IFERROR(INDEX(sales!C:C,MATCH(D230,sales!C:C,0)),"list없음")</f>
        <v>ian.hwang@stryker.com</v>
      </c>
    </row>
    <row r="231">
      <c r="A231" s="382">
        <v>233.0</v>
      </c>
      <c r="B231" s="378" t="s">
        <v>2515</v>
      </c>
      <c r="C231" s="29" t="s">
        <v>2516</v>
      </c>
      <c r="D231" s="29" t="s">
        <v>2517</v>
      </c>
      <c r="E231" s="61"/>
      <c r="F231" s="29" t="s">
        <v>1348</v>
      </c>
      <c r="G231" s="61"/>
      <c r="H231" s="19" t="str">
        <f t="array" ref="H231">IFERROR(INDEX(Lease_List!D:D,MATCH(All_User_backup!D231,Lease_List!H:H,0)),"없음")</f>
        <v>없음</v>
      </c>
      <c r="I231" s="22" t="s">
        <v>29</v>
      </c>
      <c r="J231" s="21"/>
      <c r="K231" s="22" t="str">
        <f t="array" ref="K231">IFERROR(INDEX(Ipad_List!C:C,MATCH(All_User_backup!D231,Ipad_List!J:J,0)),"없음")</f>
        <v>없음</v>
      </c>
      <c r="L231" s="35" t="str">
        <f t="array" ref="L231">IFERROR(INDEX(TeamsNumber!B:B,MATCH(All_User_backup!D231,TeamsNumber!D:D,0)),"없음")</f>
        <v>없음</v>
      </c>
      <c r="M231" s="35" t="str">
        <f t="array" ref="M231">IFERROR(INDEX(Printer!D:D,MATCH(All_User_backup!D231,Printer!H:H,0)),"없음")</f>
        <v>없음</v>
      </c>
      <c r="N231" s="24" t="str">
        <f t="array" ref="N231">IFERROR(INDEX(Monitor!A:A,MATCH(D231,Monitor!D:D,0)),"없음")</f>
        <v>없음</v>
      </c>
      <c r="O231" s="46" t="s">
        <v>1348</v>
      </c>
      <c r="P231" s="24" t="str">
        <f t="array" ref="P231">IFERROR(INDEX(sales!E:E,MATCH(D231,sales!C:C,0)),"없음")</f>
        <v>없음</v>
      </c>
    </row>
    <row r="232">
      <c r="A232" s="13">
        <v>234.0</v>
      </c>
      <c r="B232" s="378" t="s">
        <v>2518</v>
      </c>
      <c r="C232" s="29" t="s">
        <v>2519</v>
      </c>
      <c r="D232" s="29" t="s">
        <v>2520</v>
      </c>
      <c r="E232" s="61"/>
      <c r="F232" s="29" t="s">
        <v>67</v>
      </c>
      <c r="G232" s="61"/>
      <c r="H232" s="19" t="str">
        <f t="array" ref="H232">IFERROR(INDEX(Lease_List!D:D,MATCH(All_User_backup!D232,Lease_List!H:H,0)),"없음")</f>
        <v>없음</v>
      </c>
      <c r="I232" s="22" t="s">
        <v>29</v>
      </c>
      <c r="J232" s="21"/>
      <c r="K232" s="22" t="str">
        <f t="array" ref="K232">IFERROR(INDEX(Ipad_List!C:C,MATCH(All_User_backup!D232,Ipad_List!J:J,0)),"없음")</f>
        <v>없음</v>
      </c>
      <c r="L232" s="35" t="str">
        <f t="array" ref="L232">IFERROR(INDEX(TeamsNumber!B:B,MATCH(All_User_backup!D232,TeamsNumber!D:D,0)),"없음")</f>
        <v>없음</v>
      </c>
      <c r="M232" s="35" t="str">
        <f t="array" ref="M232">IFERROR(INDEX(Printer!D:D,MATCH(All_User_backup!D232,Printer!H:H,0)),"없음")</f>
        <v>없음</v>
      </c>
      <c r="N232" s="24" t="str">
        <f t="array" ref="N232">IFERROR(INDEX(Monitor!A:A,MATCH(D232,Monitor!D:D,0)),"없음")</f>
        <v>없음</v>
      </c>
      <c r="O232" s="46" t="s">
        <v>67</v>
      </c>
      <c r="P232" s="24" t="str">
        <f t="array" ref="P232">IFERROR(INDEX(sales!E:E,MATCH(D232,sales!C:C,0)),"없음")</f>
        <v>없음</v>
      </c>
    </row>
    <row r="233">
      <c r="A233" s="382">
        <v>235.0</v>
      </c>
      <c r="B233" s="378"/>
      <c r="C233" s="61"/>
      <c r="D233" s="30" t="s">
        <v>831</v>
      </c>
      <c r="E233" s="61"/>
      <c r="F233" s="61"/>
      <c r="G233" s="61"/>
      <c r="H233" s="19" t="str">
        <f t="array" ref="H233">IFERROR(INDEX(Lease_List!D:D,MATCH(All_User_backup!D233,Lease_List!H:H,0)),"없음")</f>
        <v>5CD4145N3G</v>
      </c>
      <c r="I233" s="22" t="s">
        <v>29</v>
      </c>
      <c r="J233" s="21"/>
      <c r="K233" s="22" t="str">
        <f t="array" ref="K233">IFERROR(INDEX(Ipad_List!C:C,MATCH(All_User_backup!D233,Ipad_List!J:J,0)),"없음")</f>
        <v>없음</v>
      </c>
      <c r="L233" s="35" t="str">
        <f t="array" ref="L233">IFERROR(INDEX(TeamsNumber!B:B,MATCH(All_User_backup!D233,TeamsNumber!D:D,0)),"없음")</f>
        <v>없음</v>
      </c>
      <c r="M233" s="35" t="str">
        <f t="array" ref="M233">IFERROR(INDEX(Printer!D:D,MATCH(All_User_backup!D233,Printer!H:H,0)),"없음")</f>
        <v>없음</v>
      </c>
      <c r="N233" s="24" t="str">
        <f t="array" ref="N233">IFERROR(INDEX(Monitor!A:A,MATCH(D233,Monitor!D:D,0)),"없음")</f>
        <v>없음</v>
      </c>
      <c r="P233" s="24" t="str">
        <f t="array" ref="P233">IFERROR(INDEX(sales!E:E,MATCH(D233,sales!C:C,0)),"없음")</f>
        <v>없음</v>
      </c>
    </row>
    <row r="234">
      <c r="A234" s="13">
        <v>236.0</v>
      </c>
      <c r="B234" s="378"/>
      <c r="C234" s="61"/>
      <c r="D234" s="30" t="s">
        <v>834</v>
      </c>
      <c r="E234" s="61"/>
      <c r="F234" s="61"/>
      <c r="G234" s="61"/>
      <c r="H234" s="19" t="str">
        <f t="array" ref="H234">IFERROR(INDEX(Lease_List!D:D,MATCH(All_User_backup!D234,Lease_List!H:H,0)),"없음")</f>
        <v>5CD3469HDP</v>
      </c>
      <c r="I234" s="22" t="s">
        <v>29</v>
      </c>
      <c r="J234" s="21"/>
      <c r="K234" s="22" t="str">
        <f t="array" ref="K234">IFERROR(INDEX(Ipad_List!C:C,MATCH(All_User_backup!D234,Ipad_List!J:J,0)),"없음")</f>
        <v>없음</v>
      </c>
      <c r="L234" s="35" t="str">
        <f t="array" ref="L234">IFERROR(INDEX(TeamsNumber!B:B,MATCH(All_User_backup!D234,TeamsNumber!D:D,0)),"없음")</f>
        <v>없음</v>
      </c>
      <c r="M234" s="35" t="str">
        <f t="array" ref="M234">IFERROR(INDEX(Printer!D:D,MATCH(All_User_backup!D234,Printer!H:H,0)),"없음")</f>
        <v>없음</v>
      </c>
      <c r="N234" s="24" t="str">
        <f t="array" ref="N234">IFERROR(INDEX(Monitor!A:A,MATCH(D234,Monitor!D:D,0)),"없음")</f>
        <v>없음</v>
      </c>
      <c r="P234" s="24" t="str">
        <f t="array" ref="P234">IFERROR(INDEX(sales!E:E,MATCH(D234,sales!C:C,0)),"없음")</f>
        <v>없음</v>
      </c>
    </row>
    <row r="235">
      <c r="A235" s="13">
        <v>237.0</v>
      </c>
      <c r="B235" s="378" t="s">
        <v>835</v>
      </c>
      <c r="C235" s="30" t="s">
        <v>836</v>
      </c>
      <c r="D235" s="30" t="s">
        <v>837</v>
      </c>
      <c r="E235" s="61"/>
      <c r="F235" s="61"/>
      <c r="G235" s="61"/>
      <c r="H235" s="19" t="str">
        <f t="array" ref="H235">IFERROR(INDEX(Lease_List!D:D,MATCH(All_User_backup!D235,Lease_List!H:H,0)),"없음")</f>
        <v>5CD5179KJC</v>
      </c>
      <c r="I235" s="22" t="s">
        <v>29</v>
      </c>
      <c r="J235" s="32"/>
      <c r="K235" s="22" t="str">
        <f t="array" ref="K235">IFERROR(INDEX(Ipad_List!C:C,MATCH(All_User_backup!D235,Ipad_List!J:J,0)),"없음")</f>
        <v>KVKXR477HX</v>
      </c>
      <c r="L235" s="35" t="str">
        <f t="array" ref="L235">IFERROR(INDEX(TeamsNumber!B:B,MATCH(All_User_backup!D235,TeamsNumber!D:D,0)),"없음")</f>
        <v>없음</v>
      </c>
      <c r="M235" s="35" t="str">
        <f t="array" ref="M235">IFERROR(INDEX(Printer!D:D,MATCH(All_User_backup!D235,Printer!H:H,0)),"없음")</f>
        <v>없음</v>
      </c>
      <c r="N235" s="24" t="str">
        <f t="array" ref="N235">IFERROR(INDEX(Monitor!A:A,MATCH(D235,Monitor!D:D,0)),"없음")</f>
        <v>없음</v>
      </c>
      <c r="P235" s="24" t="str">
        <f t="array" ref="P235">IFERROR(INDEX(sales!E:E,MATCH(D235,sales!C:C,0)),"없음")</f>
        <v>없음</v>
      </c>
    </row>
    <row r="236">
      <c r="A236" s="13">
        <v>238.0</v>
      </c>
      <c r="B236" s="378" t="s">
        <v>2284</v>
      </c>
      <c r="C236" s="383" t="s">
        <v>2521</v>
      </c>
      <c r="D236" s="383" t="s">
        <v>2521</v>
      </c>
      <c r="E236" s="61"/>
      <c r="F236" s="61"/>
      <c r="G236" s="61"/>
      <c r="H236" s="19" t="str">
        <f t="array" ref="H236">IFERROR(INDEX(Lease_List!D:D,MATCH(All_User_backup!D236,Lease_List!H:H,0)),"없음")</f>
        <v>없음</v>
      </c>
      <c r="I236" s="22" t="s">
        <v>29</v>
      </c>
      <c r="J236" s="32"/>
      <c r="K236" s="67"/>
      <c r="N236" s="24" t="str">
        <f t="array" ref="N236">IFERROR(INDEX(Monitor!A:A,MATCH(D236,Monitor!D:D,0)),"없음")</f>
        <v>없음</v>
      </c>
      <c r="P236" s="24" t="str">
        <f t="array" ref="P236">IFERROR(INDEX(sales!E:E,MATCH(D236,sales!C:C,0)),"없음")</f>
        <v>없음</v>
      </c>
    </row>
    <row r="237">
      <c r="A237" s="382">
        <v>239.0</v>
      </c>
      <c r="B237" s="378" t="s">
        <v>2522</v>
      </c>
      <c r="C237" s="30" t="s">
        <v>839</v>
      </c>
      <c r="D237" s="129" t="s">
        <v>840</v>
      </c>
      <c r="E237" s="61"/>
      <c r="F237" s="61"/>
      <c r="G237" s="61"/>
      <c r="H237" s="19" t="str">
        <f t="array" ref="H237">IFERROR(INDEX(Lease_List!D:D,MATCH(All_User_backup!D237,Lease_List!H:H,0)),"없음")</f>
        <v>5CD4305D89</v>
      </c>
      <c r="I237" s="67"/>
      <c r="J237" s="32"/>
      <c r="K237" s="67"/>
      <c r="N237" s="24" t="str">
        <f t="array" ref="N237">IFERROR(INDEX(Monitor!A:A,MATCH(D237,Monitor!D:D,0)),"없음")</f>
        <v>없음</v>
      </c>
      <c r="P237" s="24" t="str">
        <f t="array" ref="P237">IFERROR(INDEX(sales!E:E,MATCH(D237,sales!C:C,0)),"없음")</f>
        <v>없음</v>
      </c>
    </row>
    <row r="238">
      <c r="A238" s="382">
        <v>240.0</v>
      </c>
      <c r="B238" s="126" t="s">
        <v>841</v>
      </c>
      <c r="C238" s="129" t="s">
        <v>842</v>
      </c>
      <c r="D238" s="131" t="s">
        <v>843</v>
      </c>
      <c r="E238" s="61"/>
      <c r="F238" s="61"/>
      <c r="G238" s="61"/>
      <c r="H238" s="19" t="str">
        <f t="array" ref="H238">IFERROR(INDEX(Lease_List!D:D,MATCH(All_User_backup!D238,Lease_List!H:H,0)),"없음")</f>
        <v>5CD3469HD2</v>
      </c>
      <c r="I238" s="67"/>
      <c r="J238" s="32"/>
      <c r="K238" s="67"/>
      <c r="N238" s="24" t="str">
        <f t="array" ref="N238">IFERROR(INDEX(Monitor!A:A,MATCH(D238,Monitor!D:D,0)),"없음")</f>
        <v>없음</v>
      </c>
      <c r="P238" s="24" t="str">
        <f t="array" ref="P238">IFERROR(INDEX(sales!E:E,MATCH(D238,sales!C:C,0)),"없음")</f>
        <v>없음</v>
      </c>
    </row>
    <row r="239">
      <c r="A239" s="382">
        <v>241.0</v>
      </c>
      <c r="B239" s="131" t="s">
        <v>845</v>
      </c>
      <c r="C239" s="131" t="s">
        <v>846</v>
      </c>
      <c r="D239" s="131" t="s">
        <v>847</v>
      </c>
      <c r="E239" s="61"/>
      <c r="F239" s="29" t="s">
        <v>67</v>
      </c>
      <c r="G239" s="61"/>
      <c r="H239" s="19" t="str">
        <f t="array" ref="H239">IFERROR(INDEX(Lease_List!D:D,MATCH(All_User_backup!D239,Lease_List!H:H,0)),"없음")</f>
        <v>5CD5062YDV</v>
      </c>
      <c r="I239" s="22" t="s">
        <v>29</v>
      </c>
      <c r="J239" s="32"/>
      <c r="K239" s="22" t="str">
        <f t="array" ref="K239">IFERROR(INDEX(Ipad_List!C:C,MATCH(All_User_backup!D239,Ipad_List!J:J,0)),"없음")</f>
        <v>없음</v>
      </c>
      <c r="L239" s="35" t="str">
        <f t="array" ref="L239">IFERROR(INDEX(TeamsNumber!B:B,MATCH(All_User_backup!D239,TeamsNumber!D:D,0)),"없음")</f>
        <v>없음</v>
      </c>
      <c r="M239" s="35" t="str">
        <f t="array" ref="M239">IFERROR(INDEX(Printer!D:D,MATCH(All_User_backup!D239,Printer!H:H,0)),"없음")</f>
        <v>없음</v>
      </c>
      <c r="N239" s="24" t="str">
        <f t="array" ref="N239">IFERROR(INDEX(Monitor!A:A,MATCH(D239,Monitor!D:D,0)),"없음")</f>
        <v>E2422H</v>
      </c>
      <c r="P239" s="24" t="str">
        <f t="array" ref="P239">IFERROR(INDEX(sales!E:E,MATCH(D239,sales!C:C,0)),"없음")</f>
        <v>없음</v>
      </c>
    </row>
    <row r="240">
      <c r="A240" s="103"/>
      <c r="B240" s="384" t="s">
        <v>848</v>
      </c>
      <c r="C240" s="105"/>
      <c r="D240" s="76" t="s">
        <v>2523</v>
      </c>
      <c r="E240" s="105"/>
      <c r="F240" s="76" t="s">
        <v>671</v>
      </c>
      <c r="G240" s="105"/>
      <c r="H240" s="19" t="str">
        <f t="array" ref="H240">IFERROR(INDEX(Lease_List!D:D,MATCH(All_User_backup!D240,Lease_List!H:H,0)),"없음")</f>
        <v>5CD4145N3J</v>
      </c>
      <c r="I240" s="109"/>
      <c r="J240" s="110"/>
      <c r="K240" s="109"/>
      <c r="L240" s="109"/>
      <c r="M240" s="109"/>
    </row>
    <row r="241">
      <c r="A241" s="103"/>
      <c r="B241" s="384" t="s">
        <v>850</v>
      </c>
      <c r="C241" s="105"/>
      <c r="D241" s="385" t="s">
        <v>2524</v>
      </c>
      <c r="E241" s="105"/>
      <c r="F241" s="76" t="s">
        <v>750</v>
      </c>
      <c r="G241" s="105"/>
      <c r="H241" s="19" t="str">
        <f t="array" ref="H241">IFERROR(INDEX(Lease_List!D:D,MATCH(All_User_backup!D241,Lease_List!H:H,0)),"없음")</f>
        <v>5CD4232BF5</v>
      </c>
      <c r="I241" s="109"/>
      <c r="J241" s="110"/>
      <c r="K241" s="109"/>
      <c r="L241" s="109"/>
      <c r="M241" s="109"/>
    </row>
    <row r="242">
      <c r="A242" s="103"/>
      <c r="B242" s="384" t="s">
        <v>759</v>
      </c>
      <c r="C242" s="105"/>
      <c r="D242" s="76" t="s">
        <v>852</v>
      </c>
      <c r="E242" s="105"/>
      <c r="F242" s="76" t="s">
        <v>750</v>
      </c>
      <c r="G242" s="105"/>
      <c r="H242" s="19" t="str">
        <f t="array" ref="H242">IFERROR(INDEX(Lease_List!D:D,MATCH(All_User_backup!D242,Lease_List!H:H,0)),"없음")</f>
        <v>5CD4232BF8</v>
      </c>
      <c r="I242" s="109"/>
      <c r="J242" s="110"/>
      <c r="K242" s="109"/>
      <c r="L242" s="109"/>
      <c r="M242" s="109"/>
    </row>
    <row r="243">
      <c r="A243" s="103"/>
      <c r="B243" s="384" t="s">
        <v>853</v>
      </c>
      <c r="C243" s="105"/>
      <c r="D243" s="76" t="s">
        <v>853</v>
      </c>
      <c r="E243" s="105"/>
      <c r="F243" s="76" t="s">
        <v>853</v>
      </c>
      <c r="G243" s="105"/>
      <c r="H243" s="19" t="str">
        <f t="array" ref="H243">IFERROR(INDEX(Lease_List!D:D,MATCH(All_User_backup!D243,Lease_List!H:H,0)),"없음")</f>
        <v>없음</v>
      </c>
      <c r="I243" s="109"/>
      <c r="J243" s="110"/>
      <c r="K243" s="109"/>
      <c r="L243" s="109"/>
      <c r="M243" s="109"/>
    </row>
    <row r="244">
      <c r="A244" s="103"/>
      <c r="B244" s="384" t="s">
        <v>854</v>
      </c>
      <c r="C244" s="105"/>
      <c r="D244" s="385" t="s">
        <v>2525</v>
      </c>
      <c r="E244" s="105"/>
      <c r="F244" s="76" t="s">
        <v>1322</v>
      </c>
      <c r="G244" s="105"/>
      <c r="H244" s="19" t="str">
        <f t="array" ref="H244">IFERROR(INDEX(Lease_List!D:D,MATCH(All_User_backup!D244,Lease_List!H:H,0)),"없음")</f>
        <v>5CD5179KHW</v>
      </c>
      <c r="I244" s="109"/>
      <c r="J244" s="110"/>
      <c r="K244" s="109"/>
      <c r="L244" s="109"/>
      <c r="M244" s="109"/>
    </row>
    <row r="245">
      <c r="A245" s="103"/>
      <c r="B245" s="384" t="s">
        <v>859</v>
      </c>
      <c r="C245" s="105"/>
      <c r="D245" s="385" t="s">
        <v>2526</v>
      </c>
      <c r="E245" s="105"/>
      <c r="F245" s="76" t="s">
        <v>27</v>
      </c>
      <c r="G245" s="105"/>
      <c r="H245" s="19" t="str">
        <f t="array" ref="H245">IFERROR(INDEX(Lease_List!D:D,MATCH(All_User_backup!D245,Lease_List!H:H,0)),"없음")</f>
        <v>5CG53403D6</v>
      </c>
      <c r="I245" s="109"/>
      <c r="J245" s="110"/>
      <c r="K245" s="109"/>
      <c r="L245" s="109"/>
      <c r="M245" s="109"/>
    </row>
    <row r="246">
      <c r="A246" s="386"/>
      <c r="B246" s="387" t="s">
        <v>2527</v>
      </c>
      <c r="C246" s="388" t="s">
        <v>2528</v>
      </c>
      <c r="D246" s="388" t="s">
        <v>2529</v>
      </c>
      <c r="E246" s="389"/>
      <c r="F246" s="388" t="s">
        <v>27</v>
      </c>
      <c r="G246" s="389"/>
      <c r="H246" s="390"/>
      <c r="I246" s="391"/>
      <c r="J246" s="392"/>
      <c r="K246" s="391"/>
      <c r="L246" s="391"/>
      <c r="M246" s="391"/>
      <c r="N246" s="96"/>
      <c r="O246" s="95" t="s">
        <v>27</v>
      </c>
      <c r="P246" s="96"/>
      <c r="Q246" s="96"/>
      <c r="R246" s="97">
        <v>46326.0</v>
      </c>
    </row>
    <row r="247">
      <c r="A247" s="103"/>
      <c r="B247" s="104" t="s">
        <v>2530</v>
      </c>
      <c r="C247" s="106" t="s">
        <v>864</v>
      </c>
      <c r="D247" s="106" t="s">
        <v>865</v>
      </c>
      <c r="E247" s="105"/>
      <c r="F247" s="393" t="s">
        <v>77</v>
      </c>
      <c r="G247" s="393" t="s">
        <v>105</v>
      </c>
      <c r="H247" s="19" t="str">
        <f t="array" ref="H247">IFERROR(INDEX(Lease_List!D:D,MATCH(All_User_backup!D247,Lease_List!H:H,0)),"없음")</f>
        <v>5CG53403D7</v>
      </c>
      <c r="I247" s="22" t="s">
        <v>29</v>
      </c>
      <c r="J247" s="32"/>
      <c r="K247" s="22" t="str">
        <f t="array" ref="K247">IFERROR(INDEX(Ipad_List!C:C,MATCH(All_User_backup!D247,Ipad_List!J:J,0)),"없음")</f>
        <v>D4C9Q50Q09</v>
      </c>
      <c r="L247" s="35" t="str">
        <f t="array" ref="L247">IFERROR(INDEX(TeamsNumber!B:B,MATCH(All_User_backup!D247,TeamsNumber!D:D,0)),"없음")</f>
        <v>tel:+82234517534</v>
      </c>
      <c r="M247" s="35" t="str">
        <f t="array" ref="M247">IFERROR(INDEX(Printer!D:D,MATCH(All_User_backup!D247,Printer!H:H,0)),"없음")</f>
        <v>없음</v>
      </c>
      <c r="N247" s="24" t="str">
        <f t="array" ref="N247">IFERROR(INDEX(Monitor!A:A,MATCH(D247,Monitor!D:D,0)),"없음")</f>
        <v>없음</v>
      </c>
    </row>
    <row r="248">
      <c r="A248" s="103"/>
      <c r="B248" s="104"/>
      <c r="C248" s="105"/>
      <c r="D248" s="106"/>
      <c r="E248" s="105"/>
      <c r="F248" s="105"/>
      <c r="G248" s="105"/>
      <c r="H248" s="108"/>
      <c r="I248" s="109"/>
      <c r="J248" s="110"/>
      <c r="K248" s="109"/>
      <c r="L248" s="109"/>
      <c r="M248" s="109"/>
    </row>
    <row r="249">
      <c r="A249" s="103"/>
      <c r="B249" s="104"/>
      <c r="C249" s="105"/>
      <c r="D249" s="106"/>
      <c r="E249" s="105"/>
      <c r="F249" s="105"/>
      <c r="G249" s="105"/>
      <c r="H249" s="108"/>
      <c r="I249" s="109"/>
      <c r="J249" s="110"/>
      <c r="K249" s="109"/>
      <c r="L249" s="109"/>
      <c r="M249" s="109"/>
    </row>
    <row r="250">
      <c r="A250" s="103"/>
      <c r="B250" s="104"/>
      <c r="C250" s="105"/>
      <c r="D250" s="106"/>
      <c r="E250" s="105"/>
      <c r="F250" s="105"/>
      <c r="G250" s="105"/>
      <c r="H250" s="108"/>
      <c r="I250" s="109"/>
      <c r="J250" s="110"/>
      <c r="K250" s="109"/>
      <c r="L250" s="109"/>
      <c r="M250" s="109"/>
    </row>
    <row r="251">
      <c r="A251" s="103"/>
      <c r="B251" s="104"/>
      <c r="C251" s="105"/>
      <c r="D251" s="106"/>
      <c r="E251" s="105"/>
      <c r="F251" s="105"/>
      <c r="G251" s="105"/>
      <c r="H251" s="108"/>
      <c r="I251" s="109"/>
      <c r="J251" s="110"/>
      <c r="K251" s="109"/>
      <c r="L251" s="109"/>
      <c r="M251" s="109"/>
    </row>
    <row r="252">
      <c r="A252" s="103"/>
      <c r="B252" s="104"/>
      <c r="C252" s="105"/>
      <c r="D252" s="106"/>
      <c r="E252" s="105"/>
      <c r="F252" s="105"/>
      <c r="G252" s="105"/>
      <c r="H252" s="108"/>
      <c r="I252" s="109"/>
      <c r="J252" s="110"/>
      <c r="K252" s="109"/>
      <c r="L252" s="109"/>
      <c r="M252" s="109"/>
    </row>
    <row r="253">
      <c r="A253" s="103"/>
      <c r="B253" s="104"/>
      <c r="C253" s="105"/>
      <c r="D253" s="106"/>
      <c r="E253" s="105"/>
      <c r="F253" s="105"/>
      <c r="G253" s="105"/>
      <c r="H253" s="108"/>
      <c r="I253" s="109"/>
      <c r="J253" s="110"/>
      <c r="K253" s="109"/>
      <c r="L253" s="109"/>
      <c r="M253" s="109"/>
    </row>
    <row r="254">
      <c r="A254" s="103"/>
      <c r="B254" s="104"/>
      <c r="C254" s="105"/>
      <c r="D254" s="106"/>
      <c r="E254" s="105"/>
      <c r="F254" s="105"/>
      <c r="G254" s="105"/>
      <c r="H254" s="108"/>
      <c r="I254" s="109"/>
      <c r="J254" s="110"/>
      <c r="K254" s="109"/>
      <c r="L254" s="109"/>
      <c r="M254" s="109"/>
    </row>
    <row r="255">
      <c r="A255" s="103"/>
      <c r="B255" s="104"/>
      <c r="C255" s="105"/>
      <c r="D255" s="106"/>
      <c r="E255" s="105"/>
      <c r="F255" s="105"/>
      <c r="G255" s="105"/>
      <c r="H255" s="108"/>
      <c r="I255" s="109"/>
      <c r="J255" s="110"/>
      <c r="K255" s="109"/>
      <c r="L255" s="109"/>
      <c r="M255" s="109"/>
    </row>
    <row r="256">
      <c r="A256" s="103"/>
      <c r="B256" s="104"/>
      <c r="C256" s="105"/>
      <c r="D256" s="106"/>
      <c r="E256" s="105"/>
      <c r="F256" s="105"/>
      <c r="G256" s="105"/>
      <c r="H256" s="108"/>
      <c r="I256" s="109"/>
      <c r="J256" s="110"/>
      <c r="K256" s="109"/>
      <c r="L256" s="109"/>
      <c r="M256" s="109"/>
    </row>
    <row r="257">
      <c r="A257" s="103"/>
      <c r="B257" s="104"/>
      <c r="C257" s="105"/>
      <c r="D257" s="106"/>
      <c r="E257" s="105"/>
      <c r="F257" s="105"/>
      <c r="G257" s="105"/>
      <c r="H257" s="108"/>
      <c r="I257" s="109"/>
      <c r="J257" s="110"/>
      <c r="K257" s="109"/>
      <c r="L257" s="109"/>
      <c r="M257" s="109"/>
    </row>
    <row r="258">
      <c r="A258" s="103"/>
      <c r="B258" s="104"/>
      <c r="C258" s="105"/>
      <c r="D258" s="106"/>
      <c r="E258" s="105"/>
      <c r="F258" s="105"/>
      <c r="G258" s="105"/>
      <c r="H258" s="108"/>
      <c r="I258" s="109"/>
      <c r="J258" s="110"/>
      <c r="K258" s="109"/>
      <c r="L258" s="109"/>
      <c r="M258" s="109"/>
    </row>
    <row r="259">
      <c r="A259" s="103"/>
      <c r="B259" s="104"/>
      <c r="C259" s="105"/>
      <c r="D259" s="106"/>
      <c r="E259" s="105"/>
      <c r="F259" s="105"/>
      <c r="G259" s="105"/>
      <c r="H259" s="108"/>
      <c r="I259" s="109"/>
      <c r="J259" s="110"/>
      <c r="K259" s="109"/>
      <c r="L259" s="109"/>
      <c r="M259" s="109"/>
    </row>
    <row r="260">
      <c r="A260" s="103"/>
      <c r="B260" s="104"/>
      <c r="C260" s="105"/>
      <c r="D260" s="106"/>
      <c r="E260" s="105"/>
      <c r="F260" s="105"/>
      <c r="G260" s="105"/>
      <c r="H260" s="108"/>
      <c r="I260" s="109"/>
      <c r="J260" s="110"/>
      <c r="K260" s="109"/>
      <c r="L260" s="109"/>
      <c r="M260" s="109"/>
    </row>
    <row r="261">
      <c r="A261" s="103"/>
      <c r="B261" s="104"/>
      <c r="C261" s="105"/>
      <c r="D261" s="106"/>
      <c r="E261" s="105"/>
      <c r="F261" s="105"/>
      <c r="G261" s="105"/>
      <c r="H261" s="108"/>
      <c r="I261" s="109"/>
      <c r="J261" s="110"/>
      <c r="K261" s="109"/>
      <c r="L261" s="109"/>
      <c r="M261" s="109"/>
    </row>
    <row r="262">
      <c r="A262" s="103"/>
      <c r="B262" s="104"/>
      <c r="C262" s="105"/>
      <c r="D262" s="106"/>
      <c r="E262" s="105"/>
      <c r="F262" s="105"/>
      <c r="G262" s="105"/>
      <c r="H262" s="108"/>
      <c r="I262" s="109"/>
      <c r="J262" s="110"/>
      <c r="K262" s="109"/>
      <c r="L262" s="109"/>
      <c r="M262" s="109"/>
    </row>
    <row r="263">
      <c r="A263" s="103"/>
      <c r="B263" s="104"/>
      <c r="C263" s="105"/>
      <c r="D263" s="106"/>
      <c r="E263" s="105"/>
      <c r="F263" s="105"/>
      <c r="G263" s="105"/>
      <c r="H263" s="108"/>
      <c r="I263" s="109"/>
      <c r="J263" s="110"/>
      <c r="K263" s="109"/>
      <c r="L263" s="109"/>
      <c r="M263" s="109"/>
    </row>
    <row r="264">
      <c r="A264" s="103"/>
      <c r="B264" s="104"/>
      <c r="C264" s="105"/>
      <c r="D264" s="106"/>
      <c r="E264" s="105"/>
      <c r="F264" s="105"/>
      <c r="G264" s="105"/>
      <c r="H264" s="108"/>
      <c r="I264" s="109"/>
      <c r="J264" s="110"/>
      <c r="K264" s="109"/>
      <c r="L264" s="109"/>
      <c r="M264" s="109"/>
    </row>
    <row r="265">
      <c r="A265" s="103"/>
      <c r="B265" s="104"/>
      <c r="C265" s="105"/>
      <c r="D265" s="106"/>
      <c r="E265" s="105"/>
      <c r="F265" s="105"/>
      <c r="G265" s="105"/>
      <c r="H265" s="108"/>
      <c r="I265" s="109"/>
      <c r="J265" s="110"/>
      <c r="K265" s="109"/>
      <c r="L265" s="109"/>
      <c r="M265" s="109"/>
    </row>
    <row r="266">
      <c r="A266" s="103"/>
      <c r="B266" s="104"/>
      <c r="C266" s="105"/>
      <c r="D266" s="106"/>
      <c r="E266" s="105"/>
      <c r="F266" s="105"/>
      <c r="G266" s="105"/>
      <c r="H266" s="108"/>
      <c r="I266" s="109"/>
      <c r="J266" s="110"/>
      <c r="K266" s="109"/>
      <c r="L266" s="109"/>
      <c r="M266" s="109"/>
    </row>
    <row r="267">
      <c r="A267" s="103"/>
      <c r="B267" s="104"/>
      <c r="C267" s="105"/>
      <c r="D267" s="106"/>
      <c r="E267" s="105"/>
      <c r="F267" s="105"/>
      <c r="G267" s="105"/>
      <c r="H267" s="108"/>
      <c r="I267" s="109"/>
      <c r="J267" s="110"/>
      <c r="K267" s="109"/>
      <c r="L267" s="109"/>
      <c r="M267" s="109"/>
    </row>
    <row r="268">
      <c r="A268" s="103"/>
      <c r="B268" s="104"/>
      <c r="C268" s="105"/>
      <c r="D268" s="106"/>
      <c r="E268" s="105"/>
      <c r="F268" s="105"/>
      <c r="G268" s="105"/>
      <c r="H268" s="108"/>
      <c r="I268" s="109"/>
      <c r="J268" s="110"/>
      <c r="K268" s="109"/>
      <c r="L268" s="109"/>
      <c r="M268" s="109"/>
    </row>
    <row r="269">
      <c r="A269" s="103"/>
      <c r="B269" s="104"/>
      <c r="C269" s="105"/>
      <c r="D269" s="106"/>
      <c r="E269" s="105"/>
      <c r="F269" s="105"/>
      <c r="G269" s="105"/>
      <c r="H269" s="108"/>
      <c r="I269" s="109"/>
      <c r="J269" s="110"/>
      <c r="K269" s="109"/>
      <c r="L269" s="109"/>
      <c r="M269" s="109"/>
    </row>
    <row r="270">
      <c r="A270" s="103"/>
      <c r="B270" s="104"/>
      <c r="C270" s="105"/>
      <c r="D270" s="106"/>
      <c r="E270" s="105"/>
      <c r="F270" s="105"/>
      <c r="G270" s="105"/>
      <c r="H270" s="108"/>
      <c r="I270" s="109"/>
      <c r="J270" s="110"/>
      <c r="K270" s="109"/>
      <c r="L270" s="109"/>
      <c r="M270" s="109"/>
    </row>
    <row r="271">
      <c r="A271" s="103"/>
      <c r="B271" s="104"/>
      <c r="C271" s="105"/>
      <c r="D271" s="106"/>
      <c r="E271" s="105"/>
      <c r="F271" s="105"/>
      <c r="G271" s="105"/>
      <c r="H271" s="108"/>
      <c r="I271" s="109"/>
      <c r="J271" s="110"/>
      <c r="K271" s="109"/>
      <c r="L271" s="109"/>
      <c r="M271" s="109"/>
    </row>
    <row r="272">
      <c r="A272" s="103"/>
      <c r="B272" s="104"/>
      <c r="C272" s="105"/>
      <c r="D272" s="106"/>
      <c r="E272" s="105"/>
      <c r="F272" s="105"/>
      <c r="G272" s="105"/>
      <c r="H272" s="108"/>
      <c r="I272" s="109"/>
      <c r="J272" s="110"/>
      <c r="K272" s="109"/>
      <c r="L272" s="109"/>
      <c r="M272" s="109"/>
    </row>
    <row r="273">
      <c r="A273" s="103"/>
      <c r="B273" s="104"/>
      <c r="C273" s="105"/>
      <c r="D273" s="106"/>
      <c r="E273" s="105"/>
      <c r="F273" s="105"/>
      <c r="G273" s="105"/>
      <c r="H273" s="108"/>
      <c r="I273" s="109"/>
      <c r="J273" s="110"/>
      <c r="K273" s="109"/>
      <c r="L273" s="109"/>
      <c r="M273" s="109"/>
    </row>
    <row r="274">
      <c r="A274" s="103"/>
      <c r="B274" s="104"/>
      <c r="C274" s="105"/>
      <c r="D274" s="106"/>
      <c r="E274" s="105"/>
      <c r="F274" s="105"/>
      <c r="G274" s="105"/>
      <c r="H274" s="108"/>
      <c r="I274" s="109"/>
      <c r="J274" s="110"/>
      <c r="K274" s="109"/>
      <c r="L274" s="109"/>
      <c r="M274" s="109"/>
    </row>
    <row r="275">
      <c r="A275" s="103"/>
      <c r="B275" s="104"/>
      <c r="C275" s="105"/>
      <c r="D275" s="106"/>
      <c r="E275" s="105"/>
      <c r="F275" s="105"/>
      <c r="G275" s="105"/>
      <c r="H275" s="108"/>
      <c r="I275" s="109"/>
      <c r="J275" s="110"/>
      <c r="K275" s="109"/>
      <c r="L275" s="109"/>
      <c r="M275" s="109"/>
    </row>
    <row r="276">
      <c r="A276" s="103"/>
      <c r="B276" s="104"/>
      <c r="C276" s="105"/>
      <c r="D276" s="106"/>
      <c r="E276" s="105"/>
      <c r="F276" s="105"/>
      <c r="G276" s="105"/>
      <c r="H276" s="108"/>
      <c r="I276" s="109"/>
      <c r="J276" s="110"/>
      <c r="K276" s="109"/>
      <c r="L276" s="109"/>
      <c r="M276" s="109"/>
    </row>
    <row r="277">
      <c r="A277" s="103"/>
      <c r="B277" s="104"/>
      <c r="C277" s="105"/>
      <c r="D277" s="106"/>
      <c r="E277" s="105"/>
      <c r="F277" s="105"/>
      <c r="G277" s="105"/>
      <c r="H277" s="108"/>
      <c r="I277" s="109"/>
      <c r="J277" s="110"/>
      <c r="K277" s="109"/>
      <c r="L277" s="109"/>
      <c r="M277" s="109"/>
    </row>
    <row r="278">
      <c r="A278" s="103"/>
      <c r="B278" s="104"/>
      <c r="C278" s="105"/>
      <c r="D278" s="106"/>
      <c r="E278" s="105"/>
      <c r="F278" s="105"/>
      <c r="G278" s="105"/>
      <c r="H278" s="108"/>
      <c r="I278" s="109"/>
      <c r="J278" s="110"/>
      <c r="K278" s="109"/>
      <c r="L278" s="109"/>
      <c r="M278" s="109"/>
    </row>
    <row r="279">
      <c r="A279" s="103"/>
      <c r="B279" s="104"/>
      <c r="C279" s="105"/>
      <c r="D279" s="106"/>
      <c r="E279" s="105"/>
      <c r="F279" s="105"/>
      <c r="G279" s="105"/>
      <c r="H279" s="108"/>
      <c r="I279" s="109"/>
      <c r="J279" s="110"/>
      <c r="K279" s="109"/>
      <c r="L279" s="109"/>
      <c r="M279" s="109"/>
    </row>
    <row r="280">
      <c r="A280" s="103"/>
      <c r="B280" s="104"/>
      <c r="C280" s="105"/>
      <c r="D280" s="106"/>
      <c r="E280" s="105"/>
      <c r="F280" s="105"/>
      <c r="G280" s="105"/>
      <c r="H280" s="108"/>
      <c r="I280" s="109"/>
      <c r="J280" s="110"/>
      <c r="K280" s="109"/>
      <c r="L280" s="109"/>
      <c r="M280" s="109"/>
    </row>
    <row r="281">
      <c r="A281" s="103"/>
      <c r="B281" s="104"/>
      <c r="C281" s="105"/>
      <c r="D281" s="106"/>
      <c r="E281" s="105"/>
      <c r="F281" s="105"/>
      <c r="G281" s="105"/>
      <c r="H281" s="108"/>
      <c r="I281" s="109"/>
      <c r="J281" s="110"/>
      <c r="K281" s="109"/>
      <c r="L281" s="109"/>
      <c r="M281" s="109"/>
    </row>
    <row r="282">
      <c r="A282" s="103"/>
      <c r="B282" s="104"/>
      <c r="C282" s="105"/>
      <c r="D282" s="106"/>
      <c r="E282" s="105"/>
      <c r="F282" s="105"/>
      <c r="G282" s="105"/>
      <c r="H282" s="108"/>
      <c r="I282" s="109"/>
      <c r="J282" s="110"/>
      <c r="K282" s="109"/>
      <c r="L282" s="109"/>
      <c r="M282" s="109"/>
    </row>
    <row r="283">
      <c r="A283" s="103"/>
      <c r="B283" s="104"/>
      <c r="C283" s="105"/>
      <c r="D283" s="106"/>
      <c r="E283" s="105"/>
      <c r="F283" s="105"/>
      <c r="G283" s="105"/>
      <c r="H283" s="108"/>
      <c r="I283" s="109"/>
      <c r="J283" s="110"/>
      <c r="K283" s="109"/>
      <c r="L283" s="109"/>
      <c r="M283" s="109"/>
    </row>
    <row r="284">
      <c r="A284" s="103"/>
      <c r="B284" s="104"/>
      <c r="C284" s="105"/>
      <c r="D284" s="106"/>
      <c r="E284" s="105"/>
      <c r="F284" s="105"/>
      <c r="G284" s="105"/>
      <c r="H284" s="108"/>
      <c r="I284" s="109"/>
      <c r="J284" s="110"/>
      <c r="K284" s="109"/>
      <c r="L284" s="109"/>
      <c r="M284" s="109"/>
    </row>
    <row r="285">
      <c r="A285" s="103"/>
      <c r="B285" s="104"/>
      <c r="C285" s="105"/>
      <c r="D285" s="106"/>
      <c r="E285" s="105"/>
      <c r="F285" s="105"/>
      <c r="G285" s="105"/>
      <c r="H285" s="108"/>
      <c r="I285" s="109"/>
      <c r="J285" s="110"/>
      <c r="K285" s="109"/>
      <c r="L285" s="109"/>
      <c r="M285" s="109"/>
    </row>
    <row r="286">
      <c r="A286" s="103"/>
      <c r="B286" s="104"/>
      <c r="C286" s="105"/>
      <c r="D286" s="106"/>
      <c r="E286" s="105"/>
      <c r="F286" s="105"/>
      <c r="G286" s="105"/>
      <c r="H286" s="108"/>
      <c r="I286" s="109"/>
      <c r="J286" s="110"/>
      <c r="K286" s="109"/>
      <c r="L286" s="109"/>
      <c r="M286" s="109"/>
    </row>
    <row r="287">
      <c r="A287" s="103"/>
      <c r="B287" s="104"/>
      <c r="C287" s="105"/>
      <c r="D287" s="106"/>
      <c r="E287" s="105"/>
      <c r="F287" s="105"/>
      <c r="G287" s="105"/>
      <c r="H287" s="108"/>
      <c r="I287" s="109"/>
      <c r="J287" s="110"/>
      <c r="K287" s="109"/>
      <c r="L287" s="109"/>
      <c r="M287" s="109"/>
    </row>
    <row r="288">
      <c r="A288" s="103"/>
      <c r="B288" s="104"/>
      <c r="C288" s="105"/>
      <c r="D288" s="106"/>
      <c r="E288" s="105"/>
      <c r="F288" s="105"/>
      <c r="G288" s="105"/>
      <c r="H288" s="108"/>
      <c r="I288" s="109"/>
      <c r="J288" s="110"/>
      <c r="K288" s="109"/>
      <c r="L288" s="109"/>
      <c r="M288" s="109"/>
    </row>
    <row r="289">
      <c r="A289" s="103"/>
      <c r="B289" s="104"/>
      <c r="C289" s="105"/>
      <c r="D289" s="106"/>
      <c r="E289" s="105"/>
      <c r="F289" s="105"/>
      <c r="G289" s="105"/>
      <c r="H289" s="108"/>
      <c r="I289" s="109"/>
      <c r="J289" s="110"/>
      <c r="K289" s="109"/>
      <c r="L289" s="109"/>
      <c r="M289" s="109"/>
    </row>
    <row r="290">
      <c r="A290" s="103"/>
      <c r="B290" s="104"/>
      <c r="C290" s="105"/>
      <c r="D290" s="106"/>
      <c r="E290" s="105"/>
      <c r="F290" s="105"/>
      <c r="G290" s="105"/>
      <c r="H290" s="108"/>
      <c r="I290" s="109"/>
      <c r="J290" s="110"/>
      <c r="K290" s="109"/>
      <c r="L290" s="109"/>
      <c r="M290" s="109"/>
    </row>
    <row r="291">
      <c r="A291" s="103"/>
      <c r="B291" s="104"/>
      <c r="C291" s="105"/>
      <c r="D291" s="106"/>
      <c r="E291" s="105"/>
      <c r="F291" s="105"/>
      <c r="G291" s="105"/>
      <c r="H291" s="108"/>
      <c r="I291" s="109"/>
      <c r="J291" s="110"/>
      <c r="K291" s="109"/>
      <c r="L291" s="109"/>
      <c r="M291" s="109"/>
    </row>
    <row r="292">
      <c r="A292" s="103"/>
      <c r="B292" s="104"/>
      <c r="C292" s="105"/>
      <c r="D292" s="106"/>
      <c r="E292" s="105"/>
      <c r="F292" s="105"/>
      <c r="G292" s="105"/>
      <c r="H292" s="108"/>
      <c r="I292" s="109"/>
      <c r="J292" s="110"/>
      <c r="K292" s="109"/>
      <c r="L292" s="109"/>
      <c r="M292" s="109"/>
    </row>
    <row r="293">
      <c r="A293" s="103"/>
      <c r="B293" s="104"/>
      <c r="C293" s="105"/>
      <c r="D293" s="106"/>
      <c r="E293" s="105"/>
      <c r="F293" s="105"/>
      <c r="G293" s="105"/>
      <c r="H293" s="108"/>
      <c r="I293" s="109"/>
      <c r="J293" s="110"/>
      <c r="K293" s="109"/>
      <c r="L293" s="109"/>
      <c r="M293" s="109"/>
    </row>
    <row r="294">
      <c r="A294" s="103"/>
      <c r="B294" s="104"/>
      <c r="C294" s="105"/>
      <c r="D294" s="106"/>
      <c r="E294" s="105"/>
      <c r="F294" s="105"/>
      <c r="G294" s="105"/>
      <c r="H294" s="108"/>
      <c r="I294" s="109"/>
      <c r="J294" s="110"/>
      <c r="K294" s="109"/>
      <c r="L294" s="109"/>
      <c r="M294" s="109"/>
    </row>
    <row r="295">
      <c r="A295" s="103"/>
      <c r="B295" s="104"/>
      <c r="C295" s="105"/>
      <c r="D295" s="106"/>
      <c r="E295" s="105"/>
      <c r="F295" s="105"/>
      <c r="G295" s="105"/>
      <c r="H295" s="108"/>
      <c r="I295" s="109"/>
      <c r="J295" s="110"/>
      <c r="K295" s="109"/>
      <c r="L295" s="109"/>
      <c r="M295" s="109"/>
    </row>
    <row r="296">
      <c r="A296" s="103"/>
      <c r="B296" s="104"/>
      <c r="C296" s="105"/>
      <c r="D296" s="106"/>
      <c r="E296" s="105"/>
      <c r="F296" s="105"/>
      <c r="G296" s="105"/>
      <c r="H296" s="108"/>
      <c r="I296" s="109"/>
      <c r="J296" s="110"/>
      <c r="K296" s="109"/>
      <c r="L296" s="109"/>
      <c r="M296" s="109"/>
    </row>
    <row r="297">
      <c r="A297" s="103"/>
      <c r="B297" s="104"/>
      <c r="C297" s="105"/>
      <c r="D297" s="106"/>
      <c r="E297" s="105"/>
      <c r="F297" s="105"/>
      <c r="G297" s="105"/>
      <c r="H297" s="108"/>
      <c r="I297" s="109"/>
      <c r="J297" s="110"/>
      <c r="K297" s="109"/>
      <c r="L297" s="109"/>
      <c r="M297" s="109"/>
    </row>
    <row r="298">
      <c r="A298" s="103"/>
      <c r="B298" s="104"/>
      <c r="C298" s="105"/>
      <c r="D298" s="106"/>
      <c r="E298" s="105"/>
      <c r="F298" s="105"/>
      <c r="G298" s="105"/>
      <c r="H298" s="108"/>
      <c r="I298" s="109"/>
      <c r="J298" s="110"/>
      <c r="K298" s="109"/>
      <c r="L298" s="109"/>
      <c r="M298" s="109"/>
    </row>
    <row r="299">
      <c r="A299" s="103"/>
      <c r="B299" s="104"/>
      <c r="C299" s="105"/>
      <c r="D299" s="106"/>
      <c r="E299" s="105"/>
      <c r="F299" s="105"/>
      <c r="G299" s="105"/>
      <c r="H299" s="108"/>
      <c r="I299" s="109"/>
      <c r="J299" s="110"/>
      <c r="K299" s="109"/>
      <c r="L299" s="109"/>
      <c r="M299" s="109"/>
    </row>
    <row r="300">
      <c r="A300" s="103"/>
      <c r="B300" s="104"/>
      <c r="C300" s="105"/>
      <c r="D300" s="106"/>
      <c r="E300" s="105"/>
      <c r="F300" s="105"/>
      <c r="G300" s="105"/>
      <c r="H300" s="108"/>
      <c r="I300" s="109"/>
      <c r="J300" s="110"/>
      <c r="K300" s="109"/>
      <c r="L300" s="109"/>
      <c r="M300" s="109"/>
    </row>
    <row r="301">
      <c r="A301" s="103"/>
      <c r="B301" s="104"/>
      <c r="C301" s="105"/>
      <c r="D301" s="106"/>
      <c r="E301" s="105"/>
      <c r="F301" s="105"/>
      <c r="G301" s="105"/>
      <c r="H301" s="108"/>
      <c r="I301" s="109"/>
      <c r="J301" s="110"/>
      <c r="K301" s="109"/>
      <c r="L301" s="109"/>
      <c r="M301" s="109"/>
    </row>
    <row r="302">
      <c r="A302" s="103"/>
      <c r="B302" s="104"/>
      <c r="C302" s="105"/>
      <c r="D302" s="106"/>
      <c r="E302" s="105"/>
      <c r="F302" s="105"/>
      <c r="G302" s="105"/>
      <c r="H302" s="108"/>
      <c r="I302" s="109"/>
      <c r="J302" s="110"/>
      <c r="K302" s="109"/>
      <c r="L302" s="109"/>
      <c r="M302" s="109"/>
    </row>
    <row r="303">
      <c r="A303" s="103"/>
      <c r="B303" s="104"/>
      <c r="C303" s="105"/>
      <c r="D303" s="106"/>
      <c r="E303" s="105"/>
      <c r="F303" s="105"/>
      <c r="G303" s="105"/>
      <c r="H303" s="108"/>
      <c r="I303" s="109"/>
      <c r="J303" s="110"/>
      <c r="K303" s="109"/>
      <c r="L303" s="109"/>
      <c r="M303" s="109"/>
    </row>
    <row r="304">
      <c r="A304" s="103"/>
      <c r="B304" s="104"/>
      <c r="C304" s="105"/>
      <c r="D304" s="106"/>
      <c r="E304" s="105"/>
      <c r="F304" s="105"/>
      <c r="G304" s="105"/>
      <c r="H304" s="108"/>
      <c r="I304" s="109"/>
      <c r="J304" s="110"/>
      <c r="K304" s="109"/>
      <c r="L304" s="109"/>
      <c r="M304" s="109"/>
    </row>
    <row r="305">
      <c r="A305" s="103"/>
      <c r="B305" s="104"/>
      <c r="C305" s="105"/>
      <c r="D305" s="106"/>
      <c r="E305" s="105"/>
      <c r="F305" s="105"/>
      <c r="G305" s="105"/>
      <c r="H305" s="108"/>
      <c r="I305" s="109"/>
      <c r="J305" s="110"/>
      <c r="K305" s="109"/>
      <c r="L305" s="109"/>
      <c r="M305" s="109"/>
    </row>
    <row r="306">
      <c r="A306" s="103"/>
      <c r="B306" s="104"/>
      <c r="C306" s="105"/>
      <c r="D306" s="106"/>
      <c r="E306" s="105"/>
      <c r="F306" s="105"/>
      <c r="G306" s="105"/>
      <c r="H306" s="108"/>
      <c r="I306" s="109"/>
      <c r="J306" s="110"/>
      <c r="K306" s="109"/>
      <c r="L306" s="109"/>
      <c r="M306" s="109"/>
    </row>
    <row r="307">
      <c r="A307" s="103"/>
      <c r="B307" s="104"/>
      <c r="C307" s="105"/>
      <c r="D307" s="106"/>
      <c r="E307" s="105"/>
      <c r="F307" s="105"/>
      <c r="G307" s="105"/>
      <c r="H307" s="108"/>
      <c r="I307" s="109"/>
      <c r="J307" s="110"/>
      <c r="K307" s="109"/>
      <c r="L307" s="109"/>
      <c r="M307" s="109"/>
    </row>
    <row r="308">
      <c r="A308" s="103"/>
      <c r="B308" s="104"/>
      <c r="C308" s="105"/>
      <c r="D308" s="106"/>
      <c r="E308" s="105"/>
      <c r="F308" s="105"/>
      <c r="G308" s="105"/>
      <c r="H308" s="108"/>
      <c r="I308" s="109"/>
      <c r="J308" s="110"/>
      <c r="K308" s="109"/>
      <c r="L308" s="109"/>
      <c r="M308" s="109"/>
    </row>
    <row r="309">
      <c r="A309" s="103"/>
      <c r="B309" s="104"/>
      <c r="C309" s="105"/>
      <c r="D309" s="106"/>
      <c r="E309" s="105"/>
      <c r="F309" s="105"/>
      <c r="G309" s="105"/>
      <c r="H309" s="108"/>
      <c r="I309" s="109"/>
      <c r="J309" s="110"/>
      <c r="K309" s="109"/>
      <c r="L309" s="109"/>
      <c r="M309" s="109"/>
    </row>
    <row r="310">
      <c r="A310" s="103"/>
      <c r="B310" s="104"/>
      <c r="C310" s="105"/>
      <c r="D310" s="106"/>
      <c r="E310" s="105"/>
      <c r="F310" s="105"/>
      <c r="G310" s="105"/>
      <c r="H310" s="108"/>
      <c r="I310" s="109"/>
      <c r="J310" s="110"/>
      <c r="K310" s="109"/>
      <c r="L310" s="109"/>
      <c r="M310" s="109"/>
    </row>
    <row r="311">
      <c r="A311" s="103"/>
      <c r="B311" s="104"/>
      <c r="C311" s="105"/>
      <c r="D311" s="106"/>
      <c r="E311" s="105"/>
      <c r="F311" s="105"/>
      <c r="G311" s="105"/>
      <c r="H311" s="108"/>
      <c r="I311" s="109"/>
      <c r="J311" s="110"/>
      <c r="K311" s="109"/>
      <c r="L311" s="109"/>
      <c r="M311" s="109"/>
    </row>
    <row r="312">
      <c r="A312" s="103"/>
      <c r="B312" s="104"/>
      <c r="C312" s="105"/>
      <c r="D312" s="106"/>
      <c r="E312" s="105"/>
      <c r="F312" s="105"/>
      <c r="G312" s="105"/>
      <c r="H312" s="108"/>
      <c r="I312" s="109"/>
      <c r="J312" s="110"/>
      <c r="K312" s="109"/>
      <c r="L312" s="109"/>
      <c r="M312" s="109"/>
    </row>
    <row r="313">
      <c r="A313" s="103"/>
      <c r="B313" s="104"/>
      <c r="C313" s="105"/>
      <c r="D313" s="106"/>
      <c r="E313" s="105"/>
      <c r="F313" s="105"/>
      <c r="G313" s="105"/>
      <c r="H313" s="108"/>
      <c r="I313" s="109"/>
      <c r="J313" s="110"/>
      <c r="K313" s="109"/>
      <c r="L313" s="109"/>
      <c r="M313" s="109"/>
    </row>
    <row r="314">
      <c r="A314" s="103"/>
      <c r="B314" s="104"/>
      <c r="C314" s="105"/>
      <c r="D314" s="106"/>
      <c r="E314" s="105"/>
      <c r="F314" s="105"/>
      <c r="G314" s="105"/>
      <c r="H314" s="108"/>
      <c r="I314" s="109"/>
      <c r="J314" s="110"/>
      <c r="K314" s="109"/>
      <c r="L314" s="109"/>
      <c r="M314" s="109"/>
    </row>
    <row r="315">
      <c r="A315" s="103"/>
      <c r="B315" s="104"/>
      <c r="C315" s="105"/>
      <c r="D315" s="106"/>
      <c r="E315" s="105"/>
      <c r="F315" s="105"/>
      <c r="G315" s="105"/>
      <c r="H315" s="108"/>
      <c r="I315" s="109"/>
      <c r="J315" s="110"/>
      <c r="K315" s="109"/>
      <c r="L315" s="109"/>
      <c r="M315" s="109"/>
    </row>
    <row r="316">
      <c r="A316" s="103"/>
      <c r="B316" s="104"/>
      <c r="C316" s="105"/>
      <c r="D316" s="106"/>
      <c r="E316" s="105"/>
      <c r="F316" s="105"/>
      <c r="G316" s="105"/>
      <c r="H316" s="108"/>
      <c r="I316" s="109"/>
      <c r="J316" s="110"/>
      <c r="K316" s="109"/>
      <c r="L316" s="109"/>
      <c r="M316" s="109"/>
    </row>
    <row r="317">
      <c r="A317" s="103"/>
      <c r="B317" s="104"/>
      <c r="C317" s="105"/>
      <c r="D317" s="106"/>
      <c r="E317" s="105"/>
      <c r="F317" s="105"/>
      <c r="G317" s="105"/>
      <c r="H317" s="108"/>
      <c r="I317" s="109"/>
      <c r="J317" s="110"/>
      <c r="K317" s="109"/>
      <c r="L317" s="109"/>
      <c r="M317" s="109"/>
    </row>
    <row r="318">
      <c r="A318" s="103"/>
      <c r="B318" s="104"/>
      <c r="C318" s="105"/>
      <c r="D318" s="106"/>
      <c r="E318" s="105"/>
      <c r="F318" s="105"/>
      <c r="G318" s="105"/>
      <c r="H318" s="108"/>
      <c r="I318" s="109"/>
      <c r="J318" s="110"/>
      <c r="K318" s="109"/>
      <c r="L318" s="109"/>
      <c r="M318" s="109"/>
    </row>
    <row r="319">
      <c r="A319" s="103"/>
      <c r="B319" s="104"/>
      <c r="C319" s="105"/>
      <c r="D319" s="106"/>
      <c r="E319" s="105"/>
      <c r="F319" s="105"/>
      <c r="G319" s="105"/>
      <c r="H319" s="108"/>
      <c r="I319" s="109"/>
      <c r="J319" s="110"/>
      <c r="K319" s="109"/>
      <c r="L319" s="109"/>
      <c r="M319" s="109"/>
    </row>
    <row r="320">
      <c r="A320" s="103"/>
      <c r="B320" s="104"/>
      <c r="C320" s="105"/>
      <c r="D320" s="106"/>
      <c r="E320" s="105"/>
      <c r="F320" s="105"/>
      <c r="G320" s="105"/>
      <c r="H320" s="108"/>
      <c r="I320" s="109"/>
      <c r="J320" s="110"/>
      <c r="K320" s="109"/>
      <c r="L320" s="109"/>
      <c r="M320" s="109"/>
    </row>
    <row r="321">
      <c r="A321" s="103"/>
      <c r="B321" s="104"/>
      <c r="C321" s="105"/>
      <c r="D321" s="106"/>
      <c r="E321" s="105"/>
      <c r="F321" s="105"/>
      <c r="G321" s="105"/>
      <c r="H321" s="108"/>
      <c r="I321" s="109"/>
      <c r="J321" s="110"/>
      <c r="K321" s="109"/>
      <c r="L321" s="109"/>
      <c r="M321" s="109"/>
    </row>
    <row r="322">
      <c r="A322" s="103"/>
      <c r="B322" s="104"/>
      <c r="C322" s="105"/>
      <c r="D322" s="106"/>
      <c r="E322" s="105"/>
      <c r="F322" s="105"/>
      <c r="G322" s="105"/>
      <c r="H322" s="108"/>
      <c r="I322" s="109"/>
      <c r="J322" s="110"/>
      <c r="K322" s="109"/>
      <c r="L322" s="109"/>
      <c r="M322" s="109"/>
    </row>
    <row r="323">
      <c r="A323" s="103"/>
      <c r="B323" s="104"/>
      <c r="C323" s="105"/>
      <c r="D323" s="106"/>
      <c r="E323" s="105"/>
      <c r="F323" s="105"/>
      <c r="G323" s="105"/>
      <c r="H323" s="108"/>
      <c r="I323" s="109"/>
      <c r="J323" s="110"/>
      <c r="K323" s="109"/>
      <c r="L323" s="109"/>
      <c r="M323" s="109"/>
    </row>
    <row r="324">
      <c r="A324" s="103"/>
      <c r="B324" s="104"/>
      <c r="C324" s="105"/>
      <c r="D324" s="106"/>
      <c r="E324" s="105"/>
      <c r="F324" s="105"/>
      <c r="G324" s="105"/>
      <c r="H324" s="108"/>
      <c r="I324" s="109"/>
      <c r="J324" s="110"/>
      <c r="K324" s="109"/>
      <c r="L324" s="109"/>
      <c r="M324" s="109"/>
    </row>
    <row r="325">
      <c r="A325" s="103"/>
      <c r="B325" s="104"/>
      <c r="C325" s="105"/>
      <c r="D325" s="106"/>
      <c r="E325" s="105"/>
      <c r="F325" s="105"/>
      <c r="G325" s="105"/>
      <c r="H325" s="108"/>
      <c r="I325" s="109"/>
      <c r="J325" s="110"/>
      <c r="K325" s="109"/>
      <c r="L325" s="109"/>
      <c r="M325" s="109"/>
    </row>
    <row r="326">
      <c r="A326" s="103"/>
      <c r="B326" s="104"/>
      <c r="C326" s="105"/>
      <c r="D326" s="106"/>
      <c r="E326" s="105"/>
      <c r="F326" s="105"/>
      <c r="G326" s="105"/>
      <c r="H326" s="108"/>
      <c r="I326" s="109"/>
      <c r="J326" s="110"/>
      <c r="K326" s="109"/>
      <c r="L326" s="109"/>
      <c r="M326" s="109"/>
    </row>
    <row r="327">
      <c r="A327" s="103"/>
      <c r="B327" s="104"/>
      <c r="C327" s="105"/>
      <c r="D327" s="106"/>
      <c r="E327" s="105"/>
      <c r="F327" s="105"/>
      <c r="G327" s="105"/>
      <c r="H327" s="108"/>
      <c r="I327" s="109"/>
      <c r="J327" s="110"/>
      <c r="K327" s="109"/>
      <c r="L327" s="109"/>
      <c r="M327" s="109"/>
    </row>
    <row r="328">
      <c r="A328" s="103"/>
      <c r="B328" s="104"/>
      <c r="C328" s="105"/>
      <c r="D328" s="106"/>
      <c r="E328" s="105"/>
      <c r="F328" s="105"/>
      <c r="G328" s="105"/>
      <c r="H328" s="108"/>
      <c r="I328" s="109"/>
      <c r="J328" s="110"/>
      <c r="K328" s="109"/>
      <c r="L328" s="109"/>
      <c r="M328" s="109"/>
    </row>
    <row r="329">
      <c r="A329" s="103"/>
      <c r="B329" s="104"/>
      <c r="C329" s="105"/>
      <c r="D329" s="106"/>
      <c r="E329" s="105"/>
      <c r="F329" s="105"/>
      <c r="G329" s="105"/>
      <c r="H329" s="108"/>
      <c r="I329" s="109"/>
      <c r="J329" s="110"/>
      <c r="K329" s="109"/>
      <c r="L329" s="109"/>
      <c r="M329" s="109"/>
    </row>
    <row r="330">
      <c r="A330" s="103"/>
      <c r="B330" s="104"/>
      <c r="C330" s="105"/>
      <c r="D330" s="106"/>
      <c r="E330" s="105"/>
      <c r="F330" s="105"/>
      <c r="G330" s="105"/>
      <c r="H330" s="108"/>
      <c r="I330" s="109"/>
      <c r="J330" s="110"/>
      <c r="K330" s="109"/>
      <c r="L330" s="109"/>
      <c r="M330" s="109"/>
    </row>
    <row r="331">
      <c r="A331" s="103"/>
      <c r="B331" s="104"/>
      <c r="C331" s="105"/>
      <c r="D331" s="106"/>
      <c r="E331" s="105"/>
      <c r="F331" s="105"/>
      <c r="G331" s="105"/>
      <c r="H331" s="108"/>
      <c r="I331" s="109"/>
      <c r="J331" s="110"/>
      <c r="K331" s="109"/>
      <c r="L331" s="109"/>
      <c r="M331" s="109"/>
    </row>
    <row r="332">
      <c r="A332" s="103"/>
      <c r="B332" s="104"/>
      <c r="C332" s="105"/>
      <c r="D332" s="106"/>
      <c r="E332" s="105"/>
      <c r="F332" s="105"/>
      <c r="G332" s="105"/>
      <c r="H332" s="108"/>
      <c r="I332" s="109"/>
      <c r="J332" s="110"/>
      <c r="K332" s="109"/>
      <c r="L332" s="109"/>
      <c r="M332" s="109"/>
    </row>
    <row r="333">
      <c r="A333" s="103"/>
      <c r="B333" s="104"/>
      <c r="C333" s="105"/>
      <c r="D333" s="106"/>
      <c r="E333" s="105"/>
      <c r="F333" s="105"/>
      <c r="G333" s="105"/>
      <c r="H333" s="108"/>
      <c r="I333" s="109"/>
      <c r="J333" s="110"/>
      <c r="K333" s="109"/>
      <c r="L333" s="109"/>
      <c r="M333" s="109"/>
    </row>
    <row r="334">
      <c r="A334" s="103"/>
      <c r="B334" s="104"/>
      <c r="C334" s="105"/>
      <c r="D334" s="106"/>
      <c r="E334" s="105"/>
      <c r="F334" s="105"/>
      <c r="G334" s="105"/>
      <c r="H334" s="108"/>
      <c r="I334" s="109"/>
      <c r="J334" s="110"/>
      <c r="K334" s="109"/>
      <c r="L334" s="109"/>
      <c r="M334" s="109"/>
    </row>
    <row r="335">
      <c r="A335" s="103"/>
      <c r="B335" s="104"/>
      <c r="C335" s="105"/>
      <c r="D335" s="106"/>
      <c r="E335" s="105"/>
      <c r="F335" s="105"/>
      <c r="G335" s="105"/>
      <c r="H335" s="108"/>
      <c r="I335" s="109"/>
      <c r="J335" s="110"/>
      <c r="K335" s="109"/>
      <c r="L335" s="109"/>
      <c r="M335" s="109"/>
    </row>
    <row r="336">
      <c r="A336" s="103"/>
      <c r="B336" s="104"/>
      <c r="C336" s="105"/>
      <c r="D336" s="106"/>
      <c r="E336" s="105"/>
      <c r="F336" s="105"/>
      <c r="G336" s="105"/>
      <c r="H336" s="108"/>
      <c r="I336" s="109"/>
      <c r="J336" s="110"/>
      <c r="K336" s="109"/>
      <c r="L336" s="109"/>
      <c r="M336" s="109"/>
    </row>
    <row r="337">
      <c r="A337" s="103"/>
      <c r="B337" s="104"/>
      <c r="C337" s="105"/>
      <c r="D337" s="106"/>
      <c r="E337" s="105"/>
      <c r="F337" s="105"/>
      <c r="G337" s="105"/>
      <c r="H337" s="108"/>
      <c r="I337" s="109"/>
      <c r="J337" s="110"/>
      <c r="K337" s="109"/>
      <c r="L337" s="109"/>
      <c r="M337" s="109"/>
    </row>
    <row r="338">
      <c r="A338" s="103"/>
      <c r="B338" s="104"/>
      <c r="C338" s="105"/>
      <c r="D338" s="106"/>
      <c r="E338" s="105"/>
      <c r="F338" s="105"/>
      <c r="G338" s="105"/>
      <c r="H338" s="108"/>
      <c r="I338" s="109"/>
      <c r="J338" s="110"/>
      <c r="K338" s="109"/>
      <c r="L338" s="109"/>
      <c r="M338" s="109"/>
    </row>
    <row r="339">
      <c r="A339" s="103"/>
      <c r="B339" s="104"/>
      <c r="C339" s="105"/>
      <c r="D339" s="106"/>
      <c r="E339" s="105"/>
      <c r="F339" s="105"/>
      <c r="G339" s="105"/>
      <c r="H339" s="108"/>
      <c r="I339" s="109"/>
      <c r="J339" s="110"/>
      <c r="K339" s="109"/>
      <c r="L339" s="109"/>
      <c r="M339" s="109"/>
    </row>
    <row r="340">
      <c r="A340" s="103"/>
      <c r="B340" s="104"/>
      <c r="C340" s="105"/>
      <c r="D340" s="106"/>
      <c r="E340" s="105"/>
      <c r="F340" s="105"/>
      <c r="G340" s="105"/>
      <c r="H340" s="108"/>
      <c r="I340" s="109"/>
      <c r="J340" s="110"/>
      <c r="K340" s="109"/>
      <c r="L340" s="109"/>
      <c r="M340" s="109"/>
    </row>
    <row r="341">
      <c r="A341" s="103"/>
      <c r="B341" s="104"/>
      <c r="C341" s="105"/>
      <c r="D341" s="106"/>
      <c r="E341" s="105"/>
      <c r="F341" s="105"/>
      <c r="G341" s="105"/>
      <c r="H341" s="108"/>
      <c r="I341" s="109"/>
      <c r="J341" s="110"/>
      <c r="K341" s="109"/>
      <c r="L341" s="109"/>
      <c r="M341" s="109"/>
    </row>
    <row r="342">
      <c r="A342" s="103"/>
      <c r="B342" s="104"/>
      <c r="C342" s="105"/>
      <c r="D342" s="106"/>
      <c r="E342" s="105"/>
      <c r="F342" s="105"/>
      <c r="G342" s="105"/>
      <c r="H342" s="108"/>
      <c r="I342" s="109"/>
      <c r="J342" s="110"/>
      <c r="K342" s="109"/>
      <c r="L342" s="109"/>
      <c r="M342" s="109"/>
    </row>
    <row r="343">
      <c r="A343" s="103"/>
      <c r="B343" s="104"/>
      <c r="C343" s="105"/>
      <c r="D343" s="106"/>
      <c r="E343" s="105"/>
      <c r="F343" s="105"/>
      <c r="G343" s="105"/>
      <c r="H343" s="108"/>
      <c r="I343" s="109"/>
      <c r="J343" s="110"/>
      <c r="K343" s="109"/>
      <c r="L343" s="109"/>
      <c r="M343" s="109"/>
    </row>
    <row r="344">
      <c r="A344" s="103"/>
      <c r="B344" s="104"/>
      <c r="C344" s="105"/>
      <c r="D344" s="106"/>
      <c r="E344" s="105"/>
      <c r="F344" s="105"/>
      <c r="G344" s="105"/>
      <c r="H344" s="108"/>
      <c r="I344" s="109"/>
      <c r="J344" s="110"/>
      <c r="K344" s="109"/>
      <c r="L344" s="109"/>
      <c r="M344" s="109"/>
    </row>
    <row r="345">
      <c r="A345" s="103"/>
      <c r="B345" s="104"/>
      <c r="C345" s="105"/>
      <c r="D345" s="106"/>
      <c r="E345" s="105"/>
      <c r="F345" s="105"/>
      <c r="G345" s="105"/>
      <c r="H345" s="108"/>
      <c r="I345" s="109"/>
      <c r="J345" s="110"/>
      <c r="K345" s="109"/>
      <c r="L345" s="109"/>
      <c r="M345" s="109"/>
    </row>
    <row r="346">
      <c r="A346" s="103"/>
      <c r="B346" s="104"/>
      <c r="C346" s="105"/>
      <c r="D346" s="106"/>
      <c r="E346" s="105"/>
      <c r="F346" s="105"/>
      <c r="G346" s="105"/>
      <c r="H346" s="108"/>
      <c r="I346" s="109"/>
      <c r="J346" s="110"/>
      <c r="K346" s="109"/>
      <c r="L346" s="109"/>
      <c r="M346" s="109"/>
    </row>
    <row r="347">
      <c r="A347" s="103"/>
      <c r="B347" s="104"/>
      <c r="C347" s="105"/>
      <c r="D347" s="106"/>
      <c r="E347" s="105"/>
      <c r="F347" s="105"/>
      <c r="G347" s="105"/>
      <c r="H347" s="108"/>
      <c r="I347" s="109"/>
      <c r="J347" s="110"/>
      <c r="K347" s="109"/>
      <c r="L347" s="109"/>
      <c r="M347" s="109"/>
    </row>
    <row r="348">
      <c r="A348" s="103"/>
      <c r="B348" s="104"/>
      <c r="C348" s="105"/>
      <c r="D348" s="106"/>
      <c r="E348" s="105"/>
      <c r="F348" s="105"/>
      <c r="G348" s="105"/>
      <c r="H348" s="108"/>
      <c r="I348" s="109"/>
      <c r="J348" s="110"/>
      <c r="K348" s="109"/>
      <c r="L348" s="109"/>
      <c r="M348" s="109"/>
    </row>
    <row r="349">
      <c r="A349" s="103"/>
      <c r="B349" s="104"/>
      <c r="C349" s="105"/>
      <c r="D349" s="106"/>
      <c r="E349" s="105"/>
      <c r="F349" s="105"/>
      <c r="G349" s="105"/>
      <c r="H349" s="108"/>
      <c r="I349" s="109"/>
      <c r="J349" s="110"/>
      <c r="K349" s="109"/>
      <c r="L349" s="109"/>
      <c r="M349" s="109"/>
    </row>
    <row r="350">
      <c r="A350" s="103"/>
      <c r="B350" s="104"/>
      <c r="C350" s="105"/>
      <c r="D350" s="106"/>
      <c r="E350" s="105"/>
      <c r="F350" s="105"/>
      <c r="G350" s="105"/>
      <c r="H350" s="108"/>
      <c r="I350" s="109"/>
      <c r="J350" s="110"/>
      <c r="K350" s="109"/>
      <c r="L350" s="109"/>
      <c r="M350" s="109"/>
    </row>
    <row r="351">
      <c r="A351" s="103"/>
      <c r="B351" s="104"/>
      <c r="C351" s="105"/>
      <c r="D351" s="106"/>
      <c r="E351" s="105"/>
      <c r="F351" s="105"/>
      <c r="G351" s="105"/>
      <c r="H351" s="108"/>
      <c r="I351" s="109"/>
      <c r="J351" s="110"/>
      <c r="K351" s="109"/>
      <c r="L351" s="109"/>
      <c r="M351" s="109"/>
    </row>
    <row r="352">
      <c r="A352" s="103"/>
      <c r="B352" s="104"/>
      <c r="C352" s="105"/>
      <c r="D352" s="106"/>
      <c r="E352" s="105"/>
      <c r="F352" s="105"/>
      <c r="G352" s="105"/>
      <c r="H352" s="108"/>
      <c r="I352" s="109"/>
      <c r="J352" s="110"/>
      <c r="K352" s="109"/>
      <c r="L352" s="109"/>
      <c r="M352" s="109"/>
    </row>
    <row r="353">
      <c r="A353" s="103"/>
      <c r="B353" s="104"/>
      <c r="C353" s="105"/>
      <c r="D353" s="106"/>
      <c r="E353" s="105"/>
      <c r="F353" s="105"/>
      <c r="G353" s="105"/>
      <c r="H353" s="108"/>
      <c r="I353" s="109"/>
      <c r="J353" s="110"/>
      <c r="K353" s="109"/>
      <c r="L353" s="109"/>
      <c r="M353" s="109"/>
    </row>
    <row r="354">
      <c r="A354" s="103"/>
      <c r="B354" s="104"/>
      <c r="C354" s="105"/>
      <c r="D354" s="106"/>
      <c r="E354" s="105"/>
      <c r="F354" s="105"/>
      <c r="G354" s="105"/>
      <c r="H354" s="108"/>
      <c r="I354" s="109"/>
      <c r="J354" s="110"/>
      <c r="K354" s="109"/>
      <c r="L354" s="109"/>
      <c r="M354" s="109"/>
    </row>
    <row r="355">
      <c r="A355" s="103"/>
      <c r="B355" s="104"/>
      <c r="C355" s="105"/>
      <c r="D355" s="106"/>
      <c r="E355" s="105"/>
      <c r="F355" s="105"/>
      <c r="G355" s="105"/>
      <c r="H355" s="108"/>
      <c r="I355" s="109"/>
      <c r="J355" s="110"/>
      <c r="K355" s="109"/>
      <c r="L355" s="109"/>
      <c r="M355" s="109"/>
    </row>
    <row r="356">
      <c r="A356" s="103"/>
      <c r="B356" s="104"/>
      <c r="C356" s="105"/>
      <c r="D356" s="106"/>
      <c r="E356" s="105"/>
      <c r="F356" s="105"/>
      <c r="G356" s="105"/>
      <c r="H356" s="108"/>
      <c r="I356" s="109"/>
      <c r="J356" s="110"/>
      <c r="K356" s="109"/>
      <c r="L356" s="109"/>
      <c r="M356" s="109"/>
    </row>
    <row r="357">
      <c r="A357" s="103"/>
      <c r="B357" s="104"/>
      <c r="C357" s="105"/>
      <c r="D357" s="106"/>
      <c r="E357" s="105"/>
      <c r="F357" s="105"/>
      <c r="G357" s="105"/>
      <c r="H357" s="108"/>
      <c r="I357" s="109"/>
      <c r="J357" s="110"/>
      <c r="K357" s="109"/>
      <c r="L357" s="109"/>
      <c r="M357" s="109"/>
    </row>
    <row r="358">
      <c r="A358" s="103"/>
      <c r="B358" s="104"/>
      <c r="C358" s="105"/>
      <c r="D358" s="106"/>
      <c r="E358" s="105"/>
      <c r="F358" s="105"/>
      <c r="G358" s="105"/>
      <c r="H358" s="108"/>
      <c r="I358" s="109"/>
      <c r="J358" s="110"/>
      <c r="K358" s="109"/>
      <c r="L358" s="109"/>
      <c r="M358" s="109"/>
    </row>
    <row r="359">
      <c r="A359" s="103"/>
      <c r="B359" s="104"/>
      <c r="C359" s="105"/>
      <c r="D359" s="106"/>
      <c r="E359" s="105"/>
      <c r="F359" s="105"/>
      <c r="G359" s="105"/>
      <c r="H359" s="108"/>
      <c r="I359" s="109"/>
      <c r="J359" s="110"/>
      <c r="K359" s="109"/>
      <c r="L359" s="109"/>
      <c r="M359" s="109"/>
    </row>
    <row r="360">
      <c r="A360" s="103"/>
      <c r="B360" s="104"/>
      <c r="C360" s="105"/>
      <c r="D360" s="106"/>
      <c r="E360" s="105"/>
      <c r="F360" s="105"/>
      <c r="G360" s="105"/>
      <c r="H360" s="108"/>
      <c r="I360" s="109"/>
      <c r="J360" s="110"/>
      <c r="K360" s="109"/>
      <c r="L360" s="109"/>
      <c r="M360" s="109"/>
    </row>
    <row r="361">
      <c r="A361" s="103"/>
      <c r="B361" s="104"/>
      <c r="C361" s="105"/>
      <c r="D361" s="106"/>
      <c r="E361" s="105"/>
      <c r="F361" s="105"/>
      <c r="G361" s="105"/>
      <c r="H361" s="108"/>
      <c r="I361" s="109"/>
      <c r="J361" s="110"/>
      <c r="K361" s="109"/>
      <c r="L361" s="109"/>
      <c r="M361" s="109"/>
    </row>
    <row r="362">
      <c r="A362" s="103"/>
      <c r="B362" s="104"/>
      <c r="C362" s="105"/>
      <c r="D362" s="106"/>
      <c r="E362" s="105"/>
      <c r="F362" s="105"/>
      <c r="G362" s="105"/>
      <c r="H362" s="108"/>
      <c r="I362" s="109"/>
      <c r="J362" s="110"/>
      <c r="K362" s="109"/>
      <c r="L362" s="109"/>
      <c r="M362" s="109"/>
    </row>
    <row r="363">
      <c r="A363" s="103"/>
      <c r="B363" s="104"/>
      <c r="C363" s="105"/>
      <c r="D363" s="106"/>
      <c r="E363" s="105"/>
      <c r="F363" s="105"/>
      <c r="G363" s="105"/>
      <c r="H363" s="108"/>
      <c r="I363" s="109"/>
      <c r="J363" s="110"/>
      <c r="K363" s="109"/>
      <c r="L363" s="109"/>
      <c r="M363" s="109"/>
    </row>
    <row r="364">
      <c r="A364" s="103"/>
      <c r="B364" s="104"/>
      <c r="C364" s="105"/>
      <c r="D364" s="106"/>
      <c r="E364" s="105"/>
      <c r="F364" s="105"/>
      <c r="G364" s="105"/>
      <c r="H364" s="108"/>
      <c r="I364" s="109"/>
      <c r="J364" s="110"/>
      <c r="K364" s="109"/>
      <c r="L364" s="109"/>
      <c r="M364" s="109"/>
    </row>
    <row r="365">
      <c r="A365" s="103"/>
      <c r="B365" s="104"/>
      <c r="C365" s="105"/>
      <c r="D365" s="106"/>
      <c r="E365" s="105"/>
      <c r="F365" s="105"/>
      <c r="G365" s="105"/>
      <c r="H365" s="108"/>
      <c r="I365" s="109"/>
      <c r="J365" s="110"/>
      <c r="K365" s="109"/>
      <c r="L365" s="109"/>
      <c r="M365" s="109"/>
    </row>
    <row r="366">
      <c r="A366" s="103"/>
      <c r="B366" s="104"/>
      <c r="C366" s="105"/>
      <c r="D366" s="106"/>
      <c r="E366" s="105"/>
      <c r="F366" s="105"/>
      <c r="G366" s="105"/>
      <c r="H366" s="108"/>
      <c r="I366" s="109"/>
      <c r="J366" s="110"/>
      <c r="K366" s="109"/>
      <c r="L366" s="109"/>
      <c r="M366" s="109"/>
    </row>
    <row r="367">
      <c r="A367" s="103"/>
      <c r="B367" s="104"/>
      <c r="C367" s="105"/>
      <c r="D367" s="106"/>
      <c r="E367" s="105"/>
      <c r="F367" s="105"/>
      <c r="G367" s="105"/>
      <c r="H367" s="108"/>
      <c r="I367" s="109"/>
      <c r="J367" s="110"/>
      <c r="K367" s="109"/>
      <c r="L367" s="109"/>
      <c r="M367" s="109"/>
    </row>
    <row r="368">
      <c r="A368" s="103"/>
      <c r="B368" s="104"/>
      <c r="C368" s="105"/>
      <c r="D368" s="106"/>
      <c r="E368" s="105"/>
      <c r="F368" s="105"/>
      <c r="G368" s="105"/>
      <c r="H368" s="108"/>
      <c r="I368" s="109"/>
      <c r="J368" s="110"/>
      <c r="K368" s="109"/>
      <c r="L368" s="109"/>
      <c r="M368" s="109"/>
    </row>
    <row r="369">
      <c r="A369" s="103"/>
      <c r="B369" s="104"/>
      <c r="C369" s="105"/>
      <c r="D369" s="106"/>
      <c r="E369" s="105"/>
      <c r="F369" s="105"/>
      <c r="G369" s="105"/>
      <c r="H369" s="108"/>
      <c r="I369" s="109"/>
      <c r="J369" s="110"/>
      <c r="K369" s="109"/>
      <c r="L369" s="109"/>
      <c r="M369" s="109"/>
    </row>
    <row r="370">
      <c r="A370" s="103"/>
      <c r="B370" s="104"/>
      <c r="C370" s="105"/>
      <c r="D370" s="106"/>
      <c r="E370" s="105"/>
      <c r="F370" s="105"/>
      <c r="G370" s="105"/>
      <c r="H370" s="108"/>
      <c r="I370" s="109"/>
      <c r="J370" s="110"/>
      <c r="K370" s="109"/>
      <c r="L370" s="109"/>
      <c r="M370" s="109"/>
    </row>
    <row r="371">
      <c r="A371" s="103"/>
      <c r="B371" s="104"/>
      <c r="C371" s="105"/>
      <c r="D371" s="106"/>
      <c r="E371" s="105"/>
      <c r="F371" s="105"/>
      <c r="G371" s="105"/>
      <c r="H371" s="108"/>
      <c r="I371" s="109"/>
      <c r="J371" s="110"/>
      <c r="K371" s="109"/>
      <c r="L371" s="109"/>
      <c r="M371" s="109"/>
    </row>
    <row r="372">
      <c r="A372" s="103"/>
      <c r="B372" s="104"/>
      <c r="C372" s="105"/>
      <c r="D372" s="106"/>
      <c r="E372" s="105"/>
      <c r="F372" s="105"/>
      <c r="G372" s="105"/>
      <c r="H372" s="108"/>
      <c r="I372" s="109"/>
      <c r="J372" s="110"/>
      <c r="K372" s="109"/>
      <c r="L372" s="109"/>
      <c r="M372" s="109"/>
    </row>
    <row r="373">
      <c r="A373" s="103"/>
      <c r="B373" s="104"/>
      <c r="C373" s="105"/>
      <c r="D373" s="106"/>
      <c r="E373" s="105"/>
      <c r="F373" s="105"/>
      <c r="G373" s="105"/>
      <c r="H373" s="108"/>
      <c r="I373" s="109"/>
      <c r="J373" s="110"/>
      <c r="K373" s="109"/>
      <c r="L373" s="109"/>
      <c r="M373" s="109"/>
    </row>
    <row r="374">
      <c r="A374" s="103"/>
      <c r="B374" s="104"/>
      <c r="C374" s="105"/>
      <c r="D374" s="106"/>
      <c r="E374" s="105"/>
      <c r="F374" s="105"/>
      <c r="G374" s="105"/>
      <c r="H374" s="108"/>
      <c r="I374" s="109"/>
      <c r="J374" s="110"/>
      <c r="K374" s="109"/>
      <c r="L374" s="109"/>
      <c r="M374" s="109"/>
    </row>
    <row r="375">
      <c r="A375" s="103"/>
      <c r="B375" s="104"/>
      <c r="C375" s="105"/>
      <c r="D375" s="106"/>
      <c r="E375" s="105"/>
      <c r="F375" s="105"/>
      <c r="G375" s="105"/>
      <c r="H375" s="108"/>
      <c r="I375" s="109"/>
      <c r="J375" s="110"/>
      <c r="K375" s="109"/>
      <c r="L375" s="109"/>
      <c r="M375" s="109"/>
    </row>
    <row r="376">
      <c r="A376" s="103"/>
      <c r="B376" s="104"/>
      <c r="C376" s="105"/>
      <c r="D376" s="106"/>
      <c r="E376" s="105"/>
      <c r="F376" s="105"/>
      <c r="G376" s="105"/>
      <c r="H376" s="108"/>
      <c r="I376" s="109"/>
      <c r="J376" s="110"/>
      <c r="K376" s="109"/>
      <c r="L376" s="109"/>
      <c r="M376" s="109"/>
    </row>
    <row r="377">
      <c r="A377" s="103"/>
      <c r="B377" s="104"/>
      <c r="C377" s="105"/>
      <c r="D377" s="106"/>
      <c r="E377" s="105"/>
      <c r="F377" s="105"/>
      <c r="G377" s="105"/>
      <c r="H377" s="108"/>
      <c r="I377" s="109"/>
      <c r="J377" s="110"/>
      <c r="K377" s="109"/>
      <c r="L377" s="109"/>
      <c r="M377" s="109"/>
    </row>
    <row r="378">
      <c r="A378" s="103"/>
      <c r="B378" s="104"/>
      <c r="C378" s="105"/>
      <c r="D378" s="106"/>
      <c r="E378" s="105"/>
      <c r="F378" s="105"/>
      <c r="G378" s="105"/>
      <c r="H378" s="108"/>
      <c r="I378" s="109"/>
      <c r="J378" s="110"/>
      <c r="K378" s="109"/>
      <c r="L378" s="109"/>
      <c r="M378" s="109"/>
    </row>
    <row r="379">
      <c r="A379" s="103"/>
      <c r="B379" s="104"/>
      <c r="C379" s="105"/>
      <c r="D379" s="106"/>
      <c r="E379" s="105"/>
      <c r="F379" s="105"/>
      <c r="G379" s="105"/>
      <c r="H379" s="108"/>
      <c r="I379" s="109"/>
      <c r="J379" s="110"/>
      <c r="K379" s="109"/>
      <c r="L379" s="109"/>
      <c r="M379" s="109"/>
    </row>
    <row r="380">
      <c r="A380" s="103"/>
      <c r="B380" s="104"/>
      <c r="C380" s="105"/>
      <c r="D380" s="106"/>
      <c r="E380" s="105"/>
      <c r="F380" s="105"/>
      <c r="G380" s="105"/>
      <c r="H380" s="108"/>
      <c r="I380" s="109"/>
      <c r="J380" s="110"/>
      <c r="K380" s="109"/>
      <c r="L380" s="109"/>
      <c r="M380" s="109"/>
    </row>
    <row r="381">
      <c r="A381" s="103"/>
      <c r="B381" s="104"/>
      <c r="C381" s="105"/>
      <c r="D381" s="106"/>
      <c r="E381" s="105"/>
      <c r="F381" s="105"/>
      <c r="G381" s="105"/>
      <c r="H381" s="108"/>
      <c r="I381" s="109"/>
      <c r="J381" s="110"/>
      <c r="K381" s="109"/>
      <c r="L381" s="109"/>
      <c r="M381" s="109"/>
    </row>
    <row r="382">
      <c r="A382" s="103"/>
      <c r="B382" s="104"/>
      <c r="C382" s="105"/>
      <c r="D382" s="106"/>
      <c r="E382" s="105"/>
      <c r="F382" s="105"/>
      <c r="G382" s="105"/>
      <c r="H382" s="108"/>
      <c r="I382" s="109"/>
      <c r="J382" s="110"/>
      <c r="K382" s="109"/>
      <c r="L382" s="109"/>
      <c r="M382" s="109"/>
    </row>
    <row r="383">
      <c r="A383" s="103"/>
      <c r="B383" s="104"/>
      <c r="C383" s="105"/>
      <c r="D383" s="106"/>
      <c r="E383" s="105"/>
      <c r="F383" s="105"/>
      <c r="G383" s="105"/>
      <c r="H383" s="108"/>
      <c r="I383" s="109"/>
      <c r="J383" s="110"/>
      <c r="K383" s="109"/>
      <c r="L383" s="109"/>
      <c r="M383" s="109"/>
    </row>
    <row r="384">
      <c r="A384" s="103"/>
      <c r="B384" s="104"/>
      <c r="C384" s="105"/>
      <c r="D384" s="106"/>
      <c r="E384" s="105"/>
      <c r="F384" s="105"/>
      <c r="G384" s="105"/>
      <c r="H384" s="108"/>
      <c r="I384" s="109"/>
      <c r="J384" s="110"/>
      <c r="K384" s="109"/>
      <c r="L384" s="109"/>
      <c r="M384" s="109"/>
    </row>
    <row r="385">
      <c r="A385" s="103"/>
      <c r="B385" s="104"/>
      <c r="C385" s="105"/>
      <c r="D385" s="106"/>
      <c r="E385" s="105"/>
      <c r="F385" s="105"/>
      <c r="G385" s="105"/>
      <c r="H385" s="108"/>
      <c r="I385" s="109"/>
      <c r="J385" s="110"/>
      <c r="K385" s="109"/>
      <c r="L385" s="109"/>
      <c r="M385" s="109"/>
    </row>
    <row r="386">
      <c r="A386" s="103"/>
      <c r="B386" s="104"/>
      <c r="C386" s="105"/>
      <c r="D386" s="106"/>
      <c r="E386" s="105"/>
      <c r="F386" s="105"/>
      <c r="G386" s="105"/>
      <c r="H386" s="108"/>
      <c r="I386" s="109"/>
      <c r="J386" s="110"/>
      <c r="K386" s="109"/>
      <c r="L386" s="109"/>
      <c r="M386" s="109"/>
    </row>
    <row r="387">
      <c r="A387" s="103"/>
      <c r="B387" s="104"/>
      <c r="C387" s="105"/>
      <c r="D387" s="106"/>
      <c r="E387" s="105"/>
      <c r="F387" s="105"/>
      <c r="G387" s="105"/>
      <c r="H387" s="108"/>
      <c r="I387" s="109"/>
      <c r="J387" s="110"/>
      <c r="K387" s="109"/>
      <c r="L387" s="109"/>
      <c r="M387" s="109"/>
    </row>
    <row r="388">
      <c r="A388" s="103"/>
      <c r="B388" s="104"/>
      <c r="C388" s="105"/>
      <c r="D388" s="106"/>
      <c r="E388" s="105"/>
      <c r="F388" s="105"/>
      <c r="G388" s="105"/>
      <c r="H388" s="108"/>
      <c r="I388" s="109"/>
      <c r="J388" s="110"/>
      <c r="K388" s="109"/>
      <c r="L388" s="109"/>
      <c r="M388" s="109"/>
    </row>
    <row r="389">
      <c r="A389" s="103"/>
      <c r="B389" s="104"/>
      <c r="C389" s="105"/>
      <c r="D389" s="106"/>
      <c r="E389" s="105"/>
      <c r="F389" s="105"/>
      <c r="G389" s="105"/>
      <c r="H389" s="108"/>
      <c r="I389" s="109"/>
      <c r="J389" s="110"/>
      <c r="K389" s="109"/>
      <c r="L389" s="109"/>
      <c r="M389" s="109"/>
    </row>
    <row r="390">
      <c r="A390" s="103"/>
      <c r="B390" s="104"/>
      <c r="C390" s="105"/>
      <c r="D390" s="106"/>
      <c r="E390" s="105"/>
      <c r="F390" s="105"/>
      <c r="G390" s="105"/>
      <c r="H390" s="108"/>
      <c r="I390" s="109"/>
      <c r="J390" s="110"/>
      <c r="K390" s="109"/>
      <c r="L390" s="109"/>
      <c r="M390" s="109"/>
    </row>
    <row r="391">
      <c r="A391" s="103"/>
      <c r="B391" s="104"/>
      <c r="C391" s="105"/>
      <c r="D391" s="106"/>
      <c r="E391" s="105"/>
      <c r="F391" s="105"/>
      <c r="G391" s="105"/>
      <c r="H391" s="108"/>
      <c r="I391" s="109"/>
      <c r="J391" s="110"/>
      <c r="K391" s="109"/>
      <c r="L391" s="109"/>
      <c r="M391" s="109"/>
    </row>
    <row r="392">
      <c r="A392" s="103"/>
      <c r="B392" s="104"/>
      <c r="C392" s="105"/>
      <c r="D392" s="106"/>
      <c r="E392" s="105"/>
      <c r="F392" s="105"/>
      <c r="G392" s="105"/>
      <c r="H392" s="108"/>
      <c r="I392" s="109"/>
      <c r="J392" s="110"/>
      <c r="K392" s="109"/>
      <c r="L392" s="109"/>
      <c r="M392" s="109"/>
    </row>
    <row r="393">
      <c r="A393" s="103"/>
      <c r="B393" s="104"/>
      <c r="C393" s="105"/>
      <c r="D393" s="106"/>
      <c r="E393" s="105"/>
      <c r="F393" s="105"/>
      <c r="G393" s="105"/>
      <c r="H393" s="108"/>
      <c r="I393" s="109"/>
      <c r="J393" s="110"/>
      <c r="K393" s="109"/>
      <c r="L393" s="109"/>
      <c r="M393" s="109"/>
    </row>
    <row r="394">
      <c r="A394" s="103"/>
      <c r="B394" s="104"/>
      <c r="C394" s="105"/>
      <c r="D394" s="106"/>
      <c r="E394" s="105"/>
      <c r="F394" s="105"/>
      <c r="G394" s="105"/>
      <c r="H394" s="108"/>
      <c r="I394" s="109"/>
      <c r="J394" s="110"/>
      <c r="K394" s="109"/>
      <c r="L394" s="109"/>
      <c r="M394" s="109"/>
    </row>
    <row r="395">
      <c r="A395" s="103"/>
      <c r="B395" s="104"/>
      <c r="C395" s="105"/>
      <c r="D395" s="106"/>
      <c r="E395" s="105"/>
      <c r="F395" s="105"/>
      <c r="G395" s="105"/>
      <c r="H395" s="108"/>
      <c r="I395" s="109"/>
      <c r="J395" s="110"/>
      <c r="K395" s="109"/>
      <c r="L395" s="109"/>
      <c r="M395" s="109"/>
    </row>
    <row r="396">
      <c r="A396" s="103"/>
      <c r="B396" s="104"/>
      <c r="C396" s="105"/>
      <c r="D396" s="106"/>
      <c r="E396" s="105"/>
      <c r="F396" s="105"/>
      <c r="G396" s="105"/>
      <c r="H396" s="108"/>
      <c r="I396" s="109"/>
      <c r="J396" s="110"/>
      <c r="K396" s="109"/>
      <c r="L396" s="109"/>
      <c r="M396" s="109"/>
    </row>
    <row r="397">
      <c r="A397" s="103"/>
      <c r="B397" s="104"/>
      <c r="C397" s="105"/>
      <c r="D397" s="106"/>
      <c r="E397" s="105"/>
      <c r="F397" s="105"/>
      <c r="G397" s="105"/>
      <c r="H397" s="108"/>
      <c r="I397" s="109"/>
      <c r="J397" s="110"/>
      <c r="K397" s="109"/>
      <c r="L397" s="109"/>
      <c r="M397" s="109"/>
    </row>
    <row r="398">
      <c r="A398" s="103"/>
      <c r="B398" s="104"/>
      <c r="C398" s="105"/>
      <c r="D398" s="106"/>
      <c r="E398" s="105"/>
      <c r="F398" s="105"/>
      <c r="G398" s="105"/>
      <c r="H398" s="108"/>
      <c r="I398" s="109"/>
      <c r="J398" s="110"/>
      <c r="K398" s="109"/>
      <c r="L398" s="109"/>
      <c r="M398" s="109"/>
    </row>
    <row r="399">
      <c r="A399" s="103"/>
      <c r="B399" s="104"/>
      <c r="C399" s="105"/>
      <c r="D399" s="106"/>
      <c r="E399" s="105"/>
      <c r="F399" s="105"/>
      <c r="G399" s="105"/>
      <c r="H399" s="108"/>
      <c r="I399" s="109"/>
      <c r="J399" s="110"/>
      <c r="K399" s="109"/>
      <c r="L399" s="109"/>
      <c r="M399" s="109"/>
    </row>
    <row r="400">
      <c r="A400" s="103"/>
      <c r="B400" s="104"/>
      <c r="C400" s="105"/>
      <c r="D400" s="106"/>
      <c r="E400" s="105"/>
      <c r="F400" s="105"/>
      <c r="G400" s="105"/>
      <c r="H400" s="108"/>
      <c r="I400" s="109"/>
      <c r="J400" s="110"/>
      <c r="K400" s="109"/>
      <c r="L400" s="109"/>
      <c r="M400" s="109"/>
    </row>
    <row r="401">
      <c r="A401" s="103"/>
      <c r="B401" s="104"/>
      <c r="C401" s="105"/>
      <c r="D401" s="106"/>
      <c r="E401" s="105"/>
      <c r="F401" s="105"/>
      <c r="G401" s="105"/>
      <c r="H401" s="108"/>
      <c r="I401" s="109"/>
      <c r="J401" s="110"/>
      <c r="K401" s="109"/>
      <c r="L401" s="109"/>
      <c r="M401" s="109"/>
    </row>
    <row r="402">
      <c r="A402" s="103"/>
      <c r="B402" s="104"/>
      <c r="C402" s="105"/>
      <c r="D402" s="106"/>
      <c r="E402" s="105"/>
      <c r="F402" s="105"/>
      <c r="G402" s="105"/>
      <c r="H402" s="108"/>
      <c r="I402" s="109"/>
      <c r="J402" s="110"/>
      <c r="K402" s="109"/>
      <c r="L402" s="109"/>
      <c r="M402" s="109"/>
    </row>
    <row r="403">
      <c r="A403" s="103"/>
      <c r="B403" s="104"/>
      <c r="C403" s="105"/>
      <c r="D403" s="106"/>
      <c r="E403" s="105"/>
      <c r="F403" s="105"/>
      <c r="G403" s="105"/>
      <c r="H403" s="108"/>
      <c r="I403" s="109"/>
      <c r="J403" s="110"/>
      <c r="K403" s="109"/>
      <c r="L403" s="109"/>
      <c r="M403" s="109"/>
    </row>
    <row r="404">
      <c r="A404" s="103"/>
      <c r="B404" s="104"/>
      <c r="C404" s="105"/>
      <c r="D404" s="106"/>
      <c r="E404" s="105"/>
      <c r="F404" s="105"/>
      <c r="G404" s="105"/>
      <c r="H404" s="108"/>
      <c r="I404" s="109"/>
      <c r="J404" s="110"/>
      <c r="K404" s="109"/>
      <c r="L404" s="109"/>
      <c r="M404" s="109"/>
    </row>
    <row r="405">
      <c r="A405" s="103"/>
      <c r="B405" s="104"/>
      <c r="C405" s="105"/>
      <c r="D405" s="106"/>
      <c r="E405" s="105"/>
      <c r="F405" s="105"/>
      <c r="G405" s="105"/>
      <c r="H405" s="108"/>
      <c r="I405" s="109"/>
      <c r="J405" s="110"/>
      <c r="K405" s="109"/>
      <c r="L405" s="109"/>
      <c r="M405" s="109"/>
    </row>
    <row r="406">
      <c r="A406" s="103"/>
      <c r="B406" s="104"/>
      <c r="C406" s="105"/>
      <c r="D406" s="106"/>
      <c r="E406" s="105"/>
      <c r="F406" s="105"/>
      <c r="G406" s="105"/>
      <c r="H406" s="108"/>
      <c r="I406" s="109"/>
      <c r="J406" s="110"/>
      <c r="K406" s="109"/>
      <c r="L406" s="109"/>
      <c r="M406" s="109"/>
    </row>
    <row r="407">
      <c r="A407" s="103"/>
      <c r="B407" s="104"/>
      <c r="C407" s="105"/>
      <c r="D407" s="106"/>
      <c r="E407" s="105"/>
      <c r="F407" s="105"/>
      <c r="G407" s="105"/>
      <c r="H407" s="108"/>
      <c r="I407" s="109"/>
      <c r="J407" s="110"/>
      <c r="K407" s="109"/>
      <c r="L407" s="109"/>
      <c r="M407" s="109"/>
    </row>
    <row r="408">
      <c r="A408" s="103"/>
      <c r="B408" s="104"/>
      <c r="C408" s="105"/>
      <c r="D408" s="106"/>
      <c r="E408" s="105"/>
      <c r="F408" s="105"/>
      <c r="G408" s="105"/>
      <c r="H408" s="108"/>
      <c r="I408" s="109"/>
      <c r="J408" s="110"/>
      <c r="K408" s="109"/>
      <c r="L408" s="109"/>
      <c r="M408" s="109"/>
    </row>
    <row r="409">
      <c r="A409" s="103"/>
      <c r="B409" s="104"/>
      <c r="C409" s="105"/>
      <c r="D409" s="106"/>
      <c r="E409" s="105"/>
      <c r="F409" s="105"/>
      <c r="G409" s="105"/>
      <c r="H409" s="108"/>
      <c r="I409" s="109"/>
      <c r="J409" s="110"/>
      <c r="K409" s="109"/>
      <c r="L409" s="109"/>
      <c r="M409" s="109"/>
    </row>
    <row r="410">
      <c r="A410" s="103"/>
      <c r="B410" s="104"/>
      <c r="C410" s="105"/>
      <c r="D410" s="106"/>
      <c r="E410" s="105"/>
      <c r="F410" s="105"/>
      <c r="G410" s="105"/>
      <c r="H410" s="108"/>
      <c r="I410" s="109"/>
      <c r="J410" s="110"/>
      <c r="K410" s="109"/>
      <c r="L410" s="109"/>
      <c r="M410" s="109"/>
    </row>
    <row r="411">
      <c r="A411" s="103"/>
      <c r="B411" s="104"/>
      <c r="C411" s="105"/>
      <c r="D411" s="106"/>
      <c r="E411" s="105"/>
      <c r="F411" s="105"/>
      <c r="G411" s="105"/>
      <c r="H411" s="108"/>
      <c r="I411" s="109"/>
      <c r="J411" s="110"/>
      <c r="K411" s="109"/>
      <c r="L411" s="109"/>
      <c r="M411" s="109"/>
    </row>
    <row r="412">
      <c r="A412" s="103"/>
      <c r="B412" s="104"/>
      <c r="C412" s="105"/>
      <c r="D412" s="106"/>
      <c r="E412" s="105"/>
      <c r="F412" s="105"/>
      <c r="G412" s="105"/>
      <c r="H412" s="108"/>
      <c r="I412" s="109"/>
      <c r="J412" s="110"/>
      <c r="K412" s="109"/>
      <c r="L412" s="109"/>
      <c r="M412" s="109"/>
    </row>
    <row r="413">
      <c r="A413" s="103"/>
      <c r="B413" s="104"/>
      <c r="C413" s="105"/>
      <c r="D413" s="106"/>
      <c r="E413" s="105"/>
      <c r="F413" s="105"/>
      <c r="G413" s="105"/>
      <c r="H413" s="108"/>
      <c r="I413" s="109"/>
      <c r="J413" s="110"/>
      <c r="K413" s="109"/>
      <c r="L413" s="109"/>
      <c r="M413" s="109"/>
    </row>
    <row r="414">
      <c r="A414" s="103"/>
      <c r="B414" s="104"/>
      <c r="C414" s="105"/>
      <c r="D414" s="106"/>
      <c r="E414" s="105"/>
      <c r="F414" s="105"/>
      <c r="G414" s="105"/>
      <c r="H414" s="108"/>
      <c r="I414" s="109"/>
      <c r="J414" s="110"/>
      <c r="K414" s="109"/>
      <c r="L414" s="109"/>
      <c r="M414" s="109"/>
    </row>
    <row r="415">
      <c r="A415" s="103"/>
      <c r="B415" s="104"/>
      <c r="C415" s="105"/>
      <c r="D415" s="106"/>
      <c r="E415" s="105"/>
      <c r="F415" s="105"/>
      <c r="G415" s="105"/>
      <c r="H415" s="108"/>
      <c r="I415" s="109"/>
      <c r="J415" s="110"/>
      <c r="K415" s="109"/>
      <c r="L415" s="109"/>
      <c r="M415" s="109"/>
    </row>
    <row r="416">
      <c r="A416" s="103"/>
      <c r="B416" s="104"/>
      <c r="C416" s="105"/>
      <c r="D416" s="106"/>
      <c r="E416" s="105"/>
      <c r="F416" s="105"/>
      <c r="G416" s="105"/>
      <c r="H416" s="108"/>
      <c r="I416" s="109"/>
      <c r="J416" s="110"/>
      <c r="K416" s="109"/>
      <c r="L416" s="109"/>
      <c r="M416" s="109"/>
    </row>
    <row r="417">
      <c r="A417" s="103"/>
      <c r="B417" s="104"/>
      <c r="C417" s="105"/>
      <c r="D417" s="106"/>
      <c r="E417" s="105"/>
      <c r="F417" s="105"/>
      <c r="G417" s="105"/>
      <c r="H417" s="108"/>
      <c r="I417" s="109"/>
      <c r="J417" s="110"/>
      <c r="K417" s="109"/>
      <c r="L417" s="109"/>
      <c r="M417" s="109"/>
    </row>
    <row r="418">
      <c r="A418" s="103"/>
      <c r="B418" s="104"/>
      <c r="C418" s="105"/>
      <c r="D418" s="106"/>
      <c r="E418" s="105"/>
      <c r="F418" s="105"/>
      <c r="G418" s="105"/>
      <c r="H418" s="108"/>
      <c r="I418" s="109"/>
      <c r="J418" s="110"/>
      <c r="K418" s="109"/>
      <c r="L418" s="109"/>
      <c r="M418" s="109"/>
    </row>
    <row r="419">
      <c r="A419" s="103"/>
      <c r="B419" s="104"/>
      <c r="C419" s="105"/>
      <c r="D419" s="106"/>
      <c r="E419" s="105"/>
      <c r="F419" s="105"/>
      <c r="G419" s="105"/>
      <c r="H419" s="108"/>
      <c r="I419" s="109"/>
      <c r="J419" s="110"/>
      <c r="K419" s="109"/>
      <c r="L419" s="109"/>
      <c r="M419" s="109"/>
    </row>
    <row r="420">
      <c r="A420" s="103"/>
      <c r="B420" s="104"/>
      <c r="C420" s="105"/>
      <c r="D420" s="106"/>
      <c r="E420" s="105"/>
      <c r="F420" s="105"/>
      <c r="G420" s="105"/>
      <c r="H420" s="108"/>
      <c r="I420" s="109"/>
      <c r="J420" s="110"/>
      <c r="K420" s="109"/>
      <c r="L420" s="109"/>
      <c r="M420" s="109"/>
    </row>
    <row r="421">
      <c r="A421" s="103"/>
      <c r="B421" s="104"/>
      <c r="C421" s="105"/>
      <c r="D421" s="106"/>
      <c r="E421" s="105"/>
      <c r="F421" s="105"/>
      <c r="G421" s="105"/>
      <c r="H421" s="108"/>
      <c r="I421" s="109"/>
      <c r="J421" s="110"/>
      <c r="K421" s="109"/>
      <c r="L421" s="109"/>
      <c r="M421" s="109"/>
    </row>
    <row r="422">
      <c r="A422" s="103"/>
      <c r="B422" s="104"/>
      <c r="C422" s="105"/>
      <c r="D422" s="106"/>
      <c r="E422" s="105"/>
      <c r="F422" s="105"/>
      <c r="G422" s="105"/>
      <c r="H422" s="108"/>
      <c r="I422" s="109"/>
      <c r="J422" s="110"/>
      <c r="K422" s="109"/>
      <c r="L422" s="109"/>
      <c r="M422" s="109"/>
    </row>
    <row r="423">
      <c r="A423" s="103"/>
      <c r="B423" s="104"/>
      <c r="C423" s="105"/>
      <c r="D423" s="106"/>
      <c r="E423" s="105"/>
      <c r="F423" s="105"/>
      <c r="G423" s="105"/>
      <c r="H423" s="108"/>
      <c r="I423" s="109"/>
      <c r="J423" s="110"/>
      <c r="K423" s="109"/>
      <c r="L423" s="109"/>
      <c r="M423" s="109"/>
    </row>
    <row r="424">
      <c r="A424" s="103"/>
      <c r="B424" s="104"/>
      <c r="C424" s="105"/>
      <c r="D424" s="106"/>
      <c r="E424" s="105"/>
      <c r="F424" s="105"/>
      <c r="G424" s="105"/>
      <c r="H424" s="108"/>
      <c r="I424" s="109"/>
      <c r="J424" s="110"/>
      <c r="K424" s="109"/>
      <c r="L424" s="109"/>
      <c r="M424" s="109"/>
    </row>
    <row r="425">
      <c r="A425" s="103"/>
      <c r="B425" s="104"/>
      <c r="C425" s="105"/>
      <c r="D425" s="106"/>
      <c r="E425" s="105"/>
      <c r="F425" s="105"/>
      <c r="G425" s="105"/>
      <c r="H425" s="108"/>
      <c r="I425" s="109"/>
      <c r="J425" s="110"/>
      <c r="K425" s="109"/>
      <c r="L425" s="109"/>
      <c r="M425" s="109"/>
    </row>
    <row r="426">
      <c r="A426" s="103"/>
      <c r="B426" s="104"/>
      <c r="C426" s="105"/>
      <c r="D426" s="106"/>
      <c r="E426" s="105"/>
      <c r="F426" s="105"/>
      <c r="G426" s="105"/>
      <c r="H426" s="108"/>
      <c r="I426" s="109"/>
      <c r="J426" s="110"/>
      <c r="K426" s="109"/>
      <c r="L426" s="109"/>
      <c r="M426" s="109"/>
    </row>
    <row r="427">
      <c r="A427" s="103"/>
      <c r="B427" s="104"/>
      <c r="C427" s="105"/>
      <c r="D427" s="106"/>
      <c r="E427" s="105"/>
      <c r="F427" s="105"/>
      <c r="G427" s="105"/>
      <c r="H427" s="108"/>
      <c r="I427" s="109"/>
      <c r="J427" s="110"/>
      <c r="K427" s="109"/>
      <c r="L427" s="109"/>
      <c r="M427" s="109"/>
    </row>
    <row r="428">
      <c r="A428" s="103"/>
      <c r="B428" s="104"/>
      <c r="C428" s="105"/>
      <c r="D428" s="106"/>
      <c r="E428" s="105"/>
      <c r="F428" s="105"/>
      <c r="G428" s="105"/>
      <c r="H428" s="108"/>
      <c r="I428" s="109"/>
      <c r="J428" s="110"/>
      <c r="K428" s="109"/>
      <c r="L428" s="109"/>
      <c r="M428" s="109"/>
    </row>
    <row r="429">
      <c r="A429" s="103"/>
      <c r="B429" s="104"/>
      <c r="C429" s="105"/>
      <c r="D429" s="106"/>
      <c r="E429" s="105"/>
      <c r="F429" s="105"/>
      <c r="G429" s="105"/>
      <c r="H429" s="108"/>
      <c r="I429" s="109"/>
      <c r="J429" s="110"/>
      <c r="K429" s="109"/>
      <c r="L429" s="109"/>
      <c r="M429" s="109"/>
    </row>
    <row r="430">
      <c r="A430" s="103"/>
      <c r="B430" s="104"/>
      <c r="C430" s="105"/>
      <c r="D430" s="106"/>
      <c r="E430" s="105"/>
      <c r="F430" s="105"/>
      <c r="G430" s="105"/>
      <c r="H430" s="108"/>
      <c r="I430" s="109"/>
      <c r="J430" s="110"/>
      <c r="K430" s="109"/>
      <c r="L430" s="109"/>
      <c r="M430" s="109"/>
    </row>
    <row r="431">
      <c r="A431" s="103"/>
      <c r="B431" s="104"/>
      <c r="C431" s="105"/>
      <c r="D431" s="106"/>
      <c r="E431" s="105"/>
      <c r="F431" s="105"/>
      <c r="G431" s="105"/>
      <c r="H431" s="108"/>
      <c r="I431" s="109"/>
      <c r="J431" s="110"/>
      <c r="K431" s="109"/>
      <c r="L431" s="109"/>
      <c r="M431" s="109"/>
    </row>
    <row r="432">
      <c r="A432" s="103"/>
      <c r="B432" s="104"/>
      <c r="C432" s="105"/>
      <c r="D432" s="106"/>
      <c r="E432" s="105"/>
      <c r="F432" s="105"/>
      <c r="G432" s="105"/>
      <c r="H432" s="108"/>
      <c r="I432" s="109"/>
      <c r="J432" s="110"/>
      <c r="K432" s="109"/>
      <c r="L432" s="109"/>
      <c r="M432" s="109"/>
    </row>
    <row r="433">
      <c r="A433" s="103"/>
      <c r="B433" s="104"/>
      <c r="C433" s="105"/>
      <c r="D433" s="106"/>
      <c r="E433" s="105"/>
      <c r="F433" s="105"/>
      <c r="G433" s="105"/>
      <c r="H433" s="108"/>
      <c r="I433" s="109"/>
      <c r="J433" s="110"/>
      <c r="K433" s="109"/>
      <c r="L433" s="109"/>
      <c r="M433" s="109"/>
    </row>
    <row r="434">
      <c r="A434" s="103"/>
      <c r="B434" s="104"/>
      <c r="C434" s="105"/>
      <c r="D434" s="106"/>
      <c r="E434" s="105"/>
      <c r="F434" s="105"/>
      <c r="G434" s="105"/>
      <c r="H434" s="108"/>
      <c r="I434" s="109"/>
      <c r="J434" s="110"/>
      <c r="K434" s="109"/>
      <c r="L434" s="109"/>
      <c r="M434" s="109"/>
    </row>
    <row r="435">
      <c r="A435" s="103"/>
      <c r="B435" s="104"/>
      <c r="C435" s="105"/>
      <c r="D435" s="106"/>
      <c r="E435" s="105"/>
      <c r="F435" s="105"/>
      <c r="G435" s="105"/>
      <c r="H435" s="108"/>
      <c r="I435" s="109"/>
      <c r="J435" s="110"/>
      <c r="K435" s="109"/>
      <c r="L435" s="109"/>
      <c r="M435" s="109"/>
    </row>
    <row r="436">
      <c r="A436" s="103"/>
      <c r="B436" s="104"/>
      <c r="C436" s="105"/>
      <c r="D436" s="106"/>
      <c r="E436" s="105"/>
      <c r="F436" s="105"/>
      <c r="G436" s="105"/>
      <c r="H436" s="108"/>
      <c r="I436" s="109"/>
      <c r="J436" s="110"/>
      <c r="K436" s="109"/>
      <c r="L436" s="109"/>
      <c r="M436" s="109"/>
    </row>
    <row r="437">
      <c r="A437" s="103"/>
      <c r="B437" s="104"/>
      <c r="C437" s="105"/>
      <c r="D437" s="106"/>
      <c r="E437" s="105"/>
      <c r="F437" s="105"/>
      <c r="G437" s="105"/>
      <c r="H437" s="108"/>
      <c r="I437" s="109"/>
      <c r="J437" s="110"/>
      <c r="K437" s="109"/>
      <c r="L437" s="109"/>
      <c r="M437" s="109"/>
    </row>
    <row r="438">
      <c r="A438" s="103"/>
      <c r="B438" s="104"/>
      <c r="C438" s="105"/>
      <c r="D438" s="106"/>
      <c r="E438" s="105"/>
      <c r="F438" s="105"/>
      <c r="G438" s="105"/>
      <c r="H438" s="108"/>
      <c r="I438" s="109"/>
      <c r="J438" s="110"/>
      <c r="K438" s="109"/>
      <c r="L438" s="109"/>
      <c r="M438" s="109"/>
    </row>
    <row r="439">
      <c r="A439" s="103"/>
      <c r="B439" s="104"/>
      <c r="C439" s="105"/>
      <c r="D439" s="106"/>
      <c r="E439" s="105"/>
      <c r="F439" s="105"/>
      <c r="G439" s="105"/>
      <c r="H439" s="108"/>
      <c r="I439" s="109"/>
      <c r="J439" s="110"/>
      <c r="K439" s="109"/>
      <c r="L439" s="109"/>
      <c r="M439" s="109"/>
    </row>
    <row r="440">
      <c r="A440" s="103"/>
      <c r="B440" s="104"/>
      <c r="C440" s="105"/>
      <c r="D440" s="106"/>
      <c r="E440" s="105"/>
      <c r="F440" s="105"/>
      <c r="G440" s="105"/>
      <c r="H440" s="108"/>
      <c r="I440" s="109"/>
      <c r="J440" s="110"/>
      <c r="K440" s="109"/>
      <c r="L440" s="109"/>
      <c r="M440" s="109"/>
    </row>
    <row r="441">
      <c r="A441" s="103"/>
      <c r="B441" s="104"/>
      <c r="C441" s="105"/>
      <c r="D441" s="106"/>
      <c r="E441" s="105"/>
      <c r="F441" s="105"/>
      <c r="G441" s="105"/>
      <c r="H441" s="108"/>
      <c r="I441" s="109"/>
      <c r="J441" s="110"/>
      <c r="K441" s="109"/>
      <c r="L441" s="109"/>
      <c r="M441" s="109"/>
    </row>
    <row r="442">
      <c r="A442" s="103"/>
      <c r="B442" s="104"/>
      <c r="C442" s="105"/>
      <c r="D442" s="106"/>
      <c r="E442" s="105"/>
      <c r="F442" s="105"/>
      <c r="G442" s="105"/>
      <c r="H442" s="108"/>
      <c r="I442" s="109"/>
      <c r="J442" s="110"/>
      <c r="K442" s="109"/>
      <c r="L442" s="109"/>
      <c r="M442" s="109"/>
    </row>
    <row r="443">
      <c r="A443" s="103"/>
      <c r="B443" s="104"/>
      <c r="C443" s="105"/>
      <c r="D443" s="106"/>
      <c r="E443" s="105"/>
      <c r="F443" s="105"/>
      <c r="G443" s="105"/>
      <c r="H443" s="108"/>
      <c r="I443" s="109"/>
      <c r="J443" s="110"/>
      <c r="K443" s="109"/>
      <c r="L443" s="109"/>
      <c r="M443" s="109"/>
    </row>
    <row r="444">
      <c r="A444" s="103"/>
      <c r="B444" s="104"/>
      <c r="C444" s="105"/>
      <c r="D444" s="106"/>
      <c r="E444" s="105"/>
      <c r="F444" s="105"/>
      <c r="G444" s="105"/>
      <c r="H444" s="108"/>
      <c r="I444" s="109"/>
      <c r="J444" s="110"/>
      <c r="K444" s="109"/>
      <c r="L444" s="109"/>
      <c r="M444" s="109"/>
    </row>
    <row r="445">
      <c r="A445" s="103"/>
      <c r="B445" s="104"/>
      <c r="C445" s="105"/>
      <c r="D445" s="106"/>
      <c r="E445" s="105"/>
      <c r="F445" s="105"/>
      <c r="G445" s="105"/>
      <c r="H445" s="108"/>
      <c r="I445" s="109"/>
      <c r="J445" s="110"/>
      <c r="K445" s="109"/>
      <c r="L445" s="109"/>
      <c r="M445" s="109"/>
    </row>
    <row r="446">
      <c r="A446" s="103"/>
      <c r="B446" s="104"/>
      <c r="C446" s="105"/>
      <c r="D446" s="106"/>
      <c r="E446" s="105"/>
      <c r="F446" s="105"/>
      <c r="G446" s="105"/>
      <c r="H446" s="108"/>
      <c r="I446" s="109"/>
      <c r="J446" s="110"/>
      <c r="K446" s="109"/>
      <c r="L446" s="109"/>
      <c r="M446" s="109"/>
    </row>
    <row r="447">
      <c r="A447" s="103"/>
      <c r="B447" s="104"/>
      <c r="C447" s="105"/>
      <c r="D447" s="106"/>
      <c r="E447" s="105"/>
      <c r="F447" s="105"/>
      <c r="G447" s="105"/>
      <c r="H447" s="108"/>
      <c r="I447" s="109"/>
      <c r="J447" s="110"/>
      <c r="K447" s="109"/>
      <c r="L447" s="109"/>
      <c r="M447" s="109"/>
    </row>
    <row r="448">
      <c r="A448" s="103"/>
      <c r="B448" s="104"/>
      <c r="C448" s="105"/>
      <c r="D448" s="106"/>
      <c r="E448" s="105"/>
      <c r="F448" s="105"/>
      <c r="G448" s="105"/>
      <c r="H448" s="108"/>
      <c r="I448" s="109"/>
      <c r="J448" s="110"/>
      <c r="K448" s="109"/>
      <c r="L448" s="109"/>
      <c r="M448" s="109"/>
    </row>
    <row r="449">
      <c r="A449" s="103"/>
      <c r="B449" s="104"/>
      <c r="C449" s="105"/>
      <c r="D449" s="106"/>
      <c r="E449" s="105"/>
      <c r="F449" s="105"/>
      <c r="G449" s="105"/>
      <c r="H449" s="108"/>
      <c r="I449" s="109"/>
      <c r="J449" s="110"/>
      <c r="K449" s="109"/>
      <c r="L449" s="109"/>
      <c r="M449" s="109"/>
    </row>
    <row r="450">
      <c r="A450" s="103"/>
      <c r="B450" s="104"/>
      <c r="C450" s="105"/>
      <c r="D450" s="106"/>
      <c r="E450" s="105"/>
      <c r="F450" s="105"/>
      <c r="G450" s="105"/>
      <c r="H450" s="108"/>
      <c r="I450" s="109"/>
      <c r="J450" s="110"/>
      <c r="K450" s="109"/>
      <c r="L450" s="109"/>
      <c r="M450" s="109"/>
    </row>
    <row r="451">
      <c r="A451" s="103"/>
      <c r="B451" s="104"/>
      <c r="C451" s="105"/>
      <c r="D451" s="106"/>
      <c r="E451" s="105"/>
      <c r="F451" s="105"/>
      <c r="G451" s="105"/>
      <c r="H451" s="108"/>
      <c r="I451" s="109"/>
      <c r="J451" s="110"/>
      <c r="K451" s="109"/>
      <c r="L451" s="109"/>
      <c r="M451" s="109"/>
    </row>
    <row r="452">
      <c r="A452" s="103"/>
      <c r="B452" s="104"/>
      <c r="C452" s="105"/>
      <c r="D452" s="106"/>
      <c r="E452" s="105"/>
      <c r="F452" s="105"/>
      <c r="G452" s="105"/>
      <c r="H452" s="108"/>
      <c r="I452" s="109"/>
      <c r="J452" s="110"/>
      <c r="K452" s="109"/>
      <c r="L452" s="109"/>
      <c r="M452" s="109"/>
    </row>
    <row r="453">
      <c r="A453" s="103"/>
      <c r="B453" s="104"/>
      <c r="C453" s="105"/>
      <c r="D453" s="106"/>
      <c r="E453" s="105"/>
      <c r="F453" s="105"/>
      <c r="G453" s="105"/>
      <c r="H453" s="108"/>
      <c r="I453" s="109"/>
      <c r="J453" s="110"/>
      <c r="K453" s="109"/>
      <c r="L453" s="109"/>
      <c r="M453" s="109"/>
    </row>
    <row r="454">
      <c r="A454" s="103"/>
      <c r="B454" s="104"/>
      <c r="C454" s="105"/>
      <c r="D454" s="106"/>
      <c r="E454" s="105"/>
      <c r="F454" s="105"/>
      <c r="G454" s="105"/>
      <c r="H454" s="108"/>
      <c r="I454" s="109"/>
      <c r="J454" s="110"/>
      <c r="K454" s="109"/>
      <c r="L454" s="109"/>
      <c r="M454" s="109"/>
    </row>
    <row r="455">
      <c r="A455" s="103"/>
      <c r="B455" s="104"/>
      <c r="C455" s="105"/>
      <c r="D455" s="106"/>
      <c r="E455" s="105"/>
      <c r="F455" s="105"/>
      <c r="G455" s="105"/>
      <c r="H455" s="108"/>
      <c r="I455" s="109"/>
      <c r="J455" s="110"/>
      <c r="K455" s="109"/>
      <c r="L455" s="109"/>
      <c r="M455" s="109"/>
    </row>
    <row r="456">
      <c r="A456" s="103"/>
      <c r="B456" s="104"/>
      <c r="C456" s="105"/>
      <c r="D456" s="106"/>
      <c r="E456" s="105"/>
      <c r="F456" s="105"/>
      <c r="G456" s="105"/>
      <c r="H456" s="108"/>
      <c r="I456" s="109"/>
      <c r="J456" s="110"/>
      <c r="K456" s="109"/>
      <c r="L456" s="109"/>
      <c r="M456" s="109"/>
    </row>
    <row r="457">
      <c r="A457" s="103"/>
      <c r="B457" s="104"/>
      <c r="C457" s="105"/>
      <c r="D457" s="106"/>
      <c r="E457" s="105"/>
      <c r="F457" s="105"/>
      <c r="G457" s="105"/>
      <c r="H457" s="108"/>
      <c r="I457" s="109"/>
      <c r="J457" s="110"/>
      <c r="K457" s="109"/>
      <c r="L457" s="109"/>
      <c r="M457" s="109"/>
    </row>
    <row r="458">
      <c r="A458" s="103"/>
      <c r="B458" s="104"/>
      <c r="C458" s="105"/>
      <c r="D458" s="106"/>
      <c r="E458" s="105"/>
      <c r="F458" s="105"/>
      <c r="G458" s="105"/>
      <c r="H458" s="108"/>
      <c r="I458" s="109"/>
      <c r="J458" s="110"/>
      <c r="K458" s="109"/>
      <c r="L458" s="109"/>
      <c r="M458" s="109"/>
    </row>
    <row r="459">
      <c r="A459" s="103"/>
      <c r="B459" s="104"/>
      <c r="C459" s="105"/>
      <c r="D459" s="106"/>
      <c r="E459" s="105"/>
      <c r="F459" s="105"/>
      <c r="G459" s="105"/>
      <c r="H459" s="108"/>
      <c r="I459" s="109"/>
      <c r="J459" s="110"/>
      <c r="K459" s="109"/>
      <c r="L459" s="109"/>
      <c r="M459" s="109"/>
    </row>
    <row r="460">
      <c r="A460" s="103"/>
      <c r="B460" s="104"/>
      <c r="C460" s="105"/>
      <c r="D460" s="106"/>
      <c r="E460" s="105"/>
      <c r="F460" s="105"/>
      <c r="G460" s="105"/>
      <c r="H460" s="108"/>
      <c r="I460" s="109"/>
      <c r="J460" s="110"/>
      <c r="K460" s="109"/>
      <c r="L460" s="109"/>
      <c r="M460" s="109"/>
    </row>
    <row r="461">
      <c r="A461" s="103"/>
      <c r="B461" s="104"/>
      <c r="C461" s="105"/>
      <c r="D461" s="106"/>
      <c r="E461" s="105"/>
      <c r="F461" s="105"/>
      <c r="G461" s="105"/>
      <c r="H461" s="108"/>
      <c r="I461" s="109"/>
      <c r="J461" s="110"/>
      <c r="K461" s="109"/>
      <c r="L461" s="109"/>
      <c r="M461" s="109"/>
    </row>
    <row r="462">
      <c r="A462" s="103"/>
      <c r="B462" s="104"/>
      <c r="C462" s="105"/>
      <c r="D462" s="106"/>
      <c r="E462" s="105"/>
      <c r="F462" s="105"/>
      <c r="G462" s="105"/>
      <c r="H462" s="108"/>
      <c r="I462" s="109"/>
      <c r="J462" s="110"/>
      <c r="K462" s="109"/>
      <c r="L462" s="109"/>
      <c r="M462" s="109"/>
    </row>
    <row r="463">
      <c r="A463" s="103"/>
      <c r="B463" s="104"/>
      <c r="C463" s="105"/>
      <c r="D463" s="106"/>
      <c r="E463" s="105"/>
      <c r="F463" s="105"/>
      <c r="G463" s="105"/>
      <c r="H463" s="108"/>
      <c r="I463" s="109"/>
      <c r="J463" s="110"/>
      <c r="K463" s="109"/>
      <c r="L463" s="109"/>
      <c r="M463" s="109"/>
    </row>
    <row r="464">
      <c r="A464" s="103"/>
      <c r="B464" s="104"/>
      <c r="C464" s="105"/>
      <c r="D464" s="106"/>
      <c r="E464" s="105"/>
      <c r="F464" s="105"/>
      <c r="G464" s="105"/>
      <c r="H464" s="108"/>
      <c r="I464" s="109"/>
      <c r="J464" s="110"/>
      <c r="K464" s="109"/>
      <c r="L464" s="109"/>
      <c r="M464" s="109"/>
    </row>
    <row r="465">
      <c r="A465" s="103"/>
      <c r="B465" s="104"/>
      <c r="C465" s="105"/>
      <c r="D465" s="106"/>
      <c r="E465" s="105"/>
      <c r="F465" s="105"/>
      <c r="G465" s="105"/>
      <c r="H465" s="108"/>
      <c r="I465" s="109"/>
      <c r="J465" s="110"/>
      <c r="K465" s="109"/>
      <c r="L465" s="109"/>
      <c r="M465" s="109"/>
    </row>
    <row r="466">
      <c r="A466" s="103"/>
      <c r="B466" s="104"/>
      <c r="C466" s="105"/>
      <c r="D466" s="106"/>
      <c r="E466" s="105"/>
      <c r="F466" s="105"/>
      <c r="G466" s="105"/>
      <c r="H466" s="108"/>
      <c r="I466" s="109"/>
      <c r="J466" s="110"/>
      <c r="K466" s="109"/>
      <c r="L466" s="109"/>
      <c r="M466" s="109"/>
    </row>
    <row r="467">
      <c r="A467" s="103"/>
      <c r="B467" s="104"/>
      <c r="C467" s="105"/>
      <c r="D467" s="106"/>
      <c r="E467" s="105"/>
      <c r="F467" s="105"/>
      <c r="G467" s="105"/>
      <c r="H467" s="108"/>
      <c r="I467" s="109"/>
      <c r="J467" s="110"/>
      <c r="K467" s="109"/>
      <c r="L467" s="109"/>
      <c r="M467" s="109"/>
    </row>
    <row r="468">
      <c r="A468" s="103"/>
      <c r="B468" s="104"/>
      <c r="C468" s="105"/>
      <c r="D468" s="106"/>
      <c r="E468" s="105"/>
      <c r="F468" s="105"/>
      <c r="G468" s="105"/>
      <c r="H468" s="108"/>
      <c r="I468" s="109"/>
      <c r="J468" s="110"/>
      <c r="K468" s="109"/>
      <c r="L468" s="109"/>
      <c r="M468" s="109"/>
    </row>
    <row r="469">
      <c r="A469" s="103"/>
      <c r="B469" s="104"/>
      <c r="C469" s="105"/>
      <c r="D469" s="106"/>
      <c r="E469" s="105"/>
      <c r="F469" s="105"/>
      <c r="G469" s="105"/>
      <c r="H469" s="108"/>
      <c r="I469" s="109"/>
      <c r="J469" s="110"/>
      <c r="K469" s="109"/>
      <c r="L469" s="109"/>
      <c r="M469" s="109"/>
    </row>
    <row r="470">
      <c r="A470" s="103"/>
      <c r="B470" s="104"/>
      <c r="C470" s="105"/>
      <c r="D470" s="106"/>
      <c r="E470" s="105"/>
      <c r="F470" s="105"/>
      <c r="G470" s="105"/>
      <c r="H470" s="108"/>
      <c r="I470" s="109"/>
      <c r="J470" s="110"/>
      <c r="K470" s="109"/>
      <c r="L470" s="109"/>
      <c r="M470" s="109"/>
    </row>
    <row r="471">
      <c r="A471" s="103"/>
      <c r="B471" s="104"/>
      <c r="C471" s="105"/>
      <c r="D471" s="106"/>
      <c r="E471" s="105"/>
      <c r="F471" s="105"/>
      <c r="G471" s="105"/>
      <c r="H471" s="108"/>
      <c r="I471" s="109"/>
      <c r="J471" s="110"/>
      <c r="K471" s="109"/>
      <c r="L471" s="109"/>
      <c r="M471" s="109"/>
    </row>
    <row r="472">
      <c r="A472" s="103"/>
      <c r="B472" s="104"/>
      <c r="C472" s="105"/>
      <c r="D472" s="106"/>
      <c r="E472" s="105"/>
      <c r="F472" s="105"/>
      <c r="G472" s="105"/>
      <c r="H472" s="108"/>
      <c r="I472" s="109"/>
      <c r="J472" s="110"/>
      <c r="K472" s="109"/>
      <c r="L472" s="109"/>
      <c r="M472" s="109"/>
    </row>
    <row r="473">
      <c r="A473" s="103"/>
      <c r="B473" s="104"/>
      <c r="C473" s="105"/>
      <c r="D473" s="106"/>
      <c r="E473" s="105"/>
      <c r="F473" s="105"/>
      <c r="G473" s="105"/>
      <c r="H473" s="108"/>
      <c r="I473" s="109"/>
      <c r="J473" s="110"/>
      <c r="K473" s="109"/>
      <c r="L473" s="109"/>
      <c r="M473" s="109"/>
    </row>
    <row r="474">
      <c r="A474" s="103"/>
      <c r="B474" s="104"/>
      <c r="C474" s="105"/>
      <c r="D474" s="106"/>
      <c r="E474" s="105"/>
      <c r="F474" s="105"/>
      <c r="G474" s="105"/>
      <c r="H474" s="108"/>
      <c r="I474" s="109"/>
      <c r="J474" s="110"/>
      <c r="K474" s="109"/>
      <c r="L474" s="109"/>
      <c r="M474" s="109"/>
    </row>
    <row r="475">
      <c r="A475" s="103"/>
      <c r="B475" s="104"/>
      <c r="C475" s="105"/>
      <c r="D475" s="106"/>
      <c r="E475" s="105"/>
      <c r="F475" s="105"/>
      <c r="G475" s="105"/>
      <c r="H475" s="108"/>
      <c r="I475" s="109"/>
      <c r="J475" s="110"/>
      <c r="K475" s="109"/>
      <c r="L475" s="109"/>
      <c r="M475" s="109"/>
    </row>
    <row r="476">
      <c r="A476" s="103"/>
      <c r="B476" s="104"/>
      <c r="C476" s="105"/>
      <c r="D476" s="106"/>
      <c r="E476" s="105"/>
      <c r="F476" s="105"/>
      <c r="G476" s="105"/>
      <c r="H476" s="108"/>
      <c r="I476" s="109"/>
      <c r="J476" s="110"/>
      <c r="K476" s="109"/>
      <c r="L476" s="109"/>
      <c r="M476" s="109"/>
    </row>
    <row r="477">
      <c r="A477" s="103"/>
      <c r="B477" s="104"/>
      <c r="C477" s="105"/>
      <c r="D477" s="106"/>
      <c r="E477" s="105"/>
      <c r="F477" s="105"/>
      <c r="G477" s="105"/>
      <c r="H477" s="108"/>
      <c r="I477" s="109"/>
      <c r="J477" s="110"/>
      <c r="K477" s="109"/>
      <c r="L477" s="109"/>
      <c r="M477" s="109"/>
    </row>
    <row r="478">
      <c r="A478" s="103"/>
      <c r="B478" s="104"/>
      <c r="C478" s="105"/>
      <c r="D478" s="106"/>
      <c r="E478" s="105"/>
      <c r="F478" s="105"/>
      <c r="G478" s="105"/>
      <c r="H478" s="108"/>
      <c r="I478" s="109"/>
      <c r="J478" s="110"/>
      <c r="K478" s="109"/>
      <c r="L478" s="109"/>
      <c r="M478" s="109"/>
    </row>
    <row r="479">
      <c r="A479" s="103"/>
      <c r="B479" s="104"/>
      <c r="C479" s="105"/>
      <c r="D479" s="106"/>
      <c r="E479" s="105"/>
      <c r="F479" s="105"/>
      <c r="G479" s="105"/>
      <c r="H479" s="108"/>
      <c r="I479" s="109"/>
      <c r="J479" s="110"/>
      <c r="K479" s="109"/>
      <c r="L479" s="109"/>
      <c r="M479" s="109"/>
    </row>
    <row r="480">
      <c r="A480" s="103"/>
      <c r="B480" s="104"/>
      <c r="C480" s="105"/>
      <c r="D480" s="106"/>
      <c r="E480" s="105"/>
      <c r="F480" s="105"/>
      <c r="G480" s="105"/>
      <c r="H480" s="108"/>
      <c r="I480" s="109"/>
      <c r="J480" s="110"/>
      <c r="K480" s="109"/>
      <c r="L480" s="109"/>
      <c r="M480" s="109"/>
    </row>
    <row r="481">
      <c r="A481" s="103"/>
      <c r="B481" s="104"/>
      <c r="C481" s="105"/>
      <c r="D481" s="106"/>
      <c r="E481" s="105"/>
      <c r="F481" s="105"/>
      <c r="G481" s="105"/>
      <c r="H481" s="108"/>
      <c r="I481" s="109"/>
      <c r="J481" s="110"/>
      <c r="K481" s="109"/>
      <c r="L481" s="109"/>
      <c r="M481" s="109"/>
    </row>
    <row r="482">
      <c r="A482" s="103"/>
      <c r="B482" s="104"/>
      <c r="C482" s="105"/>
      <c r="D482" s="106"/>
      <c r="E482" s="105"/>
      <c r="F482" s="105"/>
      <c r="G482" s="105"/>
      <c r="H482" s="108"/>
      <c r="I482" s="109"/>
      <c r="J482" s="110"/>
      <c r="K482" s="109"/>
      <c r="L482" s="109"/>
      <c r="M482" s="109"/>
    </row>
    <row r="483">
      <c r="A483" s="103"/>
      <c r="B483" s="104"/>
      <c r="C483" s="105"/>
      <c r="D483" s="106"/>
      <c r="E483" s="105"/>
      <c r="F483" s="105"/>
      <c r="G483" s="105"/>
      <c r="H483" s="108"/>
      <c r="I483" s="109"/>
      <c r="J483" s="110"/>
      <c r="K483" s="109"/>
      <c r="L483" s="109"/>
      <c r="M483" s="109"/>
    </row>
    <row r="484">
      <c r="A484" s="103"/>
      <c r="B484" s="104"/>
      <c r="C484" s="105"/>
      <c r="D484" s="106"/>
      <c r="E484" s="105"/>
      <c r="F484" s="105"/>
      <c r="G484" s="105"/>
      <c r="H484" s="108"/>
      <c r="I484" s="109"/>
      <c r="J484" s="110"/>
      <c r="K484" s="109"/>
      <c r="L484" s="109"/>
      <c r="M484" s="109"/>
    </row>
    <row r="485">
      <c r="A485" s="103"/>
      <c r="B485" s="104"/>
      <c r="C485" s="105"/>
      <c r="D485" s="106"/>
      <c r="E485" s="105"/>
      <c r="F485" s="105"/>
      <c r="G485" s="105"/>
      <c r="H485" s="108"/>
      <c r="I485" s="109"/>
      <c r="J485" s="110"/>
      <c r="K485" s="109"/>
      <c r="L485" s="109"/>
      <c r="M485" s="109"/>
    </row>
    <row r="486">
      <c r="A486" s="103"/>
      <c r="B486" s="104"/>
      <c r="C486" s="105"/>
      <c r="D486" s="106"/>
      <c r="E486" s="105"/>
      <c r="F486" s="105"/>
      <c r="G486" s="105"/>
      <c r="H486" s="108"/>
      <c r="I486" s="109"/>
      <c r="J486" s="110"/>
      <c r="K486" s="109"/>
      <c r="L486" s="109"/>
      <c r="M486" s="109"/>
    </row>
    <row r="487">
      <c r="A487" s="103"/>
      <c r="B487" s="104"/>
      <c r="C487" s="105"/>
      <c r="D487" s="106"/>
      <c r="E487" s="105"/>
      <c r="F487" s="105"/>
      <c r="G487" s="105"/>
      <c r="H487" s="108"/>
      <c r="I487" s="109"/>
      <c r="J487" s="110"/>
      <c r="K487" s="109"/>
      <c r="L487" s="109"/>
      <c r="M487" s="109"/>
    </row>
    <row r="488">
      <c r="A488" s="103"/>
      <c r="B488" s="104"/>
      <c r="C488" s="105"/>
      <c r="D488" s="106"/>
      <c r="E488" s="105"/>
      <c r="F488" s="105"/>
      <c r="G488" s="105"/>
      <c r="H488" s="108"/>
      <c r="I488" s="109"/>
      <c r="J488" s="110"/>
      <c r="K488" s="109"/>
      <c r="L488" s="109"/>
      <c r="M488" s="109"/>
    </row>
    <row r="489">
      <c r="A489" s="103"/>
      <c r="B489" s="104"/>
      <c r="C489" s="105"/>
      <c r="D489" s="106"/>
      <c r="E489" s="105"/>
      <c r="F489" s="105"/>
      <c r="G489" s="105"/>
      <c r="H489" s="108"/>
      <c r="I489" s="109"/>
      <c r="J489" s="110"/>
      <c r="K489" s="109"/>
      <c r="L489" s="109"/>
      <c r="M489" s="109"/>
    </row>
    <row r="490">
      <c r="A490" s="103"/>
      <c r="B490" s="104"/>
      <c r="C490" s="105"/>
      <c r="D490" s="106"/>
      <c r="E490" s="105"/>
      <c r="F490" s="105"/>
      <c r="G490" s="105"/>
      <c r="H490" s="108"/>
      <c r="I490" s="109"/>
      <c r="J490" s="110"/>
      <c r="K490" s="109"/>
      <c r="L490" s="109"/>
      <c r="M490" s="109"/>
    </row>
    <row r="491">
      <c r="A491" s="103"/>
      <c r="B491" s="104"/>
      <c r="C491" s="105"/>
      <c r="D491" s="106"/>
      <c r="E491" s="105"/>
      <c r="F491" s="105"/>
      <c r="G491" s="105"/>
      <c r="H491" s="108"/>
      <c r="I491" s="109"/>
      <c r="J491" s="110"/>
      <c r="K491" s="109"/>
      <c r="L491" s="109"/>
      <c r="M491" s="109"/>
    </row>
    <row r="492">
      <c r="A492" s="103"/>
      <c r="B492" s="104"/>
      <c r="C492" s="105"/>
      <c r="D492" s="106"/>
      <c r="E492" s="105"/>
      <c r="F492" s="105"/>
      <c r="G492" s="105"/>
      <c r="H492" s="108"/>
      <c r="I492" s="109"/>
      <c r="J492" s="110"/>
      <c r="K492" s="109"/>
      <c r="L492" s="109"/>
      <c r="M492" s="109"/>
    </row>
    <row r="493">
      <c r="A493" s="103"/>
      <c r="B493" s="104"/>
      <c r="C493" s="105"/>
      <c r="D493" s="106"/>
      <c r="E493" s="105"/>
      <c r="F493" s="105"/>
      <c r="G493" s="105"/>
      <c r="H493" s="108"/>
      <c r="I493" s="109"/>
      <c r="J493" s="110"/>
      <c r="K493" s="109"/>
      <c r="L493" s="109"/>
      <c r="M493" s="109"/>
    </row>
    <row r="494">
      <c r="A494" s="103"/>
      <c r="B494" s="104"/>
      <c r="C494" s="105"/>
      <c r="D494" s="106"/>
      <c r="E494" s="105"/>
      <c r="F494" s="105"/>
      <c r="G494" s="105"/>
      <c r="H494" s="108"/>
      <c r="I494" s="109"/>
      <c r="J494" s="110"/>
      <c r="K494" s="109"/>
      <c r="L494" s="109"/>
      <c r="M494" s="109"/>
    </row>
    <row r="495">
      <c r="A495" s="103"/>
      <c r="B495" s="104"/>
      <c r="C495" s="105"/>
      <c r="D495" s="106"/>
      <c r="E495" s="105"/>
      <c r="F495" s="105"/>
      <c r="G495" s="105"/>
      <c r="H495" s="108"/>
      <c r="I495" s="109"/>
      <c r="J495" s="110"/>
      <c r="K495" s="109"/>
      <c r="L495" s="109"/>
      <c r="M495" s="109"/>
    </row>
    <row r="496">
      <c r="A496" s="103"/>
      <c r="B496" s="104"/>
      <c r="C496" s="105"/>
      <c r="D496" s="106"/>
      <c r="E496" s="105"/>
      <c r="F496" s="105"/>
      <c r="G496" s="105"/>
      <c r="H496" s="108"/>
      <c r="I496" s="109"/>
      <c r="J496" s="110"/>
      <c r="K496" s="109"/>
      <c r="L496" s="109"/>
      <c r="M496" s="109"/>
    </row>
    <row r="497">
      <c r="A497" s="103"/>
      <c r="B497" s="104"/>
      <c r="C497" s="105"/>
      <c r="D497" s="106"/>
      <c r="E497" s="105"/>
      <c r="F497" s="105"/>
      <c r="G497" s="105"/>
      <c r="H497" s="108"/>
      <c r="I497" s="109"/>
      <c r="J497" s="110"/>
      <c r="K497" s="109"/>
      <c r="L497" s="109"/>
      <c r="M497" s="109"/>
    </row>
    <row r="498">
      <c r="A498" s="103"/>
      <c r="B498" s="104"/>
      <c r="C498" s="105"/>
      <c r="D498" s="106"/>
      <c r="E498" s="105"/>
      <c r="F498" s="105"/>
      <c r="G498" s="105"/>
      <c r="H498" s="108"/>
      <c r="I498" s="109"/>
      <c r="J498" s="110"/>
      <c r="K498" s="109"/>
      <c r="L498" s="109"/>
      <c r="M498" s="109"/>
    </row>
    <row r="499">
      <c r="A499" s="103"/>
      <c r="B499" s="104"/>
      <c r="C499" s="105"/>
      <c r="D499" s="106"/>
      <c r="E499" s="105"/>
      <c r="F499" s="105"/>
      <c r="G499" s="105"/>
      <c r="H499" s="108"/>
      <c r="I499" s="109"/>
      <c r="J499" s="110"/>
      <c r="K499" s="109"/>
      <c r="L499" s="109"/>
      <c r="M499" s="109"/>
    </row>
    <row r="500">
      <c r="A500" s="103"/>
      <c r="B500" s="104"/>
      <c r="C500" s="105"/>
      <c r="D500" s="106"/>
      <c r="E500" s="105"/>
      <c r="F500" s="105"/>
      <c r="G500" s="105"/>
      <c r="H500" s="108"/>
      <c r="I500" s="109"/>
      <c r="J500" s="110"/>
      <c r="K500" s="109"/>
      <c r="L500" s="109"/>
      <c r="M500" s="109"/>
    </row>
    <row r="501">
      <c r="A501" s="103"/>
      <c r="B501" s="104"/>
      <c r="C501" s="105"/>
      <c r="D501" s="106"/>
      <c r="E501" s="105"/>
      <c r="F501" s="105"/>
      <c r="G501" s="105"/>
      <c r="H501" s="108"/>
      <c r="I501" s="109"/>
      <c r="J501" s="110"/>
      <c r="K501" s="109"/>
      <c r="L501" s="109"/>
      <c r="M501" s="109"/>
    </row>
    <row r="502">
      <c r="A502" s="103"/>
      <c r="B502" s="104"/>
      <c r="C502" s="105"/>
      <c r="D502" s="106"/>
      <c r="E502" s="105"/>
      <c r="F502" s="105"/>
      <c r="G502" s="105"/>
      <c r="H502" s="108"/>
      <c r="I502" s="109"/>
      <c r="J502" s="110"/>
      <c r="K502" s="109"/>
      <c r="L502" s="109"/>
      <c r="M502" s="109"/>
    </row>
    <row r="503">
      <c r="A503" s="103"/>
      <c r="B503" s="104"/>
      <c r="C503" s="105"/>
      <c r="D503" s="106"/>
      <c r="E503" s="105"/>
      <c r="F503" s="105"/>
      <c r="G503" s="105"/>
      <c r="H503" s="108"/>
      <c r="I503" s="109"/>
      <c r="J503" s="110"/>
      <c r="K503" s="109"/>
      <c r="L503" s="109"/>
      <c r="M503" s="109"/>
    </row>
    <row r="504">
      <c r="A504" s="103"/>
      <c r="B504" s="104"/>
      <c r="C504" s="105"/>
      <c r="D504" s="106"/>
      <c r="E504" s="105"/>
      <c r="F504" s="105"/>
      <c r="G504" s="105"/>
      <c r="H504" s="108"/>
      <c r="I504" s="109"/>
      <c r="J504" s="110"/>
      <c r="K504" s="109"/>
      <c r="L504" s="109"/>
      <c r="M504" s="109"/>
    </row>
    <row r="505">
      <c r="A505" s="103"/>
      <c r="B505" s="104"/>
      <c r="C505" s="105"/>
      <c r="D505" s="106"/>
      <c r="E505" s="105"/>
      <c r="F505" s="105"/>
      <c r="G505" s="105"/>
      <c r="H505" s="108"/>
      <c r="I505" s="109"/>
      <c r="J505" s="110"/>
      <c r="K505" s="109"/>
      <c r="L505" s="109"/>
      <c r="M505" s="109"/>
    </row>
    <row r="506">
      <c r="A506" s="103"/>
      <c r="B506" s="104"/>
      <c r="C506" s="105"/>
      <c r="D506" s="106"/>
      <c r="E506" s="105"/>
      <c r="F506" s="105"/>
      <c r="G506" s="105"/>
      <c r="H506" s="108"/>
      <c r="I506" s="109"/>
      <c r="J506" s="110"/>
      <c r="K506" s="109"/>
      <c r="L506" s="109"/>
      <c r="M506" s="109"/>
    </row>
    <row r="507">
      <c r="A507" s="103"/>
      <c r="B507" s="104"/>
      <c r="C507" s="105"/>
      <c r="D507" s="106"/>
      <c r="E507" s="105"/>
      <c r="F507" s="105"/>
      <c r="G507" s="105"/>
      <c r="H507" s="108"/>
      <c r="I507" s="109"/>
      <c r="J507" s="110"/>
      <c r="K507" s="109"/>
      <c r="L507" s="109"/>
      <c r="M507" s="109"/>
    </row>
    <row r="508">
      <c r="A508" s="103"/>
      <c r="B508" s="104"/>
      <c r="C508" s="105"/>
      <c r="D508" s="106"/>
      <c r="E508" s="105"/>
      <c r="F508" s="105"/>
      <c r="G508" s="105"/>
      <c r="H508" s="108"/>
      <c r="I508" s="109"/>
      <c r="J508" s="110"/>
      <c r="K508" s="109"/>
      <c r="L508" s="109"/>
      <c r="M508" s="109"/>
    </row>
    <row r="509">
      <c r="A509" s="103"/>
      <c r="B509" s="104"/>
      <c r="C509" s="105"/>
      <c r="D509" s="106"/>
      <c r="E509" s="105"/>
      <c r="F509" s="105"/>
      <c r="G509" s="105"/>
      <c r="H509" s="108"/>
      <c r="I509" s="109"/>
      <c r="J509" s="110"/>
      <c r="K509" s="109"/>
      <c r="L509" s="109"/>
      <c r="M509" s="109"/>
    </row>
    <row r="510">
      <c r="A510" s="103"/>
      <c r="B510" s="104"/>
      <c r="C510" s="105"/>
      <c r="D510" s="106"/>
      <c r="E510" s="105"/>
      <c r="F510" s="105"/>
      <c r="G510" s="105"/>
      <c r="H510" s="108"/>
      <c r="I510" s="109"/>
      <c r="J510" s="110"/>
      <c r="K510" s="109"/>
      <c r="L510" s="109"/>
      <c r="M510" s="109"/>
    </row>
    <row r="511">
      <c r="A511" s="103"/>
      <c r="B511" s="104"/>
      <c r="C511" s="105"/>
      <c r="D511" s="106"/>
      <c r="E511" s="105"/>
      <c r="F511" s="105"/>
      <c r="G511" s="105"/>
      <c r="H511" s="108"/>
      <c r="I511" s="109"/>
      <c r="J511" s="110"/>
      <c r="K511" s="109"/>
      <c r="L511" s="109"/>
      <c r="M511" s="109"/>
    </row>
    <row r="512">
      <c r="A512" s="103"/>
      <c r="B512" s="104"/>
      <c r="C512" s="105"/>
      <c r="D512" s="106"/>
      <c r="E512" s="105"/>
      <c r="F512" s="105"/>
      <c r="G512" s="105"/>
      <c r="H512" s="108"/>
      <c r="I512" s="109"/>
      <c r="J512" s="110"/>
      <c r="K512" s="109"/>
      <c r="L512" s="109"/>
      <c r="M512" s="109"/>
    </row>
    <row r="513">
      <c r="A513" s="103"/>
      <c r="B513" s="104"/>
      <c r="C513" s="105"/>
      <c r="D513" s="106"/>
      <c r="E513" s="105"/>
      <c r="F513" s="105"/>
      <c r="G513" s="105"/>
      <c r="H513" s="108"/>
      <c r="I513" s="109"/>
      <c r="J513" s="110"/>
      <c r="K513" s="109"/>
      <c r="L513" s="109"/>
      <c r="M513" s="109"/>
    </row>
    <row r="514">
      <c r="A514" s="103"/>
      <c r="B514" s="104"/>
      <c r="C514" s="105"/>
      <c r="D514" s="106"/>
      <c r="E514" s="105"/>
      <c r="F514" s="105"/>
      <c r="G514" s="105"/>
      <c r="H514" s="108"/>
      <c r="I514" s="109"/>
      <c r="J514" s="110"/>
      <c r="K514" s="109"/>
      <c r="L514" s="109"/>
      <c r="M514" s="109"/>
    </row>
    <row r="515">
      <c r="A515" s="103"/>
      <c r="B515" s="104"/>
      <c r="C515" s="105"/>
      <c r="D515" s="106"/>
      <c r="E515" s="105"/>
      <c r="F515" s="105"/>
      <c r="G515" s="105"/>
      <c r="H515" s="108"/>
      <c r="I515" s="109"/>
      <c r="J515" s="110"/>
      <c r="K515" s="109"/>
      <c r="L515" s="109"/>
      <c r="M515" s="109"/>
    </row>
    <row r="516">
      <c r="A516" s="103"/>
      <c r="B516" s="104"/>
      <c r="C516" s="105"/>
      <c r="D516" s="106"/>
      <c r="E516" s="105"/>
      <c r="F516" s="105"/>
      <c r="G516" s="105"/>
      <c r="H516" s="108"/>
      <c r="I516" s="109"/>
      <c r="J516" s="110"/>
      <c r="K516" s="109"/>
      <c r="L516" s="109"/>
      <c r="M516" s="109"/>
    </row>
    <row r="517">
      <c r="A517" s="103"/>
      <c r="B517" s="104"/>
      <c r="C517" s="105"/>
      <c r="D517" s="106"/>
      <c r="E517" s="105"/>
      <c r="F517" s="105"/>
      <c r="G517" s="105"/>
      <c r="H517" s="108"/>
      <c r="I517" s="109"/>
      <c r="J517" s="110"/>
      <c r="K517" s="109"/>
      <c r="L517" s="109"/>
      <c r="M517" s="109"/>
    </row>
    <row r="518">
      <c r="A518" s="103"/>
      <c r="B518" s="104"/>
      <c r="C518" s="105"/>
      <c r="D518" s="106"/>
      <c r="E518" s="105"/>
      <c r="F518" s="105"/>
      <c r="G518" s="105"/>
      <c r="H518" s="108"/>
      <c r="I518" s="109"/>
      <c r="J518" s="110"/>
      <c r="K518" s="109"/>
      <c r="L518" s="109"/>
      <c r="M518" s="109"/>
    </row>
    <row r="519">
      <c r="A519" s="103"/>
      <c r="B519" s="104"/>
      <c r="C519" s="105"/>
      <c r="D519" s="106"/>
      <c r="E519" s="105"/>
      <c r="F519" s="105"/>
      <c r="G519" s="105"/>
      <c r="H519" s="108"/>
      <c r="I519" s="109"/>
      <c r="J519" s="110"/>
      <c r="K519" s="109"/>
      <c r="L519" s="109"/>
      <c r="M519" s="109"/>
    </row>
    <row r="520">
      <c r="A520" s="103"/>
      <c r="B520" s="104"/>
      <c r="C520" s="105"/>
      <c r="D520" s="106"/>
      <c r="E520" s="105"/>
      <c r="F520" s="105"/>
      <c r="G520" s="105"/>
      <c r="H520" s="108"/>
      <c r="I520" s="109"/>
      <c r="J520" s="110"/>
      <c r="K520" s="109"/>
      <c r="L520" s="109"/>
      <c r="M520" s="109"/>
    </row>
    <row r="521">
      <c r="A521" s="103"/>
      <c r="B521" s="104"/>
      <c r="C521" s="105"/>
      <c r="D521" s="106"/>
      <c r="E521" s="105"/>
      <c r="F521" s="105"/>
      <c r="G521" s="105"/>
      <c r="H521" s="108"/>
      <c r="I521" s="109"/>
      <c r="J521" s="110"/>
      <c r="K521" s="109"/>
      <c r="L521" s="109"/>
      <c r="M521" s="109"/>
    </row>
    <row r="522">
      <c r="A522" s="103"/>
      <c r="B522" s="104"/>
      <c r="C522" s="105"/>
      <c r="D522" s="106"/>
      <c r="E522" s="105"/>
      <c r="F522" s="105"/>
      <c r="G522" s="105"/>
      <c r="H522" s="108"/>
      <c r="I522" s="109"/>
      <c r="J522" s="110"/>
      <c r="K522" s="109"/>
      <c r="L522" s="109"/>
      <c r="M522" s="109"/>
    </row>
    <row r="523">
      <c r="A523" s="103"/>
      <c r="B523" s="104"/>
      <c r="C523" s="105"/>
      <c r="D523" s="106"/>
      <c r="E523" s="105"/>
      <c r="F523" s="105"/>
      <c r="G523" s="105"/>
      <c r="H523" s="108"/>
      <c r="I523" s="109"/>
      <c r="J523" s="110"/>
      <c r="K523" s="109"/>
      <c r="L523" s="109"/>
      <c r="M523" s="109"/>
    </row>
    <row r="524">
      <c r="A524" s="103"/>
      <c r="B524" s="104"/>
      <c r="C524" s="105"/>
      <c r="D524" s="106"/>
      <c r="E524" s="105"/>
      <c r="F524" s="105"/>
      <c r="G524" s="105"/>
      <c r="H524" s="108"/>
      <c r="I524" s="109"/>
      <c r="J524" s="110"/>
      <c r="K524" s="109"/>
      <c r="L524" s="109"/>
      <c r="M524" s="109"/>
    </row>
    <row r="525">
      <c r="A525" s="103"/>
      <c r="B525" s="104"/>
      <c r="C525" s="105"/>
      <c r="D525" s="106"/>
      <c r="E525" s="105"/>
      <c r="F525" s="105"/>
      <c r="G525" s="105"/>
      <c r="H525" s="108"/>
      <c r="I525" s="109"/>
      <c r="J525" s="110"/>
      <c r="K525" s="109"/>
      <c r="L525" s="109"/>
      <c r="M525" s="109"/>
    </row>
    <row r="526">
      <c r="A526" s="103"/>
      <c r="B526" s="104"/>
      <c r="C526" s="105"/>
      <c r="D526" s="106"/>
      <c r="E526" s="105"/>
      <c r="F526" s="105"/>
      <c r="G526" s="105"/>
      <c r="H526" s="108"/>
      <c r="I526" s="109"/>
      <c r="J526" s="110"/>
      <c r="K526" s="109"/>
      <c r="L526" s="109"/>
      <c r="M526" s="109"/>
    </row>
    <row r="527">
      <c r="A527" s="103"/>
      <c r="B527" s="104"/>
      <c r="C527" s="105"/>
      <c r="D527" s="106"/>
      <c r="E527" s="105"/>
      <c r="F527" s="105"/>
      <c r="G527" s="105"/>
      <c r="H527" s="108"/>
      <c r="I527" s="109"/>
      <c r="J527" s="110"/>
      <c r="K527" s="109"/>
      <c r="L527" s="109"/>
      <c r="M527" s="109"/>
    </row>
    <row r="528">
      <c r="A528" s="103"/>
      <c r="B528" s="104"/>
      <c r="C528" s="105"/>
      <c r="D528" s="106"/>
      <c r="E528" s="105"/>
      <c r="F528" s="105"/>
      <c r="G528" s="105"/>
      <c r="H528" s="108"/>
      <c r="I528" s="109"/>
      <c r="J528" s="110"/>
      <c r="K528" s="109"/>
      <c r="L528" s="109"/>
      <c r="M528" s="109"/>
    </row>
    <row r="529">
      <c r="A529" s="103"/>
      <c r="B529" s="104"/>
      <c r="C529" s="105"/>
      <c r="D529" s="106"/>
      <c r="E529" s="105"/>
      <c r="F529" s="105"/>
      <c r="G529" s="105"/>
      <c r="H529" s="108"/>
      <c r="I529" s="109"/>
      <c r="J529" s="110"/>
      <c r="K529" s="109"/>
      <c r="L529" s="109"/>
      <c r="M529" s="109"/>
    </row>
    <row r="530">
      <c r="A530" s="103"/>
      <c r="B530" s="104"/>
      <c r="C530" s="105"/>
      <c r="D530" s="106"/>
      <c r="E530" s="105"/>
      <c r="F530" s="105"/>
      <c r="G530" s="105"/>
      <c r="H530" s="108"/>
      <c r="I530" s="109"/>
      <c r="J530" s="110"/>
      <c r="K530" s="109"/>
      <c r="L530" s="109"/>
      <c r="M530" s="109"/>
    </row>
    <row r="531">
      <c r="A531" s="103"/>
      <c r="B531" s="104"/>
      <c r="C531" s="105"/>
      <c r="D531" s="106"/>
      <c r="E531" s="105"/>
      <c r="F531" s="105"/>
      <c r="G531" s="105"/>
      <c r="H531" s="108"/>
      <c r="I531" s="109"/>
      <c r="J531" s="110"/>
      <c r="K531" s="109"/>
      <c r="L531" s="109"/>
      <c r="M531" s="109"/>
    </row>
    <row r="532">
      <c r="A532" s="103"/>
      <c r="B532" s="104"/>
      <c r="C532" s="105"/>
      <c r="D532" s="106"/>
      <c r="E532" s="105"/>
      <c r="F532" s="105"/>
      <c r="G532" s="105"/>
      <c r="H532" s="108"/>
      <c r="I532" s="109"/>
      <c r="J532" s="110"/>
      <c r="K532" s="109"/>
      <c r="L532" s="109"/>
      <c r="M532" s="109"/>
    </row>
    <row r="533">
      <c r="A533" s="103"/>
      <c r="B533" s="104"/>
      <c r="C533" s="105"/>
      <c r="D533" s="106"/>
      <c r="E533" s="105"/>
      <c r="F533" s="105"/>
      <c r="G533" s="105"/>
      <c r="H533" s="108"/>
      <c r="I533" s="109"/>
      <c r="J533" s="110"/>
      <c r="K533" s="109"/>
      <c r="L533" s="109"/>
      <c r="M533" s="109"/>
    </row>
    <row r="534">
      <c r="A534" s="103"/>
      <c r="B534" s="104"/>
      <c r="C534" s="105"/>
      <c r="D534" s="106"/>
      <c r="E534" s="105"/>
      <c r="F534" s="105"/>
      <c r="G534" s="105"/>
      <c r="H534" s="108"/>
      <c r="I534" s="109"/>
      <c r="J534" s="110"/>
      <c r="K534" s="109"/>
      <c r="L534" s="109"/>
      <c r="M534" s="109"/>
    </row>
    <row r="535">
      <c r="A535" s="103"/>
      <c r="B535" s="104"/>
      <c r="C535" s="105"/>
      <c r="D535" s="106"/>
      <c r="E535" s="105"/>
      <c r="F535" s="105"/>
      <c r="G535" s="105"/>
      <c r="H535" s="108"/>
      <c r="I535" s="109"/>
      <c r="J535" s="110"/>
      <c r="K535" s="109"/>
      <c r="L535" s="109"/>
      <c r="M535" s="109"/>
    </row>
    <row r="536">
      <c r="A536" s="103"/>
      <c r="B536" s="104"/>
      <c r="C536" s="105"/>
      <c r="D536" s="106"/>
      <c r="E536" s="105"/>
      <c r="F536" s="105"/>
      <c r="G536" s="105"/>
      <c r="H536" s="108"/>
      <c r="I536" s="109"/>
      <c r="J536" s="110"/>
      <c r="K536" s="109"/>
      <c r="L536" s="109"/>
      <c r="M536" s="109"/>
    </row>
    <row r="537">
      <c r="A537" s="103"/>
      <c r="B537" s="104"/>
      <c r="C537" s="105"/>
      <c r="D537" s="106"/>
      <c r="E537" s="105"/>
      <c r="F537" s="105"/>
      <c r="G537" s="105"/>
      <c r="H537" s="108"/>
      <c r="I537" s="109"/>
      <c r="J537" s="110"/>
      <c r="K537" s="109"/>
      <c r="L537" s="109"/>
      <c r="M537" s="109"/>
    </row>
    <row r="538">
      <c r="A538" s="103"/>
      <c r="B538" s="104"/>
      <c r="C538" s="105"/>
      <c r="D538" s="106"/>
      <c r="E538" s="105"/>
      <c r="F538" s="105"/>
      <c r="G538" s="105"/>
      <c r="H538" s="108"/>
      <c r="I538" s="109"/>
      <c r="J538" s="110"/>
      <c r="K538" s="109"/>
      <c r="L538" s="109"/>
      <c r="M538" s="109"/>
    </row>
    <row r="539">
      <c r="A539" s="103"/>
      <c r="B539" s="104"/>
      <c r="C539" s="105"/>
      <c r="D539" s="106"/>
      <c r="E539" s="105"/>
      <c r="F539" s="105"/>
      <c r="G539" s="105"/>
      <c r="H539" s="108"/>
      <c r="I539" s="109"/>
      <c r="J539" s="110"/>
      <c r="K539" s="109"/>
      <c r="L539" s="109"/>
      <c r="M539" s="109"/>
    </row>
    <row r="540">
      <c r="A540" s="103"/>
      <c r="B540" s="104"/>
      <c r="C540" s="105"/>
      <c r="D540" s="106"/>
      <c r="E540" s="105"/>
      <c r="F540" s="105"/>
      <c r="G540" s="105"/>
      <c r="H540" s="108"/>
      <c r="I540" s="109"/>
      <c r="J540" s="110"/>
      <c r="K540" s="109"/>
      <c r="L540" s="109"/>
      <c r="M540" s="109"/>
    </row>
    <row r="541">
      <c r="A541" s="103"/>
      <c r="B541" s="104"/>
      <c r="C541" s="105"/>
      <c r="D541" s="106"/>
      <c r="E541" s="105"/>
      <c r="F541" s="105"/>
      <c r="G541" s="105"/>
      <c r="H541" s="108"/>
      <c r="I541" s="109"/>
      <c r="J541" s="110"/>
      <c r="K541" s="109"/>
      <c r="L541" s="109"/>
      <c r="M541" s="109"/>
    </row>
    <row r="542">
      <c r="A542" s="103"/>
      <c r="B542" s="104"/>
      <c r="C542" s="105"/>
      <c r="D542" s="106"/>
      <c r="E542" s="105"/>
      <c r="F542" s="105"/>
      <c r="G542" s="105"/>
      <c r="H542" s="108"/>
      <c r="I542" s="109"/>
      <c r="J542" s="110"/>
      <c r="K542" s="109"/>
      <c r="L542" s="109"/>
      <c r="M542" s="109"/>
    </row>
    <row r="543">
      <c r="A543" s="103"/>
      <c r="B543" s="104"/>
      <c r="C543" s="105"/>
      <c r="D543" s="106"/>
      <c r="E543" s="105"/>
      <c r="F543" s="105"/>
      <c r="G543" s="105"/>
      <c r="H543" s="108"/>
      <c r="I543" s="109"/>
      <c r="J543" s="110"/>
      <c r="K543" s="109"/>
      <c r="L543" s="109"/>
      <c r="M543" s="109"/>
    </row>
    <row r="544">
      <c r="A544" s="103"/>
      <c r="B544" s="104"/>
      <c r="C544" s="105"/>
      <c r="D544" s="106"/>
      <c r="E544" s="105"/>
      <c r="F544" s="105"/>
      <c r="G544" s="105"/>
      <c r="H544" s="108"/>
      <c r="I544" s="109"/>
      <c r="J544" s="110"/>
      <c r="K544" s="109"/>
      <c r="L544" s="109"/>
      <c r="M544" s="109"/>
    </row>
    <row r="545">
      <c r="A545" s="103"/>
      <c r="B545" s="104"/>
      <c r="C545" s="105"/>
      <c r="D545" s="106"/>
      <c r="E545" s="105"/>
      <c r="F545" s="105"/>
      <c r="G545" s="105"/>
      <c r="H545" s="108"/>
      <c r="I545" s="109"/>
      <c r="J545" s="110"/>
      <c r="K545" s="109"/>
      <c r="L545" s="109"/>
      <c r="M545" s="109"/>
    </row>
    <row r="546">
      <c r="A546" s="103"/>
      <c r="B546" s="104"/>
      <c r="C546" s="105"/>
      <c r="D546" s="106"/>
      <c r="E546" s="105"/>
      <c r="F546" s="105"/>
      <c r="G546" s="105"/>
      <c r="H546" s="108"/>
      <c r="I546" s="109"/>
      <c r="J546" s="110"/>
      <c r="K546" s="109"/>
      <c r="L546" s="109"/>
      <c r="M546" s="109"/>
    </row>
    <row r="547">
      <c r="A547" s="103"/>
      <c r="B547" s="104"/>
      <c r="C547" s="105"/>
      <c r="D547" s="106"/>
      <c r="E547" s="105"/>
      <c r="F547" s="105"/>
      <c r="G547" s="105"/>
      <c r="H547" s="108"/>
      <c r="I547" s="109"/>
      <c r="J547" s="110"/>
      <c r="K547" s="109"/>
      <c r="L547" s="109"/>
      <c r="M547" s="109"/>
    </row>
    <row r="548">
      <c r="A548" s="103"/>
      <c r="B548" s="104"/>
      <c r="C548" s="105"/>
      <c r="D548" s="106"/>
      <c r="E548" s="105"/>
      <c r="F548" s="105"/>
      <c r="G548" s="105"/>
      <c r="H548" s="108"/>
      <c r="I548" s="109"/>
      <c r="J548" s="110"/>
      <c r="K548" s="109"/>
      <c r="L548" s="109"/>
      <c r="M548" s="109"/>
    </row>
    <row r="549">
      <c r="A549" s="103"/>
      <c r="B549" s="104"/>
      <c r="C549" s="105"/>
      <c r="D549" s="106"/>
      <c r="E549" s="105"/>
      <c r="F549" s="105"/>
      <c r="G549" s="105"/>
      <c r="H549" s="108"/>
      <c r="I549" s="109"/>
      <c r="J549" s="110"/>
      <c r="K549" s="109"/>
      <c r="L549" s="109"/>
      <c r="M549" s="109"/>
    </row>
    <row r="550">
      <c r="A550" s="103"/>
      <c r="B550" s="104"/>
      <c r="C550" s="105"/>
      <c r="D550" s="106"/>
      <c r="E550" s="105"/>
      <c r="F550" s="105"/>
      <c r="G550" s="105"/>
      <c r="H550" s="108"/>
      <c r="I550" s="109"/>
      <c r="J550" s="110"/>
      <c r="K550" s="109"/>
      <c r="L550" s="109"/>
      <c r="M550" s="109"/>
    </row>
    <row r="551">
      <c r="A551" s="103"/>
      <c r="B551" s="104"/>
      <c r="C551" s="105"/>
      <c r="D551" s="106"/>
      <c r="E551" s="105"/>
      <c r="F551" s="105"/>
      <c r="G551" s="105"/>
      <c r="H551" s="108"/>
      <c r="I551" s="109"/>
      <c r="J551" s="110"/>
      <c r="K551" s="109"/>
      <c r="L551" s="109"/>
      <c r="M551" s="109"/>
    </row>
    <row r="552">
      <c r="A552" s="103"/>
      <c r="B552" s="104"/>
      <c r="C552" s="105"/>
      <c r="D552" s="106"/>
      <c r="E552" s="105"/>
      <c r="F552" s="105"/>
      <c r="G552" s="105"/>
      <c r="H552" s="108"/>
      <c r="I552" s="109"/>
      <c r="J552" s="110"/>
      <c r="K552" s="109"/>
      <c r="L552" s="109"/>
      <c r="M552" s="109"/>
    </row>
    <row r="553">
      <c r="A553" s="103"/>
      <c r="B553" s="104"/>
      <c r="C553" s="105"/>
      <c r="D553" s="106"/>
      <c r="E553" s="105"/>
      <c r="F553" s="105"/>
      <c r="G553" s="105"/>
      <c r="H553" s="108"/>
      <c r="I553" s="109"/>
      <c r="J553" s="110"/>
      <c r="K553" s="109"/>
      <c r="L553" s="109"/>
      <c r="M553" s="109"/>
    </row>
    <row r="554">
      <c r="A554" s="103"/>
      <c r="B554" s="104"/>
      <c r="C554" s="105"/>
      <c r="D554" s="106"/>
      <c r="E554" s="105"/>
      <c r="F554" s="105"/>
      <c r="G554" s="105"/>
      <c r="H554" s="108"/>
      <c r="I554" s="109"/>
      <c r="J554" s="110"/>
      <c r="K554" s="109"/>
      <c r="L554" s="109"/>
      <c r="M554" s="109"/>
    </row>
    <row r="555">
      <c r="A555" s="103"/>
      <c r="B555" s="104"/>
      <c r="C555" s="105"/>
      <c r="D555" s="106"/>
      <c r="E555" s="105"/>
      <c r="F555" s="105"/>
      <c r="G555" s="105"/>
      <c r="H555" s="108"/>
      <c r="I555" s="109"/>
      <c r="J555" s="110"/>
      <c r="K555" s="109"/>
      <c r="L555" s="109"/>
      <c r="M555" s="109"/>
    </row>
    <row r="556">
      <c r="A556" s="103"/>
      <c r="B556" s="104"/>
      <c r="C556" s="105"/>
      <c r="D556" s="106"/>
      <c r="E556" s="105"/>
      <c r="F556" s="105"/>
      <c r="G556" s="105"/>
      <c r="H556" s="108"/>
      <c r="I556" s="109"/>
      <c r="J556" s="110"/>
      <c r="K556" s="109"/>
      <c r="L556" s="109"/>
      <c r="M556" s="109"/>
    </row>
    <row r="557">
      <c r="A557" s="103"/>
      <c r="B557" s="104"/>
      <c r="C557" s="105"/>
      <c r="D557" s="106"/>
      <c r="E557" s="105"/>
      <c r="F557" s="105"/>
      <c r="G557" s="105"/>
      <c r="H557" s="108"/>
      <c r="I557" s="109"/>
      <c r="J557" s="110"/>
      <c r="K557" s="109"/>
      <c r="L557" s="109"/>
      <c r="M557" s="109"/>
    </row>
    <row r="558">
      <c r="A558" s="103"/>
      <c r="B558" s="104"/>
      <c r="C558" s="105"/>
      <c r="D558" s="106"/>
      <c r="E558" s="105"/>
      <c r="F558" s="105"/>
      <c r="G558" s="105"/>
      <c r="H558" s="108"/>
      <c r="I558" s="109"/>
      <c r="J558" s="110"/>
      <c r="K558" s="109"/>
      <c r="L558" s="109"/>
      <c r="M558" s="109"/>
    </row>
    <row r="559">
      <c r="A559" s="103"/>
      <c r="B559" s="104"/>
      <c r="C559" s="105"/>
      <c r="D559" s="106"/>
      <c r="E559" s="105"/>
      <c r="F559" s="105"/>
      <c r="G559" s="105"/>
      <c r="H559" s="108"/>
      <c r="I559" s="109"/>
      <c r="J559" s="110"/>
      <c r="K559" s="109"/>
      <c r="L559" s="109"/>
      <c r="M559" s="109"/>
    </row>
    <row r="560">
      <c r="A560" s="103"/>
      <c r="B560" s="104"/>
      <c r="C560" s="105"/>
      <c r="D560" s="106"/>
      <c r="E560" s="105"/>
      <c r="F560" s="105"/>
      <c r="G560" s="105"/>
      <c r="H560" s="108"/>
      <c r="I560" s="109"/>
      <c r="J560" s="110"/>
      <c r="K560" s="109"/>
      <c r="L560" s="109"/>
      <c r="M560" s="109"/>
    </row>
    <row r="561">
      <c r="A561" s="103"/>
      <c r="B561" s="104"/>
      <c r="C561" s="105"/>
      <c r="D561" s="106"/>
      <c r="E561" s="105"/>
      <c r="F561" s="105"/>
      <c r="G561" s="105"/>
      <c r="H561" s="108"/>
      <c r="I561" s="109"/>
      <c r="J561" s="110"/>
      <c r="K561" s="109"/>
      <c r="L561" s="109"/>
      <c r="M561" s="109"/>
    </row>
    <row r="562">
      <c r="A562" s="103"/>
      <c r="B562" s="104"/>
      <c r="C562" s="105"/>
      <c r="D562" s="106"/>
      <c r="E562" s="105"/>
      <c r="F562" s="105"/>
      <c r="G562" s="105"/>
      <c r="H562" s="108"/>
      <c r="I562" s="109"/>
      <c r="J562" s="110"/>
      <c r="K562" s="109"/>
      <c r="L562" s="109"/>
      <c r="M562" s="109"/>
    </row>
    <row r="563">
      <c r="A563" s="103"/>
      <c r="B563" s="104"/>
      <c r="C563" s="105"/>
      <c r="D563" s="106"/>
      <c r="E563" s="105"/>
      <c r="F563" s="105"/>
      <c r="G563" s="105"/>
      <c r="H563" s="108"/>
      <c r="I563" s="109"/>
      <c r="J563" s="110"/>
      <c r="K563" s="109"/>
      <c r="L563" s="109"/>
      <c r="M563" s="109"/>
    </row>
    <row r="564">
      <c r="A564" s="103"/>
      <c r="B564" s="104"/>
      <c r="C564" s="105"/>
      <c r="D564" s="106"/>
      <c r="E564" s="105"/>
      <c r="F564" s="105"/>
      <c r="G564" s="105"/>
      <c r="H564" s="108"/>
      <c r="I564" s="109"/>
      <c r="J564" s="110"/>
      <c r="K564" s="109"/>
      <c r="L564" s="109"/>
      <c r="M564" s="109"/>
    </row>
    <row r="565">
      <c r="A565" s="103"/>
      <c r="B565" s="104"/>
      <c r="C565" s="105"/>
      <c r="D565" s="106"/>
      <c r="E565" s="105"/>
      <c r="F565" s="105"/>
      <c r="G565" s="105"/>
      <c r="H565" s="108"/>
      <c r="I565" s="109"/>
      <c r="J565" s="110"/>
      <c r="K565" s="109"/>
      <c r="L565" s="109"/>
      <c r="M565" s="109"/>
    </row>
    <row r="566">
      <c r="A566" s="103"/>
      <c r="B566" s="104"/>
      <c r="C566" s="105"/>
      <c r="D566" s="106"/>
      <c r="E566" s="105"/>
      <c r="F566" s="105"/>
      <c r="G566" s="105"/>
      <c r="H566" s="108"/>
      <c r="I566" s="109"/>
      <c r="J566" s="110"/>
      <c r="K566" s="109"/>
      <c r="L566" s="109"/>
      <c r="M566" s="109"/>
    </row>
    <row r="567">
      <c r="A567" s="103"/>
      <c r="B567" s="104"/>
      <c r="C567" s="105"/>
      <c r="D567" s="106"/>
      <c r="E567" s="105"/>
      <c r="F567" s="105"/>
      <c r="G567" s="105"/>
      <c r="H567" s="108"/>
      <c r="I567" s="109"/>
      <c r="J567" s="110"/>
      <c r="K567" s="109"/>
      <c r="L567" s="109"/>
      <c r="M567" s="109"/>
    </row>
    <row r="568">
      <c r="A568" s="103"/>
      <c r="B568" s="104"/>
      <c r="C568" s="105"/>
      <c r="D568" s="106"/>
      <c r="E568" s="105"/>
      <c r="F568" s="105"/>
      <c r="G568" s="105"/>
      <c r="H568" s="108"/>
      <c r="I568" s="109"/>
      <c r="J568" s="110"/>
      <c r="K568" s="109"/>
      <c r="L568" s="109"/>
      <c r="M568" s="109"/>
    </row>
    <row r="569">
      <c r="A569" s="103"/>
      <c r="B569" s="104"/>
      <c r="C569" s="105"/>
      <c r="D569" s="106"/>
      <c r="E569" s="105"/>
      <c r="F569" s="105"/>
      <c r="G569" s="105"/>
      <c r="H569" s="108"/>
      <c r="I569" s="109"/>
      <c r="J569" s="110"/>
      <c r="K569" s="109"/>
      <c r="L569" s="109"/>
      <c r="M569" s="109"/>
    </row>
    <row r="570">
      <c r="A570" s="103"/>
      <c r="B570" s="104"/>
      <c r="C570" s="105"/>
      <c r="D570" s="106"/>
      <c r="E570" s="105"/>
      <c r="F570" s="105"/>
      <c r="G570" s="105"/>
      <c r="H570" s="108"/>
      <c r="I570" s="109"/>
      <c r="J570" s="110"/>
      <c r="K570" s="109"/>
      <c r="L570" s="109"/>
      <c r="M570" s="109"/>
    </row>
    <row r="571">
      <c r="A571" s="103"/>
      <c r="B571" s="104"/>
      <c r="C571" s="105"/>
      <c r="D571" s="106"/>
      <c r="E571" s="105"/>
      <c r="F571" s="105"/>
      <c r="G571" s="105"/>
      <c r="H571" s="108"/>
      <c r="I571" s="109"/>
      <c r="J571" s="110"/>
      <c r="K571" s="109"/>
      <c r="L571" s="109"/>
      <c r="M571" s="109"/>
    </row>
    <row r="572">
      <c r="A572" s="103"/>
      <c r="B572" s="104"/>
      <c r="C572" s="105"/>
      <c r="D572" s="106"/>
      <c r="E572" s="105"/>
      <c r="F572" s="105"/>
      <c r="G572" s="105"/>
      <c r="H572" s="108"/>
      <c r="I572" s="109"/>
      <c r="J572" s="110"/>
      <c r="K572" s="109"/>
      <c r="L572" s="109"/>
      <c r="M572" s="109"/>
    </row>
    <row r="573">
      <c r="A573" s="103"/>
      <c r="B573" s="104"/>
      <c r="C573" s="105"/>
      <c r="D573" s="106"/>
      <c r="E573" s="105"/>
      <c r="F573" s="105"/>
      <c r="G573" s="105"/>
      <c r="H573" s="108"/>
      <c r="I573" s="109"/>
      <c r="J573" s="110"/>
      <c r="K573" s="109"/>
      <c r="L573" s="109"/>
      <c r="M573" s="109"/>
    </row>
    <row r="574">
      <c r="A574" s="103"/>
      <c r="B574" s="104"/>
      <c r="C574" s="105"/>
      <c r="D574" s="106"/>
      <c r="E574" s="105"/>
      <c r="F574" s="105"/>
      <c r="G574" s="105"/>
      <c r="H574" s="108"/>
      <c r="I574" s="109"/>
      <c r="J574" s="110"/>
      <c r="K574" s="109"/>
      <c r="L574" s="109"/>
      <c r="M574" s="109"/>
    </row>
    <row r="575">
      <c r="A575" s="103"/>
      <c r="B575" s="104"/>
      <c r="C575" s="105"/>
      <c r="D575" s="106"/>
      <c r="E575" s="105"/>
      <c r="F575" s="105"/>
      <c r="G575" s="105"/>
      <c r="H575" s="108"/>
      <c r="I575" s="109"/>
      <c r="J575" s="110"/>
      <c r="K575" s="109"/>
      <c r="L575" s="109"/>
      <c r="M575" s="109"/>
    </row>
    <row r="576">
      <c r="A576" s="103"/>
      <c r="B576" s="104"/>
      <c r="C576" s="105"/>
      <c r="D576" s="106"/>
      <c r="E576" s="105"/>
      <c r="F576" s="105"/>
      <c r="G576" s="105"/>
      <c r="H576" s="108"/>
      <c r="I576" s="109"/>
      <c r="J576" s="110"/>
      <c r="K576" s="109"/>
      <c r="L576" s="109"/>
      <c r="M576" s="109"/>
    </row>
    <row r="577">
      <c r="A577" s="103"/>
      <c r="B577" s="104"/>
      <c r="C577" s="105"/>
      <c r="D577" s="106"/>
      <c r="E577" s="105"/>
      <c r="F577" s="105"/>
      <c r="G577" s="105"/>
      <c r="H577" s="108"/>
      <c r="I577" s="109"/>
      <c r="J577" s="110"/>
      <c r="K577" s="109"/>
      <c r="L577" s="109"/>
      <c r="M577" s="109"/>
    </row>
    <row r="578">
      <c r="A578" s="103"/>
      <c r="B578" s="104"/>
      <c r="C578" s="105"/>
      <c r="D578" s="106"/>
      <c r="E578" s="105"/>
      <c r="F578" s="105"/>
      <c r="G578" s="105"/>
      <c r="H578" s="108"/>
      <c r="I578" s="109"/>
      <c r="J578" s="110"/>
      <c r="K578" s="109"/>
      <c r="L578" s="109"/>
      <c r="M578" s="109"/>
    </row>
    <row r="579">
      <c r="A579" s="103"/>
      <c r="B579" s="104"/>
      <c r="C579" s="105"/>
      <c r="D579" s="106"/>
      <c r="E579" s="105"/>
      <c r="F579" s="105"/>
      <c r="G579" s="105"/>
      <c r="H579" s="108"/>
      <c r="I579" s="109"/>
      <c r="J579" s="110"/>
      <c r="K579" s="109"/>
      <c r="L579" s="109"/>
      <c r="M579" s="109"/>
    </row>
    <row r="580">
      <c r="A580" s="103"/>
      <c r="B580" s="104"/>
      <c r="C580" s="105"/>
      <c r="D580" s="106"/>
      <c r="E580" s="105"/>
      <c r="F580" s="105"/>
      <c r="G580" s="105"/>
      <c r="H580" s="108"/>
      <c r="I580" s="109"/>
      <c r="J580" s="110"/>
      <c r="K580" s="109"/>
      <c r="L580" s="109"/>
      <c r="M580" s="109"/>
    </row>
    <row r="581">
      <c r="A581" s="103"/>
      <c r="B581" s="104"/>
      <c r="C581" s="105"/>
      <c r="D581" s="106"/>
      <c r="E581" s="105"/>
      <c r="F581" s="105"/>
      <c r="G581" s="105"/>
      <c r="H581" s="108"/>
      <c r="I581" s="109"/>
      <c r="J581" s="110"/>
      <c r="K581" s="109"/>
      <c r="L581" s="109"/>
      <c r="M581" s="109"/>
    </row>
    <row r="582">
      <c r="A582" s="103"/>
      <c r="B582" s="104"/>
      <c r="C582" s="105"/>
      <c r="D582" s="106"/>
      <c r="E582" s="105"/>
      <c r="F582" s="105"/>
      <c r="G582" s="105"/>
      <c r="H582" s="108"/>
      <c r="I582" s="109"/>
      <c r="J582" s="110"/>
      <c r="K582" s="109"/>
      <c r="L582" s="109"/>
      <c r="M582" s="109"/>
    </row>
    <row r="583">
      <c r="A583" s="103"/>
      <c r="B583" s="104"/>
      <c r="C583" s="105"/>
      <c r="D583" s="106"/>
      <c r="E583" s="105"/>
      <c r="F583" s="105"/>
      <c r="G583" s="105"/>
      <c r="H583" s="108"/>
      <c r="I583" s="109"/>
      <c r="J583" s="110"/>
      <c r="K583" s="109"/>
      <c r="L583" s="109"/>
      <c r="M583" s="109"/>
    </row>
    <row r="584">
      <c r="A584" s="103"/>
      <c r="B584" s="104"/>
      <c r="C584" s="105"/>
      <c r="D584" s="106"/>
      <c r="E584" s="105"/>
      <c r="F584" s="105"/>
      <c r="G584" s="105"/>
      <c r="H584" s="108"/>
      <c r="I584" s="109"/>
      <c r="J584" s="110"/>
      <c r="K584" s="109"/>
      <c r="L584" s="109"/>
      <c r="M584" s="109"/>
    </row>
    <row r="585">
      <c r="A585" s="103"/>
      <c r="B585" s="104"/>
      <c r="C585" s="105"/>
      <c r="D585" s="106"/>
      <c r="E585" s="105"/>
      <c r="F585" s="105"/>
      <c r="G585" s="105"/>
      <c r="H585" s="108"/>
      <c r="I585" s="109"/>
      <c r="J585" s="110"/>
      <c r="K585" s="109"/>
      <c r="L585" s="109"/>
      <c r="M585" s="109"/>
    </row>
    <row r="586">
      <c r="A586" s="103"/>
      <c r="B586" s="104"/>
      <c r="C586" s="105"/>
      <c r="D586" s="106"/>
      <c r="E586" s="105"/>
      <c r="F586" s="105"/>
      <c r="G586" s="105"/>
      <c r="H586" s="108"/>
      <c r="I586" s="109"/>
      <c r="J586" s="110"/>
      <c r="K586" s="109"/>
      <c r="L586" s="109"/>
      <c r="M586" s="109"/>
    </row>
    <row r="587">
      <c r="A587" s="103"/>
      <c r="B587" s="104"/>
      <c r="C587" s="105"/>
      <c r="D587" s="106"/>
      <c r="E587" s="105"/>
      <c r="F587" s="105"/>
      <c r="G587" s="105"/>
      <c r="H587" s="108"/>
      <c r="I587" s="109"/>
      <c r="J587" s="110"/>
      <c r="K587" s="109"/>
      <c r="L587" s="109"/>
      <c r="M587" s="109"/>
    </row>
    <row r="588">
      <c r="A588" s="103"/>
      <c r="B588" s="104"/>
      <c r="C588" s="105"/>
      <c r="D588" s="106"/>
      <c r="E588" s="105"/>
      <c r="F588" s="105"/>
      <c r="G588" s="105"/>
      <c r="H588" s="108"/>
      <c r="I588" s="109"/>
      <c r="J588" s="110"/>
      <c r="K588" s="109"/>
      <c r="L588" s="109"/>
      <c r="M588" s="109"/>
    </row>
    <row r="589">
      <c r="A589" s="103"/>
      <c r="B589" s="104"/>
      <c r="C589" s="105"/>
      <c r="D589" s="106"/>
      <c r="E589" s="105"/>
      <c r="F589" s="105"/>
      <c r="G589" s="105"/>
      <c r="H589" s="108"/>
      <c r="I589" s="109"/>
      <c r="J589" s="110"/>
      <c r="K589" s="109"/>
      <c r="L589" s="109"/>
      <c r="M589" s="109"/>
    </row>
    <row r="590">
      <c r="A590" s="103"/>
      <c r="B590" s="104"/>
      <c r="C590" s="105"/>
      <c r="D590" s="106"/>
      <c r="E590" s="105"/>
      <c r="F590" s="105"/>
      <c r="G590" s="105"/>
      <c r="H590" s="108"/>
      <c r="I590" s="109"/>
      <c r="J590" s="110"/>
      <c r="K590" s="109"/>
      <c r="L590" s="109"/>
      <c r="M590" s="109"/>
    </row>
    <row r="591">
      <c r="A591" s="103"/>
      <c r="B591" s="104"/>
      <c r="C591" s="105"/>
      <c r="D591" s="106"/>
      <c r="E591" s="105"/>
      <c r="F591" s="105"/>
      <c r="G591" s="105"/>
      <c r="H591" s="108"/>
      <c r="I591" s="109"/>
      <c r="J591" s="110"/>
      <c r="K591" s="109"/>
      <c r="L591" s="109"/>
      <c r="M591" s="109"/>
    </row>
    <row r="592">
      <c r="A592" s="103"/>
      <c r="B592" s="104"/>
      <c r="C592" s="105"/>
      <c r="D592" s="106"/>
      <c r="E592" s="105"/>
      <c r="F592" s="105"/>
      <c r="G592" s="105"/>
      <c r="H592" s="108"/>
      <c r="I592" s="109"/>
      <c r="J592" s="110"/>
      <c r="K592" s="109"/>
      <c r="L592" s="109"/>
      <c r="M592" s="109"/>
    </row>
    <row r="593">
      <c r="A593" s="103"/>
      <c r="B593" s="104"/>
      <c r="C593" s="105"/>
      <c r="D593" s="106"/>
      <c r="E593" s="105"/>
      <c r="F593" s="105"/>
      <c r="G593" s="105"/>
      <c r="H593" s="108"/>
      <c r="I593" s="109"/>
      <c r="J593" s="110"/>
      <c r="K593" s="109"/>
      <c r="L593" s="109"/>
      <c r="M593" s="109"/>
    </row>
    <row r="594">
      <c r="A594" s="103"/>
      <c r="B594" s="104"/>
      <c r="C594" s="105"/>
      <c r="D594" s="106"/>
      <c r="E594" s="105"/>
      <c r="F594" s="105"/>
      <c r="G594" s="105"/>
      <c r="H594" s="108"/>
      <c r="I594" s="109"/>
      <c r="J594" s="110"/>
      <c r="K594" s="109"/>
      <c r="L594" s="109"/>
      <c r="M594" s="109"/>
    </row>
    <row r="595">
      <c r="A595" s="103"/>
      <c r="B595" s="104"/>
      <c r="C595" s="105"/>
      <c r="D595" s="106"/>
      <c r="E595" s="105"/>
      <c r="F595" s="105"/>
      <c r="G595" s="105"/>
      <c r="H595" s="108"/>
      <c r="I595" s="109"/>
      <c r="J595" s="110"/>
      <c r="K595" s="109"/>
      <c r="L595" s="109"/>
      <c r="M595" s="109"/>
    </row>
    <row r="596">
      <c r="A596" s="103"/>
      <c r="B596" s="104"/>
      <c r="C596" s="105"/>
      <c r="D596" s="106"/>
      <c r="E596" s="105"/>
      <c r="F596" s="105"/>
      <c r="G596" s="105"/>
      <c r="H596" s="108"/>
      <c r="I596" s="109"/>
      <c r="J596" s="110"/>
      <c r="K596" s="109"/>
      <c r="L596" s="109"/>
      <c r="M596" s="109"/>
    </row>
    <row r="597">
      <c r="A597" s="103"/>
      <c r="B597" s="104"/>
      <c r="C597" s="105"/>
      <c r="D597" s="106"/>
      <c r="E597" s="105"/>
      <c r="F597" s="105"/>
      <c r="G597" s="105"/>
      <c r="H597" s="108"/>
      <c r="I597" s="109"/>
      <c r="J597" s="110"/>
      <c r="K597" s="109"/>
      <c r="L597" s="109"/>
      <c r="M597" s="109"/>
    </row>
    <row r="598">
      <c r="A598" s="103"/>
      <c r="B598" s="104"/>
      <c r="C598" s="105"/>
      <c r="D598" s="106"/>
      <c r="E598" s="105"/>
      <c r="F598" s="105"/>
      <c r="G598" s="105"/>
      <c r="H598" s="108"/>
      <c r="I598" s="109"/>
      <c r="J598" s="110"/>
      <c r="K598" s="109"/>
      <c r="L598" s="109"/>
      <c r="M598" s="109"/>
    </row>
    <row r="599">
      <c r="A599" s="103"/>
      <c r="B599" s="104"/>
      <c r="C599" s="105"/>
      <c r="D599" s="106"/>
      <c r="E599" s="105"/>
      <c r="F599" s="105"/>
      <c r="G599" s="105"/>
      <c r="H599" s="108"/>
      <c r="I599" s="109"/>
      <c r="J599" s="110"/>
      <c r="K599" s="109"/>
      <c r="L599" s="109"/>
      <c r="M599" s="109"/>
    </row>
    <row r="600">
      <c r="A600" s="103"/>
      <c r="B600" s="104"/>
      <c r="C600" s="105"/>
      <c r="D600" s="106"/>
      <c r="E600" s="105"/>
      <c r="F600" s="105"/>
      <c r="G600" s="105"/>
      <c r="H600" s="108"/>
      <c r="I600" s="109"/>
      <c r="J600" s="110"/>
      <c r="K600" s="109"/>
      <c r="L600" s="109"/>
      <c r="M600" s="109"/>
    </row>
    <row r="601">
      <c r="A601" s="103"/>
      <c r="B601" s="104"/>
      <c r="C601" s="105"/>
      <c r="D601" s="106"/>
      <c r="E601" s="105"/>
      <c r="F601" s="105"/>
      <c r="G601" s="105"/>
      <c r="H601" s="108"/>
      <c r="I601" s="109"/>
      <c r="J601" s="110"/>
      <c r="K601" s="109"/>
      <c r="L601" s="109"/>
      <c r="M601" s="109"/>
    </row>
    <row r="602">
      <c r="A602" s="103"/>
      <c r="B602" s="104"/>
      <c r="C602" s="105"/>
      <c r="D602" s="106"/>
      <c r="E602" s="105"/>
      <c r="F602" s="105"/>
      <c r="G602" s="105"/>
      <c r="H602" s="108"/>
      <c r="I602" s="109"/>
      <c r="J602" s="110"/>
      <c r="K602" s="109"/>
      <c r="L602" s="109"/>
      <c r="M602" s="109"/>
    </row>
    <row r="603">
      <c r="A603" s="103"/>
      <c r="B603" s="104"/>
      <c r="C603" s="105"/>
      <c r="D603" s="106"/>
      <c r="E603" s="105"/>
      <c r="F603" s="105"/>
      <c r="G603" s="105"/>
      <c r="H603" s="108"/>
      <c r="I603" s="109"/>
      <c r="J603" s="110"/>
      <c r="K603" s="109"/>
      <c r="L603" s="109"/>
      <c r="M603" s="109"/>
    </row>
    <row r="604">
      <c r="A604" s="103"/>
      <c r="B604" s="104"/>
      <c r="C604" s="105"/>
      <c r="D604" s="106"/>
      <c r="E604" s="105"/>
      <c r="F604" s="105"/>
      <c r="G604" s="105"/>
      <c r="H604" s="108"/>
      <c r="I604" s="109"/>
      <c r="J604" s="110"/>
      <c r="K604" s="109"/>
      <c r="L604" s="109"/>
      <c r="M604" s="109"/>
    </row>
    <row r="605">
      <c r="A605" s="103"/>
      <c r="B605" s="104"/>
      <c r="C605" s="105"/>
      <c r="D605" s="106"/>
      <c r="E605" s="105"/>
      <c r="F605" s="105"/>
      <c r="G605" s="105"/>
      <c r="H605" s="108"/>
      <c r="I605" s="109"/>
      <c r="J605" s="110"/>
      <c r="K605" s="109"/>
      <c r="L605" s="109"/>
      <c r="M605" s="109"/>
    </row>
    <row r="606">
      <c r="A606" s="103"/>
      <c r="B606" s="104"/>
      <c r="C606" s="105"/>
      <c r="D606" s="106"/>
      <c r="E606" s="105"/>
      <c r="F606" s="105"/>
      <c r="G606" s="105"/>
      <c r="H606" s="108"/>
      <c r="I606" s="109"/>
      <c r="J606" s="110"/>
      <c r="K606" s="109"/>
      <c r="L606" s="109"/>
      <c r="M606" s="109"/>
    </row>
    <row r="607">
      <c r="A607" s="103"/>
      <c r="B607" s="104"/>
      <c r="C607" s="105"/>
      <c r="D607" s="106"/>
      <c r="E607" s="105"/>
      <c r="F607" s="105"/>
      <c r="G607" s="105"/>
      <c r="H607" s="108"/>
      <c r="I607" s="109"/>
      <c r="J607" s="110"/>
      <c r="K607" s="109"/>
      <c r="L607" s="109"/>
      <c r="M607" s="109"/>
    </row>
    <row r="608">
      <c r="A608" s="103"/>
      <c r="B608" s="104"/>
      <c r="C608" s="105"/>
      <c r="D608" s="106"/>
      <c r="E608" s="105"/>
      <c r="F608" s="105"/>
      <c r="G608" s="105"/>
      <c r="H608" s="108"/>
      <c r="I608" s="109"/>
      <c r="J608" s="110"/>
      <c r="K608" s="109"/>
      <c r="L608" s="109"/>
      <c r="M608" s="109"/>
    </row>
    <row r="609">
      <c r="A609" s="103"/>
      <c r="B609" s="104"/>
      <c r="C609" s="105"/>
      <c r="D609" s="106"/>
      <c r="E609" s="105"/>
      <c r="F609" s="105"/>
      <c r="G609" s="105"/>
      <c r="H609" s="108"/>
      <c r="I609" s="109"/>
      <c r="J609" s="110"/>
      <c r="K609" s="109"/>
      <c r="L609" s="109"/>
      <c r="M609" s="109"/>
    </row>
    <row r="610">
      <c r="A610" s="103"/>
      <c r="B610" s="104"/>
      <c r="C610" s="105"/>
      <c r="D610" s="106"/>
      <c r="E610" s="105"/>
      <c r="F610" s="105"/>
      <c r="G610" s="105"/>
      <c r="H610" s="108"/>
      <c r="I610" s="109"/>
      <c r="J610" s="110"/>
      <c r="K610" s="109"/>
      <c r="L610" s="109"/>
      <c r="M610" s="109"/>
    </row>
    <row r="611">
      <c r="A611" s="103"/>
      <c r="B611" s="104"/>
      <c r="C611" s="105"/>
      <c r="D611" s="106"/>
      <c r="E611" s="105"/>
      <c r="F611" s="105"/>
      <c r="G611" s="105"/>
      <c r="H611" s="108"/>
      <c r="I611" s="109"/>
      <c r="J611" s="110"/>
      <c r="K611" s="109"/>
      <c r="L611" s="109"/>
      <c r="M611" s="109"/>
    </row>
    <row r="612">
      <c r="A612" s="103"/>
      <c r="B612" s="104"/>
      <c r="C612" s="105"/>
      <c r="D612" s="106"/>
      <c r="E612" s="105"/>
      <c r="F612" s="105"/>
      <c r="G612" s="105"/>
      <c r="H612" s="108"/>
      <c r="I612" s="109"/>
      <c r="J612" s="110"/>
      <c r="K612" s="109"/>
      <c r="L612" s="109"/>
      <c r="M612" s="109"/>
    </row>
    <row r="613">
      <c r="A613" s="103"/>
      <c r="B613" s="104"/>
      <c r="C613" s="105"/>
      <c r="D613" s="106"/>
      <c r="E613" s="105"/>
      <c r="F613" s="105"/>
      <c r="G613" s="105"/>
      <c r="H613" s="108"/>
      <c r="I613" s="109"/>
      <c r="J613" s="110"/>
      <c r="K613" s="109"/>
      <c r="L613" s="109"/>
      <c r="M613" s="109"/>
    </row>
    <row r="614">
      <c r="A614" s="103"/>
      <c r="B614" s="104"/>
      <c r="C614" s="105"/>
      <c r="D614" s="106"/>
      <c r="E614" s="105"/>
      <c r="F614" s="105"/>
      <c r="G614" s="105"/>
      <c r="H614" s="108"/>
      <c r="I614" s="109"/>
      <c r="J614" s="110"/>
      <c r="K614" s="109"/>
      <c r="L614" s="109"/>
      <c r="M614" s="109"/>
    </row>
    <row r="615">
      <c r="A615" s="103"/>
      <c r="B615" s="104"/>
      <c r="C615" s="105"/>
      <c r="D615" s="106"/>
      <c r="E615" s="105"/>
      <c r="F615" s="105"/>
      <c r="G615" s="105"/>
      <c r="H615" s="108"/>
      <c r="I615" s="109"/>
      <c r="J615" s="110"/>
      <c r="K615" s="109"/>
      <c r="L615" s="109"/>
      <c r="M615" s="109"/>
    </row>
    <row r="616">
      <c r="A616" s="103"/>
      <c r="B616" s="104"/>
      <c r="C616" s="105"/>
      <c r="D616" s="106"/>
      <c r="E616" s="105"/>
      <c r="F616" s="105"/>
      <c r="G616" s="105"/>
      <c r="H616" s="108"/>
      <c r="I616" s="109"/>
      <c r="J616" s="110"/>
      <c r="K616" s="109"/>
      <c r="L616" s="109"/>
      <c r="M616" s="109"/>
    </row>
    <row r="617">
      <c r="A617" s="103"/>
      <c r="B617" s="104"/>
      <c r="C617" s="105"/>
      <c r="D617" s="106"/>
      <c r="E617" s="105"/>
      <c r="F617" s="105"/>
      <c r="G617" s="105"/>
      <c r="H617" s="108"/>
      <c r="I617" s="109"/>
      <c r="J617" s="110"/>
      <c r="K617" s="109"/>
      <c r="L617" s="109"/>
      <c r="M617" s="109"/>
    </row>
    <row r="618">
      <c r="A618" s="103"/>
      <c r="B618" s="104"/>
      <c r="C618" s="105"/>
      <c r="D618" s="106"/>
      <c r="E618" s="105"/>
      <c r="F618" s="105"/>
      <c r="G618" s="105"/>
      <c r="H618" s="108"/>
      <c r="I618" s="109"/>
      <c r="J618" s="110"/>
      <c r="K618" s="109"/>
      <c r="L618" s="109"/>
      <c r="M618" s="109"/>
    </row>
    <row r="619">
      <c r="A619" s="103"/>
      <c r="B619" s="104"/>
      <c r="C619" s="105"/>
      <c r="D619" s="106"/>
      <c r="E619" s="105"/>
      <c r="F619" s="105"/>
      <c r="G619" s="105"/>
      <c r="H619" s="108"/>
      <c r="I619" s="109"/>
      <c r="J619" s="110"/>
      <c r="K619" s="109"/>
      <c r="L619" s="109"/>
      <c r="M619" s="109"/>
    </row>
    <row r="620">
      <c r="A620" s="103"/>
      <c r="B620" s="104"/>
      <c r="C620" s="105"/>
      <c r="D620" s="106"/>
      <c r="E620" s="105"/>
      <c r="F620" s="105"/>
      <c r="G620" s="105"/>
      <c r="H620" s="108"/>
      <c r="I620" s="109"/>
      <c r="J620" s="110"/>
      <c r="K620" s="109"/>
      <c r="L620" s="109"/>
      <c r="M620" s="109"/>
    </row>
    <row r="621">
      <c r="A621" s="103"/>
      <c r="B621" s="104"/>
      <c r="C621" s="105"/>
      <c r="D621" s="106"/>
      <c r="E621" s="105"/>
      <c r="F621" s="105"/>
      <c r="G621" s="105"/>
      <c r="H621" s="108"/>
      <c r="I621" s="109"/>
      <c r="J621" s="110"/>
      <c r="K621" s="109"/>
      <c r="L621" s="109"/>
      <c r="M621" s="109"/>
    </row>
    <row r="622">
      <c r="A622" s="103"/>
      <c r="B622" s="104"/>
      <c r="C622" s="105"/>
      <c r="D622" s="106"/>
      <c r="E622" s="105"/>
      <c r="F622" s="105"/>
      <c r="G622" s="105"/>
      <c r="H622" s="108"/>
      <c r="I622" s="109"/>
      <c r="J622" s="110"/>
      <c r="K622" s="109"/>
      <c r="L622" s="109"/>
      <c r="M622" s="109"/>
    </row>
    <row r="623">
      <c r="A623" s="103"/>
      <c r="B623" s="104"/>
      <c r="C623" s="105"/>
      <c r="D623" s="106"/>
      <c r="E623" s="105"/>
      <c r="F623" s="105"/>
      <c r="G623" s="105"/>
      <c r="H623" s="108"/>
      <c r="I623" s="109"/>
      <c r="J623" s="110"/>
      <c r="K623" s="109"/>
      <c r="L623" s="109"/>
      <c r="M623" s="109"/>
    </row>
    <row r="624">
      <c r="A624" s="103"/>
      <c r="B624" s="104"/>
      <c r="C624" s="105"/>
      <c r="D624" s="106"/>
      <c r="E624" s="105"/>
      <c r="F624" s="105"/>
      <c r="G624" s="105"/>
      <c r="H624" s="108"/>
      <c r="I624" s="109"/>
      <c r="J624" s="110"/>
      <c r="K624" s="109"/>
      <c r="L624" s="109"/>
      <c r="M624" s="109"/>
    </row>
    <row r="625">
      <c r="A625" s="103"/>
      <c r="B625" s="104"/>
      <c r="C625" s="105"/>
      <c r="D625" s="106"/>
      <c r="E625" s="105"/>
      <c r="F625" s="105"/>
      <c r="G625" s="105"/>
      <c r="H625" s="108"/>
      <c r="I625" s="109"/>
      <c r="J625" s="110"/>
      <c r="K625" s="109"/>
      <c r="L625" s="109"/>
      <c r="M625" s="109"/>
    </row>
    <row r="626">
      <c r="A626" s="103"/>
      <c r="B626" s="104"/>
      <c r="C626" s="105"/>
      <c r="D626" s="106"/>
      <c r="E626" s="105"/>
      <c r="F626" s="105"/>
      <c r="G626" s="105"/>
      <c r="H626" s="108"/>
      <c r="I626" s="109"/>
      <c r="J626" s="110"/>
      <c r="K626" s="109"/>
      <c r="L626" s="109"/>
      <c r="M626" s="109"/>
    </row>
    <row r="627">
      <c r="A627" s="103"/>
      <c r="B627" s="104"/>
      <c r="C627" s="105"/>
      <c r="D627" s="106"/>
      <c r="E627" s="105"/>
      <c r="F627" s="105"/>
      <c r="G627" s="105"/>
      <c r="H627" s="108"/>
      <c r="I627" s="109"/>
      <c r="J627" s="110"/>
      <c r="K627" s="109"/>
      <c r="L627" s="109"/>
      <c r="M627" s="109"/>
    </row>
    <row r="628">
      <c r="A628" s="103"/>
      <c r="B628" s="104"/>
      <c r="C628" s="105"/>
      <c r="D628" s="106"/>
      <c r="E628" s="105"/>
      <c r="F628" s="105"/>
      <c r="G628" s="105"/>
      <c r="H628" s="108"/>
      <c r="I628" s="109"/>
      <c r="J628" s="110"/>
      <c r="K628" s="109"/>
      <c r="L628" s="109"/>
      <c r="M628" s="109"/>
    </row>
    <row r="629">
      <c r="A629" s="103"/>
      <c r="B629" s="104"/>
      <c r="C629" s="105"/>
      <c r="D629" s="106"/>
      <c r="E629" s="105"/>
      <c r="F629" s="105"/>
      <c r="G629" s="105"/>
      <c r="H629" s="108"/>
      <c r="I629" s="109"/>
      <c r="J629" s="110"/>
      <c r="K629" s="109"/>
      <c r="L629" s="109"/>
      <c r="M629" s="109"/>
    </row>
    <row r="630">
      <c r="A630" s="103"/>
      <c r="B630" s="104"/>
      <c r="C630" s="105"/>
      <c r="D630" s="106"/>
      <c r="E630" s="105"/>
      <c r="F630" s="105"/>
      <c r="G630" s="105"/>
      <c r="H630" s="108"/>
      <c r="I630" s="109"/>
      <c r="J630" s="110"/>
      <c r="K630" s="109"/>
      <c r="L630" s="109"/>
      <c r="M630" s="109"/>
    </row>
    <row r="631">
      <c r="A631" s="103"/>
      <c r="B631" s="104"/>
      <c r="C631" s="105"/>
      <c r="D631" s="106"/>
      <c r="E631" s="105"/>
      <c r="F631" s="105"/>
      <c r="G631" s="105"/>
      <c r="H631" s="108"/>
      <c r="I631" s="109"/>
      <c r="J631" s="110"/>
      <c r="K631" s="109"/>
      <c r="L631" s="109"/>
      <c r="M631" s="109"/>
    </row>
    <row r="632">
      <c r="A632" s="103"/>
      <c r="B632" s="104"/>
      <c r="C632" s="105"/>
      <c r="D632" s="106"/>
      <c r="E632" s="105"/>
      <c r="F632" s="105"/>
      <c r="G632" s="105"/>
      <c r="H632" s="108"/>
      <c r="I632" s="109"/>
      <c r="J632" s="110"/>
      <c r="K632" s="109"/>
      <c r="L632" s="109"/>
      <c r="M632" s="109"/>
    </row>
    <row r="633">
      <c r="A633" s="103"/>
      <c r="B633" s="104"/>
      <c r="C633" s="105"/>
      <c r="D633" s="106"/>
      <c r="E633" s="105"/>
      <c r="F633" s="105"/>
      <c r="G633" s="105"/>
      <c r="H633" s="108"/>
      <c r="I633" s="109"/>
      <c r="J633" s="110"/>
      <c r="K633" s="109"/>
      <c r="L633" s="109"/>
      <c r="M633" s="109"/>
    </row>
    <row r="634">
      <c r="A634" s="103"/>
      <c r="B634" s="104"/>
      <c r="C634" s="105"/>
      <c r="D634" s="106"/>
      <c r="E634" s="105"/>
      <c r="F634" s="105"/>
      <c r="G634" s="105"/>
      <c r="H634" s="108"/>
      <c r="I634" s="109"/>
      <c r="J634" s="110"/>
      <c r="K634" s="109"/>
      <c r="L634" s="109"/>
      <c r="M634" s="109"/>
    </row>
    <row r="635">
      <c r="A635" s="103"/>
      <c r="B635" s="104"/>
      <c r="C635" s="105"/>
      <c r="D635" s="106"/>
      <c r="E635" s="105"/>
      <c r="F635" s="105"/>
      <c r="G635" s="105"/>
      <c r="H635" s="108"/>
      <c r="I635" s="109"/>
      <c r="J635" s="110"/>
      <c r="K635" s="109"/>
      <c r="L635" s="109"/>
      <c r="M635" s="109"/>
    </row>
    <row r="636">
      <c r="A636" s="103"/>
      <c r="B636" s="104"/>
      <c r="C636" s="105"/>
      <c r="D636" s="106"/>
      <c r="E636" s="105"/>
      <c r="F636" s="105"/>
      <c r="G636" s="105"/>
      <c r="H636" s="108"/>
      <c r="I636" s="109"/>
      <c r="J636" s="110"/>
      <c r="K636" s="109"/>
      <c r="L636" s="109"/>
      <c r="M636" s="109"/>
    </row>
    <row r="637">
      <c r="A637" s="103"/>
      <c r="B637" s="104"/>
      <c r="C637" s="105"/>
      <c r="D637" s="106"/>
      <c r="E637" s="105"/>
      <c r="F637" s="105"/>
      <c r="G637" s="105"/>
      <c r="H637" s="108"/>
      <c r="I637" s="109"/>
      <c r="J637" s="110"/>
      <c r="K637" s="109"/>
      <c r="L637" s="109"/>
      <c r="M637" s="109"/>
    </row>
    <row r="638">
      <c r="A638" s="103"/>
      <c r="B638" s="104"/>
      <c r="C638" s="105"/>
      <c r="D638" s="106"/>
      <c r="E638" s="105"/>
      <c r="F638" s="105"/>
      <c r="G638" s="105"/>
      <c r="H638" s="108"/>
      <c r="I638" s="109"/>
      <c r="J638" s="110"/>
      <c r="K638" s="109"/>
      <c r="L638" s="109"/>
      <c r="M638" s="109"/>
    </row>
    <row r="639">
      <c r="A639" s="103"/>
      <c r="B639" s="104"/>
      <c r="C639" s="105"/>
      <c r="D639" s="106"/>
      <c r="E639" s="105"/>
      <c r="F639" s="105"/>
      <c r="G639" s="105"/>
      <c r="H639" s="108"/>
      <c r="I639" s="109"/>
      <c r="J639" s="110"/>
      <c r="K639" s="109"/>
      <c r="L639" s="109"/>
      <c r="M639" s="109"/>
    </row>
    <row r="640">
      <c r="A640" s="103"/>
      <c r="B640" s="104"/>
      <c r="C640" s="105"/>
      <c r="D640" s="106"/>
      <c r="E640" s="105"/>
      <c r="F640" s="105"/>
      <c r="G640" s="105"/>
      <c r="H640" s="108"/>
      <c r="I640" s="109"/>
      <c r="J640" s="110"/>
      <c r="K640" s="109"/>
      <c r="L640" s="109"/>
      <c r="M640" s="109"/>
    </row>
    <row r="641">
      <c r="A641" s="103"/>
      <c r="B641" s="104"/>
      <c r="C641" s="105"/>
      <c r="D641" s="106"/>
      <c r="E641" s="105"/>
      <c r="F641" s="105"/>
      <c r="G641" s="105"/>
      <c r="H641" s="108"/>
      <c r="I641" s="109"/>
      <c r="J641" s="110"/>
      <c r="K641" s="109"/>
      <c r="L641" s="109"/>
      <c r="M641" s="109"/>
    </row>
    <row r="642">
      <c r="A642" s="103"/>
      <c r="B642" s="104"/>
      <c r="C642" s="105"/>
      <c r="D642" s="106"/>
      <c r="E642" s="105"/>
      <c r="F642" s="105"/>
      <c r="G642" s="105"/>
      <c r="H642" s="108"/>
      <c r="I642" s="109"/>
      <c r="J642" s="110"/>
      <c r="K642" s="109"/>
      <c r="L642" s="109"/>
      <c r="M642" s="109"/>
    </row>
    <row r="643">
      <c r="A643" s="103"/>
      <c r="B643" s="104"/>
      <c r="C643" s="105"/>
      <c r="D643" s="106"/>
      <c r="E643" s="105"/>
      <c r="F643" s="105"/>
      <c r="G643" s="105"/>
      <c r="H643" s="108"/>
      <c r="I643" s="109"/>
      <c r="J643" s="110"/>
      <c r="K643" s="109"/>
      <c r="L643" s="109"/>
      <c r="M643" s="109"/>
    </row>
    <row r="644">
      <c r="A644" s="103"/>
      <c r="B644" s="104"/>
      <c r="C644" s="105"/>
      <c r="D644" s="106"/>
      <c r="E644" s="105"/>
      <c r="F644" s="105"/>
      <c r="G644" s="105"/>
      <c r="H644" s="108"/>
      <c r="I644" s="109"/>
      <c r="J644" s="110"/>
      <c r="K644" s="109"/>
      <c r="L644" s="109"/>
      <c r="M644" s="109"/>
    </row>
    <row r="645">
      <c r="A645" s="103"/>
      <c r="B645" s="104"/>
      <c r="C645" s="105"/>
      <c r="D645" s="106"/>
      <c r="E645" s="105"/>
      <c r="F645" s="105"/>
      <c r="G645" s="105"/>
      <c r="H645" s="108"/>
      <c r="I645" s="109"/>
      <c r="J645" s="110"/>
      <c r="K645" s="109"/>
      <c r="L645" s="109"/>
      <c r="M645" s="109"/>
    </row>
    <row r="646">
      <c r="A646" s="103"/>
      <c r="B646" s="104"/>
      <c r="C646" s="105"/>
      <c r="D646" s="106"/>
      <c r="E646" s="105"/>
      <c r="F646" s="105"/>
      <c r="G646" s="105"/>
      <c r="H646" s="108"/>
      <c r="I646" s="109"/>
      <c r="J646" s="110"/>
      <c r="K646" s="109"/>
      <c r="L646" s="109"/>
      <c r="M646" s="109"/>
    </row>
    <row r="647">
      <c r="A647" s="103"/>
      <c r="B647" s="104"/>
      <c r="C647" s="105"/>
      <c r="D647" s="106"/>
      <c r="E647" s="105"/>
      <c r="F647" s="105"/>
      <c r="G647" s="105"/>
      <c r="H647" s="108"/>
      <c r="I647" s="109"/>
      <c r="J647" s="110"/>
      <c r="K647" s="109"/>
      <c r="L647" s="109"/>
      <c r="M647" s="109"/>
    </row>
    <row r="648">
      <c r="A648" s="103"/>
      <c r="B648" s="104"/>
      <c r="C648" s="105"/>
      <c r="D648" s="106"/>
      <c r="E648" s="105"/>
      <c r="F648" s="105"/>
      <c r="G648" s="105"/>
      <c r="H648" s="108"/>
      <c r="I648" s="109"/>
      <c r="J648" s="110"/>
      <c r="K648" s="109"/>
      <c r="L648" s="109"/>
      <c r="M648" s="109"/>
    </row>
    <row r="649">
      <c r="A649" s="103"/>
      <c r="B649" s="104"/>
      <c r="C649" s="105"/>
      <c r="D649" s="106"/>
      <c r="E649" s="105"/>
      <c r="F649" s="105"/>
      <c r="G649" s="105"/>
      <c r="H649" s="108"/>
      <c r="I649" s="109"/>
      <c r="J649" s="110"/>
      <c r="K649" s="109"/>
      <c r="L649" s="109"/>
      <c r="M649" s="109"/>
    </row>
    <row r="650">
      <c r="A650" s="103"/>
      <c r="B650" s="104"/>
      <c r="C650" s="105"/>
      <c r="D650" s="106"/>
      <c r="E650" s="105"/>
      <c r="F650" s="105"/>
      <c r="G650" s="105"/>
      <c r="H650" s="108"/>
      <c r="I650" s="109"/>
      <c r="J650" s="110"/>
      <c r="K650" s="109"/>
      <c r="L650" s="109"/>
      <c r="M650" s="109"/>
    </row>
    <row r="651">
      <c r="A651" s="103"/>
      <c r="B651" s="104"/>
      <c r="C651" s="105"/>
      <c r="D651" s="106"/>
      <c r="E651" s="105"/>
      <c r="F651" s="105"/>
      <c r="G651" s="105"/>
      <c r="H651" s="108"/>
      <c r="I651" s="109"/>
      <c r="J651" s="110"/>
      <c r="K651" s="109"/>
      <c r="L651" s="109"/>
      <c r="M651" s="109"/>
    </row>
    <row r="652">
      <c r="A652" s="103"/>
      <c r="B652" s="104"/>
      <c r="C652" s="105"/>
      <c r="D652" s="106"/>
      <c r="E652" s="105"/>
      <c r="F652" s="105"/>
      <c r="G652" s="105"/>
      <c r="H652" s="108"/>
      <c r="I652" s="109"/>
      <c r="J652" s="110"/>
      <c r="K652" s="109"/>
      <c r="L652" s="109"/>
      <c r="M652" s="109"/>
    </row>
    <row r="653">
      <c r="A653" s="103"/>
      <c r="B653" s="104"/>
      <c r="C653" s="105"/>
      <c r="D653" s="106"/>
      <c r="E653" s="105"/>
      <c r="F653" s="105"/>
      <c r="G653" s="105"/>
      <c r="H653" s="108"/>
      <c r="I653" s="109"/>
      <c r="J653" s="110"/>
      <c r="K653" s="109"/>
      <c r="L653" s="109"/>
      <c r="M653" s="109"/>
    </row>
    <row r="654">
      <c r="A654" s="103"/>
      <c r="B654" s="104"/>
      <c r="C654" s="105"/>
      <c r="D654" s="106"/>
      <c r="E654" s="105"/>
      <c r="F654" s="105"/>
      <c r="G654" s="105"/>
      <c r="H654" s="108"/>
      <c r="I654" s="109"/>
      <c r="J654" s="110"/>
      <c r="K654" s="109"/>
      <c r="L654" s="109"/>
      <c r="M654" s="109"/>
    </row>
    <row r="655">
      <c r="A655" s="103"/>
      <c r="B655" s="104"/>
      <c r="C655" s="105"/>
      <c r="D655" s="106"/>
      <c r="E655" s="105"/>
      <c r="F655" s="105"/>
      <c r="G655" s="105"/>
      <c r="H655" s="108"/>
      <c r="I655" s="109"/>
      <c r="J655" s="110"/>
      <c r="K655" s="109"/>
      <c r="L655" s="109"/>
      <c r="M655" s="109"/>
    </row>
    <row r="656">
      <c r="A656" s="103"/>
      <c r="B656" s="104"/>
      <c r="C656" s="105"/>
      <c r="D656" s="106"/>
      <c r="E656" s="105"/>
      <c r="F656" s="105"/>
      <c r="G656" s="105"/>
      <c r="H656" s="108"/>
      <c r="I656" s="109"/>
      <c r="J656" s="110"/>
      <c r="K656" s="109"/>
      <c r="L656" s="109"/>
      <c r="M656" s="109"/>
    </row>
    <row r="657">
      <c r="A657" s="103"/>
      <c r="B657" s="104"/>
      <c r="C657" s="105"/>
      <c r="D657" s="106"/>
      <c r="E657" s="105"/>
      <c r="F657" s="105"/>
      <c r="G657" s="105"/>
      <c r="H657" s="108"/>
      <c r="I657" s="109"/>
      <c r="J657" s="110"/>
      <c r="K657" s="109"/>
      <c r="L657" s="109"/>
      <c r="M657" s="109"/>
    </row>
    <row r="658">
      <c r="A658" s="103"/>
      <c r="B658" s="104"/>
      <c r="C658" s="105"/>
      <c r="D658" s="106"/>
      <c r="E658" s="105"/>
      <c r="F658" s="105"/>
      <c r="G658" s="105"/>
      <c r="H658" s="108"/>
      <c r="I658" s="109"/>
      <c r="J658" s="110"/>
      <c r="K658" s="109"/>
      <c r="L658" s="109"/>
      <c r="M658" s="109"/>
    </row>
    <row r="659">
      <c r="A659" s="103"/>
      <c r="B659" s="104"/>
      <c r="C659" s="105"/>
      <c r="D659" s="106"/>
      <c r="E659" s="105"/>
      <c r="F659" s="105"/>
      <c r="G659" s="105"/>
      <c r="H659" s="108"/>
      <c r="I659" s="109"/>
      <c r="J659" s="110"/>
      <c r="K659" s="109"/>
      <c r="L659" s="109"/>
      <c r="M659" s="109"/>
    </row>
    <row r="660">
      <c r="A660" s="103"/>
      <c r="B660" s="104"/>
      <c r="C660" s="105"/>
      <c r="D660" s="106"/>
      <c r="E660" s="105"/>
      <c r="F660" s="105"/>
      <c r="G660" s="105"/>
      <c r="H660" s="108"/>
      <c r="I660" s="109"/>
      <c r="J660" s="110"/>
      <c r="K660" s="109"/>
      <c r="L660" s="109"/>
      <c r="M660" s="109"/>
    </row>
    <row r="661">
      <c r="A661" s="103"/>
      <c r="B661" s="104"/>
      <c r="C661" s="105"/>
      <c r="D661" s="106"/>
      <c r="E661" s="105"/>
      <c r="F661" s="105"/>
      <c r="G661" s="105"/>
      <c r="H661" s="108"/>
      <c r="I661" s="109"/>
      <c r="J661" s="110"/>
      <c r="K661" s="109"/>
      <c r="L661" s="109"/>
      <c r="M661" s="109"/>
    </row>
    <row r="662">
      <c r="A662" s="103"/>
      <c r="B662" s="104"/>
      <c r="C662" s="105"/>
      <c r="D662" s="106"/>
      <c r="E662" s="105"/>
      <c r="F662" s="105"/>
      <c r="G662" s="105"/>
      <c r="H662" s="108"/>
      <c r="I662" s="109"/>
      <c r="J662" s="110"/>
      <c r="K662" s="109"/>
      <c r="L662" s="109"/>
      <c r="M662" s="109"/>
    </row>
    <row r="663">
      <c r="A663" s="103"/>
      <c r="B663" s="104"/>
      <c r="C663" s="105"/>
      <c r="D663" s="106"/>
      <c r="E663" s="105"/>
      <c r="F663" s="105"/>
      <c r="G663" s="105"/>
      <c r="H663" s="108"/>
      <c r="I663" s="109"/>
      <c r="J663" s="110"/>
      <c r="K663" s="109"/>
      <c r="L663" s="109"/>
      <c r="M663" s="109"/>
    </row>
    <row r="664">
      <c r="A664" s="103"/>
      <c r="B664" s="104"/>
      <c r="C664" s="105"/>
      <c r="D664" s="106"/>
      <c r="E664" s="105"/>
      <c r="F664" s="105"/>
      <c r="G664" s="105"/>
      <c r="H664" s="108"/>
      <c r="I664" s="109"/>
      <c r="J664" s="110"/>
      <c r="K664" s="109"/>
      <c r="L664" s="109"/>
      <c r="M664" s="109"/>
    </row>
    <row r="665">
      <c r="A665" s="103"/>
      <c r="B665" s="104"/>
      <c r="C665" s="105"/>
      <c r="D665" s="106"/>
      <c r="E665" s="105"/>
      <c r="F665" s="105"/>
      <c r="G665" s="105"/>
      <c r="H665" s="108"/>
      <c r="I665" s="109"/>
      <c r="J665" s="110"/>
      <c r="K665" s="109"/>
      <c r="L665" s="109"/>
      <c r="M665" s="109"/>
    </row>
    <row r="666">
      <c r="A666" s="103"/>
      <c r="B666" s="104"/>
      <c r="C666" s="105"/>
      <c r="D666" s="106"/>
      <c r="E666" s="105"/>
      <c r="F666" s="105"/>
      <c r="G666" s="105"/>
      <c r="H666" s="108"/>
      <c r="I666" s="109"/>
      <c r="J666" s="110"/>
      <c r="K666" s="109"/>
      <c r="L666" s="109"/>
      <c r="M666" s="109"/>
    </row>
    <row r="667">
      <c r="A667" s="103"/>
      <c r="B667" s="104"/>
      <c r="C667" s="105"/>
      <c r="D667" s="106"/>
      <c r="E667" s="105"/>
      <c r="F667" s="105"/>
      <c r="G667" s="105"/>
      <c r="H667" s="108"/>
      <c r="I667" s="109"/>
      <c r="J667" s="110"/>
      <c r="K667" s="109"/>
      <c r="L667" s="109"/>
      <c r="M667" s="109"/>
    </row>
    <row r="668">
      <c r="A668" s="103"/>
      <c r="B668" s="104"/>
      <c r="C668" s="105"/>
      <c r="D668" s="106"/>
      <c r="E668" s="105"/>
      <c r="F668" s="105"/>
      <c r="G668" s="105"/>
      <c r="H668" s="108"/>
      <c r="I668" s="109"/>
      <c r="J668" s="110"/>
      <c r="K668" s="109"/>
      <c r="L668" s="109"/>
      <c r="M668" s="109"/>
    </row>
    <row r="669">
      <c r="A669" s="103"/>
      <c r="B669" s="104"/>
      <c r="C669" s="105"/>
      <c r="D669" s="106"/>
      <c r="E669" s="105"/>
      <c r="F669" s="105"/>
      <c r="G669" s="105"/>
      <c r="H669" s="108"/>
      <c r="I669" s="109"/>
      <c r="J669" s="110"/>
      <c r="K669" s="109"/>
      <c r="L669" s="109"/>
      <c r="M669" s="109"/>
    </row>
    <row r="670">
      <c r="A670" s="103"/>
      <c r="B670" s="104"/>
      <c r="C670" s="105"/>
      <c r="D670" s="106"/>
      <c r="E670" s="105"/>
      <c r="F670" s="105"/>
      <c r="G670" s="105"/>
      <c r="H670" s="108"/>
      <c r="I670" s="109"/>
      <c r="J670" s="110"/>
      <c r="K670" s="109"/>
      <c r="L670" s="109"/>
      <c r="M670" s="109"/>
    </row>
    <row r="671">
      <c r="A671" s="103"/>
      <c r="B671" s="104"/>
      <c r="C671" s="105"/>
      <c r="D671" s="106"/>
      <c r="E671" s="105"/>
      <c r="F671" s="105"/>
      <c r="G671" s="105"/>
      <c r="H671" s="108"/>
      <c r="I671" s="109"/>
      <c r="J671" s="110"/>
      <c r="K671" s="109"/>
      <c r="L671" s="109"/>
      <c r="M671" s="109"/>
    </row>
    <row r="672">
      <c r="A672" s="103"/>
      <c r="B672" s="104"/>
      <c r="C672" s="105"/>
      <c r="D672" s="106"/>
      <c r="E672" s="105"/>
      <c r="F672" s="105"/>
      <c r="G672" s="105"/>
      <c r="H672" s="108"/>
      <c r="I672" s="109"/>
      <c r="J672" s="110"/>
      <c r="K672" s="109"/>
      <c r="L672" s="109"/>
      <c r="M672" s="109"/>
    </row>
    <row r="673">
      <c r="A673" s="103"/>
      <c r="B673" s="104"/>
      <c r="C673" s="105"/>
      <c r="D673" s="106"/>
      <c r="E673" s="105"/>
      <c r="F673" s="105"/>
      <c r="G673" s="105"/>
      <c r="H673" s="108"/>
      <c r="I673" s="109"/>
      <c r="J673" s="110"/>
      <c r="K673" s="109"/>
      <c r="L673" s="109"/>
      <c r="M673" s="109"/>
    </row>
    <row r="674">
      <c r="A674" s="103"/>
      <c r="B674" s="104"/>
      <c r="C674" s="105"/>
      <c r="D674" s="106"/>
      <c r="E674" s="105"/>
      <c r="F674" s="105"/>
      <c r="G674" s="105"/>
      <c r="H674" s="108"/>
      <c r="I674" s="109"/>
      <c r="J674" s="110"/>
      <c r="K674" s="109"/>
      <c r="L674" s="109"/>
      <c r="M674" s="109"/>
    </row>
    <row r="675">
      <c r="A675" s="103"/>
      <c r="B675" s="104"/>
      <c r="C675" s="105"/>
      <c r="D675" s="106"/>
      <c r="E675" s="105"/>
      <c r="F675" s="105"/>
      <c r="G675" s="105"/>
      <c r="H675" s="108"/>
      <c r="I675" s="109"/>
      <c r="J675" s="110"/>
      <c r="K675" s="109"/>
      <c r="L675" s="109"/>
      <c r="M675" s="109"/>
    </row>
    <row r="676">
      <c r="A676" s="103"/>
      <c r="B676" s="104"/>
      <c r="C676" s="105"/>
      <c r="D676" s="106"/>
      <c r="E676" s="105"/>
      <c r="F676" s="105"/>
      <c r="G676" s="105"/>
      <c r="H676" s="108"/>
      <c r="I676" s="109"/>
      <c r="J676" s="110"/>
      <c r="K676" s="109"/>
      <c r="L676" s="109"/>
      <c r="M676" s="109"/>
    </row>
    <row r="677">
      <c r="A677" s="103"/>
      <c r="B677" s="104"/>
      <c r="C677" s="105"/>
      <c r="D677" s="106"/>
      <c r="E677" s="105"/>
      <c r="F677" s="105"/>
      <c r="G677" s="105"/>
      <c r="H677" s="108"/>
      <c r="I677" s="109"/>
      <c r="J677" s="110"/>
      <c r="K677" s="109"/>
      <c r="L677" s="109"/>
      <c r="M677" s="109"/>
    </row>
    <row r="678">
      <c r="A678" s="103"/>
      <c r="B678" s="104"/>
      <c r="C678" s="105"/>
      <c r="D678" s="106"/>
      <c r="E678" s="105"/>
      <c r="F678" s="105"/>
      <c r="G678" s="105"/>
      <c r="H678" s="108"/>
      <c r="I678" s="109"/>
      <c r="J678" s="110"/>
      <c r="K678" s="109"/>
      <c r="L678" s="109"/>
      <c r="M678" s="109"/>
    </row>
    <row r="679">
      <c r="A679" s="103"/>
      <c r="B679" s="104"/>
      <c r="C679" s="105"/>
      <c r="D679" s="106"/>
      <c r="E679" s="105"/>
      <c r="F679" s="105"/>
      <c r="G679" s="105"/>
      <c r="H679" s="108"/>
      <c r="I679" s="109"/>
      <c r="J679" s="110"/>
      <c r="K679" s="109"/>
      <c r="L679" s="109"/>
      <c r="M679" s="109"/>
    </row>
    <row r="680">
      <c r="A680" s="103"/>
      <c r="B680" s="104"/>
      <c r="C680" s="105"/>
      <c r="D680" s="106"/>
      <c r="E680" s="105"/>
      <c r="F680" s="105"/>
      <c r="G680" s="105"/>
      <c r="H680" s="108"/>
      <c r="I680" s="109"/>
      <c r="J680" s="110"/>
      <c r="K680" s="109"/>
      <c r="L680" s="109"/>
      <c r="M680" s="109"/>
    </row>
    <row r="681">
      <c r="A681" s="103"/>
      <c r="B681" s="104"/>
      <c r="C681" s="105"/>
      <c r="D681" s="106"/>
      <c r="E681" s="105"/>
      <c r="F681" s="105"/>
      <c r="G681" s="105"/>
      <c r="H681" s="108"/>
      <c r="I681" s="109"/>
      <c r="J681" s="110"/>
      <c r="K681" s="109"/>
      <c r="L681" s="109"/>
      <c r="M681" s="109"/>
    </row>
    <row r="682">
      <c r="A682" s="103"/>
      <c r="B682" s="104"/>
      <c r="C682" s="105"/>
      <c r="D682" s="106"/>
      <c r="E682" s="105"/>
      <c r="F682" s="105"/>
      <c r="G682" s="105"/>
      <c r="H682" s="108"/>
      <c r="I682" s="109"/>
      <c r="J682" s="110"/>
      <c r="K682" s="109"/>
      <c r="L682" s="109"/>
      <c r="M682" s="109"/>
    </row>
    <row r="683">
      <c r="A683" s="103"/>
      <c r="B683" s="104"/>
      <c r="C683" s="105"/>
      <c r="D683" s="106"/>
      <c r="E683" s="105"/>
      <c r="F683" s="105"/>
      <c r="G683" s="105"/>
      <c r="H683" s="108"/>
      <c r="I683" s="109"/>
      <c r="J683" s="110"/>
      <c r="K683" s="109"/>
      <c r="L683" s="109"/>
      <c r="M683" s="109"/>
    </row>
    <row r="684">
      <c r="A684" s="103"/>
      <c r="B684" s="104"/>
      <c r="C684" s="105"/>
      <c r="D684" s="106"/>
      <c r="E684" s="105"/>
      <c r="F684" s="105"/>
      <c r="G684" s="105"/>
      <c r="H684" s="108"/>
      <c r="I684" s="109"/>
      <c r="J684" s="110"/>
      <c r="K684" s="109"/>
      <c r="L684" s="109"/>
      <c r="M684" s="109"/>
    </row>
    <row r="685">
      <c r="A685" s="103"/>
      <c r="B685" s="104"/>
      <c r="C685" s="105"/>
      <c r="D685" s="106"/>
      <c r="E685" s="105"/>
      <c r="F685" s="105"/>
      <c r="G685" s="105"/>
      <c r="H685" s="108"/>
      <c r="I685" s="109"/>
      <c r="J685" s="110"/>
      <c r="K685" s="109"/>
      <c r="L685" s="109"/>
      <c r="M685" s="109"/>
    </row>
    <row r="686">
      <c r="A686" s="103"/>
      <c r="B686" s="104"/>
      <c r="C686" s="105"/>
      <c r="D686" s="106"/>
      <c r="E686" s="105"/>
      <c r="F686" s="105"/>
      <c r="G686" s="105"/>
      <c r="H686" s="108"/>
      <c r="I686" s="109"/>
      <c r="J686" s="110"/>
      <c r="K686" s="109"/>
      <c r="L686" s="109"/>
      <c r="M686" s="109"/>
    </row>
    <row r="687">
      <c r="A687" s="103"/>
      <c r="B687" s="104"/>
      <c r="C687" s="105"/>
      <c r="D687" s="106"/>
      <c r="E687" s="105"/>
      <c r="F687" s="105"/>
      <c r="G687" s="105"/>
      <c r="H687" s="108"/>
      <c r="I687" s="109"/>
      <c r="J687" s="110"/>
      <c r="K687" s="109"/>
      <c r="L687" s="109"/>
      <c r="M687" s="109"/>
    </row>
    <row r="688">
      <c r="A688" s="103"/>
      <c r="B688" s="104"/>
      <c r="C688" s="105"/>
      <c r="D688" s="106"/>
      <c r="E688" s="105"/>
      <c r="F688" s="105"/>
      <c r="G688" s="105"/>
      <c r="H688" s="108"/>
      <c r="I688" s="109"/>
      <c r="J688" s="110"/>
      <c r="K688" s="109"/>
      <c r="L688" s="109"/>
      <c r="M688" s="109"/>
    </row>
    <row r="689">
      <c r="A689" s="103"/>
      <c r="B689" s="104"/>
      <c r="C689" s="105"/>
      <c r="D689" s="106"/>
      <c r="E689" s="105"/>
      <c r="F689" s="105"/>
      <c r="G689" s="105"/>
      <c r="H689" s="108"/>
      <c r="I689" s="109"/>
      <c r="J689" s="110"/>
      <c r="K689" s="109"/>
      <c r="L689" s="109"/>
      <c r="M689" s="109"/>
    </row>
    <row r="690">
      <c r="A690" s="103"/>
      <c r="B690" s="104"/>
      <c r="C690" s="105"/>
      <c r="D690" s="106"/>
      <c r="E690" s="105"/>
      <c r="F690" s="105"/>
      <c r="G690" s="105"/>
      <c r="H690" s="108"/>
      <c r="I690" s="109"/>
      <c r="J690" s="110"/>
      <c r="K690" s="109"/>
      <c r="L690" s="109"/>
      <c r="M690" s="109"/>
    </row>
    <row r="691">
      <c r="A691" s="103"/>
      <c r="B691" s="104"/>
      <c r="C691" s="105"/>
      <c r="D691" s="106"/>
      <c r="E691" s="105"/>
      <c r="F691" s="105"/>
      <c r="G691" s="105"/>
      <c r="H691" s="108"/>
      <c r="I691" s="109"/>
      <c r="J691" s="110"/>
      <c r="K691" s="109"/>
      <c r="L691" s="109"/>
      <c r="M691" s="109"/>
    </row>
    <row r="692">
      <c r="A692" s="103"/>
      <c r="B692" s="104"/>
      <c r="C692" s="105"/>
      <c r="D692" s="106"/>
      <c r="E692" s="105"/>
      <c r="F692" s="105"/>
      <c r="G692" s="105"/>
      <c r="H692" s="108"/>
      <c r="I692" s="109"/>
      <c r="J692" s="110"/>
      <c r="K692" s="109"/>
      <c r="L692" s="109"/>
      <c r="M692" s="109"/>
    </row>
    <row r="693">
      <c r="A693" s="103"/>
      <c r="B693" s="104"/>
      <c r="C693" s="105"/>
      <c r="D693" s="106"/>
      <c r="E693" s="105"/>
      <c r="F693" s="105"/>
      <c r="G693" s="105"/>
      <c r="H693" s="108"/>
      <c r="I693" s="109"/>
      <c r="J693" s="110"/>
      <c r="K693" s="109"/>
      <c r="L693" s="109"/>
      <c r="M693" s="109"/>
    </row>
    <row r="694">
      <c r="A694" s="103"/>
      <c r="B694" s="104"/>
      <c r="C694" s="105"/>
      <c r="D694" s="106"/>
      <c r="E694" s="105"/>
      <c r="F694" s="105"/>
      <c r="G694" s="105"/>
      <c r="H694" s="108"/>
      <c r="I694" s="109"/>
      <c r="J694" s="110"/>
      <c r="K694" s="109"/>
      <c r="L694" s="109"/>
      <c r="M694" s="109"/>
    </row>
    <row r="695">
      <c r="A695" s="103"/>
      <c r="B695" s="104"/>
      <c r="C695" s="105"/>
      <c r="D695" s="106"/>
      <c r="E695" s="105"/>
      <c r="F695" s="105"/>
      <c r="G695" s="105"/>
      <c r="H695" s="108"/>
      <c r="I695" s="109"/>
      <c r="J695" s="110"/>
      <c r="K695" s="109"/>
      <c r="L695" s="109"/>
      <c r="M695" s="109"/>
    </row>
    <row r="696">
      <c r="A696" s="103"/>
      <c r="B696" s="104"/>
      <c r="C696" s="105"/>
      <c r="D696" s="106"/>
      <c r="E696" s="105"/>
      <c r="F696" s="105"/>
      <c r="G696" s="105"/>
      <c r="H696" s="108"/>
      <c r="I696" s="109"/>
      <c r="J696" s="110"/>
      <c r="K696" s="109"/>
      <c r="L696" s="109"/>
      <c r="M696" s="109"/>
    </row>
    <row r="697">
      <c r="A697" s="103"/>
      <c r="B697" s="104"/>
      <c r="C697" s="105"/>
      <c r="D697" s="106"/>
      <c r="E697" s="105"/>
      <c r="F697" s="105"/>
      <c r="G697" s="105"/>
      <c r="H697" s="108"/>
      <c r="I697" s="109"/>
      <c r="J697" s="110"/>
      <c r="K697" s="109"/>
      <c r="L697" s="109"/>
      <c r="M697" s="109"/>
    </row>
    <row r="698">
      <c r="A698" s="103"/>
      <c r="B698" s="104"/>
      <c r="C698" s="105"/>
      <c r="D698" s="106"/>
      <c r="E698" s="105"/>
      <c r="F698" s="105"/>
      <c r="G698" s="105"/>
      <c r="H698" s="108"/>
      <c r="I698" s="109"/>
      <c r="J698" s="110"/>
      <c r="K698" s="109"/>
      <c r="L698" s="109"/>
      <c r="M698" s="109"/>
    </row>
    <row r="699">
      <c r="A699" s="103"/>
      <c r="B699" s="104"/>
      <c r="C699" s="105"/>
      <c r="D699" s="106"/>
      <c r="E699" s="105"/>
      <c r="F699" s="105"/>
      <c r="G699" s="105"/>
      <c r="H699" s="108"/>
      <c r="I699" s="109"/>
      <c r="J699" s="110"/>
      <c r="K699" s="109"/>
      <c r="L699" s="109"/>
      <c r="M699" s="109"/>
    </row>
    <row r="700">
      <c r="A700" s="103"/>
      <c r="B700" s="104"/>
      <c r="C700" s="105"/>
      <c r="D700" s="106"/>
      <c r="E700" s="105"/>
      <c r="F700" s="105"/>
      <c r="G700" s="105"/>
      <c r="H700" s="108"/>
      <c r="I700" s="109"/>
      <c r="J700" s="110"/>
      <c r="K700" s="109"/>
      <c r="L700" s="109"/>
      <c r="M700" s="109"/>
    </row>
    <row r="701">
      <c r="A701" s="103"/>
      <c r="B701" s="104"/>
      <c r="C701" s="105"/>
      <c r="D701" s="106"/>
      <c r="E701" s="105"/>
      <c r="F701" s="105"/>
      <c r="G701" s="105"/>
      <c r="H701" s="108"/>
      <c r="I701" s="109"/>
      <c r="J701" s="110"/>
      <c r="K701" s="109"/>
      <c r="L701" s="109"/>
      <c r="M701" s="109"/>
    </row>
    <row r="702">
      <c r="A702" s="103"/>
      <c r="B702" s="104"/>
      <c r="C702" s="105"/>
      <c r="D702" s="106"/>
      <c r="E702" s="105"/>
      <c r="F702" s="105"/>
      <c r="G702" s="105"/>
      <c r="H702" s="108"/>
      <c r="I702" s="109"/>
      <c r="J702" s="110"/>
      <c r="K702" s="109"/>
      <c r="L702" s="109"/>
      <c r="M702" s="109"/>
    </row>
    <row r="703">
      <c r="A703" s="103"/>
      <c r="B703" s="104"/>
      <c r="C703" s="105"/>
      <c r="D703" s="106"/>
      <c r="E703" s="105"/>
      <c r="F703" s="105"/>
      <c r="G703" s="105"/>
      <c r="H703" s="108"/>
      <c r="I703" s="109"/>
      <c r="J703" s="110"/>
      <c r="K703" s="109"/>
      <c r="L703" s="109"/>
      <c r="M703" s="109"/>
    </row>
    <row r="704">
      <c r="A704" s="103"/>
      <c r="B704" s="104"/>
      <c r="C704" s="105"/>
      <c r="D704" s="106"/>
      <c r="E704" s="105"/>
      <c r="F704" s="105"/>
      <c r="G704" s="105"/>
      <c r="H704" s="108"/>
      <c r="I704" s="109"/>
      <c r="J704" s="110"/>
      <c r="K704" s="109"/>
      <c r="L704" s="109"/>
      <c r="M704" s="109"/>
    </row>
    <row r="705">
      <c r="A705" s="103"/>
      <c r="B705" s="104"/>
      <c r="C705" s="105"/>
      <c r="D705" s="106"/>
      <c r="E705" s="105"/>
      <c r="F705" s="105"/>
      <c r="G705" s="105"/>
      <c r="H705" s="108"/>
      <c r="I705" s="109"/>
      <c r="J705" s="110"/>
      <c r="K705" s="109"/>
      <c r="L705" s="109"/>
      <c r="M705" s="109"/>
    </row>
    <row r="706">
      <c r="A706" s="103"/>
      <c r="B706" s="104"/>
      <c r="C706" s="105"/>
      <c r="D706" s="106"/>
      <c r="E706" s="105"/>
      <c r="F706" s="105"/>
      <c r="G706" s="105"/>
      <c r="H706" s="108"/>
      <c r="I706" s="109"/>
      <c r="J706" s="110"/>
      <c r="K706" s="109"/>
      <c r="L706" s="109"/>
      <c r="M706" s="109"/>
    </row>
    <row r="707">
      <c r="A707" s="103"/>
      <c r="B707" s="104"/>
      <c r="C707" s="105"/>
      <c r="D707" s="106"/>
      <c r="E707" s="105"/>
      <c r="F707" s="105"/>
      <c r="G707" s="105"/>
      <c r="H707" s="108"/>
      <c r="I707" s="109"/>
      <c r="J707" s="110"/>
      <c r="K707" s="109"/>
      <c r="L707" s="109"/>
      <c r="M707" s="109"/>
    </row>
    <row r="708">
      <c r="A708" s="103"/>
      <c r="B708" s="104"/>
      <c r="C708" s="105"/>
      <c r="D708" s="106"/>
      <c r="E708" s="105"/>
      <c r="F708" s="105"/>
      <c r="G708" s="105"/>
      <c r="H708" s="108"/>
      <c r="I708" s="109"/>
      <c r="J708" s="110"/>
      <c r="K708" s="109"/>
      <c r="L708" s="109"/>
      <c r="M708" s="109"/>
    </row>
    <row r="709">
      <c r="A709" s="103"/>
      <c r="B709" s="104"/>
      <c r="C709" s="105"/>
      <c r="D709" s="106"/>
      <c r="E709" s="105"/>
      <c r="F709" s="105"/>
      <c r="G709" s="105"/>
      <c r="H709" s="108"/>
      <c r="I709" s="109"/>
      <c r="J709" s="110"/>
      <c r="K709" s="109"/>
      <c r="L709" s="109"/>
      <c r="M709" s="109"/>
    </row>
    <row r="710">
      <c r="A710" s="103"/>
      <c r="B710" s="104"/>
      <c r="C710" s="105"/>
      <c r="D710" s="106"/>
      <c r="E710" s="105"/>
      <c r="F710" s="105"/>
      <c r="G710" s="105"/>
      <c r="H710" s="108"/>
      <c r="I710" s="109"/>
      <c r="J710" s="110"/>
      <c r="K710" s="109"/>
      <c r="L710" s="109"/>
      <c r="M710" s="109"/>
    </row>
    <row r="711">
      <c r="A711" s="103"/>
      <c r="B711" s="104"/>
      <c r="C711" s="105"/>
      <c r="D711" s="106"/>
      <c r="E711" s="105"/>
      <c r="F711" s="105"/>
      <c r="G711" s="105"/>
      <c r="H711" s="108"/>
      <c r="I711" s="109"/>
      <c r="J711" s="110"/>
      <c r="K711" s="109"/>
      <c r="L711" s="109"/>
      <c r="M711" s="109"/>
    </row>
    <row r="712">
      <c r="A712" s="103"/>
      <c r="B712" s="104"/>
      <c r="C712" s="105"/>
      <c r="D712" s="106"/>
      <c r="E712" s="105"/>
      <c r="F712" s="105"/>
      <c r="G712" s="105"/>
      <c r="H712" s="108"/>
      <c r="I712" s="109"/>
      <c r="J712" s="110"/>
      <c r="K712" s="109"/>
      <c r="L712" s="109"/>
      <c r="M712" s="109"/>
    </row>
    <row r="713">
      <c r="A713" s="103"/>
      <c r="B713" s="104"/>
      <c r="C713" s="105"/>
      <c r="D713" s="106"/>
      <c r="E713" s="105"/>
      <c r="F713" s="105"/>
      <c r="G713" s="105"/>
      <c r="H713" s="108"/>
      <c r="I713" s="109"/>
      <c r="J713" s="110"/>
      <c r="K713" s="109"/>
      <c r="L713" s="109"/>
      <c r="M713" s="109"/>
    </row>
    <row r="714">
      <c r="A714" s="103"/>
      <c r="B714" s="104"/>
      <c r="C714" s="105"/>
      <c r="D714" s="106"/>
      <c r="E714" s="105"/>
      <c r="F714" s="105"/>
      <c r="G714" s="105"/>
      <c r="H714" s="108"/>
      <c r="I714" s="109"/>
      <c r="J714" s="110"/>
      <c r="K714" s="109"/>
      <c r="L714" s="109"/>
      <c r="M714" s="109"/>
    </row>
    <row r="715">
      <c r="A715" s="103"/>
      <c r="B715" s="104"/>
      <c r="C715" s="105"/>
      <c r="D715" s="106"/>
      <c r="E715" s="105"/>
      <c r="F715" s="105"/>
      <c r="G715" s="105"/>
      <c r="H715" s="108"/>
      <c r="I715" s="109"/>
      <c r="J715" s="110"/>
      <c r="K715" s="109"/>
      <c r="L715" s="109"/>
      <c r="M715" s="109"/>
    </row>
    <row r="716">
      <c r="A716" s="103"/>
      <c r="B716" s="104"/>
      <c r="C716" s="105"/>
      <c r="D716" s="106"/>
      <c r="E716" s="105"/>
      <c r="F716" s="105"/>
      <c r="G716" s="105"/>
      <c r="H716" s="108"/>
      <c r="I716" s="109"/>
      <c r="J716" s="110"/>
      <c r="K716" s="109"/>
      <c r="L716" s="109"/>
      <c r="M716" s="109"/>
    </row>
    <row r="717">
      <c r="A717" s="103"/>
      <c r="B717" s="104"/>
      <c r="C717" s="105"/>
      <c r="D717" s="106"/>
      <c r="E717" s="105"/>
      <c r="F717" s="105"/>
      <c r="G717" s="105"/>
      <c r="H717" s="108"/>
      <c r="I717" s="109"/>
      <c r="J717" s="110"/>
      <c r="K717" s="109"/>
      <c r="L717" s="109"/>
      <c r="M717" s="109"/>
    </row>
    <row r="718">
      <c r="A718" s="103"/>
      <c r="B718" s="104"/>
      <c r="C718" s="105"/>
      <c r="D718" s="106"/>
      <c r="E718" s="105"/>
      <c r="F718" s="105"/>
      <c r="G718" s="105"/>
      <c r="H718" s="108"/>
      <c r="I718" s="109"/>
      <c r="J718" s="110"/>
      <c r="K718" s="109"/>
      <c r="L718" s="109"/>
      <c r="M718" s="109"/>
    </row>
    <row r="719">
      <c r="A719" s="103"/>
      <c r="B719" s="104"/>
      <c r="C719" s="105"/>
      <c r="D719" s="106"/>
      <c r="E719" s="105"/>
      <c r="F719" s="105"/>
      <c r="G719" s="105"/>
      <c r="H719" s="108"/>
      <c r="I719" s="109"/>
      <c r="J719" s="110"/>
      <c r="K719" s="109"/>
      <c r="L719" s="109"/>
      <c r="M719" s="109"/>
    </row>
    <row r="720">
      <c r="A720" s="103"/>
      <c r="B720" s="104"/>
      <c r="C720" s="105"/>
      <c r="D720" s="106"/>
      <c r="E720" s="105"/>
      <c r="F720" s="105"/>
      <c r="G720" s="105"/>
      <c r="H720" s="108"/>
      <c r="I720" s="109"/>
      <c r="J720" s="110"/>
      <c r="K720" s="109"/>
      <c r="L720" s="109"/>
      <c r="M720" s="109"/>
    </row>
    <row r="721">
      <c r="A721" s="103"/>
      <c r="B721" s="104"/>
      <c r="C721" s="105"/>
      <c r="D721" s="106"/>
      <c r="E721" s="105"/>
      <c r="F721" s="105"/>
      <c r="G721" s="105"/>
      <c r="H721" s="108"/>
      <c r="I721" s="109"/>
      <c r="J721" s="110"/>
      <c r="K721" s="109"/>
      <c r="L721" s="109"/>
      <c r="M721" s="109"/>
    </row>
    <row r="722">
      <c r="A722" s="103"/>
      <c r="B722" s="104"/>
      <c r="C722" s="105"/>
      <c r="D722" s="106"/>
      <c r="E722" s="105"/>
      <c r="F722" s="105"/>
      <c r="G722" s="105"/>
      <c r="H722" s="108"/>
      <c r="I722" s="109"/>
      <c r="J722" s="110"/>
      <c r="K722" s="109"/>
      <c r="L722" s="109"/>
      <c r="M722" s="109"/>
    </row>
    <row r="723">
      <c r="A723" s="103"/>
      <c r="B723" s="104"/>
      <c r="C723" s="105"/>
      <c r="D723" s="106"/>
      <c r="E723" s="105"/>
      <c r="F723" s="105"/>
      <c r="G723" s="105"/>
      <c r="H723" s="108"/>
      <c r="I723" s="109"/>
      <c r="J723" s="110"/>
      <c r="K723" s="109"/>
      <c r="L723" s="109"/>
      <c r="M723" s="109"/>
    </row>
    <row r="724">
      <c r="A724" s="103"/>
      <c r="B724" s="104"/>
      <c r="C724" s="105"/>
      <c r="D724" s="106"/>
      <c r="E724" s="105"/>
      <c r="F724" s="105"/>
      <c r="G724" s="105"/>
      <c r="H724" s="108"/>
      <c r="I724" s="109"/>
      <c r="J724" s="110"/>
      <c r="K724" s="109"/>
      <c r="L724" s="109"/>
      <c r="M724" s="109"/>
    </row>
    <row r="725">
      <c r="A725" s="103"/>
      <c r="B725" s="104"/>
      <c r="C725" s="105"/>
      <c r="D725" s="106"/>
      <c r="E725" s="105"/>
      <c r="F725" s="105"/>
      <c r="G725" s="105"/>
      <c r="H725" s="108"/>
      <c r="I725" s="109"/>
      <c r="J725" s="110"/>
      <c r="K725" s="109"/>
      <c r="L725" s="109"/>
      <c r="M725" s="109"/>
    </row>
    <row r="726">
      <c r="A726" s="103"/>
      <c r="B726" s="104"/>
      <c r="C726" s="105"/>
      <c r="D726" s="106"/>
      <c r="E726" s="105"/>
      <c r="F726" s="105"/>
      <c r="G726" s="105"/>
      <c r="H726" s="108"/>
      <c r="I726" s="109"/>
      <c r="J726" s="110"/>
      <c r="K726" s="109"/>
      <c r="L726" s="109"/>
      <c r="M726" s="109"/>
    </row>
    <row r="727">
      <c r="A727" s="103"/>
      <c r="B727" s="104"/>
      <c r="C727" s="105"/>
      <c r="D727" s="106"/>
      <c r="E727" s="105"/>
      <c r="F727" s="105"/>
      <c r="G727" s="105"/>
      <c r="H727" s="108"/>
      <c r="I727" s="109"/>
      <c r="J727" s="110"/>
      <c r="K727" s="109"/>
      <c r="L727" s="109"/>
      <c r="M727" s="109"/>
    </row>
    <row r="728">
      <c r="A728" s="103"/>
      <c r="B728" s="104"/>
      <c r="C728" s="105"/>
      <c r="D728" s="106"/>
      <c r="E728" s="105"/>
      <c r="F728" s="105"/>
      <c r="G728" s="105"/>
      <c r="H728" s="108"/>
      <c r="I728" s="109"/>
      <c r="J728" s="110"/>
      <c r="K728" s="109"/>
      <c r="L728" s="109"/>
      <c r="M728" s="109"/>
    </row>
    <row r="729">
      <c r="A729" s="103"/>
      <c r="B729" s="104"/>
      <c r="C729" s="105"/>
      <c r="D729" s="106"/>
      <c r="E729" s="105"/>
      <c r="F729" s="105"/>
      <c r="G729" s="105"/>
      <c r="H729" s="108"/>
      <c r="I729" s="109"/>
      <c r="J729" s="110"/>
      <c r="K729" s="109"/>
      <c r="L729" s="109"/>
      <c r="M729" s="109"/>
    </row>
    <row r="730">
      <c r="A730" s="103"/>
      <c r="B730" s="104"/>
      <c r="C730" s="105"/>
      <c r="D730" s="106"/>
      <c r="E730" s="105"/>
      <c r="F730" s="105"/>
      <c r="G730" s="105"/>
      <c r="H730" s="108"/>
      <c r="I730" s="109"/>
      <c r="J730" s="110"/>
      <c r="K730" s="109"/>
      <c r="L730" s="109"/>
      <c r="M730" s="109"/>
    </row>
    <row r="731">
      <c r="A731" s="103"/>
      <c r="B731" s="104"/>
      <c r="C731" s="105"/>
      <c r="D731" s="106"/>
      <c r="E731" s="105"/>
      <c r="F731" s="105"/>
      <c r="G731" s="105"/>
      <c r="H731" s="108"/>
      <c r="I731" s="109"/>
      <c r="J731" s="110"/>
      <c r="K731" s="109"/>
      <c r="L731" s="109"/>
      <c r="M731" s="109"/>
    </row>
    <row r="732">
      <c r="A732" s="103"/>
      <c r="B732" s="104"/>
      <c r="C732" s="105"/>
      <c r="D732" s="106"/>
      <c r="E732" s="105"/>
      <c r="F732" s="105"/>
      <c r="G732" s="105"/>
      <c r="H732" s="108"/>
      <c r="I732" s="109"/>
      <c r="J732" s="110"/>
      <c r="K732" s="109"/>
      <c r="L732" s="109"/>
      <c r="M732" s="109"/>
    </row>
    <row r="733">
      <c r="A733" s="103"/>
      <c r="B733" s="104"/>
      <c r="C733" s="105"/>
      <c r="D733" s="106"/>
      <c r="E733" s="105"/>
      <c r="F733" s="105"/>
      <c r="G733" s="105"/>
      <c r="H733" s="108"/>
      <c r="I733" s="109"/>
      <c r="J733" s="110"/>
      <c r="K733" s="109"/>
      <c r="L733" s="109"/>
      <c r="M733" s="109"/>
    </row>
    <row r="734">
      <c r="A734" s="103"/>
      <c r="B734" s="104"/>
      <c r="C734" s="105"/>
      <c r="D734" s="106"/>
      <c r="E734" s="105"/>
      <c r="F734" s="105"/>
      <c r="G734" s="105"/>
      <c r="H734" s="108"/>
      <c r="I734" s="109"/>
      <c r="J734" s="110"/>
      <c r="K734" s="109"/>
      <c r="L734" s="109"/>
      <c r="M734" s="109"/>
    </row>
    <row r="735">
      <c r="A735" s="103"/>
      <c r="B735" s="104"/>
      <c r="C735" s="105"/>
      <c r="D735" s="106"/>
      <c r="E735" s="105"/>
      <c r="F735" s="105"/>
      <c r="G735" s="105"/>
      <c r="H735" s="108"/>
      <c r="I735" s="109"/>
      <c r="J735" s="110"/>
      <c r="K735" s="109"/>
      <c r="L735" s="109"/>
      <c r="M735" s="109"/>
    </row>
    <row r="736">
      <c r="A736" s="103"/>
      <c r="B736" s="104"/>
      <c r="C736" s="105"/>
      <c r="D736" s="106"/>
      <c r="E736" s="105"/>
      <c r="F736" s="105"/>
      <c r="G736" s="105"/>
      <c r="H736" s="108"/>
      <c r="I736" s="109"/>
      <c r="J736" s="110"/>
      <c r="K736" s="109"/>
      <c r="L736" s="109"/>
      <c r="M736" s="109"/>
    </row>
    <row r="737">
      <c r="A737" s="103"/>
      <c r="B737" s="104"/>
      <c r="C737" s="105"/>
      <c r="D737" s="106"/>
      <c r="E737" s="105"/>
      <c r="F737" s="105"/>
      <c r="G737" s="105"/>
      <c r="H737" s="108"/>
      <c r="I737" s="109"/>
      <c r="J737" s="110"/>
      <c r="K737" s="109"/>
      <c r="L737" s="109"/>
      <c r="M737" s="109"/>
    </row>
    <row r="738">
      <c r="A738" s="103"/>
      <c r="B738" s="104"/>
      <c r="C738" s="105"/>
      <c r="D738" s="106"/>
      <c r="E738" s="105"/>
      <c r="F738" s="105"/>
      <c r="G738" s="105"/>
      <c r="H738" s="108"/>
      <c r="I738" s="109"/>
      <c r="J738" s="110"/>
      <c r="K738" s="109"/>
      <c r="L738" s="109"/>
      <c r="M738" s="109"/>
    </row>
    <row r="739">
      <c r="A739" s="103"/>
      <c r="B739" s="104"/>
      <c r="C739" s="105"/>
      <c r="D739" s="106"/>
      <c r="E739" s="105"/>
      <c r="F739" s="105"/>
      <c r="G739" s="105"/>
      <c r="H739" s="108"/>
      <c r="I739" s="109"/>
      <c r="J739" s="110"/>
      <c r="K739" s="109"/>
      <c r="L739" s="109"/>
      <c r="M739" s="109"/>
    </row>
    <row r="740">
      <c r="A740" s="103"/>
      <c r="B740" s="104"/>
      <c r="C740" s="105"/>
      <c r="D740" s="106"/>
      <c r="E740" s="105"/>
      <c r="F740" s="105"/>
      <c r="G740" s="105"/>
      <c r="H740" s="108"/>
      <c r="I740" s="109"/>
      <c r="J740" s="110"/>
      <c r="K740" s="109"/>
      <c r="L740" s="109"/>
      <c r="M740" s="109"/>
    </row>
    <row r="741">
      <c r="A741" s="103"/>
      <c r="B741" s="104"/>
      <c r="C741" s="105"/>
      <c r="D741" s="106"/>
      <c r="E741" s="105"/>
      <c r="F741" s="105"/>
      <c r="G741" s="105"/>
      <c r="H741" s="108"/>
      <c r="I741" s="109"/>
      <c r="J741" s="110"/>
      <c r="K741" s="109"/>
      <c r="L741" s="109"/>
      <c r="M741" s="109"/>
    </row>
    <row r="742">
      <c r="A742" s="103"/>
      <c r="B742" s="104"/>
      <c r="C742" s="105"/>
      <c r="D742" s="106"/>
      <c r="E742" s="105"/>
      <c r="F742" s="105"/>
      <c r="G742" s="105"/>
      <c r="H742" s="108"/>
      <c r="I742" s="109"/>
      <c r="J742" s="110"/>
      <c r="K742" s="109"/>
      <c r="L742" s="109"/>
      <c r="M742" s="109"/>
    </row>
    <row r="743">
      <c r="A743" s="103"/>
      <c r="B743" s="104"/>
      <c r="C743" s="105"/>
      <c r="D743" s="106"/>
      <c r="E743" s="105"/>
      <c r="F743" s="105"/>
      <c r="G743" s="105"/>
      <c r="H743" s="108"/>
      <c r="I743" s="109"/>
      <c r="J743" s="110"/>
      <c r="K743" s="109"/>
      <c r="L743" s="109"/>
      <c r="M743" s="109"/>
    </row>
    <row r="744">
      <c r="A744" s="103"/>
      <c r="B744" s="104"/>
      <c r="C744" s="105"/>
      <c r="D744" s="106"/>
      <c r="E744" s="105"/>
      <c r="F744" s="105"/>
      <c r="G744" s="105"/>
      <c r="H744" s="108"/>
      <c r="I744" s="109"/>
      <c r="J744" s="110"/>
      <c r="K744" s="109"/>
      <c r="L744" s="109"/>
      <c r="M744" s="109"/>
    </row>
    <row r="745">
      <c r="A745" s="103"/>
      <c r="B745" s="104"/>
      <c r="C745" s="105"/>
      <c r="D745" s="106"/>
      <c r="E745" s="105"/>
      <c r="F745" s="105"/>
      <c r="G745" s="105"/>
      <c r="H745" s="108"/>
      <c r="I745" s="109"/>
      <c r="J745" s="110"/>
      <c r="K745" s="109"/>
      <c r="L745" s="109"/>
      <c r="M745" s="109"/>
    </row>
    <row r="746">
      <c r="A746" s="103"/>
      <c r="B746" s="104"/>
      <c r="C746" s="105"/>
      <c r="D746" s="106"/>
      <c r="E746" s="105"/>
      <c r="F746" s="105"/>
      <c r="G746" s="105"/>
      <c r="H746" s="108"/>
      <c r="I746" s="109"/>
      <c r="J746" s="110"/>
      <c r="K746" s="109"/>
      <c r="L746" s="109"/>
      <c r="M746" s="109"/>
    </row>
    <row r="747">
      <c r="A747" s="103"/>
      <c r="B747" s="104"/>
      <c r="C747" s="105"/>
      <c r="D747" s="106"/>
      <c r="E747" s="105"/>
      <c r="F747" s="105"/>
      <c r="G747" s="105"/>
      <c r="H747" s="108"/>
      <c r="I747" s="109"/>
      <c r="J747" s="110"/>
      <c r="K747" s="109"/>
      <c r="L747" s="109"/>
      <c r="M747" s="109"/>
    </row>
    <row r="748">
      <c r="A748" s="103"/>
      <c r="B748" s="104"/>
      <c r="C748" s="105"/>
      <c r="D748" s="106"/>
      <c r="E748" s="105"/>
      <c r="F748" s="105"/>
      <c r="G748" s="105"/>
      <c r="H748" s="108"/>
      <c r="I748" s="109"/>
      <c r="J748" s="110"/>
      <c r="K748" s="109"/>
      <c r="L748" s="109"/>
      <c r="M748" s="109"/>
    </row>
    <row r="749">
      <c r="A749" s="103"/>
      <c r="B749" s="104"/>
      <c r="C749" s="105"/>
      <c r="D749" s="106"/>
      <c r="E749" s="105"/>
      <c r="F749" s="105"/>
      <c r="G749" s="105"/>
      <c r="H749" s="108"/>
      <c r="I749" s="109"/>
      <c r="J749" s="110"/>
      <c r="K749" s="109"/>
      <c r="L749" s="109"/>
      <c r="M749" s="109"/>
    </row>
    <row r="750">
      <c r="A750" s="103"/>
      <c r="B750" s="104"/>
      <c r="C750" s="105"/>
      <c r="D750" s="106"/>
      <c r="E750" s="105"/>
      <c r="F750" s="105"/>
      <c r="G750" s="105"/>
      <c r="H750" s="108"/>
      <c r="I750" s="109"/>
      <c r="J750" s="110"/>
      <c r="K750" s="109"/>
      <c r="L750" s="109"/>
      <c r="M750" s="109"/>
    </row>
    <row r="751">
      <c r="A751" s="103"/>
      <c r="B751" s="104"/>
      <c r="C751" s="105"/>
      <c r="D751" s="106"/>
      <c r="E751" s="105"/>
      <c r="F751" s="105"/>
      <c r="G751" s="105"/>
      <c r="H751" s="108"/>
      <c r="I751" s="109"/>
      <c r="J751" s="110"/>
      <c r="K751" s="109"/>
      <c r="L751" s="109"/>
      <c r="M751" s="109"/>
    </row>
    <row r="752">
      <c r="A752" s="103"/>
      <c r="B752" s="104"/>
      <c r="C752" s="105"/>
      <c r="D752" s="106"/>
      <c r="E752" s="105"/>
      <c r="F752" s="105"/>
      <c r="G752" s="105"/>
      <c r="H752" s="108"/>
      <c r="I752" s="109"/>
      <c r="J752" s="110"/>
      <c r="K752" s="109"/>
      <c r="L752" s="109"/>
      <c r="M752" s="109"/>
    </row>
    <row r="753">
      <c r="A753" s="103"/>
      <c r="B753" s="104"/>
      <c r="C753" s="105"/>
      <c r="D753" s="106"/>
      <c r="E753" s="105"/>
      <c r="F753" s="105"/>
      <c r="G753" s="105"/>
      <c r="H753" s="108"/>
      <c r="I753" s="109"/>
      <c r="J753" s="110"/>
      <c r="K753" s="109"/>
      <c r="L753" s="109"/>
      <c r="M753" s="109"/>
    </row>
    <row r="754">
      <c r="A754" s="103"/>
      <c r="B754" s="104"/>
      <c r="C754" s="105"/>
      <c r="D754" s="106"/>
      <c r="E754" s="105"/>
      <c r="F754" s="105"/>
      <c r="G754" s="105"/>
      <c r="H754" s="108"/>
      <c r="I754" s="109"/>
      <c r="J754" s="110"/>
      <c r="K754" s="109"/>
      <c r="L754" s="109"/>
      <c r="M754" s="109"/>
    </row>
    <row r="755">
      <c r="A755" s="103"/>
      <c r="B755" s="104"/>
      <c r="C755" s="105"/>
      <c r="D755" s="106"/>
      <c r="E755" s="105"/>
      <c r="F755" s="105"/>
      <c r="G755" s="105"/>
      <c r="H755" s="108"/>
      <c r="I755" s="109"/>
      <c r="J755" s="110"/>
      <c r="K755" s="109"/>
      <c r="L755" s="109"/>
      <c r="M755" s="109"/>
    </row>
    <row r="756">
      <c r="A756" s="103"/>
      <c r="B756" s="104"/>
      <c r="C756" s="105"/>
      <c r="D756" s="106"/>
      <c r="E756" s="105"/>
      <c r="F756" s="105"/>
      <c r="G756" s="105"/>
      <c r="H756" s="108"/>
      <c r="I756" s="109"/>
      <c r="J756" s="110"/>
      <c r="K756" s="109"/>
      <c r="L756" s="109"/>
      <c r="M756" s="109"/>
    </row>
    <row r="757">
      <c r="A757" s="103"/>
      <c r="B757" s="104"/>
      <c r="C757" s="105"/>
      <c r="D757" s="106"/>
      <c r="E757" s="105"/>
      <c r="F757" s="105"/>
      <c r="G757" s="105"/>
      <c r="H757" s="108"/>
      <c r="I757" s="109"/>
      <c r="J757" s="110"/>
      <c r="K757" s="109"/>
      <c r="L757" s="109"/>
      <c r="M757" s="109"/>
    </row>
    <row r="758">
      <c r="A758" s="103"/>
      <c r="B758" s="104"/>
      <c r="C758" s="105"/>
      <c r="D758" s="106"/>
      <c r="E758" s="105"/>
      <c r="F758" s="105"/>
      <c r="G758" s="105"/>
      <c r="H758" s="108"/>
      <c r="I758" s="109"/>
      <c r="J758" s="110"/>
      <c r="K758" s="109"/>
      <c r="L758" s="109"/>
      <c r="M758" s="109"/>
    </row>
    <row r="759">
      <c r="A759" s="103"/>
      <c r="B759" s="104"/>
      <c r="C759" s="105"/>
      <c r="D759" s="106"/>
      <c r="E759" s="105"/>
      <c r="F759" s="105"/>
      <c r="G759" s="105"/>
      <c r="H759" s="108"/>
      <c r="I759" s="109"/>
      <c r="J759" s="110"/>
      <c r="K759" s="109"/>
      <c r="L759" s="109"/>
      <c r="M759" s="109"/>
    </row>
    <row r="760">
      <c r="A760" s="103"/>
      <c r="B760" s="104"/>
      <c r="C760" s="105"/>
      <c r="D760" s="106"/>
      <c r="E760" s="105"/>
      <c r="F760" s="105"/>
      <c r="G760" s="105"/>
      <c r="H760" s="108"/>
      <c r="I760" s="109"/>
      <c r="J760" s="110"/>
      <c r="K760" s="109"/>
      <c r="L760" s="109"/>
      <c r="M760" s="109"/>
    </row>
    <row r="761">
      <c r="A761" s="103"/>
      <c r="B761" s="104"/>
      <c r="C761" s="105"/>
      <c r="D761" s="106"/>
      <c r="E761" s="105"/>
      <c r="F761" s="105"/>
      <c r="G761" s="105"/>
      <c r="H761" s="108"/>
      <c r="I761" s="109"/>
      <c r="J761" s="110"/>
      <c r="K761" s="109"/>
      <c r="L761" s="109"/>
      <c r="M761" s="109"/>
    </row>
    <row r="762">
      <c r="A762" s="103"/>
      <c r="B762" s="104"/>
      <c r="C762" s="105"/>
      <c r="D762" s="106"/>
      <c r="E762" s="105"/>
      <c r="F762" s="105"/>
      <c r="G762" s="105"/>
      <c r="H762" s="108"/>
      <c r="I762" s="109"/>
      <c r="J762" s="110"/>
      <c r="K762" s="109"/>
      <c r="L762" s="109"/>
      <c r="M762" s="109"/>
    </row>
    <row r="763">
      <c r="A763" s="103"/>
      <c r="B763" s="104"/>
      <c r="C763" s="105"/>
      <c r="D763" s="106"/>
      <c r="E763" s="105"/>
      <c r="F763" s="105"/>
      <c r="G763" s="105"/>
      <c r="H763" s="108"/>
      <c r="I763" s="109"/>
      <c r="J763" s="110"/>
      <c r="K763" s="109"/>
      <c r="L763" s="109"/>
      <c r="M763" s="109"/>
    </row>
    <row r="764">
      <c r="A764" s="103"/>
      <c r="B764" s="104"/>
      <c r="C764" s="105"/>
      <c r="D764" s="106"/>
      <c r="E764" s="105"/>
      <c r="F764" s="105"/>
      <c r="G764" s="105"/>
      <c r="H764" s="108"/>
      <c r="I764" s="109"/>
      <c r="J764" s="110"/>
      <c r="K764" s="109"/>
      <c r="L764" s="109"/>
      <c r="M764" s="109"/>
    </row>
    <row r="765">
      <c r="A765" s="103"/>
      <c r="B765" s="104"/>
      <c r="C765" s="105"/>
      <c r="D765" s="106"/>
      <c r="E765" s="105"/>
      <c r="F765" s="105"/>
      <c r="G765" s="105"/>
      <c r="H765" s="108"/>
      <c r="I765" s="109"/>
      <c r="J765" s="110"/>
      <c r="K765" s="109"/>
      <c r="L765" s="109"/>
      <c r="M765" s="109"/>
    </row>
    <row r="766">
      <c r="A766" s="103"/>
      <c r="B766" s="104"/>
      <c r="C766" s="105"/>
      <c r="D766" s="106"/>
      <c r="E766" s="105"/>
      <c r="F766" s="105"/>
      <c r="G766" s="105"/>
      <c r="H766" s="108"/>
      <c r="I766" s="109"/>
      <c r="J766" s="110"/>
      <c r="K766" s="109"/>
      <c r="L766" s="109"/>
      <c r="M766" s="109"/>
    </row>
    <row r="767">
      <c r="A767" s="103"/>
      <c r="B767" s="104"/>
      <c r="C767" s="105"/>
      <c r="D767" s="106"/>
      <c r="E767" s="105"/>
      <c r="F767" s="105"/>
      <c r="G767" s="105"/>
      <c r="H767" s="108"/>
      <c r="I767" s="109"/>
      <c r="J767" s="110"/>
      <c r="K767" s="109"/>
      <c r="L767" s="109"/>
      <c r="M767" s="109"/>
    </row>
    <row r="768">
      <c r="A768" s="103"/>
      <c r="B768" s="104"/>
      <c r="C768" s="105"/>
      <c r="D768" s="106"/>
      <c r="E768" s="105"/>
      <c r="F768" s="105"/>
      <c r="G768" s="105"/>
      <c r="H768" s="108"/>
      <c r="I768" s="109"/>
      <c r="J768" s="110"/>
      <c r="K768" s="109"/>
      <c r="L768" s="109"/>
      <c r="M768" s="109"/>
    </row>
    <row r="769">
      <c r="A769" s="103"/>
      <c r="B769" s="104"/>
      <c r="C769" s="105"/>
      <c r="D769" s="106"/>
      <c r="E769" s="105"/>
      <c r="F769" s="105"/>
      <c r="G769" s="105"/>
      <c r="H769" s="108"/>
      <c r="I769" s="109"/>
      <c r="J769" s="110"/>
      <c r="K769" s="109"/>
      <c r="L769" s="109"/>
      <c r="M769" s="109"/>
    </row>
    <row r="770">
      <c r="A770" s="103"/>
      <c r="B770" s="104"/>
      <c r="C770" s="105"/>
      <c r="D770" s="106"/>
      <c r="E770" s="105"/>
      <c r="F770" s="105"/>
      <c r="G770" s="105"/>
      <c r="H770" s="108"/>
      <c r="I770" s="109"/>
      <c r="J770" s="110"/>
      <c r="K770" s="109"/>
      <c r="L770" s="109"/>
      <c r="M770" s="109"/>
    </row>
    <row r="771">
      <c r="A771" s="103"/>
      <c r="B771" s="104"/>
      <c r="C771" s="105"/>
      <c r="D771" s="106"/>
      <c r="E771" s="105"/>
      <c r="F771" s="105"/>
      <c r="G771" s="105"/>
      <c r="H771" s="108"/>
      <c r="I771" s="109"/>
      <c r="J771" s="110"/>
      <c r="K771" s="109"/>
      <c r="L771" s="109"/>
      <c r="M771" s="109"/>
    </row>
    <row r="772">
      <c r="A772" s="103"/>
      <c r="B772" s="104"/>
      <c r="C772" s="105"/>
      <c r="D772" s="106"/>
      <c r="E772" s="105"/>
      <c r="F772" s="105"/>
      <c r="G772" s="105"/>
      <c r="H772" s="108"/>
      <c r="I772" s="109"/>
      <c r="J772" s="110"/>
      <c r="K772" s="109"/>
      <c r="L772" s="109"/>
      <c r="M772" s="109"/>
    </row>
    <row r="773">
      <c r="A773" s="103"/>
      <c r="B773" s="104"/>
      <c r="C773" s="105"/>
      <c r="D773" s="106"/>
      <c r="E773" s="105"/>
      <c r="F773" s="105"/>
      <c r="G773" s="105"/>
      <c r="H773" s="108"/>
      <c r="I773" s="109"/>
      <c r="J773" s="110"/>
      <c r="K773" s="109"/>
      <c r="L773" s="109"/>
      <c r="M773" s="109"/>
    </row>
    <row r="774">
      <c r="A774" s="103"/>
      <c r="B774" s="104"/>
      <c r="C774" s="105"/>
      <c r="D774" s="106"/>
      <c r="E774" s="105"/>
      <c r="F774" s="105"/>
      <c r="G774" s="105"/>
      <c r="H774" s="108"/>
      <c r="I774" s="109"/>
      <c r="J774" s="110"/>
      <c r="K774" s="109"/>
      <c r="L774" s="109"/>
      <c r="M774" s="109"/>
    </row>
    <row r="775">
      <c r="A775" s="103"/>
      <c r="B775" s="104"/>
      <c r="C775" s="105"/>
      <c r="D775" s="106"/>
      <c r="E775" s="105"/>
      <c r="F775" s="105"/>
      <c r="G775" s="105"/>
      <c r="H775" s="108"/>
      <c r="I775" s="109"/>
      <c r="J775" s="110"/>
      <c r="K775" s="109"/>
      <c r="L775" s="109"/>
      <c r="M775" s="109"/>
    </row>
    <row r="776">
      <c r="A776" s="103"/>
      <c r="B776" s="104"/>
      <c r="C776" s="105"/>
      <c r="D776" s="106"/>
      <c r="E776" s="105"/>
      <c r="F776" s="105"/>
      <c r="G776" s="105"/>
      <c r="H776" s="108"/>
      <c r="I776" s="109"/>
      <c r="J776" s="110"/>
      <c r="K776" s="109"/>
      <c r="L776" s="109"/>
      <c r="M776" s="109"/>
    </row>
    <row r="777">
      <c r="A777" s="103"/>
      <c r="B777" s="104"/>
      <c r="C777" s="105"/>
      <c r="D777" s="106"/>
      <c r="E777" s="105"/>
      <c r="F777" s="105"/>
      <c r="G777" s="105"/>
      <c r="H777" s="108"/>
      <c r="I777" s="109"/>
      <c r="J777" s="110"/>
      <c r="K777" s="109"/>
      <c r="L777" s="109"/>
      <c r="M777" s="109"/>
    </row>
    <row r="778">
      <c r="A778" s="103"/>
      <c r="B778" s="104"/>
      <c r="C778" s="105"/>
      <c r="D778" s="106"/>
      <c r="E778" s="105"/>
      <c r="F778" s="105"/>
      <c r="G778" s="105"/>
      <c r="H778" s="108"/>
      <c r="I778" s="109"/>
      <c r="J778" s="110"/>
      <c r="K778" s="109"/>
      <c r="L778" s="109"/>
      <c r="M778" s="109"/>
    </row>
    <row r="779">
      <c r="A779" s="103"/>
      <c r="B779" s="104"/>
      <c r="C779" s="105"/>
      <c r="D779" s="106"/>
      <c r="E779" s="105"/>
      <c r="F779" s="105"/>
      <c r="G779" s="105"/>
      <c r="H779" s="108"/>
      <c r="I779" s="109"/>
      <c r="J779" s="110"/>
      <c r="K779" s="109"/>
      <c r="L779" s="109"/>
      <c r="M779" s="109"/>
    </row>
    <row r="780">
      <c r="A780" s="103"/>
      <c r="B780" s="104"/>
      <c r="C780" s="105"/>
      <c r="D780" s="106"/>
      <c r="E780" s="105"/>
      <c r="F780" s="105"/>
      <c r="G780" s="105"/>
      <c r="H780" s="108"/>
      <c r="I780" s="109"/>
      <c r="J780" s="110"/>
      <c r="K780" s="109"/>
      <c r="L780" s="109"/>
      <c r="M780" s="109"/>
    </row>
    <row r="781">
      <c r="A781" s="103"/>
      <c r="B781" s="104"/>
      <c r="C781" s="105"/>
      <c r="D781" s="106"/>
      <c r="E781" s="105"/>
      <c r="F781" s="105"/>
      <c r="G781" s="105"/>
      <c r="H781" s="108"/>
      <c r="I781" s="109"/>
      <c r="J781" s="110"/>
      <c r="K781" s="109"/>
      <c r="L781" s="109"/>
      <c r="M781" s="109"/>
    </row>
    <row r="782">
      <c r="A782" s="103"/>
      <c r="B782" s="104"/>
      <c r="C782" s="105"/>
      <c r="D782" s="106"/>
      <c r="E782" s="105"/>
      <c r="F782" s="105"/>
      <c r="G782" s="105"/>
      <c r="H782" s="108"/>
      <c r="I782" s="109"/>
      <c r="J782" s="110"/>
      <c r="K782" s="109"/>
      <c r="L782" s="109"/>
      <c r="M782" s="109"/>
    </row>
    <row r="783">
      <c r="A783" s="103"/>
      <c r="B783" s="104"/>
      <c r="C783" s="105"/>
      <c r="D783" s="106"/>
      <c r="E783" s="105"/>
      <c r="F783" s="105"/>
      <c r="G783" s="105"/>
      <c r="H783" s="108"/>
      <c r="I783" s="109"/>
      <c r="J783" s="110"/>
      <c r="K783" s="109"/>
      <c r="L783" s="109"/>
      <c r="M783" s="109"/>
    </row>
    <row r="784">
      <c r="A784" s="103"/>
      <c r="B784" s="104"/>
      <c r="C784" s="105"/>
      <c r="D784" s="106"/>
      <c r="E784" s="105"/>
      <c r="F784" s="105"/>
      <c r="G784" s="105"/>
      <c r="H784" s="108"/>
      <c r="I784" s="109"/>
      <c r="J784" s="110"/>
      <c r="K784" s="109"/>
      <c r="L784" s="109"/>
      <c r="M784" s="109"/>
    </row>
    <row r="785">
      <c r="A785" s="103"/>
      <c r="B785" s="104"/>
      <c r="C785" s="105"/>
      <c r="D785" s="106"/>
      <c r="E785" s="105"/>
      <c r="F785" s="105"/>
      <c r="G785" s="105"/>
      <c r="H785" s="108"/>
      <c r="I785" s="109"/>
      <c r="J785" s="110"/>
      <c r="K785" s="109"/>
      <c r="L785" s="109"/>
      <c r="M785" s="109"/>
    </row>
    <row r="786">
      <c r="A786" s="103"/>
      <c r="B786" s="104"/>
      <c r="C786" s="105"/>
      <c r="D786" s="106"/>
      <c r="E786" s="105"/>
      <c r="F786" s="105"/>
      <c r="G786" s="105"/>
      <c r="H786" s="108"/>
      <c r="I786" s="109"/>
      <c r="J786" s="110"/>
      <c r="K786" s="109"/>
      <c r="L786" s="109"/>
      <c r="M786" s="109"/>
    </row>
    <row r="787">
      <c r="A787" s="103"/>
      <c r="B787" s="104"/>
      <c r="C787" s="105"/>
      <c r="D787" s="106"/>
      <c r="E787" s="105"/>
      <c r="F787" s="105"/>
      <c r="G787" s="105"/>
      <c r="H787" s="108"/>
      <c r="I787" s="109"/>
      <c r="J787" s="110"/>
      <c r="K787" s="109"/>
      <c r="L787" s="109"/>
      <c r="M787" s="109"/>
    </row>
    <row r="788">
      <c r="A788" s="103"/>
      <c r="B788" s="104"/>
      <c r="C788" s="105"/>
      <c r="D788" s="106"/>
      <c r="E788" s="105"/>
      <c r="F788" s="105"/>
      <c r="G788" s="105"/>
      <c r="H788" s="108"/>
      <c r="I788" s="109"/>
      <c r="J788" s="110"/>
      <c r="K788" s="109"/>
      <c r="L788" s="109"/>
      <c r="M788" s="109"/>
    </row>
    <row r="789">
      <c r="A789" s="103"/>
      <c r="B789" s="104"/>
      <c r="C789" s="105"/>
      <c r="D789" s="106"/>
      <c r="E789" s="105"/>
      <c r="F789" s="105"/>
      <c r="G789" s="105"/>
      <c r="H789" s="108"/>
      <c r="I789" s="109"/>
      <c r="J789" s="110"/>
      <c r="K789" s="109"/>
      <c r="L789" s="109"/>
      <c r="M789" s="109"/>
    </row>
    <row r="790">
      <c r="A790" s="103"/>
      <c r="B790" s="104"/>
      <c r="C790" s="105"/>
      <c r="D790" s="106"/>
      <c r="E790" s="105"/>
      <c r="F790" s="105"/>
      <c r="G790" s="105"/>
      <c r="H790" s="108"/>
      <c r="I790" s="109"/>
      <c r="J790" s="110"/>
      <c r="K790" s="109"/>
      <c r="L790" s="109"/>
      <c r="M790" s="109"/>
    </row>
    <row r="791">
      <c r="A791" s="103"/>
      <c r="B791" s="104"/>
      <c r="C791" s="105"/>
      <c r="D791" s="106"/>
      <c r="E791" s="105"/>
      <c r="F791" s="105"/>
      <c r="G791" s="105"/>
      <c r="H791" s="108"/>
      <c r="I791" s="109"/>
      <c r="J791" s="110"/>
      <c r="K791" s="109"/>
      <c r="L791" s="109"/>
      <c r="M791" s="109"/>
    </row>
    <row r="792">
      <c r="A792" s="103"/>
      <c r="B792" s="104"/>
      <c r="C792" s="105"/>
      <c r="D792" s="106"/>
      <c r="E792" s="105"/>
      <c r="F792" s="105"/>
      <c r="G792" s="105"/>
      <c r="H792" s="108"/>
      <c r="I792" s="109"/>
      <c r="J792" s="110"/>
      <c r="K792" s="109"/>
      <c r="L792" s="109"/>
      <c r="M792" s="109"/>
    </row>
    <row r="793">
      <c r="A793" s="103"/>
      <c r="B793" s="104"/>
      <c r="C793" s="105"/>
      <c r="D793" s="106"/>
      <c r="E793" s="105"/>
      <c r="F793" s="105"/>
      <c r="G793" s="105"/>
      <c r="H793" s="108"/>
      <c r="I793" s="109"/>
      <c r="J793" s="110"/>
      <c r="K793" s="109"/>
      <c r="L793" s="109"/>
      <c r="M793" s="109"/>
    </row>
    <row r="794">
      <c r="A794" s="103"/>
      <c r="B794" s="104"/>
      <c r="C794" s="105"/>
      <c r="D794" s="106"/>
      <c r="E794" s="105"/>
      <c r="F794" s="105"/>
      <c r="G794" s="105"/>
      <c r="H794" s="108"/>
      <c r="I794" s="109"/>
      <c r="J794" s="110"/>
      <c r="K794" s="109"/>
      <c r="L794" s="109"/>
      <c r="M794" s="109"/>
    </row>
    <row r="795">
      <c r="A795" s="103"/>
      <c r="B795" s="104"/>
      <c r="C795" s="105"/>
      <c r="D795" s="106"/>
      <c r="E795" s="105"/>
      <c r="F795" s="105"/>
      <c r="G795" s="105"/>
      <c r="H795" s="108"/>
      <c r="I795" s="109"/>
      <c r="J795" s="110"/>
      <c r="K795" s="109"/>
      <c r="L795" s="109"/>
      <c r="M795" s="109"/>
    </row>
    <row r="796">
      <c r="A796" s="103"/>
      <c r="B796" s="104"/>
      <c r="C796" s="105"/>
      <c r="D796" s="106"/>
      <c r="E796" s="105"/>
      <c r="F796" s="105"/>
      <c r="G796" s="105"/>
      <c r="H796" s="108"/>
      <c r="I796" s="109"/>
      <c r="J796" s="110"/>
      <c r="K796" s="109"/>
      <c r="L796" s="109"/>
      <c r="M796" s="109"/>
    </row>
    <row r="797">
      <c r="A797" s="103"/>
      <c r="B797" s="104"/>
      <c r="C797" s="105"/>
      <c r="D797" s="106"/>
      <c r="E797" s="105"/>
      <c r="F797" s="105"/>
      <c r="G797" s="105"/>
      <c r="H797" s="108"/>
      <c r="I797" s="109"/>
      <c r="J797" s="110"/>
      <c r="K797" s="109"/>
      <c r="L797" s="109"/>
      <c r="M797" s="109"/>
    </row>
    <row r="798">
      <c r="A798" s="103"/>
      <c r="B798" s="104"/>
      <c r="C798" s="105"/>
      <c r="D798" s="106"/>
      <c r="E798" s="105"/>
      <c r="F798" s="105"/>
      <c r="G798" s="105"/>
      <c r="H798" s="108"/>
      <c r="I798" s="109"/>
      <c r="J798" s="110"/>
      <c r="K798" s="109"/>
      <c r="L798" s="109"/>
      <c r="M798" s="109"/>
    </row>
    <row r="799">
      <c r="A799" s="103"/>
      <c r="B799" s="104"/>
      <c r="C799" s="105"/>
      <c r="D799" s="106"/>
      <c r="E799" s="105"/>
      <c r="F799" s="105"/>
      <c r="G799" s="105"/>
      <c r="H799" s="108"/>
      <c r="I799" s="109"/>
      <c r="J799" s="110"/>
      <c r="K799" s="109"/>
      <c r="L799" s="109"/>
      <c r="M799" s="109"/>
    </row>
    <row r="800">
      <c r="A800" s="103"/>
      <c r="B800" s="104"/>
      <c r="C800" s="105"/>
      <c r="D800" s="106"/>
      <c r="E800" s="105"/>
      <c r="F800" s="105"/>
      <c r="G800" s="105"/>
      <c r="H800" s="108"/>
      <c r="I800" s="109"/>
      <c r="J800" s="110"/>
      <c r="K800" s="109"/>
      <c r="L800" s="109"/>
      <c r="M800" s="109"/>
    </row>
    <row r="801">
      <c r="A801" s="103"/>
      <c r="B801" s="104"/>
      <c r="C801" s="105"/>
      <c r="D801" s="106"/>
      <c r="E801" s="105"/>
      <c r="F801" s="105"/>
      <c r="G801" s="105"/>
      <c r="H801" s="108"/>
      <c r="I801" s="109"/>
      <c r="J801" s="110"/>
      <c r="K801" s="109"/>
      <c r="L801" s="109"/>
      <c r="M801" s="109"/>
    </row>
    <row r="802">
      <c r="A802" s="103"/>
      <c r="B802" s="104"/>
      <c r="C802" s="105"/>
      <c r="D802" s="106"/>
      <c r="E802" s="105"/>
      <c r="F802" s="105"/>
      <c r="G802" s="105"/>
      <c r="H802" s="108"/>
      <c r="I802" s="109"/>
      <c r="J802" s="110"/>
      <c r="K802" s="109"/>
      <c r="L802" s="109"/>
      <c r="M802" s="109"/>
    </row>
    <row r="803">
      <c r="A803" s="103"/>
      <c r="B803" s="104"/>
      <c r="C803" s="105"/>
      <c r="D803" s="106"/>
      <c r="E803" s="105"/>
      <c r="F803" s="105"/>
      <c r="G803" s="105"/>
      <c r="H803" s="108"/>
      <c r="I803" s="109"/>
      <c r="J803" s="110"/>
      <c r="K803" s="109"/>
      <c r="L803" s="109"/>
      <c r="M803" s="109"/>
    </row>
    <row r="804">
      <c r="A804" s="103"/>
      <c r="B804" s="104"/>
      <c r="C804" s="105"/>
      <c r="D804" s="106"/>
      <c r="E804" s="105"/>
      <c r="F804" s="105"/>
      <c r="G804" s="105"/>
      <c r="H804" s="108"/>
      <c r="I804" s="109"/>
      <c r="J804" s="110"/>
      <c r="K804" s="109"/>
      <c r="L804" s="109"/>
      <c r="M804" s="109"/>
    </row>
    <row r="805">
      <c r="A805" s="103"/>
      <c r="B805" s="104"/>
      <c r="C805" s="105"/>
      <c r="D805" s="106"/>
      <c r="E805" s="105"/>
      <c r="F805" s="105"/>
      <c r="G805" s="105"/>
      <c r="H805" s="108"/>
      <c r="I805" s="109"/>
      <c r="J805" s="110"/>
      <c r="K805" s="109"/>
      <c r="L805" s="109"/>
      <c r="M805" s="109"/>
    </row>
    <row r="806">
      <c r="A806" s="103"/>
      <c r="B806" s="104"/>
      <c r="C806" s="105"/>
      <c r="D806" s="106"/>
      <c r="E806" s="105"/>
      <c r="F806" s="105"/>
      <c r="G806" s="105"/>
      <c r="H806" s="108"/>
      <c r="I806" s="109"/>
      <c r="J806" s="110"/>
      <c r="K806" s="109"/>
      <c r="L806" s="109"/>
      <c r="M806" s="109"/>
    </row>
    <row r="807">
      <c r="A807" s="103"/>
      <c r="B807" s="104"/>
      <c r="C807" s="105"/>
      <c r="D807" s="106"/>
      <c r="E807" s="105"/>
      <c r="F807" s="105"/>
      <c r="G807" s="105"/>
      <c r="H807" s="108"/>
      <c r="I807" s="109"/>
      <c r="J807" s="110"/>
      <c r="K807" s="109"/>
      <c r="L807" s="109"/>
      <c r="M807" s="109"/>
    </row>
    <row r="808">
      <c r="A808" s="103"/>
      <c r="B808" s="104"/>
      <c r="C808" s="105"/>
      <c r="D808" s="106"/>
      <c r="E808" s="105"/>
      <c r="F808" s="105"/>
      <c r="G808" s="105"/>
      <c r="H808" s="108"/>
      <c r="I808" s="109"/>
      <c r="J808" s="110"/>
      <c r="K808" s="109"/>
      <c r="L808" s="109"/>
      <c r="M808" s="109"/>
    </row>
    <row r="809">
      <c r="A809" s="103"/>
      <c r="B809" s="104"/>
      <c r="C809" s="105"/>
      <c r="D809" s="106"/>
      <c r="E809" s="105"/>
      <c r="F809" s="105"/>
      <c r="G809" s="105"/>
      <c r="H809" s="108"/>
      <c r="I809" s="109"/>
      <c r="J809" s="110"/>
      <c r="K809" s="109"/>
      <c r="L809" s="109"/>
      <c r="M809" s="109"/>
    </row>
    <row r="810">
      <c r="A810" s="103"/>
      <c r="B810" s="104"/>
      <c r="C810" s="105"/>
      <c r="D810" s="106"/>
      <c r="E810" s="105"/>
      <c r="F810" s="105"/>
      <c r="G810" s="105"/>
      <c r="H810" s="108"/>
      <c r="I810" s="109"/>
      <c r="J810" s="110"/>
      <c r="K810" s="109"/>
      <c r="L810" s="109"/>
      <c r="M810" s="109"/>
    </row>
    <row r="811">
      <c r="A811" s="103"/>
      <c r="B811" s="104"/>
      <c r="C811" s="105"/>
      <c r="D811" s="106"/>
      <c r="E811" s="105"/>
      <c r="F811" s="105"/>
      <c r="G811" s="105"/>
      <c r="H811" s="108"/>
      <c r="I811" s="109"/>
      <c r="J811" s="110"/>
      <c r="K811" s="109"/>
      <c r="L811" s="109"/>
      <c r="M811" s="109"/>
    </row>
    <row r="812">
      <c r="A812" s="103"/>
      <c r="B812" s="104"/>
      <c r="C812" s="105"/>
      <c r="D812" s="106"/>
      <c r="E812" s="105"/>
      <c r="F812" s="105"/>
      <c r="G812" s="105"/>
      <c r="H812" s="108"/>
      <c r="I812" s="109"/>
      <c r="J812" s="110"/>
      <c r="K812" s="109"/>
      <c r="L812" s="109"/>
      <c r="M812" s="109"/>
    </row>
    <row r="813">
      <c r="A813" s="103"/>
      <c r="B813" s="104"/>
      <c r="C813" s="105"/>
      <c r="D813" s="106"/>
      <c r="E813" s="105"/>
      <c r="F813" s="105"/>
      <c r="G813" s="105"/>
      <c r="H813" s="108"/>
      <c r="I813" s="109"/>
      <c r="J813" s="110"/>
      <c r="K813" s="109"/>
      <c r="L813" s="109"/>
      <c r="M813" s="109"/>
    </row>
    <row r="814">
      <c r="A814" s="103"/>
      <c r="B814" s="104"/>
      <c r="C814" s="105"/>
      <c r="D814" s="106"/>
      <c r="E814" s="105"/>
      <c r="F814" s="105"/>
      <c r="G814" s="105"/>
      <c r="H814" s="108"/>
      <c r="I814" s="109"/>
      <c r="J814" s="110"/>
      <c r="K814" s="109"/>
      <c r="L814" s="109"/>
      <c r="M814" s="109"/>
    </row>
    <row r="815">
      <c r="A815" s="103"/>
      <c r="B815" s="104"/>
      <c r="C815" s="105"/>
      <c r="D815" s="106"/>
      <c r="E815" s="105"/>
      <c r="F815" s="105"/>
      <c r="G815" s="105"/>
      <c r="H815" s="108"/>
      <c r="I815" s="109"/>
      <c r="J815" s="110"/>
      <c r="K815" s="109"/>
      <c r="L815" s="109"/>
      <c r="M815" s="109"/>
    </row>
    <row r="816">
      <c r="A816" s="103"/>
      <c r="B816" s="104"/>
      <c r="C816" s="105"/>
      <c r="D816" s="106"/>
      <c r="E816" s="105"/>
      <c r="F816" s="105"/>
      <c r="G816" s="105"/>
      <c r="H816" s="108"/>
      <c r="I816" s="109"/>
      <c r="J816" s="110"/>
      <c r="K816" s="109"/>
      <c r="L816" s="109"/>
      <c r="M816" s="109"/>
    </row>
    <row r="817">
      <c r="A817" s="103"/>
      <c r="B817" s="104"/>
      <c r="C817" s="105"/>
      <c r="D817" s="106"/>
      <c r="E817" s="105"/>
      <c r="F817" s="105"/>
      <c r="G817" s="105"/>
      <c r="H817" s="108"/>
      <c r="I817" s="109"/>
      <c r="J817" s="110"/>
      <c r="K817" s="109"/>
      <c r="L817" s="109"/>
      <c r="M817" s="109"/>
    </row>
    <row r="818">
      <c r="A818" s="103"/>
      <c r="B818" s="104"/>
      <c r="C818" s="105"/>
      <c r="D818" s="106"/>
      <c r="E818" s="105"/>
      <c r="F818" s="105"/>
      <c r="G818" s="105"/>
      <c r="H818" s="108"/>
      <c r="I818" s="109"/>
      <c r="J818" s="110"/>
      <c r="K818" s="109"/>
      <c r="L818" s="109"/>
      <c r="M818" s="109"/>
    </row>
    <row r="819">
      <c r="A819" s="103"/>
      <c r="B819" s="104"/>
      <c r="C819" s="105"/>
      <c r="D819" s="106"/>
      <c r="E819" s="105"/>
      <c r="F819" s="105"/>
      <c r="G819" s="105"/>
      <c r="H819" s="108"/>
      <c r="I819" s="109"/>
      <c r="J819" s="110"/>
      <c r="K819" s="109"/>
      <c r="L819" s="109"/>
      <c r="M819" s="109"/>
    </row>
    <row r="820">
      <c r="A820" s="103"/>
      <c r="B820" s="104"/>
      <c r="C820" s="105"/>
      <c r="D820" s="106"/>
      <c r="E820" s="105"/>
      <c r="F820" s="105"/>
      <c r="G820" s="105"/>
      <c r="H820" s="108"/>
      <c r="I820" s="109"/>
      <c r="J820" s="110"/>
      <c r="K820" s="109"/>
      <c r="L820" s="109"/>
      <c r="M820" s="109"/>
    </row>
    <row r="821">
      <c r="A821" s="103"/>
      <c r="B821" s="104"/>
      <c r="C821" s="105"/>
      <c r="D821" s="106"/>
      <c r="E821" s="105"/>
      <c r="F821" s="105"/>
      <c r="G821" s="105"/>
      <c r="H821" s="108"/>
      <c r="I821" s="109"/>
      <c r="J821" s="110"/>
      <c r="K821" s="109"/>
      <c r="L821" s="109"/>
      <c r="M821" s="109"/>
    </row>
    <row r="822">
      <c r="A822" s="103"/>
      <c r="B822" s="104"/>
      <c r="C822" s="105"/>
      <c r="D822" s="106"/>
      <c r="E822" s="105"/>
      <c r="F822" s="105"/>
      <c r="G822" s="105"/>
      <c r="H822" s="108"/>
      <c r="I822" s="109"/>
      <c r="J822" s="110"/>
      <c r="K822" s="109"/>
      <c r="L822" s="109"/>
      <c r="M822" s="109"/>
    </row>
    <row r="823">
      <c r="A823" s="103"/>
      <c r="B823" s="104"/>
      <c r="C823" s="105"/>
      <c r="D823" s="106"/>
      <c r="E823" s="105"/>
      <c r="F823" s="105"/>
      <c r="G823" s="105"/>
      <c r="H823" s="108"/>
      <c r="I823" s="109"/>
      <c r="J823" s="110"/>
      <c r="K823" s="109"/>
      <c r="L823" s="109"/>
      <c r="M823" s="109"/>
    </row>
    <row r="824">
      <c r="A824" s="103"/>
      <c r="B824" s="104"/>
      <c r="C824" s="105"/>
      <c r="D824" s="106"/>
      <c r="E824" s="105"/>
      <c r="F824" s="105"/>
      <c r="G824" s="105"/>
      <c r="H824" s="108"/>
      <c r="I824" s="109"/>
      <c r="J824" s="110"/>
      <c r="K824" s="109"/>
      <c r="L824" s="109"/>
      <c r="M824" s="109"/>
    </row>
    <row r="825">
      <c r="A825" s="103"/>
      <c r="B825" s="104"/>
      <c r="C825" s="105"/>
      <c r="D825" s="106"/>
      <c r="E825" s="105"/>
      <c r="F825" s="105"/>
      <c r="G825" s="105"/>
      <c r="H825" s="108"/>
      <c r="I825" s="109"/>
      <c r="J825" s="110"/>
      <c r="K825" s="109"/>
      <c r="L825" s="109"/>
      <c r="M825" s="109"/>
    </row>
    <row r="826">
      <c r="A826" s="103"/>
      <c r="B826" s="104"/>
      <c r="C826" s="105"/>
      <c r="D826" s="106"/>
      <c r="E826" s="105"/>
      <c r="F826" s="105"/>
      <c r="G826" s="105"/>
      <c r="H826" s="108"/>
      <c r="I826" s="109"/>
      <c r="J826" s="110"/>
      <c r="K826" s="109"/>
      <c r="L826" s="109"/>
      <c r="M826" s="109"/>
    </row>
    <row r="827">
      <c r="A827" s="103"/>
      <c r="B827" s="104"/>
      <c r="C827" s="105"/>
      <c r="D827" s="106"/>
      <c r="E827" s="105"/>
      <c r="F827" s="105"/>
      <c r="G827" s="105"/>
      <c r="H827" s="108"/>
      <c r="I827" s="109"/>
      <c r="J827" s="110"/>
      <c r="K827" s="109"/>
      <c r="L827" s="109"/>
      <c r="M827" s="109"/>
    </row>
    <row r="828">
      <c r="A828" s="103"/>
      <c r="B828" s="104"/>
      <c r="C828" s="105"/>
      <c r="D828" s="106"/>
      <c r="E828" s="105"/>
      <c r="F828" s="105"/>
      <c r="G828" s="105"/>
      <c r="H828" s="108"/>
      <c r="I828" s="109"/>
      <c r="J828" s="110"/>
      <c r="K828" s="109"/>
      <c r="L828" s="109"/>
      <c r="M828" s="109"/>
    </row>
    <row r="829">
      <c r="A829" s="103"/>
      <c r="B829" s="104"/>
      <c r="C829" s="105"/>
      <c r="D829" s="106"/>
      <c r="E829" s="105"/>
      <c r="F829" s="105"/>
      <c r="G829" s="105"/>
      <c r="H829" s="108"/>
      <c r="I829" s="109"/>
      <c r="J829" s="110"/>
      <c r="K829" s="109"/>
      <c r="L829" s="109"/>
      <c r="M829" s="109"/>
    </row>
    <row r="830">
      <c r="A830" s="103"/>
      <c r="B830" s="104"/>
      <c r="C830" s="105"/>
      <c r="D830" s="106"/>
      <c r="E830" s="105"/>
      <c r="F830" s="105"/>
      <c r="G830" s="105"/>
      <c r="H830" s="108"/>
      <c r="I830" s="109"/>
      <c r="J830" s="110"/>
      <c r="K830" s="109"/>
      <c r="L830" s="109"/>
      <c r="M830" s="109"/>
    </row>
    <row r="831">
      <c r="A831" s="103"/>
      <c r="B831" s="104"/>
      <c r="C831" s="105"/>
      <c r="D831" s="106"/>
      <c r="E831" s="105"/>
      <c r="F831" s="105"/>
      <c r="G831" s="105"/>
      <c r="H831" s="108"/>
      <c r="I831" s="109"/>
      <c r="J831" s="110"/>
      <c r="K831" s="109"/>
      <c r="L831" s="109"/>
      <c r="M831" s="109"/>
    </row>
    <row r="832">
      <c r="A832" s="103"/>
      <c r="B832" s="104"/>
      <c r="C832" s="105"/>
      <c r="D832" s="106"/>
      <c r="E832" s="105"/>
      <c r="F832" s="105"/>
      <c r="G832" s="105"/>
      <c r="H832" s="108"/>
      <c r="I832" s="109"/>
      <c r="J832" s="110"/>
      <c r="K832" s="109"/>
      <c r="L832" s="109"/>
      <c r="M832" s="109"/>
    </row>
    <row r="833">
      <c r="A833" s="103"/>
      <c r="B833" s="104"/>
      <c r="C833" s="105"/>
      <c r="D833" s="106"/>
      <c r="E833" s="105"/>
      <c r="F833" s="105"/>
      <c r="G833" s="105"/>
      <c r="H833" s="108"/>
      <c r="I833" s="109"/>
      <c r="J833" s="110"/>
      <c r="K833" s="109"/>
      <c r="L833" s="109"/>
      <c r="M833" s="109"/>
    </row>
    <row r="834">
      <c r="A834" s="103"/>
      <c r="B834" s="104"/>
      <c r="C834" s="105"/>
      <c r="D834" s="106"/>
      <c r="E834" s="105"/>
      <c r="F834" s="105"/>
      <c r="G834" s="105"/>
      <c r="H834" s="108"/>
      <c r="I834" s="109"/>
      <c r="J834" s="110"/>
      <c r="K834" s="109"/>
      <c r="L834" s="109"/>
      <c r="M834" s="109"/>
    </row>
    <row r="835">
      <c r="A835" s="103"/>
      <c r="B835" s="104"/>
      <c r="C835" s="105"/>
      <c r="D835" s="106"/>
      <c r="E835" s="105"/>
      <c r="F835" s="105"/>
      <c r="G835" s="105"/>
      <c r="H835" s="108"/>
      <c r="I835" s="109"/>
      <c r="J835" s="110"/>
      <c r="K835" s="109"/>
      <c r="L835" s="109"/>
      <c r="M835" s="109"/>
    </row>
    <row r="836">
      <c r="A836" s="103"/>
      <c r="B836" s="104"/>
      <c r="C836" s="105"/>
      <c r="D836" s="106"/>
      <c r="E836" s="105"/>
      <c r="F836" s="105"/>
      <c r="G836" s="105"/>
      <c r="H836" s="108"/>
      <c r="I836" s="109"/>
      <c r="J836" s="110"/>
      <c r="K836" s="109"/>
      <c r="L836" s="109"/>
      <c r="M836" s="109"/>
    </row>
    <row r="837">
      <c r="A837" s="103"/>
      <c r="B837" s="104"/>
      <c r="C837" s="105"/>
      <c r="D837" s="106"/>
      <c r="E837" s="105"/>
      <c r="F837" s="105"/>
      <c r="G837" s="105"/>
      <c r="H837" s="108"/>
      <c r="I837" s="109"/>
      <c r="J837" s="110"/>
      <c r="K837" s="109"/>
      <c r="L837" s="109"/>
      <c r="M837" s="109"/>
    </row>
    <row r="838">
      <c r="A838" s="103"/>
      <c r="B838" s="104"/>
      <c r="C838" s="105"/>
      <c r="D838" s="106"/>
      <c r="E838" s="105"/>
      <c r="F838" s="105"/>
      <c r="G838" s="105"/>
      <c r="H838" s="108"/>
      <c r="I838" s="109"/>
      <c r="J838" s="110"/>
      <c r="K838" s="109"/>
      <c r="L838" s="109"/>
      <c r="M838" s="109"/>
    </row>
    <row r="839">
      <c r="A839" s="103"/>
      <c r="B839" s="104"/>
      <c r="C839" s="105"/>
      <c r="D839" s="106"/>
      <c r="E839" s="105"/>
      <c r="F839" s="105"/>
      <c r="G839" s="105"/>
      <c r="H839" s="108"/>
      <c r="I839" s="109"/>
      <c r="J839" s="110"/>
      <c r="K839" s="109"/>
      <c r="L839" s="109"/>
      <c r="M839" s="109"/>
    </row>
    <row r="840">
      <c r="A840" s="103"/>
      <c r="B840" s="104"/>
      <c r="C840" s="105"/>
      <c r="D840" s="106"/>
      <c r="E840" s="105"/>
      <c r="F840" s="105"/>
      <c r="G840" s="105"/>
      <c r="H840" s="108"/>
      <c r="I840" s="109"/>
      <c r="J840" s="110"/>
      <c r="K840" s="109"/>
      <c r="L840" s="109"/>
      <c r="M840" s="109"/>
    </row>
    <row r="841">
      <c r="A841" s="103"/>
      <c r="B841" s="104"/>
      <c r="C841" s="105"/>
      <c r="D841" s="106"/>
      <c r="E841" s="105"/>
      <c r="F841" s="105"/>
      <c r="G841" s="105"/>
      <c r="H841" s="108"/>
      <c r="I841" s="109"/>
      <c r="J841" s="110"/>
      <c r="K841" s="109"/>
      <c r="L841" s="109"/>
      <c r="M841" s="109"/>
    </row>
    <row r="842">
      <c r="A842" s="103"/>
      <c r="B842" s="104"/>
      <c r="C842" s="105"/>
      <c r="D842" s="106"/>
      <c r="E842" s="105"/>
      <c r="F842" s="105"/>
      <c r="G842" s="105"/>
      <c r="H842" s="108"/>
      <c r="I842" s="109"/>
      <c r="J842" s="110"/>
      <c r="K842" s="109"/>
      <c r="L842" s="109"/>
      <c r="M842" s="109"/>
    </row>
    <row r="843">
      <c r="A843" s="103"/>
      <c r="B843" s="104"/>
      <c r="C843" s="105"/>
      <c r="D843" s="106"/>
      <c r="E843" s="105"/>
      <c r="F843" s="105"/>
      <c r="G843" s="105"/>
      <c r="H843" s="108"/>
      <c r="I843" s="109"/>
      <c r="J843" s="110"/>
      <c r="K843" s="109"/>
      <c r="L843" s="109"/>
      <c r="M843" s="109"/>
    </row>
    <row r="844">
      <c r="A844" s="103"/>
      <c r="B844" s="104"/>
      <c r="C844" s="105"/>
      <c r="D844" s="106"/>
      <c r="E844" s="105"/>
      <c r="F844" s="105"/>
      <c r="G844" s="105"/>
      <c r="H844" s="108"/>
      <c r="I844" s="109"/>
      <c r="J844" s="110"/>
      <c r="K844" s="109"/>
      <c r="L844" s="109"/>
      <c r="M844" s="109"/>
    </row>
    <row r="845">
      <c r="A845" s="103"/>
      <c r="B845" s="104"/>
      <c r="C845" s="105"/>
      <c r="D845" s="106"/>
      <c r="E845" s="105"/>
      <c r="F845" s="105"/>
      <c r="G845" s="105"/>
      <c r="H845" s="108"/>
      <c r="I845" s="109"/>
      <c r="J845" s="110"/>
      <c r="K845" s="109"/>
      <c r="L845" s="109"/>
      <c r="M845" s="109"/>
    </row>
    <row r="846">
      <c r="A846" s="103"/>
      <c r="B846" s="104"/>
      <c r="C846" s="105"/>
      <c r="D846" s="106"/>
      <c r="E846" s="105"/>
      <c r="F846" s="105"/>
      <c r="G846" s="105"/>
      <c r="H846" s="108"/>
      <c r="I846" s="109"/>
      <c r="J846" s="110"/>
      <c r="K846" s="109"/>
      <c r="L846" s="109"/>
      <c r="M846" s="109"/>
    </row>
    <row r="847">
      <c r="A847" s="103"/>
      <c r="B847" s="104"/>
      <c r="C847" s="105"/>
      <c r="D847" s="106"/>
      <c r="E847" s="105"/>
      <c r="F847" s="105"/>
      <c r="G847" s="105"/>
      <c r="H847" s="108"/>
      <c r="I847" s="109"/>
      <c r="J847" s="110"/>
      <c r="K847" s="109"/>
      <c r="L847" s="109"/>
      <c r="M847" s="109"/>
    </row>
    <row r="848">
      <c r="A848" s="103"/>
      <c r="B848" s="104"/>
      <c r="C848" s="105"/>
      <c r="D848" s="106"/>
      <c r="E848" s="105"/>
      <c r="F848" s="105"/>
      <c r="G848" s="105"/>
      <c r="H848" s="108"/>
      <c r="I848" s="109"/>
      <c r="J848" s="110"/>
      <c r="K848" s="109"/>
      <c r="L848" s="109"/>
      <c r="M848" s="109"/>
    </row>
    <row r="849">
      <c r="A849" s="103"/>
      <c r="B849" s="104"/>
      <c r="C849" s="105"/>
      <c r="D849" s="106"/>
      <c r="E849" s="105"/>
      <c r="F849" s="105"/>
      <c r="G849" s="105"/>
      <c r="H849" s="108"/>
      <c r="I849" s="109"/>
      <c r="J849" s="110"/>
      <c r="K849" s="109"/>
      <c r="L849" s="109"/>
      <c r="M849" s="109"/>
    </row>
    <row r="850">
      <c r="A850" s="103"/>
      <c r="B850" s="104"/>
      <c r="C850" s="105"/>
      <c r="D850" s="106"/>
      <c r="E850" s="105"/>
      <c r="F850" s="105"/>
      <c r="G850" s="105"/>
      <c r="H850" s="108"/>
      <c r="I850" s="109"/>
      <c r="J850" s="110"/>
      <c r="K850" s="109"/>
      <c r="L850" s="109"/>
      <c r="M850" s="109"/>
    </row>
    <row r="851">
      <c r="A851" s="103"/>
      <c r="B851" s="104"/>
      <c r="C851" s="105"/>
      <c r="D851" s="106"/>
      <c r="E851" s="105"/>
      <c r="F851" s="105"/>
      <c r="G851" s="105"/>
      <c r="H851" s="108"/>
      <c r="I851" s="109"/>
      <c r="J851" s="110"/>
      <c r="K851" s="109"/>
      <c r="L851" s="109"/>
      <c r="M851" s="109"/>
    </row>
    <row r="852">
      <c r="A852" s="103"/>
      <c r="B852" s="104"/>
      <c r="C852" s="105"/>
      <c r="D852" s="106"/>
      <c r="E852" s="105"/>
      <c r="F852" s="105"/>
      <c r="G852" s="105"/>
      <c r="H852" s="108"/>
      <c r="I852" s="109"/>
      <c r="J852" s="110"/>
      <c r="K852" s="109"/>
      <c r="L852" s="109"/>
      <c r="M852" s="109"/>
    </row>
    <row r="853">
      <c r="A853" s="103"/>
      <c r="B853" s="104"/>
      <c r="C853" s="105"/>
      <c r="D853" s="106"/>
      <c r="E853" s="105"/>
      <c r="F853" s="105"/>
      <c r="G853" s="105"/>
      <c r="H853" s="108"/>
      <c r="I853" s="109"/>
      <c r="J853" s="110"/>
      <c r="K853" s="109"/>
      <c r="L853" s="109"/>
      <c r="M853" s="109"/>
    </row>
    <row r="854">
      <c r="A854" s="103"/>
      <c r="B854" s="104"/>
      <c r="C854" s="105"/>
      <c r="D854" s="106"/>
      <c r="E854" s="105"/>
      <c r="F854" s="105"/>
      <c r="G854" s="105"/>
      <c r="H854" s="108"/>
      <c r="I854" s="109"/>
      <c r="J854" s="110"/>
      <c r="K854" s="109"/>
      <c r="L854" s="109"/>
      <c r="M854" s="109"/>
    </row>
    <row r="855">
      <c r="A855" s="103"/>
      <c r="B855" s="104"/>
      <c r="C855" s="105"/>
      <c r="D855" s="106"/>
      <c r="E855" s="105"/>
      <c r="F855" s="105"/>
      <c r="G855" s="105"/>
      <c r="H855" s="108"/>
      <c r="I855" s="109"/>
      <c r="J855" s="110"/>
      <c r="K855" s="109"/>
      <c r="L855" s="109"/>
      <c r="M855" s="109"/>
    </row>
    <row r="856">
      <c r="A856" s="103"/>
      <c r="B856" s="104"/>
      <c r="C856" s="105"/>
      <c r="D856" s="106"/>
      <c r="E856" s="105"/>
      <c r="F856" s="105"/>
      <c r="G856" s="105"/>
      <c r="H856" s="108"/>
      <c r="I856" s="109"/>
      <c r="J856" s="110"/>
      <c r="K856" s="109"/>
      <c r="L856" s="109"/>
      <c r="M856" s="109"/>
    </row>
    <row r="857">
      <c r="A857" s="103"/>
      <c r="B857" s="104"/>
      <c r="C857" s="105"/>
      <c r="D857" s="106"/>
      <c r="E857" s="105"/>
      <c r="F857" s="105"/>
      <c r="G857" s="105"/>
      <c r="H857" s="108"/>
      <c r="I857" s="109"/>
      <c r="J857" s="110"/>
      <c r="K857" s="109"/>
      <c r="L857" s="109"/>
      <c r="M857" s="109"/>
    </row>
    <row r="858">
      <c r="A858" s="103"/>
      <c r="B858" s="104"/>
      <c r="C858" s="105"/>
      <c r="D858" s="106"/>
      <c r="E858" s="105"/>
      <c r="F858" s="105"/>
      <c r="G858" s="105"/>
      <c r="H858" s="108"/>
      <c r="I858" s="109"/>
      <c r="J858" s="110"/>
      <c r="K858" s="109"/>
      <c r="L858" s="109"/>
      <c r="M858" s="109"/>
    </row>
    <row r="859">
      <c r="A859" s="103"/>
      <c r="B859" s="104"/>
      <c r="C859" s="105"/>
      <c r="D859" s="106"/>
      <c r="E859" s="105"/>
      <c r="F859" s="105"/>
      <c r="G859" s="105"/>
      <c r="H859" s="108"/>
      <c r="I859" s="109"/>
      <c r="J859" s="110"/>
      <c r="K859" s="109"/>
      <c r="L859" s="109"/>
      <c r="M859" s="109"/>
    </row>
    <row r="860">
      <c r="A860" s="103"/>
      <c r="B860" s="104"/>
      <c r="C860" s="105"/>
      <c r="D860" s="106"/>
      <c r="E860" s="105"/>
      <c r="F860" s="105"/>
      <c r="G860" s="105"/>
      <c r="H860" s="108"/>
      <c r="I860" s="109"/>
      <c r="J860" s="110"/>
      <c r="K860" s="109"/>
      <c r="L860" s="109"/>
      <c r="M860" s="109"/>
    </row>
    <row r="861">
      <c r="A861" s="103"/>
      <c r="B861" s="104"/>
      <c r="C861" s="105"/>
      <c r="D861" s="106"/>
      <c r="E861" s="105"/>
      <c r="F861" s="105"/>
      <c r="G861" s="105"/>
      <c r="H861" s="108"/>
      <c r="I861" s="109"/>
      <c r="J861" s="110"/>
      <c r="K861" s="109"/>
      <c r="L861" s="109"/>
      <c r="M861" s="109"/>
    </row>
    <row r="862">
      <c r="A862" s="103"/>
      <c r="B862" s="104"/>
      <c r="C862" s="105"/>
      <c r="D862" s="106"/>
      <c r="E862" s="105"/>
      <c r="F862" s="105"/>
      <c r="G862" s="105"/>
      <c r="H862" s="108"/>
      <c r="I862" s="109"/>
      <c r="J862" s="110"/>
      <c r="K862" s="109"/>
      <c r="L862" s="109"/>
      <c r="M862" s="109"/>
    </row>
    <row r="863">
      <c r="A863" s="103"/>
      <c r="B863" s="104"/>
      <c r="C863" s="105"/>
      <c r="D863" s="106"/>
      <c r="E863" s="105"/>
      <c r="F863" s="105"/>
      <c r="G863" s="105"/>
      <c r="H863" s="108"/>
      <c r="I863" s="109"/>
      <c r="J863" s="110"/>
      <c r="K863" s="109"/>
      <c r="L863" s="109"/>
      <c r="M863" s="109"/>
    </row>
    <row r="864">
      <c r="A864" s="103"/>
      <c r="B864" s="104"/>
      <c r="C864" s="105"/>
      <c r="D864" s="106"/>
      <c r="E864" s="105"/>
      <c r="F864" s="105"/>
      <c r="G864" s="105"/>
      <c r="H864" s="108"/>
      <c r="I864" s="109"/>
      <c r="J864" s="110"/>
      <c r="K864" s="109"/>
      <c r="L864" s="109"/>
      <c r="M864" s="109"/>
    </row>
    <row r="865">
      <c r="A865" s="103"/>
      <c r="B865" s="104"/>
      <c r="C865" s="105"/>
      <c r="D865" s="106"/>
      <c r="E865" s="105"/>
      <c r="F865" s="105"/>
      <c r="G865" s="105"/>
      <c r="H865" s="108"/>
      <c r="I865" s="109"/>
      <c r="J865" s="110"/>
      <c r="K865" s="109"/>
      <c r="L865" s="109"/>
      <c r="M865" s="109"/>
    </row>
    <row r="866">
      <c r="A866" s="103"/>
      <c r="B866" s="104"/>
      <c r="C866" s="105"/>
      <c r="D866" s="106"/>
      <c r="E866" s="105"/>
      <c r="F866" s="105"/>
      <c r="G866" s="105"/>
      <c r="H866" s="108"/>
      <c r="I866" s="109"/>
      <c r="J866" s="110"/>
      <c r="K866" s="109"/>
      <c r="L866" s="109"/>
      <c r="M866" s="109"/>
    </row>
    <row r="867">
      <c r="A867" s="103"/>
      <c r="B867" s="104"/>
      <c r="C867" s="105"/>
      <c r="D867" s="106"/>
      <c r="E867" s="105"/>
      <c r="F867" s="105"/>
      <c r="G867" s="105"/>
      <c r="H867" s="108"/>
      <c r="I867" s="109"/>
      <c r="J867" s="110"/>
      <c r="K867" s="109"/>
      <c r="L867" s="109"/>
      <c r="M867" s="109"/>
    </row>
    <row r="868">
      <c r="A868" s="103"/>
      <c r="B868" s="104"/>
      <c r="C868" s="105"/>
      <c r="D868" s="106"/>
      <c r="E868" s="105"/>
      <c r="F868" s="105"/>
      <c r="G868" s="105"/>
      <c r="H868" s="108"/>
      <c r="I868" s="109"/>
      <c r="J868" s="110"/>
      <c r="K868" s="109"/>
      <c r="L868" s="109"/>
      <c r="M868" s="109"/>
    </row>
    <row r="869">
      <c r="A869" s="103"/>
      <c r="B869" s="104"/>
      <c r="C869" s="105"/>
      <c r="D869" s="106"/>
      <c r="E869" s="105"/>
      <c r="F869" s="105"/>
      <c r="G869" s="105"/>
      <c r="H869" s="108"/>
      <c r="I869" s="109"/>
      <c r="J869" s="110"/>
      <c r="K869" s="109"/>
      <c r="L869" s="109"/>
      <c r="M869" s="109"/>
    </row>
    <row r="870">
      <c r="A870" s="103"/>
      <c r="B870" s="104"/>
      <c r="C870" s="105"/>
      <c r="D870" s="106"/>
      <c r="E870" s="105"/>
      <c r="F870" s="105"/>
      <c r="G870" s="105"/>
      <c r="H870" s="108"/>
      <c r="I870" s="109"/>
      <c r="J870" s="110"/>
      <c r="K870" s="109"/>
      <c r="L870" s="109"/>
      <c r="M870" s="109"/>
    </row>
    <row r="871">
      <c r="A871" s="103"/>
      <c r="B871" s="104"/>
      <c r="C871" s="105"/>
      <c r="D871" s="106"/>
      <c r="E871" s="105"/>
      <c r="F871" s="105"/>
      <c r="G871" s="105"/>
      <c r="H871" s="108"/>
      <c r="I871" s="109"/>
      <c r="J871" s="110"/>
      <c r="K871" s="109"/>
      <c r="L871" s="109"/>
      <c r="M871" s="109"/>
    </row>
    <row r="872">
      <c r="A872" s="103"/>
      <c r="B872" s="104"/>
      <c r="C872" s="105"/>
      <c r="D872" s="106"/>
      <c r="E872" s="105"/>
      <c r="F872" s="105"/>
      <c r="G872" s="105"/>
      <c r="H872" s="108"/>
      <c r="I872" s="109"/>
      <c r="J872" s="110"/>
      <c r="K872" s="109"/>
      <c r="L872" s="109"/>
      <c r="M872" s="109"/>
    </row>
    <row r="873">
      <c r="A873" s="103"/>
      <c r="B873" s="104"/>
      <c r="C873" s="105"/>
      <c r="D873" s="106"/>
      <c r="E873" s="105"/>
      <c r="F873" s="105"/>
      <c r="G873" s="105"/>
      <c r="H873" s="108"/>
      <c r="I873" s="109"/>
      <c r="J873" s="110"/>
      <c r="K873" s="109"/>
      <c r="L873" s="109"/>
      <c r="M873" s="109"/>
    </row>
    <row r="874">
      <c r="A874" s="103"/>
      <c r="B874" s="104"/>
      <c r="C874" s="105"/>
      <c r="D874" s="106"/>
      <c r="E874" s="105"/>
      <c r="F874" s="105"/>
      <c r="G874" s="105"/>
      <c r="H874" s="108"/>
      <c r="I874" s="109"/>
      <c r="J874" s="110"/>
      <c r="K874" s="109"/>
      <c r="L874" s="109"/>
      <c r="M874" s="109"/>
    </row>
    <row r="875">
      <c r="A875" s="103"/>
      <c r="B875" s="104"/>
      <c r="C875" s="105"/>
      <c r="D875" s="106"/>
      <c r="E875" s="105"/>
      <c r="F875" s="105"/>
      <c r="G875" s="105"/>
      <c r="H875" s="108"/>
      <c r="I875" s="109"/>
      <c r="J875" s="110"/>
      <c r="K875" s="109"/>
      <c r="L875" s="109"/>
      <c r="M875" s="109"/>
    </row>
    <row r="876">
      <c r="A876" s="103"/>
      <c r="B876" s="104"/>
      <c r="C876" s="105"/>
      <c r="D876" s="106"/>
      <c r="E876" s="105"/>
      <c r="F876" s="105"/>
      <c r="G876" s="105"/>
      <c r="H876" s="108"/>
      <c r="I876" s="109"/>
      <c r="J876" s="110"/>
      <c r="K876" s="109"/>
      <c r="L876" s="109"/>
      <c r="M876" s="109"/>
    </row>
    <row r="877">
      <c r="A877" s="103"/>
      <c r="B877" s="104"/>
      <c r="C877" s="105"/>
      <c r="D877" s="106"/>
      <c r="E877" s="105"/>
      <c r="F877" s="105"/>
      <c r="G877" s="105"/>
      <c r="H877" s="108"/>
      <c r="I877" s="109"/>
      <c r="J877" s="110"/>
      <c r="K877" s="109"/>
      <c r="L877" s="109"/>
      <c r="M877" s="109"/>
    </row>
    <row r="878">
      <c r="A878" s="103"/>
      <c r="B878" s="104"/>
      <c r="C878" s="105"/>
      <c r="D878" s="106"/>
      <c r="E878" s="105"/>
      <c r="F878" s="105"/>
      <c r="G878" s="105"/>
      <c r="H878" s="108"/>
      <c r="I878" s="109"/>
      <c r="J878" s="110"/>
      <c r="K878" s="109"/>
      <c r="L878" s="109"/>
      <c r="M878" s="109"/>
    </row>
    <row r="879">
      <c r="A879" s="103"/>
      <c r="B879" s="104"/>
      <c r="C879" s="105"/>
      <c r="D879" s="106"/>
      <c r="E879" s="105"/>
      <c r="F879" s="105"/>
      <c r="G879" s="105"/>
      <c r="H879" s="108"/>
      <c r="I879" s="109"/>
      <c r="J879" s="110"/>
      <c r="K879" s="109"/>
      <c r="L879" s="109"/>
      <c r="M879" s="109"/>
    </row>
    <row r="880">
      <c r="A880" s="103"/>
      <c r="B880" s="104"/>
      <c r="C880" s="105"/>
      <c r="D880" s="106"/>
      <c r="E880" s="105"/>
      <c r="F880" s="105"/>
      <c r="G880" s="105"/>
      <c r="H880" s="108"/>
      <c r="I880" s="109"/>
      <c r="J880" s="110"/>
      <c r="K880" s="109"/>
      <c r="L880" s="109"/>
      <c r="M880" s="109"/>
    </row>
    <row r="881">
      <c r="A881" s="103"/>
      <c r="B881" s="104"/>
      <c r="C881" s="105"/>
      <c r="D881" s="106"/>
      <c r="E881" s="105"/>
      <c r="F881" s="105"/>
      <c r="G881" s="105"/>
      <c r="H881" s="108"/>
      <c r="I881" s="109"/>
      <c r="J881" s="110"/>
      <c r="K881" s="109"/>
      <c r="L881" s="109"/>
      <c r="M881" s="109"/>
    </row>
    <row r="882">
      <c r="A882" s="103"/>
      <c r="B882" s="104"/>
      <c r="C882" s="105"/>
      <c r="D882" s="106"/>
      <c r="E882" s="105"/>
      <c r="F882" s="105"/>
      <c r="G882" s="105"/>
      <c r="H882" s="108"/>
      <c r="I882" s="109"/>
      <c r="J882" s="110"/>
      <c r="K882" s="109"/>
      <c r="L882" s="109"/>
      <c r="M882" s="109"/>
    </row>
    <row r="883">
      <c r="A883" s="103"/>
      <c r="B883" s="104"/>
      <c r="C883" s="105"/>
      <c r="D883" s="106"/>
      <c r="E883" s="105"/>
      <c r="F883" s="105"/>
      <c r="G883" s="105"/>
      <c r="H883" s="108"/>
      <c r="I883" s="109"/>
      <c r="J883" s="110"/>
      <c r="K883" s="109"/>
      <c r="L883" s="109"/>
      <c r="M883" s="109"/>
    </row>
    <row r="884">
      <c r="A884" s="103"/>
      <c r="B884" s="104"/>
      <c r="C884" s="105"/>
      <c r="D884" s="106"/>
      <c r="E884" s="105"/>
      <c r="F884" s="105"/>
      <c r="G884" s="105"/>
      <c r="H884" s="108"/>
      <c r="I884" s="109"/>
      <c r="J884" s="110"/>
      <c r="K884" s="109"/>
      <c r="L884" s="109"/>
      <c r="M884" s="109"/>
    </row>
    <row r="885">
      <c r="A885" s="103"/>
      <c r="B885" s="104"/>
      <c r="C885" s="105"/>
      <c r="D885" s="106"/>
      <c r="E885" s="105"/>
      <c r="F885" s="105"/>
      <c r="G885" s="105"/>
      <c r="H885" s="108"/>
      <c r="I885" s="109"/>
      <c r="J885" s="110"/>
      <c r="K885" s="109"/>
      <c r="L885" s="109"/>
      <c r="M885" s="109"/>
    </row>
    <row r="886">
      <c r="A886" s="103"/>
      <c r="B886" s="104"/>
      <c r="C886" s="105"/>
      <c r="D886" s="106"/>
      <c r="E886" s="105"/>
      <c r="F886" s="105"/>
      <c r="G886" s="105"/>
      <c r="H886" s="108"/>
      <c r="I886" s="109"/>
      <c r="J886" s="110"/>
      <c r="K886" s="109"/>
      <c r="L886" s="109"/>
      <c r="M886" s="109"/>
    </row>
    <row r="887">
      <c r="A887" s="103"/>
      <c r="B887" s="104"/>
      <c r="C887" s="105"/>
      <c r="D887" s="106"/>
      <c r="E887" s="105"/>
      <c r="F887" s="105"/>
      <c r="G887" s="105"/>
      <c r="H887" s="108"/>
      <c r="I887" s="109"/>
      <c r="J887" s="110"/>
      <c r="K887" s="109"/>
      <c r="L887" s="109"/>
      <c r="M887" s="109"/>
    </row>
    <row r="888">
      <c r="A888" s="103"/>
      <c r="B888" s="104"/>
      <c r="C888" s="105"/>
      <c r="D888" s="106"/>
      <c r="E888" s="105"/>
      <c r="F888" s="105"/>
      <c r="G888" s="105"/>
      <c r="H888" s="108"/>
      <c r="I888" s="109"/>
      <c r="J888" s="110"/>
      <c r="K888" s="109"/>
      <c r="L888" s="109"/>
      <c r="M888" s="109"/>
    </row>
    <row r="889">
      <c r="A889" s="103"/>
      <c r="B889" s="104"/>
      <c r="C889" s="105"/>
      <c r="D889" s="106"/>
      <c r="E889" s="105"/>
      <c r="F889" s="105"/>
      <c r="G889" s="105"/>
      <c r="H889" s="108"/>
      <c r="I889" s="109"/>
      <c r="J889" s="110"/>
      <c r="K889" s="109"/>
      <c r="L889" s="109"/>
      <c r="M889" s="109"/>
    </row>
    <row r="890">
      <c r="A890" s="103"/>
      <c r="B890" s="104"/>
      <c r="C890" s="105"/>
      <c r="D890" s="106"/>
      <c r="E890" s="105"/>
      <c r="F890" s="105"/>
      <c r="G890" s="105"/>
      <c r="H890" s="108"/>
      <c r="I890" s="109"/>
      <c r="J890" s="110"/>
      <c r="K890" s="109"/>
      <c r="L890" s="109"/>
      <c r="M890" s="109"/>
    </row>
    <row r="891">
      <c r="A891" s="103"/>
      <c r="B891" s="104"/>
      <c r="C891" s="105"/>
      <c r="D891" s="106"/>
      <c r="E891" s="105"/>
      <c r="F891" s="105"/>
      <c r="G891" s="105"/>
      <c r="H891" s="108"/>
      <c r="I891" s="109"/>
      <c r="J891" s="110"/>
      <c r="K891" s="109"/>
      <c r="L891" s="109"/>
      <c r="M891" s="109"/>
    </row>
    <row r="892">
      <c r="A892" s="103"/>
      <c r="B892" s="104"/>
      <c r="C892" s="105"/>
      <c r="D892" s="106"/>
      <c r="E892" s="105"/>
      <c r="F892" s="105"/>
      <c r="G892" s="105"/>
      <c r="H892" s="108"/>
      <c r="I892" s="109"/>
      <c r="J892" s="110"/>
      <c r="K892" s="109"/>
      <c r="L892" s="109"/>
      <c r="M892" s="109"/>
    </row>
    <row r="893">
      <c r="A893" s="103"/>
      <c r="B893" s="104"/>
      <c r="C893" s="105"/>
      <c r="D893" s="106"/>
      <c r="E893" s="105"/>
      <c r="F893" s="105"/>
      <c r="G893" s="105"/>
      <c r="H893" s="108"/>
      <c r="I893" s="109"/>
      <c r="J893" s="110"/>
      <c r="K893" s="109"/>
      <c r="L893" s="109"/>
      <c r="M893" s="109"/>
    </row>
    <row r="894">
      <c r="A894" s="103"/>
      <c r="B894" s="104"/>
      <c r="C894" s="105"/>
      <c r="D894" s="106"/>
      <c r="E894" s="105"/>
      <c r="F894" s="105"/>
      <c r="G894" s="105"/>
      <c r="H894" s="108"/>
      <c r="I894" s="109"/>
      <c r="J894" s="110"/>
      <c r="K894" s="109"/>
      <c r="L894" s="109"/>
      <c r="M894" s="109"/>
    </row>
    <row r="895">
      <c r="A895" s="103"/>
      <c r="B895" s="104"/>
      <c r="C895" s="105"/>
      <c r="D895" s="106"/>
      <c r="E895" s="105"/>
      <c r="F895" s="105"/>
      <c r="G895" s="105"/>
      <c r="H895" s="108"/>
      <c r="I895" s="109"/>
      <c r="J895" s="110"/>
      <c r="K895" s="109"/>
      <c r="L895" s="109"/>
      <c r="M895" s="109"/>
    </row>
    <row r="896">
      <c r="A896" s="103"/>
      <c r="B896" s="104"/>
      <c r="C896" s="105"/>
      <c r="D896" s="106"/>
      <c r="E896" s="105"/>
      <c r="F896" s="105"/>
      <c r="G896" s="105"/>
      <c r="H896" s="108"/>
      <c r="I896" s="109"/>
      <c r="J896" s="110"/>
      <c r="K896" s="109"/>
      <c r="L896" s="109"/>
      <c r="M896" s="109"/>
    </row>
    <row r="897">
      <c r="A897" s="103"/>
      <c r="B897" s="104"/>
      <c r="C897" s="105"/>
      <c r="D897" s="106"/>
      <c r="E897" s="105"/>
      <c r="F897" s="105"/>
      <c r="G897" s="105"/>
      <c r="H897" s="108"/>
      <c r="I897" s="109"/>
      <c r="J897" s="110"/>
      <c r="K897" s="109"/>
      <c r="L897" s="109"/>
      <c r="M897" s="109"/>
    </row>
    <row r="898">
      <c r="A898" s="103"/>
      <c r="B898" s="104"/>
      <c r="C898" s="105"/>
      <c r="D898" s="106"/>
      <c r="E898" s="105"/>
      <c r="F898" s="105"/>
      <c r="G898" s="105"/>
      <c r="H898" s="108"/>
      <c r="I898" s="109"/>
      <c r="J898" s="110"/>
      <c r="K898" s="109"/>
      <c r="L898" s="109"/>
      <c r="M898" s="109"/>
    </row>
    <row r="899">
      <c r="A899" s="103"/>
      <c r="B899" s="104"/>
      <c r="C899" s="105"/>
      <c r="D899" s="106"/>
      <c r="E899" s="105"/>
      <c r="F899" s="105"/>
      <c r="G899" s="105"/>
      <c r="H899" s="108"/>
      <c r="I899" s="109"/>
      <c r="J899" s="110"/>
      <c r="K899" s="109"/>
      <c r="L899" s="109"/>
      <c r="M899" s="109"/>
    </row>
    <row r="900">
      <c r="A900" s="103"/>
      <c r="B900" s="104"/>
      <c r="C900" s="105"/>
      <c r="D900" s="106"/>
      <c r="E900" s="105"/>
      <c r="F900" s="105"/>
      <c r="G900" s="105"/>
      <c r="H900" s="108"/>
      <c r="I900" s="109"/>
      <c r="J900" s="110"/>
      <c r="K900" s="109"/>
      <c r="L900" s="109"/>
      <c r="M900" s="109"/>
    </row>
    <row r="901">
      <c r="A901" s="103"/>
      <c r="B901" s="104"/>
      <c r="C901" s="105"/>
      <c r="D901" s="106"/>
      <c r="E901" s="105"/>
      <c r="F901" s="105"/>
      <c r="G901" s="105"/>
      <c r="H901" s="108"/>
      <c r="I901" s="109"/>
      <c r="J901" s="110"/>
      <c r="K901" s="109"/>
      <c r="L901" s="109"/>
      <c r="M901" s="109"/>
    </row>
    <row r="902">
      <c r="A902" s="103"/>
      <c r="B902" s="104"/>
      <c r="C902" s="105"/>
      <c r="D902" s="106"/>
      <c r="E902" s="105"/>
      <c r="F902" s="105"/>
      <c r="G902" s="105"/>
      <c r="H902" s="108"/>
      <c r="I902" s="109"/>
      <c r="J902" s="110"/>
      <c r="K902" s="109"/>
      <c r="L902" s="109"/>
      <c r="M902" s="109"/>
    </row>
    <row r="903">
      <c r="A903" s="103"/>
      <c r="B903" s="104"/>
      <c r="C903" s="105"/>
      <c r="D903" s="106"/>
      <c r="E903" s="105"/>
      <c r="F903" s="105"/>
      <c r="G903" s="105"/>
      <c r="H903" s="108"/>
      <c r="I903" s="109"/>
      <c r="J903" s="110"/>
      <c r="K903" s="109"/>
      <c r="L903" s="109"/>
      <c r="M903" s="109"/>
    </row>
    <row r="904">
      <c r="A904" s="103"/>
      <c r="B904" s="104"/>
      <c r="C904" s="105"/>
      <c r="D904" s="106"/>
      <c r="E904" s="105"/>
      <c r="F904" s="105"/>
      <c r="G904" s="105"/>
      <c r="H904" s="108"/>
      <c r="I904" s="109"/>
      <c r="J904" s="110"/>
      <c r="K904" s="109"/>
      <c r="L904" s="109"/>
      <c r="M904" s="109"/>
    </row>
    <row r="905">
      <c r="A905" s="103"/>
      <c r="B905" s="104"/>
      <c r="C905" s="105"/>
      <c r="D905" s="106"/>
      <c r="E905" s="105"/>
      <c r="F905" s="105"/>
      <c r="G905" s="105"/>
      <c r="H905" s="108"/>
      <c r="I905" s="109"/>
      <c r="J905" s="110"/>
      <c r="K905" s="109"/>
      <c r="L905" s="109"/>
      <c r="M905" s="109"/>
    </row>
    <row r="906">
      <c r="A906" s="103"/>
      <c r="B906" s="104"/>
      <c r="C906" s="105"/>
      <c r="D906" s="106"/>
      <c r="E906" s="105"/>
      <c r="F906" s="105"/>
      <c r="G906" s="105"/>
      <c r="H906" s="108"/>
      <c r="I906" s="109"/>
      <c r="J906" s="110"/>
      <c r="K906" s="109"/>
      <c r="L906" s="109"/>
      <c r="M906" s="109"/>
    </row>
    <row r="907">
      <c r="A907" s="103"/>
      <c r="B907" s="104"/>
      <c r="C907" s="105"/>
      <c r="D907" s="106"/>
      <c r="E907" s="105"/>
      <c r="F907" s="105"/>
      <c r="G907" s="105"/>
      <c r="H907" s="108"/>
      <c r="I907" s="109"/>
      <c r="J907" s="110"/>
      <c r="K907" s="109"/>
      <c r="L907" s="109"/>
      <c r="M907" s="109"/>
    </row>
    <row r="908">
      <c r="A908" s="103"/>
      <c r="B908" s="104"/>
      <c r="C908" s="105"/>
      <c r="D908" s="106"/>
      <c r="E908" s="105"/>
      <c r="F908" s="105"/>
      <c r="G908" s="105"/>
      <c r="H908" s="108"/>
      <c r="I908" s="109"/>
      <c r="J908" s="110"/>
      <c r="K908" s="109"/>
      <c r="L908" s="109"/>
      <c r="M908" s="109"/>
    </row>
    <row r="909">
      <c r="A909" s="103"/>
      <c r="B909" s="104"/>
      <c r="C909" s="105"/>
      <c r="D909" s="106"/>
      <c r="E909" s="105"/>
      <c r="F909" s="105"/>
      <c r="G909" s="105"/>
      <c r="H909" s="108"/>
      <c r="I909" s="109"/>
      <c r="J909" s="110"/>
      <c r="K909" s="109"/>
      <c r="L909" s="109"/>
      <c r="M909" s="109"/>
    </row>
    <row r="910">
      <c r="A910" s="103"/>
      <c r="B910" s="104"/>
      <c r="C910" s="105"/>
      <c r="D910" s="106"/>
      <c r="E910" s="105"/>
      <c r="F910" s="105"/>
      <c r="G910" s="105"/>
      <c r="H910" s="108"/>
      <c r="I910" s="109"/>
      <c r="J910" s="110"/>
      <c r="K910" s="109"/>
      <c r="L910" s="109"/>
      <c r="M910" s="109"/>
    </row>
    <row r="911">
      <c r="A911" s="103"/>
      <c r="B911" s="104"/>
      <c r="C911" s="105"/>
      <c r="D911" s="106"/>
      <c r="E911" s="105"/>
      <c r="F911" s="105"/>
      <c r="G911" s="105"/>
      <c r="H911" s="108"/>
      <c r="I911" s="109"/>
      <c r="J911" s="110"/>
      <c r="K911" s="109"/>
      <c r="L911" s="109"/>
      <c r="M911" s="109"/>
    </row>
    <row r="912">
      <c r="A912" s="103"/>
      <c r="B912" s="104"/>
      <c r="C912" s="105"/>
      <c r="D912" s="106"/>
      <c r="E912" s="105"/>
      <c r="F912" s="105"/>
      <c r="G912" s="105"/>
      <c r="H912" s="108"/>
      <c r="I912" s="109"/>
      <c r="J912" s="110"/>
      <c r="K912" s="109"/>
      <c r="L912" s="109"/>
      <c r="M912" s="109"/>
    </row>
    <row r="913">
      <c r="A913" s="103"/>
      <c r="B913" s="104"/>
      <c r="C913" s="105"/>
      <c r="D913" s="106"/>
      <c r="E913" s="105"/>
      <c r="F913" s="105"/>
      <c r="G913" s="105"/>
      <c r="H913" s="108"/>
      <c r="I913" s="109"/>
      <c r="J913" s="110"/>
      <c r="K913" s="109"/>
      <c r="L913" s="109"/>
      <c r="M913" s="109"/>
    </row>
    <row r="914">
      <c r="A914" s="103"/>
      <c r="B914" s="104"/>
      <c r="C914" s="105"/>
      <c r="D914" s="106"/>
      <c r="E914" s="105"/>
      <c r="F914" s="105"/>
      <c r="G914" s="105"/>
      <c r="H914" s="108"/>
      <c r="I914" s="109"/>
      <c r="J914" s="110"/>
      <c r="K914" s="109"/>
      <c r="L914" s="109"/>
      <c r="M914" s="109"/>
    </row>
    <row r="915">
      <c r="A915" s="103"/>
      <c r="B915" s="104"/>
      <c r="C915" s="105"/>
      <c r="D915" s="106"/>
      <c r="E915" s="105"/>
      <c r="F915" s="105"/>
      <c r="G915" s="105"/>
      <c r="H915" s="108"/>
      <c r="I915" s="109"/>
      <c r="J915" s="110"/>
      <c r="K915" s="109"/>
      <c r="L915" s="109"/>
      <c r="M915" s="109"/>
    </row>
    <row r="916">
      <c r="A916" s="103"/>
      <c r="B916" s="104"/>
      <c r="C916" s="105"/>
      <c r="D916" s="106"/>
      <c r="E916" s="105"/>
      <c r="F916" s="105"/>
      <c r="G916" s="105"/>
      <c r="H916" s="108"/>
      <c r="I916" s="109"/>
      <c r="J916" s="110"/>
      <c r="K916" s="109"/>
      <c r="L916" s="109"/>
      <c r="M916" s="109"/>
    </row>
    <row r="917">
      <c r="A917" s="103"/>
      <c r="B917" s="104"/>
      <c r="C917" s="105"/>
      <c r="D917" s="106"/>
      <c r="E917" s="105"/>
      <c r="F917" s="105"/>
      <c r="G917" s="105"/>
      <c r="H917" s="108"/>
      <c r="I917" s="109"/>
      <c r="J917" s="110"/>
      <c r="K917" s="109"/>
      <c r="L917" s="109"/>
      <c r="M917" s="109"/>
    </row>
    <row r="918">
      <c r="A918" s="103"/>
      <c r="B918" s="104"/>
      <c r="C918" s="105"/>
      <c r="D918" s="106"/>
      <c r="E918" s="105"/>
      <c r="F918" s="105"/>
      <c r="G918" s="105"/>
      <c r="H918" s="108"/>
      <c r="I918" s="109"/>
      <c r="J918" s="110"/>
      <c r="K918" s="109"/>
      <c r="L918" s="109"/>
      <c r="M918" s="109"/>
    </row>
    <row r="919">
      <c r="A919" s="103"/>
      <c r="B919" s="104"/>
      <c r="C919" s="105"/>
      <c r="D919" s="106"/>
      <c r="E919" s="105"/>
      <c r="F919" s="105"/>
      <c r="G919" s="105"/>
      <c r="H919" s="108"/>
      <c r="I919" s="109"/>
      <c r="J919" s="110"/>
      <c r="K919" s="109"/>
      <c r="L919" s="109"/>
      <c r="M919" s="109"/>
    </row>
    <row r="920">
      <c r="A920" s="103"/>
      <c r="B920" s="104"/>
      <c r="C920" s="105"/>
      <c r="D920" s="106"/>
      <c r="E920" s="105"/>
      <c r="F920" s="105"/>
      <c r="G920" s="105"/>
      <c r="H920" s="108"/>
      <c r="I920" s="109"/>
      <c r="J920" s="110"/>
      <c r="K920" s="109"/>
      <c r="L920" s="109"/>
      <c r="M920" s="109"/>
    </row>
    <row r="921">
      <c r="A921" s="103"/>
      <c r="B921" s="104"/>
      <c r="C921" s="105"/>
      <c r="D921" s="106"/>
      <c r="E921" s="105"/>
      <c r="F921" s="105"/>
      <c r="G921" s="105"/>
      <c r="H921" s="108"/>
      <c r="I921" s="109"/>
      <c r="J921" s="110"/>
      <c r="K921" s="109"/>
      <c r="L921" s="109"/>
      <c r="M921" s="109"/>
    </row>
    <row r="922">
      <c r="A922" s="103"/>
      <c r="B922" s="104"/>
      <c r="C922" s="105"/>
      <c r="D922" s="106"/>
      <c r="E922" s="105"/>
      <c r="F922" s="105"/>
      <c r="G922" s="105"/>
      <c r="H922" s="108"/>
      <c r="I922" s="109"/>
      <c r="J922" s="110"/>
      <c r="K922" s="109"/>
      <c r="L922" s="109"/>
      <c r="M922" s="109"/>
    </row>
    <row r="923">
      <c r="A923" s="103"/>
      <c r="B923" s="104"/>
      <c r="C923" s="105"/>
      <c r="D923" s="106"/>
      <c r="E923" s="105"/>
      <c r="F923" s="105"/>
      <c r="G923" s="105"/>
      <c r="H923" s="108"/>
      <c r="I923" s="109"/>
      <c r="J923" s="110"/>
      <c r="K923" s="109"/>
      <c r="L923" s="109"/>
      <c r="M923" s="109"/>
    </row>
    <row r="924">
      <c r="A924" s="103"/>
      <c r="B924" s="104"/>
      <c r="C924" s="105"/>
      <c r="D924" s="106"/>
      <c r="E924" s="105"/>
      <c r="F924" s="105"/>
      <c r="G924" s="105"/>
      <c r="H924" s="108"/>
      <c r="I924" s="109"/>
      <c r="J924" s="110"/>
      <c r="K924" s="109"/>
      <c r="L924" s="109"/>
      <c r="M924" s="109"/>
    </row>
    <row r="925">
      <c r="A925" s="103"/>
      <c r="B925" s="104"/>
      <c r="C925" s="105"/>
      <c r="D925" s="106"/>
      <c r="E925" s="105"/>
      <c r="F925" s="105"/>
      <c r="G925" s="105"/>
      <c r="H925" s="108"/>
      <c r="I925" s="109"/>
      <c r="J925" s="110"/>
      <c r="K925" s="109"/>
      <c r="L925" s="109"/>
      <c r="M925" s="109"/>
    </row>
    <row r="926">
      <c r="A926" s="103"/>
      <c r="B926" s="104"/>
      <c r="C926" s="105"/>
      <c r="D926" s="106"/>
      <c r="E926" s="105"/>
      <c r="F926" s="105"/>
      <c r="G926" s="105"/>
      <c r="H926" s="108"/>
      <c r="I926" s="109"/>
      <c r="J926" s="110"/>
      <c r="K926" s="109"/>
      <c r="L926" s="109"/>
      <c r="M926" s="109"/>
    </row>
    <row r="927">
      <c r="A927" s="103"/>
      <c r="B927" s="104"/>
      <c r="C927" s="105"/>
      <c r="D927" s="106"/>
      <c r="E927" s="105"/>
      <c r="F927" s="105"/>
      <c r="G927" s="105"/>
      <c r="H927" s="108"/>
      <c r="I927" s="109"/>
      <c r="J927" s="110"/>
      <c r="K927" s="109"/>
      <c r="L927" s="109"/>
      <c r="M927" s="109"/>
    </row>
    <row r="928">
      <c r="A928" s="103"/>
      <c r="B928" s="104"/>
      <c r="C928" s="105"/>
      <c r="D928" s="106"/>
      <c r="E928" s="105"/>
      <c r="F928" s="105"/>
      <c r="G928" s="105"/>
      <c r="H928" s="108"/>
      <c r="I928" s="109"/>
      <c r="J928" s="110"/>
      <c r="K928" s="109"/>
      <c r="L928" s="109"/>
      <c r="M928" s="109"/>
    </row>
    <row r="929">
      <c r="A929" s="103"/>
      <c r="B929" s="104"/>
      <c r="C929" s="105"/>
      <c r="D929" s="106"/>
      <c r="E929" s="105"/>
      <c r="F929" s="105"/>
      <c r="G929" s="105"/>
      <c r="H929" s="108"/>
      <c r="I929" s="109"/>
      <c r="J929" s="110"/>
      <c r="K929" s="109"/>
      <c r="L929" s="109"/>
      <c r="M929" s="109"/>
    </row>
    <row r="930">
      <c r="A930" s="103"/>
      <c r="B930" s="104"/>
      <c r="C930" s="105"/>
      <c r="D930" s="106"/>
      <c r="E930" s="105"/>
      <c r="F930" s="105"/>
      <c r="G930" s="105"/>
      <c r="H930" s="108"/>
      <c r="I930" s="109"/>
      <c r="J930" s="110"/>
      <c r="K930" s="109"/>
      <c r="L930" s="109"/>
      <c r="M930" s="109"/>
    </row>
    <row r="931">
      <c r="A931" s="103"/>
      <c r="B931" s="104"/>
      <c r="C931" s="105"/>
      <c r="D931" s="106"/>
      <c r="E931" s="105"/>
      <c r="F931" s="105"/>
      <c r="G931" s="105"/>
      <c r="H931" s="108"/>
      <c r="I931" s="109"/>
      <c r="J931" s="110"/>
      <c r="K931" s="109"/>
      <c r="L931" s="109"/>
      <c r="M931" s="109"/>
    </row>
    <row r="932">
      <c r="A932" s="103"/>
      <c r="B932" s="104"/>
      <c r="C932" s="105"/>
      <c r="D932" s="106"/>
      <c r="E932" s="105"/>
      <c r="F932" s="105"/>
      <c r="G932" s="105"/>
      <c r="H932" s="108"/>
      <c r="I932" s="109"/>
      <c r="J932" s="110"/>
      <c r="K932" s="109"/>
      <c r="L932" s="109"/>
      <c r="M932" s="109"/>
    </row>
    <row r="933">
      <c r="A933" s="103"/>
      <c r="B933" s="104"/>
      <c r="C933" s="105"/>
      <c r="D933" s="106"/>
      <c r="E933" s="105"/>
      <c r="F933" s="105"/>
      <c r="G933" s="105"/>
      <c r="H933" s="108"/>
      <c r="I933" s="109"/>
      <c r="J933" s="110"/>
      <c r="K933" s="109"/>
      <c r="L933" s="109"/>
      <c r="M933" s="109"/>
    </row>
    <row r="934">
      <c r="A934" s="103"/>
      <c r="B934" s="104"/>
      <c r="C934" s="105"/>
      <c r="D934" s="106"/>
      <c r="E934" s="105"/>
      <c r="F934" s="105"/>
      <c r="G934" s="105"/>
      <c r="H934" s="108"/>
      <c r="I934" s="109"/>
      <c r="J934" s="110"/>
      <c r="K934" s="109"/>
      <c r="L934" s="109"/>
      <c r="M934" s="109"/>
    </row>
    <row r="935">
      <c r="A935" s="103"/>
      <c r="B935" s="104"/>
      <c r="C935" s="105"/>
      <c r="D935" s="106"/>
      <c r="E935" s="105"/>
      <c r="F935" s="105"/>
      <c r="G935" s="105"/>
      <c r="H935" s="108"/>
      <c r="I935" s="109"/>
      <c r="J935" s="110"/>
      <c r="K935" s="109"/>
      <c r="L935" s="109"/>
      <c r="M935" s="109"/>
    </row>
    <row r="936">
      <c r="A936" s="103"/>
      <c r="B936" s="104"/>
      <c r="C936" s="105"/>
      <c r="D936" s="106"/>
      <c r="E936" s="105"/>
      <c r="F936" s="105"/>
      <c r="G936" s="105"/>
      <c r="H936" s="108"/>
      <c r="I936" s="109"/>
      <c r="J936" s="110"/>
      <c r="K936" s="109"/>
      <c r="L936" s="109"/>
      <c r="M936" s="109"/>
    </row>
    <row r="937">
      <c r="A937" s="103"/>
      <c r="B937" s="104"/>
      <c r="C937" s="105"/>
      <c r="D937" s="106"/>
      <c r="E937" s="105"/>
      <c r="F937" s="105"/>
      <c r="G937" s="105"/>
      <c r="H937" s="108"/>
      <c r="I937" s="109"/>
      <c r="J937" s="110"/>
      <c r="K937" s="109"/>
      <c r="L937" s="109"/>
      <c r="M937" s="109"/>
    </row>
    <row r="938">
      <c r="A938" s="103"/>
      <c r="B938" s="104"/>
      <c r="C938" s="105"/>
      <c r="D938" s="106"/>
      <c r="E938" s="105"/>
      <c r="F938" s="105"/>
      <c r="G938" s="105"/>
      <c r="H938" s="108"/>
      <c r="I938" s="109"/>
      <c r="J938" s="110"/>
      <c r="K938" s="109"/>
      <c r="L938" s="109"/>
      <c r="M938" s="109"/>
    </row>
    <row r="939">
      <c r="A939" s="103"/>
      <c r="B939" s="104"/>
      <c r="C939" s="105"/>
      <c r="D939" s="106"/>
      <c r="E939" s="105"/>
      <c r="F939" s="105"/>
      <c r="G939" s="105"/>
      <c r="H939" s="108"/>
      <c r="I939" s="109"/>
      <c r="J939" s="110"/>
      <c r="K939" s="109"/>
      <c r="L939" s="109"/>
      <c r="M939" s="109"/>
    </row>
    <row r="940">
      <c r="A940" s="103"/>
      <c r="B940" s="104"/>
      <c r="C940" s="105"/>
      <c r="D940" s="106"/>
      <c r="E940" s="105"/>
      <c r="F940" s="105"/>
      <c r="G940" s="105"/>
      <c r="H940" s="108"/>
      <c r="I940" s="109"/>
      <c r="J940" s="110"/>
      <c r="K940" s="109"/>
      <c r="L940" s="109"/>
      <c r="M940" s="109"/>
    </row>
    <row r="941">
      <c r="A941" s="103"/>
      <c r="B941" s="104"/>
      <c r="C941" s="105"/>
      <c r="D941" s="106"/>
      <c r="E941" s="105"/>
      <c r="F941" s="105"/>
      <c r="G941" s="105"/>
      <c r="H941" s="108"/>
      <c r="I941" s="109"/>
      <c r="J941" s="110"/>
      <c r="K941" s="109"/>
      <c r="L941" s="109"/>
      <c r="M941" s="109"/>
    </row>
    <row r="942">
      <c r="A942" s="103"/>
      <c r="B942" s="104"/>
      <c r="C942" s="105"/>
      <c r="D942" s="106"/>
      <c r="E942" s="105"/>
      <c r="F942" s="105"/>
      <c r="G942" s="105"/>
      <c r="H942" s="108"/>
      <c r="I942" s="109"/>
      <c r="J942" s="110"/>
      <c r="K942" s="109"/>
      <c r="L942" s="109"/>
      <c r="M942" s="109"/>
    </row>
    <row r="943">
      <c r="A943" s="103"/>
      <c r="B943" s="104"/>
      <c r="C943" s="105"/>
      <c r="D943" s="106"/>
      <c r="E943" s="105"/>
      <c r="F943" s="105"/>
      <c r="G943" s="105"/>
      <c r="H943" s="108"/>
      <c r="I943" s="109"/>
      <c r="J943" s="110"/>
      <c r="K943" s="109"/>
      <c r="L943" s="109"/>
      <c r="M943" s="109"/>
    </row>
    <row r="944">
      <c r="A944" s="103"/>
      <c r="B944" s="104"/>
      <c r="C944" s="105"/>
      <c r="D944" s="106"/>
      <c r="E944" s="105"/>
      <c r="F944" s="105"/>
      <c r="G944" s="105"/>
      <c r="H944" s="108"/>
      <c r="I944" s="109"/>
      <c r="J944" s="110"/>
      <c r="K944" s="109"/>
      <c r="L944" s="109"/>
      <c r="M944" s="109"/>
    </row>
    <row r="945">
      <c r="A945" s="103"/>
      <c r="B945" s="104"/>
      <c r="C945" s="105"/>
      <c r="D945" s="106"/>
      <c r="E945" s="105"/>
      <c r="F945" s="105"/>
      <c r="G945" s="105"/>
      <c r="H945" s="108"/>
      <c r="I945" s="109"/>
      <c r="J945" s="110"/>
      <c r="K945" s="109"/>
      <c r="L945" s="109"/>
      <c r="M945" s="109"/>
    </row>
    <row r="946">
      <c r="A946" s="103"/>
      <c r="B946" s="104"/>
      <c r="C946" s="105"/>
      <c r="D946" s="106"/>
      <c r="E946" s="105"/>
      <c r="F946" s="105"/>
      <c r="G946" s="105"/>
      <c r="H946" s="108"/>
      <c r="I946" s="109"/>
      <c r="J946" s="110"/>
      <c r="K946" s="109"/>
      <c r="L946" s="109"/>
      <c r="M946" s="109"/>
    </row>
    <row r="947">
      <c r="A947" s="103"/>
      <c r="B947" s="104"/>
      <c r="C947" s="105"/>
      <c r="D947" s="106"/>
      <c r="E947" s="105"/>
      <c r="F947" s="105"/>
      <c r="G947" s="105"/>
      <c r="H947" s="108"/>
      <c r="I947" s="109"/>
      <c r="J947" s="110"/>
      <c r="K947" s="109"/>
      <c r="L947" s="109"/>
      <c r="M947" s="109"/>
    </row>
    <row r="948">
      <c r="A948" s="103"/>
      <c r="B948" s="104"/>
      <c r="C948" s="105"/>
      <c r="D948" s="106"/>
      <c r="E948" s="105"/>
      <c r="F948" s="105"/>
      <c r="G948" s="105"/>
      <c r="H948" s="108"/>
      <c r="I948" s="109"/>
      <c r="J948" s="110"/>
      <c r="K948" s="109"/>
      <c r="L948" s="109"/>
      <c r="M948" s="109"/>
    </row>
    <row r="949">
      <c r="A949" s="103"/>
      <c r="B949" s="104"/>
      <c r="C949" s="105"/>
      <c r="D949" s="106"/>
      <c r="E949" s="105"/>
      <c r="F949" s="105"/>
      <c r="G949" s="105"/>
      <c r="H949" s="108"/>
      <c r="I949" s="109"/>
      <c r="J949" s="110"/>
      <c r="K949" s="109"/>
      <c r="L949" s="109"/>
      <c r="M949" s="109"/>
    </row>
    <row r="950">
      <c r="A950" s="103"/>
      <c r="B950" s="104"/>
      <c r="C950" s="105"/>
      <c r="D950" s="106"/>
      <c r="E950" s="105"/>
      <c r="F950" s="105"/>
      <c r="G950" s="105"/>
      <c r="H950" s="108"/>
      <c r="I950" s="109"/>
      <c r="J950" s="110"/>
      <c r="K950" s="109"/>
      <c r="L950" s="109"/>
      <c r="M950" s="109"/>
    </row>
    <row r="951">
      <c r="A951" s="103"/>
      <c r="B951" s="104"/>
      <c r="C951" s="105"/>
      <c r="D951" s="106"/>
      <c r="E951" s="105"/>
      <c r="F951" s="105"/>
      <c r="G951" s="105"/>
      <c r="H951" s="108"/>
      <c r="I951" s="109"/>
      <c r="J951" s="110"/>
      <c r="K951" s="109"/>
      <c r="L951" s="109"/>
      <c r="M951" s="109"/>
    </row>
    <row r="952">
      <c r="A952" s="103"/>
      <c r="B952" s="104"/>
      <c r="C952" s="105"/>
      <c r="D952" s="106"/>
      <c r="E952" s="105"/>
      <c r="F952" s="105"/>
      <c r="G952" s="105"/>
      <c r="H952" s="108"/>
      <c r="I952" s="109"/>
      <c r="J952" s="110"/>
      <c r="K952" s="109"/>
      <c r="L952" s="109"/>
      <c r="M952" s="109"/>
    </row>
    <row r="953">
      <c r="A953" s="103"/>
      <c r="B953" s="104"/>
      <c r="C953" s="105"/>
      <c r="D953" s="106"/>
      <c r="E953" s="105"/>
      <c r="F953" s="105"/>
      <c r="G953" s="105"/>
      <c r="H953" s="108"/>
      <c r="I953" s="109"/>
      <c r="J953" s="110"/>
      <c r="K953" s="109"/>
      <c r="L953" s="109"/>
      <c r="M953" s="109"/>
    </row>
    <row r="954">
      <c r="A954" s="103"/>
      <c r="B954" s="104"/>
      <c r="C954" s="105"/>
      <c r="D954" s="106"/>
      <c r="E954" s="105"/>
      <c r="F954" s="105"/>
      <c r="G954" s="105"/>
      <c r="H954" s="108"/>
      <c r="I954" s="109"/>
      <c r="J954" s="110"/>
      <c r="K954" s="109"/>
      <c r="L954" s="109"/>
      <c r="M954" s="109"/>
    </row>
    <row r="955">
      <c r="A955" s="103"/>
      <c r="B955" s="104"/>
      <c r="C955" s="105"/>
      <c r="D955" s="106"/>
      <c r="E955" s="105"/>
      <c r="F955" s="105"/>
      <c r="G955" s="105"/>
      <c r="H955" s="108"/>
      <c r="I955" s="109"/>
      <c r="J955" s="110"/>
      <c r="K955" s="109"/>
      <c r="L955" s="109"/>
      <c r="M955" s="109"/>
    </row>
    <row r="956">
      <c r="A956" s="103"/>
      <c r="B956" s="104"/>
      <c r="C956" s="105"/>
      <c r="D956" s="106"/>
      <c r="E956" s="105"/>
      <c r="F956" s="105"/>
      <c r="G956" s="105"/>
      <c r="H956" s="108"/>
      <c r="I956" s="109"/>
      <c r="J956" s="110"/>
      <c r="K956" s="109"/>
      <c r="L956" s="109"/>
      <c r="M956" s="109"/>
    </row>
    <row r="957">
      <c r="A957" s="103"/>
      <c r="B957" s="104"/>
      <c r="C957" s="105"/>
      <c r="D957" s="106"/>
      <c r="E957" s="105"/>
      <c r="F957" s="105"/>
      <c r="G957" s="105"/>
      <c r="H957" s="108"/>
      <c r="I957" s="109"/>
      <c r="J957" s="110"/>
      <c r="K957" s="109"/>
      <c r="L957" s="109"/>
      <c r="M957" s="109"/>
    </row>
    <row r="958">
      <c r="A958" s="103"/>
      <c r="B958" s="104"/>
      <c r="C958" s="105"/>
      <c r="D958" s="106"/>
      <c r="E958" s="105"/>
      <c r="F958" s="105"/>
      <c r="G958" s="105"/>
      <c r="H958" s="108"/>
      <c r="I958" s="109"/>
      <c r="J958" s="110"/>
      <c r="K958" s="109"/>
      <c r="L958" s="109"/>
      <c r="M958" s="109"/>
    </row>
    <row r="959">
      <c r="A959" s="103"/>
      <c r="B959" s="104"/>
      <c r="C959" s="105"/>
      <c r="D959" s="106"/>
      <c r="E959" s="105"/>
      <c r="F959" s="105"/>
      <c r="G959" s="105"/>
      <c r="H959" s="108"/>
      <c r="I959" s="109"/>
      <c r="J959" s="110"/>
      <c r="K959" s="109"/>
      <c r="L959" s="109"/>
      <c r="M959" s="109"/>
    </row>
    <row r="960">
      <c r="A960" s="103"/>
      <c r="B960" s="104"/>
      <c r="C960" s="105"/>
      <c r="D960" s="106"/>
      <c r="E960" s="105"/>
      <c r="F960" s="105"/>
      <c r="G960" s="105"/>
      <c r="H960" s="108"/>
      <c r="I960" s="109"/>
      <c r="J960" s="110"/>
      <c r="K960" s="109"/>
      <c r="L960" s="109"/>
      <c r="M960" s="109"/>
    </row>
    <row r="961">
      <c r="A961" s="103"/>
      <c r="B961" s="104"/>
      <c r="C961" s="105"/>
      <c r="D961" s="106"/>
      <c r="E961" s="105"/>
      <c r="F961" s="105"/>
      <c r="G961" s="105"/>
      <c r="H961" s="108"/>
      <c r="I961" s="109"/>
      <c r="J961" s="110"/>
      <c r="K961" s="109"/>
      <c r="L961" s="109"/>
      <c r="M961" s="109"/>
    </row>
    <row r="962">
      <c r="A962" s="103"/>
      <c r="B962" s="104"/>
      <c r="C962" s="105"/>
      <c r="D962" s="106"/>
      <c r="E962" s="105"/>
      <c r="F962" s="105"/>
      <c r="G962" s="105"/>
      <c r="H962" s="108"/>
      <c r="I962" s="109"/>
      <c r="J962" s="110"/>
      <c r="K962" s="109"/>
      <c r="L962" s="109"/>
      <c r="M962" s="109"/>
    </row>
    <row r="963">
      <c r="A963" s="103"/>
      <c r="B963" s="104"/>
      <c r="C963" s="105"/>
      <c r="D963" s="106"/>
      <c r="E963" s="105"/>
      <c r="F963" s="105"/>
      <c r="G963" s="105"/>
      <c r="H963" s="108"/>
      <c r="I963" s="109"/>
      <c r="J963" s="110"/>
      <c r="K963" s="109"/>
      <c r="L963" s="109"/>
      <c r="M963" s="109"/>
    </row>
    <row r="964">
      <c r="A964" s="103"/>
      <c r="B964" s="104"/>
      <c r="C964" s="105"/>
      <c r="D964" s="106"/>
      <c r="E964" s="105"/>
      <c r="F964" s="105"/>
      <c r="G964" s="105"/>
      <c r="H964" s="108"/>
      <c r="I964" s="109"/>
      <c r="J964" s="110"/>
      <c r="K964" s="109"/>
      <c r="L964" s="109"/>
      <c r="M964" s="109"/>
    </row>
    <row r="965">
      <c r="A965" s="103"/>
      <c r="B965" s="104"/>
      <c r="C965" s="105"/>
      <c r="D965" s="106"/>
      <c r="E965" s="105"/>
      <c r="F965" s="105"/>
      <c r="G965" s="105"/>
      <c r="H965" s="108"/>
      <c r="I965" s="109"/>
      <c r="J965" s="110"/>
      <c r="K965" s="109"/>
      <c r="L965" s="109"/>
      <c r="M965" s="109"/>
    </row>
    <row r="966">
      <c r="A966" s="103"/>
      <c r="B966" s="104"/>
      <c r="C966" s="105"/>
      <c r="D966" s="106"/>
      <c r="E966" s="105"/>
      <c r="F966" s="105"/>
      <c r="G966" s="105"/>
      <c r="H966" s="108"/>
      <c r="I966" s="109"/>
      <c r="J966" s="110"/>
      <c r="K966" s="109"/>
      <c r="L966" s="109"/>
      <c r="M966" s="109"/>
    </row>
    <row r="967">
      <c r="A967" s="103"/>
      <c r="B967" s="104"/>
      <c r="C967" s="105"/>
      <c r="D967" s="106"/>
      <c r="E967" s="105"/>
      <c r="F967" s="105"/>
      <c r="G967" s="105"/>
      <c r="H967" s="108"/>
      <c r="I967" s="109"/>
      <c r="J967" s="110"/>
      <c r="K967" s="109"/>
      <c r="L967" s="109"/>
      <c r="M967" s="109"/>
    </row>
    <row r="968">
      <c r="A968" s="103"/>
      <c r="B968" s="104"/>
      <c r="C968" s="105"/>
      <c r="D968" s="106"/>
      <c r="E968" s="105"/>
      <c r="F968" s="105"/>
      <c r="G968" s="105"/>
      <c r="H968" s="108"/>
      <c r="I968" s="109"/>
      <c r="J968" s="110"/>
      <c r="K968" s="109"/>
      <c r="L968" s="109"/>
      <c r="M968" s="109"/>
    </row>
    <row r="969">
      <c r="A969" s="103"/>
      <c r="B969" s="104"/>
      <c r="C969" s="105"/>
      <c r="D969" s="106"/>
      <c r="E969" s="105"/>
      <c r="F969" s="105"/>
      <c r="G969" s="105"/>
      <c r="H969" s="108"/>
      <c r="I969" s="109"/>
      <c r="J969" s="110"/>
      <c r="K969" s="109"/>
      <c r="L969" s="109"/>
      <c r="M969" s="109"/>
    </row>
    <row r="970">
      <c r="A970" s="103"/>
      <c r="B970" s="104"/>
      <c r="C970" s="105"/>
      <c r="D970" s="106"/>
      <c r="E970" s="105"/>
      <c r="F970" s="105"/>
      <c r="G970" s="105"/>
      <c r="H970" s="108"/>
      <c r="I970" s="109"/>
      <c r="J970" s="110"/>
      <c r="K970" s="109"/>
      <c r="L970" s="109"/>
      <c r="M970" s="109"/>
    </row>
    <row r="971">
      <c r="A971" s="103"/>
      <c r="B971" s="104"/>
      <c r="C971" s="105"/>
      <c r="D971" s="106"/>
      <c r="E971" s="105"/>
      <c r="F971" s="105"/>
      <c r="G971" s="105"/>
      <c r="H971" s="108"/>
      <c r="I971" s="109"/>
      <c r="J971" s="110"/>
      <c r="K971" s="109"/>
      <c r="L971" s="109"/>
      <c r="M971" s="109"/>
    </row>
    <row r="972">
      <c r="A972" s="103"/>
      <c r="B972" s="104"/>
      <c r="C972" s="105"/>
      <c r="D972" s="106"/>
      <c r="E972" s="105"/>
      <c r="F972" s="105"/>
      <c r="G972" s="105"/>
      <c r="H972" s="108"/>
      <c r="I972" s="109"/>
      <c r="J972" s="110"/>
      <c r="K972" s="109"/>
      <c r="L972" s="109"/>
      <c r="M972" s="109"/>
    </row>
    <row r="973">
      <c r="A973" s="103"/>
      <c r="B973" s="104"/>
      <c r="C973" s="105"/>
      <c r="D973" s="106"/>
      <c r="E973" s="105"/>
      <c r="F973" s="105"/>
      <c r="G973" s="105"/>
      <c r="H973" s="108"/>
      <c r="I973" s="109"/>
      <c r="J973" s="110"/>
      <c r="K973" s="109"/>
      <c r="L973" s="109"/>
      <c r="M973" s="109"/>
    </row>
    <row r="974">
      <c r="A974" s="103"/>
      <c r="B974" s="104"/>
      <c r="C974" s="105"/>
      <c r="D974" s="106"/>
      <c r="E974" s="105"/>
      <c r="F974" s="105"/>
      <c r="G974" s="105"/>
      <c r="H974" s="108"/>
      <c r="I974" s="109"/>
      <c r="J974" s="110"/>
      <c r="K974" s="109"/>
      <c r="L974" s="109"/>
      <c r="M974" s="109"/>
    </row>
    <row r="975">
      <c r="A975" s="103"/>
      <c r="B975" s="104"/>
      <c r="C975" s="105"/>
      <c r="D975" s="106"/>
      <c r="E975" s="105"/>
      <c r="F975" s="105"/>
      <c r="G975" s="105"/>
      <c r="H975" s="108"/>
      <c r="I975" s="109"/>
      <c r="J975" s="110"/>
      <c r="K975" s="109"/>
      <c r="L975" s="109"/>
      <c r="M975" s="109"/>
    </row>
    <row r="976">
      <c r="A976" s="103"/>
      <c r="B976" s="104"/>
      <c r="C976" s="105"/>
      <c r="D976" s="106"/>
      <c r="E976" s="105"/>
      <c r="F976" s="105"/>
      <c r="G976" s="105"/>
      <c r="H976" s="108"/>
      <c r="I976" s="109"/>
      <c r="J976" s="110"/>
      <c r="K976" s="109"/>
      <c r="L976" s="109"/>
      <c r="M976" s="109"/>
    </row>
    <row r="977">
      <c r="A977" s="103"/>
      <c r="B977" s="104"/>
      <c r="C977" s="105"/>
      <c r="D977" s="106"/>
      <c r="E977" s="105"/>
      <c r="F977" s="105"/>
      <c r="G977" s="105"/>
      <c r="H977" s="108"/>
      <c r="I977" s="109"/>
      <c r="J977" s="110"/>
      <c r="K977" s="109"/>
      <c r="L977" s="109"/>
      <c r="M977" s="109"/>
    </row>
    <row r="978">
      <c r="A978" s="103"/>
      <c r="B978" s="104"/>
      <c r="C978" s="105"/>
      <c r="D978" s="106"/>
      <c r="E978" s="105"/>
      <c r="F978" s="105"/>
      <c r="G978" s="105"/>
      <c r="H978" s="108"/>
      <c r="I978" s="109"/>
      <c r="J978" s="110"/>
      <c r="K978" s="109"/>
      <c r="L978" s="109"/>
      <c r="M978" s="109"/>
    </row>
    <row r="979">
      <c r="A979" s="103"/>
      <c r="B979" s="104"/>
      <c r="C979" s="105"/>
      <c r="D979" s="106"/>
      <c r="E979" s="105"/>
      <c r="F979" s="105"/>
      <c r="G979" s="105"/>
      <c r="H979" s="108"/>
      <c r="I979" s="109"/>
      <c r="J979" s="110"/>
      <c r="K979" s="109"/>
      <c r="L979" s="109"/>
      <c r="M979" s="109"/>
    </row>
    <row r="980">
      <c r="A980" s="103"/>
      <c r="B980" s="104"/>
      <c r="C980" s="105"/>
      <c r="D980" s="106"/>
      <c r="E980" s="105"/>
      <c r="F980" s="105"/>
      <c r="G980" s="105"/>
      <c r="H980" s="108"/>
      <c r="I980" s="109"/>
      <c r="J980" s="110"/>
      <c r="K980" s="109"/>
      <c r="L980" s="109"/>
      <c r="M980" s="109"/>
    </row>
    <row r="981">
      <c r="A981" s="103"/>
      <c r="B981" s="104"/>
      <c r="C981" s="105"/>
      <c r="D981" s="106"/>
      <c r="E981" s="105"/>
      <c r="F981" s="105"/>
      <c r="G981" s="105"/>
      <c r="H981" s="108"/>
      <c r="I981" s="109"/>
      <c r="J981" s="110"/>
      <c r="K981" s="109"/>
      <c r="L981" s="109"/>
      <c r="M981" s="109"/>
    </row>
    <row r="982">
      <c r="A982" s="103"/>
      <c r="B982" s="104"/>
      <c r="C982" s="105"/>
      <c r="D982" s="106"/>
      <c r="E982" s="105"/>
      <c r="F982" s="105"/>
      <c r="G982" s="105"/>
      <c r="H982" s="108"/>
      <c r="I982" s="109"/>
      <c r="J982" s="110"/>
      <c r="K982" s="109"/>
      <c r="L982" s="109"/>
      <c r="M982" s="109"/>
    </row>
    <row r="983">
      <c r="A983" s="103"/>
      <c r="B983" s="104"/>
      <c r="C983" s="105"/>
      <c r="D983" s="106"/>
      <c r="E983" s="105"/>
      <c r="F983" s="105"/>
      <c r="G983" s="105"/>
      <c r="H983" s="108"/>
      <c r="I983" s="109"/>
      <c r="J983" s="110"/>
      <c r="K983" s="109"/>
      <c r="L983" s="109"/>
      <c r="M983" s="109"/>
    </row>
    <row r="984">
      <c r="A984" s="103"/>
      <c r="B984" s="104"/>
      <c r="C984" s="105"/>
      <c r="D984" s="106"/>
      <c r="E984" s="105"/>
      <c r="F984" s="105"/>
      <c r="G984" s="105"/>
      <c r="H984" s="108"/>
      <c r="I984" s="109"/>
      <c r="J984" s="110"/>
      <c r="K984" s="109"/>
      <c r="L984" s="109"/>
      <c r="M984" s="109"/>
    </row>
    <row r="985">
      <c r="A985" s="103"/>
      <c r="B985" s="104"/>
      <c r="C985" s="105"/>
      <c r="D985" s="106"/>
      <c r="E985" s="105"/>
      <c r="F985" s="105"/>
      <c r="G985" s="105"/>
      <c r="H985" s="108"/>
      <c r="I985" s="109"/>
      <c r="J985" s="110"/>
      <c r="K985" s="109"/>
      <c r="L985" s="109"/>
      <c r="M985" s="109"/>
    </row>
    <row r="986">
      <c r="A986" s="103"/>
      <c r="B986" s="104"/>
      <c r="C986" s="105"/>
      <c r="D986" s="106"/>
      <c r="E986" s="105"/>
      <c r="F986" s="105"/>
      <c r="G986" s="105"/>
      <c r="H986" s="108"/>
      <c r="I986" s="109"/>
      <c r="J986" s="110"/>
      <c r="K986" s="109"/>
      <c r="L986" s="109"/>
      <c r="M986" s="109"/>
    </row>
    <row r="987">
      <c r="A987" s="103"/>
      <c r="B987" s="104"/>
      <c r="C987" s="105"/>
      <c r="D987" s="106"/>
      <c r="E987" s="105"/>
      <c r="F987" s="105"/>
      <c r="G987" s="105"/>
      <c r="H987" s="108"/>
      <c r="I987" s="109"/>
      <c r="J987" s="110"/>
      <c r="K987" s="109"/>
      <c r="L987" s="109"/>
      <c r="M987" s="109"/>
    </row>
    <row r="988">
      <c r="A988" s="103"/>
      <c r="B988" s="104"/>
      <c r="C988" s="105"/>
      <c r="D988" s="106"/>
      <c r="E988" s="105"/>
      <c r="F988" s="105"/>
      <c r="G988" s="105"/>
      <c r="H988" s="108"/>
      <c r="I988" s="109"/>
      <c r="J988" s="110"/>
      <c r="K988" s="109"/>
      <c r="L988" s="109"/>
      <c r="M988" s="109"/>
    </row>
    <row r="989">
      <c r="A989" s="103"/>
      <c r="B989" s="104"/>
      <c r="C989" s="105"/>
      <c r="D989" s="106"/>
      <c r="E989" s="105"/>
      <c r="F989" s="105"/>
      <c r="G989" s="105"/>
      <c r="H989" s="108"/>
      <c r="I989" s="109"/>
      <c r="J989" s="110"/>
      <c r="K989" s="109"/>
      <c r="L989" s="109"/>
      <c r="M989" s="109"/>
    </row>
    <row r="990">
      <c r="A990" s="103"/>
      <c r="B990" s="104"/>
      <c r="C990" s="105"/>
      <c r="D990" s="106"/>
      <c r="E990" s="105"/>
      <c r="F990" s="105"/>
      <c r="G990" s="105"/>
      <c r="H990" s="108"/>
      <c r="I990" s="109"/>
      <c r="J990" s="110"/>
      <c r="K990" s="109"/>
      <c r="L990" s="109"/>
      <c r="M990" s="109"/>
    </row>
    <row r="991">
      <c r="A991" s="103"/>
      <c r="B991" s="104"/>
      <c r="C991" s="105"/>
      <c r="D991" s="106"/>
      <c r="E991" s="105"/>
      <c r="F991" s="105"/>
      <c r="G991" s="105"/>
      <c r="H991" s="108"/>
      <c r="I991" s="109"/>
      <c r="J991" s="110"/>
      <c r="K991" s="109"/>
      <c r="L991" s="109"/>
      <c r="M991" s="109"/>
    </row>
    <row r="992">
      <c r="A992" s="103"/>
      <c r="B992" s="104"/>
      <c r="C992" s="105"/>
      <c r="D992" s="106"/>
      <c r="E992" s="105"/>
      <c r="F992" s="105"/>
      <c r="G992" s="105"/>
      <c r="H992" s="108"/>
      <c r="I992" s="109"/>
      <c r="J992" s="110"/>
      <c r="K992" s="109"/>
      <c r="L992" s="109"/>
      <c r="M992" s="109"/>
    </row>
    <row r="993">
      <c r="A993" s="103"/>
      <c r="B993" s="104"/>
      <c r="C993" s="105"/>
      <c r="D993" s="106"/>
      <c r="E993" s="105"/>
      <c r="F993" s="105"/>
      <c r="G993" s="105"/>
      <c r="H993" s="108"/>
      <c r="I993" s="109"/>
      <c r="J993" s="110"/>
      <c r="K993" s="109"/>
      <c r="L993" s="109"/>
      <c r="M993" s="109"/>
    </row>
    <row r="994">
      <c r="A994" s="103"/>
      <c r="B994" s="104"/>
      <c r="C994" s="105"/>
      <c r="D994" s="106"/>
      <c r="E994" s="105"/>
      <c r="F994" s="105"/>
      <c r="G994" s="105"/>
      <c r="H994" s="108"/>
      <c r="I994" s="109"/>
      <c r="J994" s="110"/>
      <c r="K994" s="109"/>
      <c r="L994" s="109"/>
      <c r="M994" s="109"/>
    </row>
    <row r="995">
      <c r="A995" s="103"/>
      <c r="B995" s="104"/>
      <c r="C995" s="105"/>
      <c r="D995" s="106"/>
      <c r="E995" s="105"/>
      <c r="F995" s="105"/>
      <c r="G995" s="105"/>
      <c r="H995" s="108"/>
      <c r="I995" s="109"/>
      <c r="J995" s="110"/>
      <c r="K995" s="109"/>
      <c r="L995" s="109"/>
      <c r="M995" s="109"/>
    </row>
    <row r="996">
      <c r="A996" s="103"/>
      <c r="B996" s="104"/>
      <c r="C996" s="105"/>
      <c r="D996" s="106"/>
      <c r="E996" s="105"/>
      <c r="F996" s="105"/>
      <c r="G996" s="105"/>
      <c r="H996" s="108"/>
      <c r="I996" s="109"/>
      <c r="J996" s="110"/>
      <c r="K996" s="109"/>
      <c r="L996" s="109"/>
      <c r="M996" s="109"/>
    </row>
    <row r="997">
      <c r="A997" s="103"/>
      <c r="B997" s="104"/>
      <c r="C997" s="105"/>
      <c r="D997" s="106"/>
      <c r="E997" s="105"/>
      <c r="F997" s="105"/>
      <c r="G997" s="105"/>
      <c r="H997" s="108"/>
      <c r="I997" s="109"/>
      <c r="J997" s="110"/>
      <c r="K997" s="109"/>
      <c r="L997" s="109"/>
      <c r="M997" s="109"/>
    </row>
    <row r="998">
      <c r="A998" s="103"/>
      <c r="B998" s="104"/>
      <c r="C998" s="105"/>
      <c r="D998" s="106"/>
      <c r="E998" s="105"/>
      <c r="F998" s="105"/>
      <c r="G998" s="105"/>
      <c r="H998" s="108"/>
      <c r="I998" s="109"/>
      <c r="J998" s="110"/>
      <c r="K998" s="109"/>
      <c r="L998" s="109"/>
      <c r="M998" s="109"/>
    </row>
    <row r="999">
      <c r="A999" s="103"/>
      <c r="B999" s="104"/>
      <c r="C999" s="105"/>
      <c r="D999" s="106"/>
      <c r="E999" s="105"/>
      <c r="F999" s="105"/>
      <c r="G999" s="105"/>
      <c r="H999" s="108"/>
      <c r="I999" s="109"/>
      <c r="J999" s="110"/>
      <c r="K999" s="109"/>
      <c r="L999" s="109"/>
      <c r="M999" s="109"/>
    </row>
    <row r="1000">
      <c r="A1000" s="103"/>
      <c r="B1000" s="104"/>
      <c r="C1000" s="105"/>
      <c r="D1000" s="106"/>
      <c r="E1000" s="105"/>
      <c r="F1000" s="105"/>
      <c r="G1000" s="105"/>
      <c r="H1000" s="108"/>
      <c r="I1000" s="109"/>
      <c r="J1000" s="110"/>
      <c r="K1000" s="109"/>
      <c r="L1000" s="109"/>
      <c r="M1000" s="109"/>
    </row>
    <row r="1001">
      <c r="A1001" s="103"/>
      <c r="B1001" s="104"/>
      <c r="C1001" s="105"/>
      <c r="D1001" s="106"/>
      <c r="E1001" s="105"/>
      <c r="F1001" s="105"/>
      <c r="G1001" s="105"/>
      <c r="H1001" s="108"/>
      <c r="I1001" s="109"/>
      <c r="J1001" s="110"/>
      <c r="K1001" s="109"/>
      <c r="L1001" s="109"/>
      <c r="M1001" s="109"/>
    </row>
    <row r="1002">
      <c r="A1002" s="103"/>
      <c r="B1002" s="104"/>
      <c r="C1002" s="105"/>
      <c r="D1002" s="106"/>
      <c r="E1002" s="105"/>
      <c r="F1002" s="105"/>
      <c r="G1002" s="105"/>
      <c r="H1002" s="108"/>
      <c r="I1002" s="109"/>
      <c r="J1002" s="110"/>
      <c r="K1002" s="109"/>
      <c r="L1002" s="109"/>
      <c r="M1002" s="109"/>
    </row>
    <row r="1003">
      <c r="A1003" s="103"/>
      <c r="B1003" s="104"/>
      <c r="C1003" s="105"/>
      <c r="D1003" s="106"/>
      <c r="E1003" s="105"/>
      <c r="F1003" s="105"/>
      <c r="G1003" s="105"/>
      <c r="H1003" s="108"/>
      <c r="I1003" s="109"/>
      <c r="J1003" s="110"/>
      <c r="K1003" s="109"/>
      <c r="L1003" s="109"/>
      <c r="M1003" s="109"/>
    </row>
    <row r="1004">
      <c r="A1004" s="103"/>
      <c r="B1004" s="104"/>
      <c r="C1004" s="105"/>
      <c r="D1004" s="106"/>
      <c r="E1004" s="105"/>
      <c r="F1004" s="105"/>
      <c r="G1004" s="105"/>
      <c r="H1004" s="108"/>
      <c r="I1004" s="109"/>
      <c r="J1004" s="110"/>
      <c r="K1004" s="109"/>
      <c r="L1004" s="109"/>
      <c r="M1004" s="109"/>
    </row>
    <row r="1005">
      <c r="A1005" s="103"/>
      <c r="B1005" s="104"/>
      <c r="C1005" s="105"/>
      <c r="D1005" s="106"/>
      <c r="E1005" s="105"/>
      <c r="F1005" s="105"/>
      <c r="G1005" s="105"/>
      <c r="H1005" s="108"/>
      <c r="I1005" s="109"/>
      <c r="J1005" s="110"/>
      <c r="K1005" s="109"/>
      <c r="L1005" s="109"/>
      <c r="M1005" s="109"/>
    </row>
    <row r="1006">
      <c r="A1006" s="103"/>
      <c r="B1006" s="104"/>
      <c r="C1006" s="105"/>
      <c r="D1006" s="106"/>
      <c r="E1006" s="105"/>
      <c r="F1006" s="105"/>
      <c r="G1006" s="105"/>
      <c r="H1006" s="108"/>
      <c r="I1006" s="109"/>
      <c r="J1006" s="110"/>
      <c r="K1006" s="109"/>
      <c r="L1006" s="109"/>
      <c r="M1006" s="109"/>
    </row>
    <row r="1007">
      <c r="A1007" s="103"/>
      <c r="B1007" s="104"/>
      <c r="C1007" s="105"/>
      <c r="D1007" s="106"/>
      <c r="E1007" s="105"/>
      <c r="F1007" s="105"/>
      <c r="G1007" s="105"/>
      <c r="H1007" s="108"/>
      <c r="I1007" s="109"/>
      <c r="J1007" s="110"/>
      <c r="K1007" s="109"/>
      <c r="L1007" s="109"/>
      <c r="M1007" s="109"/>
    </row>
    <row r="1008">
      <c r="A1008" s="103"/>
      <c r="B1008" s="104"/>
      <c r="C1008" s="105"/>
      <c r="D1008" s="106"/>
      <c r="E1008" s="105"/>
      <c r="F1008" s="105"/>
      <c r="G1008" s="105"/>
      <c r="H1008" s="108"/>
      <c r="I1008" s="109"/>
      <c r="J1008" s="110"/>
      <c r="K1008" s="109"/>
      <c r="L1008" s="109"/>
      <c r="M1008" s="109"/>
    </row>
    <row r="1009">
      <c r="A1009" s="103"/>
      <c r="B1009" s="104"/>
      <c r="C1009" s="105"/>
      <c r="D1009" s="106"/>
      <c r="E1009" s="105"/>
      <c r="F1009" s="105"/>
      <c r="G1009" s="105"/>
      <c r="H1009" s="108"/>
      <c r="I1009" s="109"/>
      <c r="J1009" s="110"/>
      <c r="K1009" s="109"/>
      <c r="L1009" s="109"/>
      <c r="M1009" s="109"/>
    </row>
    <row r="1010">
      <c r="A1010" s="103"/>
      <c r="B1010" s="104"/>
      <c r="C1010" s="105"/>
      <c r="D1010" s="106"/>
      <c r="E1010" s="105"/>
      <c r="F1010" s="105"/>
      <c r="G1010" s="105"/>
      <c r="H1010" s="108"/>
      <c r="I1010" s="109"/>
      <c r="J1010" s="110"/>
      <c r="K1010" s="109"/>
      <c r="L1010" s="109"/>
      <c r="M1010" s="109"/>
    </row>
    <row r="1011">
      <c r="A1011" s="103"/>
      <c r="B1011" s="104"/>
      <c r="C1011" s="105"/>
      <c r="D1011" s="106"/>
      <c r="E1011" s="105"/>
      <c r="F1011" s="105"/>
      <c r="G1011" s="105"/>
      <c r="H1011" s="108"/>
      <c r="I1011" s="109"/>
      <c r="J1011" s="110"/>
      <c r="K1011" s="109"/>
      <c r="L1011" s="109"/>
      <c r="M1011" s="109"/>
    </row>
    <row r="1012">
      <c r="A1012" s="103"/>
      <c r="B1012" s="104"/>
      <c r="C1012" s="105"/>
      <c r="D1012" s="106"/>
      <c r="E1012" s="105"/>
      <c r="F1012" s="105"/>
      <c r="G1012" s="105"/>
      <c r="H1012" s="108"/>
      <c r="I1012" s="109"/>
      <c r="J1012" s="110"/>
      <c r="K1012" s="109"/>
      <c r="L1012" s="109"/>
      <c r="M1012" s="109"/>
    </row>
    <row r="1013">
      <c r="A1013" s="103"/>
      <c r="B1013" s="104"/>
      <c r="C1013" s="105"/>
      <c r="D1013" s="106"/>
      <c r="E1013" s="105"/>
      <c r="F1013" s="105"/>
      <c r="G1013" s="105"/>
      <c r="H1013" s="108"/>
      <c r="I1013" s="109"/>
      <c r="J1013" s="110"/>
      <c r="K1013" s="109"/>
      <c r="L1013" s="109"/>
      <c r="M1013" s="109"/>
    </row>
    <row r="1014">
      <c r="A1014" s="103"/>
      <c r="B1014" s="104"/>
      <c r="C1014" s="105"/>
      <c r="D1014" s="106"/>
      <c r="E1014" s="105"/>
      <c r="F1014" s="105"/>
      <c r="G1014" s="105"/>
      <c r="H1014" s="108"/>
      <c r="I1014" s="109"/>
      <c r="J1014" s="110"/>
      <c r="K1014" s="109"/>
      <c r="L1014" s="109"/>
      <c r="M1014" s="109"/>
    </row>
    <row r="1015">
      <c r="A1015" s="103"/>
      <c r="B1015" s="104"/>
      <c r="C1015" s="105"/>
      <c r="D1015" s="106"/>
      <c r="E1015" s="105"/>
      <c r="F1015" s="105"/>
      <c r="G1015" s="105"/>
      <c r="H1015" s="108"/>
      <c r="I1015" s="109"/>
      <c r="J1015" s="110"/>
      <c r="K1015" s="109"/>
      <c r="L1015" s="109"/>
      <c r="M1015" s="109"/>
    </row>
    <row r="1016">
      <c r="A1016" s="103"/>
      <c r="B1016" s="104"/>
      <c r="C1016" s="105"/>
      <c r="D1016" s="106"/>
      <c r="E1016" s="105"/>
      <c r="F1016" s="105"/>
      <c r="G1016" s="105"/>
      <c r="H1016" s="108"/>
      <c r="I1016" s="109"/>
      <c r="J1016" s="110"/>
      <c r="K1016" s="109"/>
      <c r="L1016" s="109"/>
      <c r="M1016" s="109"/>
    </row>
    <row r="1017">
      <c r="A1017" s="103"/>
      <c r="B1017" s="104"/>
      <c r="C1017" s="105"/>
      <c r="D1017" s="106"/>
      <c r="E1017" s="105"/>
      <c r="F1017" s="105"/>
      <c r="G1017" s="105"/>
      <c r="H1017" s="108"/>
      <c r="I1017" s="109"/>
      <c r="J1017" s="110"/>
      <c r="K1017" s="109"/>
      <c r="L1017" s="109"/>
      <c r="M1017" s="109"/>
    </row>
    <row r="1018">
      <c r="A1018" s="103"/>
      <c r="B1018" s="104"/>
      <c r="C1018" s="105"/>
      <c r="D1018" s="106"/>
      <c r="E1018" s="105"/>
      <c r="F1018" s="105"/>
      <c r="G1018" s="105"/>
      <c r="H1018" s="108"/>
      <c r="I1018" s="109"/>
      <c r="J1018" s="110"/>
      <c r="K1018" s="109"/>
      <c r="L1018" s="109"/>
      <c r="M1018" s="109"/>
    </row>
    <row r="1019">
      <c r="A1019" s="103"/>
      <c r="B1019" s="104"/>
      <c r="C1019" s="105"/>
      <c r="D1019" s="106"/>
      <c r="E1019" s="105"/>
      <c r="F1019" s="105"/>
      <c r="G1019" s="105"/>
      <c r="H1019" s="108"/>
      <c r="I1019" s="109"/>
      <c r="J1019" s="110"/>
      <c r="K1019" s="109"/>
      <c r="L1019" s="109"/>
      <c r="M1019" s="109"/>
    </row>
    <row r="1020">
      <c r="A1020" s="103"/>
      <c r="B1020" s="104"/>
      <c r="C1020" s="105"/>
      <c r="D1020" s="106"/>
      <c r="E1020" s="105"/>
      <c r="F1020" s="105"/>
      <c r="G1020" s="105"/>
      <c r="H1020" s="108"/>
      <c r="I1020" s="109"/>
      <c r="J1020" s="110"/>
      <c r="K1020" s="109"/>
      <c r="L1020" s="109"/>
      <c r="M1020" s="109"/>
    </row>
    <row r="1021">
      <c r="A1021" s="103"/>
      <c r="B1021" s="104"/>
      <c r="C1021" s="105"/>
      <c r="D1021" s="106"/>
      <c r="E1021" s="105"/>
      <c r="F1021" s="105"/>
      <c r="G1021" s="105"/>
      <c r="H1021" s="108"/>
      <c r="I1021" s="109"/>
      <c r="J1021" s="110"/>
      <c r="K1021" s="109"/>
      <c r="L1021" s="109"/>
      <c r="M1021" s="109"/>
    </row>
    <row r="1022">
      <c r="A1022" s="103"/>
      <c r="B1022" s="104"/>
      <c r="C1022" s="105"/>
      <c r="D1022" s="106"/>
      <c r="E1022" s="105"/>
      <c r="F1022" s="105"/>
      <c r="G1022" s="105"/>
      <c r="H1022" s="108"/>
      <c r="I1022" s="109"/>
      <c r="J1022" s="110"/>
      <c r="K1022" s="109"/>
      <c r="L1022" s="109"/>
      <c r="M1022" s="109"/>
    </row>
    <row r="1023">
      <c r="A1023" s="103"/>
      <c r="B1023" s="104"/>
      <c r="C1023" s="105"/>
      <c r="D1023" s="106"/>
      <c r="E1023" s="105"/>
      <c r="F1023" s="105"/>
      <c r="G1023" s="105"/>
      <c r="H1023" s="108"/>
      <c r="I1023" s="109"/>
      <c r="J1023" s="110"/>
      <c r="K1023" s="109"/>
      <c r="L1023" s="109"/>
      <c r="M1023" s="109"/>
    </row>
    <row r="1024">
      <c r="A1024" s="103"/>
      <c r="B1024" s="104"/>
      <c r="C1024" s="105"/>
      <c r="D1024" s="106"/>
      <c r="E1024" s="105"/>
      <c r="F1024" s="105"/>
      <c r="G1024" s="105"/>
      <c r="H1024" s="108"/>
      <c r="I1024" s="109"/>
      <c r="J1024" s="110"/>
      <c r="K1024" s="109"/>
      <c r="L1024" s="109"/>
      <c r="M1024" s="109"/>
    </row>
    <row r="1025">
      <c r="A1025" s="103"/>
      <c r="B1025" s="104"/>
      <c r="C1025" s="105"/>
      <c r="D1025" s="106"/>
      <c r="E1025" s="105"/>
      <c r="F1025" s="105"/>
      <c r="G1025" s="105"/>
      <c r="H1025" s="108"/>
      <c r="I1025" s="109"/>
      <c r="J1025" s="110"/>
      <c r="K1025" s="109"/>
      <c r="L1025" s="109"/>
      <c r="M1025" s="109"/>
    </row>
    <row r="1026">
      <c r="A1026" s="103"/>
      <c r="B1026" s="104"/>
      <c r="C1026" s="105"/>
      <c r="D1026" s="106"/>
      <c r="E1026" s="105"/>
      <c r="F1026" s="105"/>
      <c r="G1026" s="105"/>
      <c r="H1026" s="108"/>
      <c r="I1026" s="109"/>
      <c r="J1026" s="110"/>
      <c r="K1026" s="109"/>
      <c r="L1026" s="109"/>
      <c r="M1026" s="109"/>
    </row>
    <row r="1027">
      <c r="A1027" s="103"/>
      <c r="B1027" s="104"/>
      <c r="C1027" s="105"/>
      <c r="D1027" s="106"/>
      <c r="E1027" s="105"/>
      <c r="F1027" s="105"/>
      <c r="G1027" s="105"/>
      <c r="H1027" s="108"/>
      <c r="I1027" s="109"/>
      <c r="J1027" s="110"/>
      <c r="K1027" s="109"/>
      <c r="L1027" s="109"/>
      <c r="M1027" s="109"/>
    </row>
    <row r="1028">
      <c r="A1028" s="103"/>
      <c r="B1028" s="104"/>
      <c r="C1028" s="105"/>
      <c r="D1028" s="106"/>
      <c r="E1028" s="105"/>
      <c r="F1028" s="105"/>
      <c r="G1028" s="105"/>
      <c r="H1028" s="108"/>
      <c r="I1028" s="109"/>
      <c r="J1028" s="110"/>
      <c r="K1028" s="109"/>
      <c r="L1028" s="109"/>
      <c r="M1028" s="109"/>
    </row>
    <row r="1029">
      <c r="A1029" s="103"/>
      <c r="B1029" s="104"/>
      <c r="C1029" s="105"/>
      <c r="D1029" s="106"/>
      <c r="E1029" s="105"/>
      <c r="F1029" s="105"/>
      <c r="G1029" s="105"/>
      <c r="H1029" s="108"/>
      <c r="I1029" s="109"/>
      <c r="J1029" s="110"/>
      <c r="K1029" s="109"/>
      <c r="L1029" s="109"/>
      <c r="M1029" s="109"/>
    </row>
    <row r="1030">
      <c r="A1030" s="103"/>
      <c r="B1030" s="104"/>
      <c r="C1030" s="105"/>
      <c r="D1030" s="106"/>
      <c r="E1030" s="105"/>
      <c r="F1030" s="105"/>
      <c r="G1030" s="105"/>
      <c r="H1030" s="108"/>
      <c r="I1030" s="109"/>
      <c r="J1030" s="110"/>
      <c r="K1030" s="109"/>
      <c r="L1030" s="109"/>
      <c r="M1030" s="109"/>
    </row>
    <row r="1031">
      <c r="A1031" s="103"/>
      <c r="B1031" s="104"/>
      <c r="C1031" s="105"/>
      <c r="D1031" s="106"/>
      <c r="E1031" s="105"/>
      <c r="F1031" s="105"/>
      <c r="G1031" s="105"/>
      <c r="H1031" s="108"/>
      <c r="I1031" s="109"/>
      <c r="J1031" s="110"/>
      <c r="K1031" s="109"/>
      <c r="L1031" s="109"/>
      <c r="M1031" s="109"/>
    </row>
    <row r="1032">
      <c r="A1032" s="103"/>
      <c r="B1032" s="104"/>
      <c r="C1032" s="105"/>
      <c r="D1032" s="106"/>
      <c r="E1032" s="105"/>
      <c r="F1032" s="105"/>
      <c r="G1032" s="105"/>
      <c r="H1032" s="108"/>
      <c r="I1032" s="109"/>
      <c r="J1032" s="110"/>
      <c r="K1032" s="109"/>
      <c r="L1032" s="109"/>
      <c r="M1032" s="109"/>
    </row>
    <row r="1033">
      <c r="A1033" s="103"/>
      <c r="B1033" s="104"/>
      <c r="C1033" s="105"/>
      <c r="D1033" s="106"/>
      <c r="E1033" s="105"/>
      <c r="F1033" s="105"/>
      <c r="G1033" s="105"/>
      <c r="H1033" s="108"/>
      <c r="I1033" s="109"/>
      <c r="J1033" s="110"/>
      <c r="K1033" s="109"/>
      <c r="L1033" s="109"/>
      <c r="M1033" s="109"/>
    </row>
    <row r="1034">
      <c r="A1034" s="103"/>
      <c r="B1034" s="104"/>
      <c r="C1034" s="105"/>
      <c r="D1034" s="106"/>
      <c r="E1034" s="105"/>
      <c r="F1034" s="105"/>
      <c r="G1034" s="105"/>
      <c r="H1034" s="108"/>
      <c r="I1034" s="109"/>
      <c r="J1034" s="110"/>
      <c r="K1034" s="109"/>
      <c r="L1034" s="109"/>
      <c r="M1034" s="109"/>
    </row>
    <row r="1035">
      <c r="A1035" s="103"/>
      <c r="B1035" s="104"/>
      <c r="C1035" s="105"/>
      <c r="D1035" s="106"/>
      <c r="E1035" s="105"/>
      <c r="F1035" s="105"/>
      <c r="G1035" s="105"/>
      <c r="H1035" s="108"/>
      <c r="I1035" s="109"/>
      <c r="J1035" s="110"/>
      <c r="K1035" s="109"/>
      <c r="L1035" s="109"/>
      <c r="M1035" s="109"/>
    </row>
    <row r="1036">
      <c r="A1036" s="103"/>
      <c r="B1036" s="104"/>
      <c r="C1036" s="105"/>
      <c r="D1036" s="106"/>
      <c r="E1036" s="105"/>
      <c r="F1036" s="105"/>
      <c r="G1036" s="105"/>
      <c r="H1036" s="108"/>
      <c r="I1036" s="109"/>
      <c r="J1036" s="110"/>
      <c r="K1036" s="109"/>
      <c r="L1036" s="109"/>
      <c r="M1036" s="109"/>
    </row>
    <row r="1037">
      <c r="A1037" s="103"/>
      <c r="B1037" s="104"/>
      <c r="C1037" s="105"/>
      <c r="D1037" s="106"/>
      <c r="E1037" s="105"/>
      <c r="F1037" s="105"/>
      <c r="G1037" s="105"/>
      <c r="H1037" s="108"/>
      <c r="I1037" s="109"/>
      <c r="J1037" s="110"/>
      <c r="K1037" s="109"/>
      <c r="L1037" s="109"/>
      <c r="M1037" s="109"/>
    </row>
    <row r="1038">
      <c r="A1038" s="103"/>
      <c r="B1038" s="104"/>
      <c r="C1038" s="105"/>
      <c r="D1038" s="106"/>
      <c r="E1038" s="105"/>
      <c r="F1038" s="105"/>
      <c r="G1038" s="105"/>
      <c r="H1038" s="108"/>
      <c r="I1038" s="109"/>
      <c r="J1038" s="110"/>
      <c r="K1038" s="109"/>
      <c r="L1038" s="109"/>
      <c r="M1038" s="109"/>
    </row>
    <row r="1039">
      <c r="A1039" s="103"/>
      <c r="B1039" s="104"/>
      <c r="C1039" s="105"/>
      <c r="D1039" s="106"/>
      <c r="E1039" s="105"/>
      <c r="F1039" s="105"/>
      <c r="G1039" s="105"/>
      <c r="H1039" s="108"/>
      <c r="I1039" s="109"/>
      <c r="J1039" s="110"/>
      <c r="K1039" s="109"/>
      <c r="L1039" s="109"/>
      <c r="M1039" s="109"/>
    </row>
    <row r="1040">
      <c r="A1040" s="103"/>
      <c r="B1040" s="104"/>
      <c r="C1040" s="105"/>
      <c r="D1040" s="106"/>
      <c r="E1040" s="105"/>
      <c r="F1040" s="105"/>
      <c r="G1040" s="105"/>
      <c r="H1040" s="108"/>
      <c r="I1040" s="109"/>
      <c r="J1040" s="110"/>
      <c r="K1040" s="109"/>
      <c r="L1040" s="109"/>
      <c r="M1040" s="109"/>
    </row>
    <row r="1041">
      <c r="A1041" s="103"/>
      <c r="B1041" s="104"/>
      <c r="C1041" s="105"/>
      <c r="D1041" s="106"/>
      <c r="E1041" s="105"/>
      <c r="F1041" s="105"/>
      <c r="G1041" s="105"/>
      <c r="H1041" s="108"/>
      <c r="I1041" s="109"/>
      <c r="J1041" s="110"/>
      <c r="K1041" s="109"/>
      <c r="L1041" s="109"/>
      <c r="M1041" s="109"/>
    </row>
    <row r="1042">
      <c r="A1042" s="103"/>
      <c r="B1042" s="104"/>
      <c r="C1042" s="105"/>
      <c r="D1042" s="106"/>
      <c r="E1042" s="105"/>
      <c r="F1042" s="105"/>
      <c r="G1042" s="105"/>
      <c r="H1042" s="108"/>
      <c r="I1042" s="109"/>
      <c r="J1042" s="110"/>
      <c r="K1042" s="109"/>
      <c r="L1042" s="109"/>
      <c r="M1042" s="109"/>
    </row>
    <row r="1043">
      <c r="A1043" s="103"/>
      <c r="B1043" s="104"/>
      <c r="C1043" s="105"/>
      <c r="D1043" s="106"/>
      <c r="E1043" s="105"/>
      <c r="F1043" s="105"/>
      <c r="G1043" s="105"/>
      <c r="H1043" s="108"/>
      <c r="I1043" s="109"/>
      <c r="J1043" s="110"/>
      <c r="K1043" s="109"/>
      <c r="L1043" s="109"/>
      <c r="M1043" s="109"/>
    </row>
    <row r="1044">
      <c r="A1044" s="103"/>
      <c r="B1044" s="104"/>
      <c r="C1044" s="105"/>
      <c r="D1044" s="106"/>
      <c r="E1044" s="105"/>
      <c r="F1044" s="105"/>
      <c r="G1044" s="105"/>
      <c r="H1044" s="108"/>
      <c r="I1044" s="109"/>
      <c r="J1044" s="110"/>
      <c r="K1044" s="109"/>
      <c r="L1044" s="109"/>
      <c r="M1044" s="109"/>
    </row>
    <row r="1045">
      <c r="A1045" s="103"/>
      <c r="B1045" s="104"/>
      <c r="C1045" s="105"/>
      <c r="D1045" s="106"/>
      <c r="E1045" s="105"/>
      <c r="F1045" s="105"/>
      <c r="G1045" s="105"/>
      <c r="H1045" s="108"/>
      <c r="I1045" s="109"/>
      <c r="J1045" s="110"/>
      <c r="K1045" s="109"/>
      <c r="L1045" s="109"/>
      <c r="M1045" s="109"/>
    </row>
    <row r="1046">
      <c r="A1046" s="103"/>
      <c r="B1046" s="104"/>
      <c r="C1046" s="105"/>
      <c r="D1046" s="106"/>
      <c r="E1046" s="105"/>
      <c r="F1046" s="105"/>
      <c r="G1046" s="105"/>
      <c r="H1046" s="108"/>
      <c r="I1046" s="109"/>
      <c r="J1046" s="110"/>
      <c r="K1046" s="109"/>
      <c r="L1046" s="109"/>
      <c r="M1046" s="109"/>
    </row>
    <row r="1047">
      <c r="A1047" s="103"/>
      <c r="B1047" s="104"/>
      <c r="C1047" s="105"/>
      <c r="D1047" s="106"/>
      <c r="E1047" s="105"/>
      <c r="F1047" s="105"/>
      <c r="G1047" s="105"/>
      <c r="H1047" s="108"/>
      <c r="I1047" s="109"/>
      <c r="J1047" s="110"/>
      <c r="K1047" s="109"/>
      <c r="L1047" s="109"/>
      <c r="M1047" s="109"/>
    </row>
    <row r="1048">
      <c r="A1048" s="103"/>
      <c r="B1048" s="104"/>
      <c r="C1048" s="105"/>
      <c r="D1048" s="106"/>
      <c r="E1048" s="105"/>
      <c r="F1048" s="105"/>
      <c r="G1048" s="105"/>
      <c r="H1048" s="108"/>
      <c r="I1048" s="109"/>
      <c r="J1048" s="110"/>
      <c r="K1048" s="109"/>
      <c r="L1048" s="109"/>
      <c r="M1048" s="109"/>
    </row>
    <row r="1049">
      <c r="A1049" s="103"/>
      <c r="B1049" s="104"/>
      <c r="C1049" s="105"/>
      <c r="D1049" s="106"/>
      <c r="E1049" s="105"/>
      <c r="F1049" s="105"/>
      <c r="G1049" s="105"/>
      <c r="H1049" s="108"/>
      <c r="I1049" s="109"/>
      <c r="J1049" s="110"/>
      <c r="K1049" s="109"/>
      <c r="L1049" s="109"/>
      <c r="M1049" s="109"/>
    </row>
    <row r="1050">
      <c r="A1050" s="103"/>
      <c r="B1050" s="104"/>
      <c r="C1050" s="105"/>
      <c r="D1050" s="106"/>
      <c r="E1050" s="105"/>
      <c r="F1050" s="105"/>
      <c r="G1050" s="105"/>
      <c r="H1050" s="108"/>
      <c r="I1050" s="109"/>
      <c r="J1050" s="110"/>
      <c r="K1050" s="109"/>
      <c r="L1050" s="109"/>
      <c r="M1050" s="109"/>
    </row>
    <row r="1051">
      <c r="A1051" s="103"/>
      <c r="B1051" s="104"/>
      <c r="C1051" s="105"/>
      <c r="D1051" s="106"/>
      <c r="E1051" s="105"/>
      <c r="F1051" s="105"/>
      <c r="G1051" s="105"/>
      <c r="H1051" s="108"/>
      <c r="I1051" s="109"/>
      <c r="J1051" s="110"/>
      <c r="K1051" s="109"/>
      <c r="L1051" s="109"/>
      <c r="M1051" s="109"/>
    </row>
    <row r="1052">
      <c r="A1052" s="103"/>
      <c r="B1052" s="104"/>
      <c r="C1052" s="105"/>
      <c r="D1052" s="106"/>
      <c r="E1052" s="105"/>
      <c r="F1052" s="105"/>
      <c r="G1052" s="105"/>
      <c r="H1052" s="108"/>
      <c r="I1052" s="109"/>
      <c r="J1052" s="110"/>
      <c r="K1052" s="109"/>
      <c r="L1052" s="109"/>
      <c r="M1052" s="109"/>
    </row>
    <row r="1053">
      <c r="A1053" s="103"/>
      <c r="B1053" s="104"/>
      <c r="C1053" s="105"/>
      <c r="D1053" s="106"/>
      <c r="E1053" s="105"/>
      <c r="F1053" s="105"/>
      <c r="G1053" s="105"/>
      <c r="H1053" s="108"/>
      <c r="I1053" s="109"/>
      <c r="J1053" s="110"/>
      <c r="K1053" s="109"/>
      <c r="L1053" s="109"/>
      <c r="M1053" s="109"/>
    </row>
    <row r="1054">
      <c r="A1054" s="103"/>
      <c r="B1054" s="104"/>
      <c r="C1054" s="105"/>
      <c r="D1054" s="106"/>
      <c r="E1054" s="105"/>
      <c r="F1054" s="105"/>
      <c r="G1054" s="105"/>
      <c r="H1054" s="108"/>
      <c r="I1054" s="109"/>
      <c r="J1054" s="110"/>
      <c r="K1054" s="109"/>
      <c r="L1054" s="109"/>
      <c r="M1054" s="109"/>
    </row>
    <row r="1055">
      <c r="A1055" s="103"/>
      <c r="B1055" s="104"/>
      <c r="C1055" s="105"/>
      <c r="D1055" s="106"/>
      <c r="E1055" s="105"/>
      <c r="F1055" s="105"/>
      <c r="G1055" s="105"/>
      <c r="H1055" s="108"/>
      <c r="I1055" s="109"/>
      <c r="J1055" s="110"/>
      <c r="K1055" s="109"/>
      <c r="L1055" s="109"/>
      <c r="M1055" s="109"/>
    </row>
    <row r="1056">
      <c r="A1056" s="103"/>
      <c r="B1056" s="104"/>
      <c r="C1056" s="105"/>
      <c r="D1056" s="106"/>
      <c r="E1056" s="105"/>
      <c r="F1056" s="105"/>
      <c r="G1056" s="105"/>
      <c r="H1056" s="108"/>
      <c r="I1056" s="109"/>
      <c r="J1056" s="110"/>
      <c r="K1056" s="109"/>
      <c r="L1056" s="109"/>
      <c r="M1056" s="109"/>
    </row>
    <row r="1057">
      <c r="A1057" s="103"/>
      <c r="B1057" s="104"/>
      <c r="C1057" s="105"/>
      <c r="D1057" s="106"/>
      <c r="E1057" s="105"/>
      <c r="F1057" s="105"/>
      <c r="G1057" s="105"/>
      <c r="H1057" s="108"/>
      <c r="I1057" s="109"/>
      <c r="J1057" s="110"/>
      <c r="K1057" s="109"/>
      <c r="L1057" s="109"/>
      <c r="M1057" s="109"/>
    </row>
    <row r="1058">
      <c r="A1058" s="103"/>
      <c r="B1058" s="104"/>
      <c r="C1058" s="105"/>
      <c r="D1058" s="106"/>
      <c r="E1058" s="105"/>
      <c r="F1058" s="105"/>
      <c r="G1058" s="105"/>
      <c r="H1058" s="108"/>
      <c r="I1058" s="109"/>
      <c r="J1058" s="110"/>
      <c r="K1058" s="109"/>
      <c r="L1058" s="109"/>
      <c r="M1058" s="109"/>
    </row>
    <row r="1059">
      <c r="A1059" s="103"/>
      <c r="B1059" s="104"/>
      <c r="C1059" s="105"/>
      <c r="D1059" s="106"/>
      <c r="E1059" s="105"/>
      <c r="F1059" s="105"/>
      <c r="G1059" s="105"/>
      <c r="H1059" s="108"/>
      <c r="I1059" s="109"/>
      <c r="J1059" s="110"/>
      <c r="K1059" s="109"/>
      <c r="L1059" s="109"/>
      <c r="M1059" s="109"/>
    </row>
    <row r="1060">
      <c r="A1060" s="103"/>
      <c r="B1060" s="104"/>
      <c r="C1060" s="105"/>
      <c r="D1060" s="106"/>
      <c r="E1060" s="105"/>
      <c r="F1060" s="105"/>
      <c r="G1060" s="105"/>
      <c r="H1060" s="108"/>
      <c r="I1060" s="109"/>
      <c r="J1060" s="110"/>
      <c r="K1060" s="109"/>
      <c r="L1060" s="109"/>
      <c r="M1060" s="109"/>
    </row>
  </sheetData>
  <autoFilter ref="$A$1:$R$1060"/>
  <conditionalFormatting sqref="D237:D238">
    <cfRule type="expression" dxfId="0" priority="1">
      <formula>countif(D:D,D:D)&gt;1</formula>
    </cfRule>
  </conditionalFormatting>
  <hyperlinks>
    <hyperlink r:id="rId2" ref="D241"/>
    <hyperlink r:id="rId3" ref="D244"/>
    <hyperlink r:id="rId4" ref="D245"/>
  </hyperlinks>
  <drawing r:id="rId5"/>
  <legacyDrawing r:id="rId6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6" max="6" width="23.5"/>
    <col customWidth="1" min="14" max="14" width="19.63"/>
  </cols>
  <sheetData>
    <row r="1">
      <c r="A1" s="394" t="s">
        <v>2531</v>
      </c>
      <c r="B1" s="395" t="s">
        <v>2532</v>
      </c>
      <c r="C1" s="395" t="s">
        <v>2533</v>
      </c>
      <c r="D1" s="395" t="s">
        <v>2</v>
      </c>
      <c r="E1" s="121" t="s">
        <v>1</v>
      </c>
      <c r="F1" s="121" t="s">
        <v>3</v>
      </c>
      <c r="G1" s="395" t="s">
        <v>2534</v>
      </c>
      <c r="H1" s="396" t="s">
        <v>6</v>
      </c>
      <c r="I1" s="395" t="s">
        <v>5</v>
      </c>
      <c r="J1" s="395" t="s">
        <v>2535</v>
      </c>
      <c r="K1" s="395" t="s">
        <v>2536</v>
      </c>
      <c r="L1" s="395" t="s">
        <v>2537</v>
      </c>
      <c r="M1" s="395" t="s">
        <v>2538</v>
      </c>
      <c r="N1" s="395" t="s">
        <v>2539</v>
      </c>
      <c r="O1" s="395" t="s">
        <v>2340</v>
      </c>
      <c r="P1" s="397"/>
      <c r="Q1" s="397"/>
      <c r="R1" s="397"/>
      <c r="S1" s="397"/>
      <c r="T1" s="397"/>
    </row>
    <row r="2">
      <c r="A2" s="398">
        <v>2025.0</v>
      </c>
      <c r="B2" s="399">
        <v>0.0</v>
      </c>
      <c r="C2" s="399">
        <v>0.0</v>
      </c>
      <c r="D2" s="400"/>
      <c r="E2" s="399" t="s">
        <v>743</v>
      </c>
      <c r="F2" s="139" t="s">
        <v>2540</v>
      </c>
      <c r="G2" s="399" t="s">
        <v>2541</v>
      </c>
      <c r="H2" s="400"/>
      <c r="I2" s="400"/>
      <c r="J2" s="399" t="s">
        <v>923</v>
      </c>
      <c r="K2" s="399" t="s">
        <v>1965</v>
      </c>
      <c r="L2" s="399" t="s">
        <v>29</v>
      </c>
      <c r="M2" s="399" t="s">
        <v>29</v>
      </c>
      <c r="N2" s="400" t="str">
        <f>+82 2 3451 7681</f>
        <v>#ERROR!</v>
      </c>
      <c r="O2" s="400"/>
      <c r="P2" s="397"/>
      <c r="Q2" s="397"/>
      <c r="R2" s="397"/>
      <c r="S2" s="397"/>
      <c r="T2" s="397"/>
    </row>
    <row r="3">
      <c r="A3" s="398">
        <v>2025.0</v>
      </c>
      <c r="B3" s="399">
        <v>5.0</v>
      </c>
      <c r="C3" s="399">
        <v>2.0</v>
      </c>
      <c r="D3" s="399" t="s">
        <v>2528</v>
      </c>
      <c r="E3" s="399" t="s">
        <v>2527</v>
      </c>
      <c r="F3" s="139" t="s">
        <v>2542</v>
      </c>
      <c r="G3" s="399" t="s">
        <v>2543</v>
      </c>
      <c r="H3" s="400"/>
      <c r="I3" s="399" t="s">
        <v>27</v>
      </c>
      <c r="J3" s="399" t="s">
        <v>1017</v>
      </c>
      <c r="K3" s="399" t="s">
        <v>29</v>
      </c>
      <c r="L3" s="399" t="s">
        <v>29</v>
      </c>
      <c r="M3" s="399" t="s">
        <v>29</v>
      </c>
      <c r="N3" s="399" t="s">
        <v>29</v>
      </c>
      <c r="O3" s="400"/>
      <c r="P3" s="397"/>
      <c r="Q3" s="397"/>
      <c r="R3" s="397"/>
      <c r="S3" s="397"/>
      <c r="T3" s="397"/>
    </row>
    <row r="4">
      <c r="A4" s="398">
        <v>2025.0</v>
      </c>
      <c r="B4" s="399">
        <v>5.0</v>
      </c>
      <c r="C4" s="399">
        <v>7.0</v>
      </c>
      <c r="D4" s="399" t="s">
        <v>495</v>
      </c>
      <c r="E4" s="399" t="s">
        <v>2544</v>
      </c>
      <c r="F4" s="139" t="s">
        <v>2545</v>
      </c>
      <c r="G4" s="399" t="s">
        <v>2546</v>
      </c>
      <c r="H4" s="400"/>
      <c r="I4" s="399" t="s">
        <v>62</v>
      </c>
      <c r="J4" s="399" t="s">
        <v>1176</v>
      </c>
      <c r="K4" s="399" t="s">
        <v>29</v>
      </c>
      <c r="L4" s="399" t="s">
        <v>29</v>
      </c>
      <c r="M4" s="399" t="s">
        <v>29</v>
      </c>
      <c r="N4" s="400" t="str">
        <f>+82 2 3451 7652</f>
        <v>#ERROR!</v>
      </c>
      <c r="O4" s="400"/>
      <c r="P4" s="397"/>
      <c r="Q4" s="397"/>
      <c r="R4" s="397"/>
      <c r="S4" s="397"/>
      <c r="T4" s="397"/>
    </row>
    <row r="5">
      <c r="A5" s="398">
        <v>2025.0</v>
      </c>
      <c r="B5" s="399">
        <v>5.0</v>
      </c>
      <c r="C5" s="399">
        <v>19.0</v>
      </c>
      <c r="D5" s="399" t="s">
        <v>769</v>
      </c>
      <c r="E5" s="399" t="s">
        <v>2547</v>
      </c>
      <c r="F5" s="139" t="s">
        <v>2548</v>
      </c>
      <c r="G5" s="399" t="s">
        <v>2546</v>
      </c>
      <c r="H5" s="399" t="s">
        <v>53</v>
      </c>
      <c r="I5" s="399" t="s">
        <v>27</v>
      </c>
      <c r="J5" s="399" t="s">
        <v>1193</v>
      </c>
      <c r="K5" s="399" t="s">
        <v>2228</v>
      </c>
      <c r="L5" s="399" t="s">
        <v>29</v>
      </c>
      <c r="M5" s="399" t="s">
        <v>29</v>
      </c>
      <c r="N5" s="399" t="s">
        <v>29</v>
      </c>
      <c r="O5" s="400"/>
      <c r="P5" s="397"/>
      <c r="Q5" s="397"/>
      <c r="R5" s="397"/>
      <c r="S5" s="397"/>
      <c r="T5" s="397"/>
    </row>
    <row r="6">
      <c r="A6" s="398">
        <v>2025.0</v>
      </c>
      <c r="B6" s="399">
        <v>5.0</v>
      </c>
      <c r="C6" s="399">
        <v>26.0</v>
      </c>
      <c r="D6" s="399" t="s">
        <v>2549</v>
      </c>
      <c r="E6" s="399" t="s">
        <v>2550</v>
      </c>
      <c r="F6" s="139" t="s">
        <v>2551</v>
      </c>
      <c r="G6" s="399" t="s">
        <v>2546</v>
      </c>
      <c r="H6" s="399" t="s">
        <v>28</v>
      </c>
      <c r="I6" s="399" t="s">
        <v>27</v>
      </c>
      <c r="J6" s="399" t="s">
        <v>1254</v>
      </c>
      <c r="K6" s="399" t="s">
        <v>2240</v>
      </c>
      <c r="L6" s="399" t="s">
        <v>29</v>
      </c>
      <c r="M6" s="399" t="s">
        <v>29</v>
      </c>
      <c r="N6" s="399" t="s">
        <v>29</v>
      </c>
      <c r="O6" s="400"/>
      <c r="P6" s="397"/>
      <c r="Q6" s="397"/>
      <c r="R6" s="397"/>
      <c r="S6" s="397"/>
      <c r="T6" s="397"/>
    </row>
    <row r="7">
      <c r="A7" s="398">
        <v>2025.0</v>
      </c>
      <c r="B7" s="399">
        <v>6.0</v>
      </c>
      <c r="C7" s="399">
        <v>2.0</v>
      </c>
      <c r="D7" s="399" t="s">
        <v>778</v>
      </c>
      <c r="E7" s="399" t="s">
        <v>2552</v>
      </c>
      <c r="F7" s="139" t="s">
        <v>2553</v>
      </c>
      <c r="G7" s="401" t="s">
        <v>2554</v>
      </c>
      <c r="H7" s="399" t="s">
        <v>53</v>
      </c>
      <c r="I7" s="402" t="s">
        <v>52</v>
      </c>
      <c r="J7" s="399" t="s">
        <v>1228</v>
      </c>
      <c r="K7" s="399" t="s">
        <v>29</v>
      </c>
      <c r="L7" s="399" t="s">
        <v>2252</v>
      </c>
      <c r="M7" s="399" t="s">
        <v>29</v>
      </c>
      <c r="N7" s="399" t="s">
        <v>29</v>
      </c>
      <c r="O7" s="400"/>
      <c r="P7" s="397"/>
      <c r="Q7" s="397"/>
      <c r="R7" s="397"/>
      <c r="S7" s="397"/>
      <c r="T7" s="397"/>
    </row>
    <row r="8">
      <c r="A8" s="398">
        <v>2025.0</v>
      </c>
      <c r="B8" s="399">
        <v>6.0</v>
      </c>
      <c r="C8" s="399">
        <v>30.0</v>
      </c>
      <c r="D8" s="399" t="s">
        <v>808</v>
      </c>
      <c r="E8" s="399" t="s">
        <v>807</v>
      </c>
      <c r="F8" s="225" t="s">
        <v>2555</v>
      </c>
      <c r="G8" s="399" t="s">
        <v>2556</v>
      </c>
      <c r="H8" s="403"/>
      <c r="I8" s="399" t="s">
        <v>62</v>
      </c>
      <c r="J8" s="399" t="s">
        <v>1233</v>
      </c>
      <c r="K8" s="399" t="s">
        <v>29</v>
      </c>
      <c r="L8" s="399" t="s">
        <v>29</v>
      </c>
      <c r="M8" s="399" t="s">
        <v>29</v>
      </c>
      <c r="N8" s="399" t="s">
        <v>29</v>
      </c>
      <c r="O8" s="400"/>
      <c r="P8" s="397"/>
      <c r="Q8" s="397"/>
      <c r="R8" s="397"/>
      <c r="S8" s="397"/>
      <c r="T8" s="397"/>
    </row>
    <row r="9">
      <c r="A9" s="398">
        <v>2025.0</v>
      </c>
      <c r="B9" s="399">
        <v>7.0</v>
      </c>
      <c r="C9" s="399">
        <v>7.0</v>
      </c>
      <c r="D9" s="399" t="s">
        <v>817</v>
      </c>
      <c r="E9" s="399" t="s">
        <v>819</v>
      </c>
      <c r="F9" s="225" t="s">
        <v>2557</v>
      </c>
      <c r="G9" s="399" t="s">
        <v>2558</v>
      </c>
      <c r="H9" s="403"/>
      <c r="I9" s="399" t="s">
        <v>77</v>
      </c>
      <c r="J9" s="404" t="s">
        <v>2287</v>
      </c>
      <c r="K9" s="399" t="s">
        <v>29</v>
      </c>
      <c r="L9" s="399" t="s">
        <v>29</v>
      </c>
      <c r="M9" s="399" t="s">
        <v>29</v>
      </c>
      <c r="N9" s="399" t="s">
        <v>29</v>
      </c>
      <c r="O9" s="400"/>
      <c r="P9" s="397"/>
      <c r="Q9" s="397"/>
      <c r="R9" s="397"/>
      <c r="S9" s="397"/>
      <c r="T9" s="397"/>
    </row>
    <row r="10">
      <c r="A10" s="398">
        <v>2025.0</v>
      </c>
      <c r="B10" s="399">
        <v>7.0</v>
      </c>
      <c r="C10" s="399">
        <v>28.0</v>
      </c>
      <c r="D10" s="399" t="s">
        <v>811</v>
      </c>
      <c r="E10" s="399" t="s">
        <v>810</v>
      </c>
      <c r="F10" s="270" t="s">
        <v>812</v>
      </c>
      <c r="G10" s="399" t="s">
        <v>2546</v>
      </c>
      <c r="H10" s="403"/>
      <c r="I10" s="402" t="s">
        <v>52</v>
      </c>
      <c r="J10" s="399" t="s">
        <v>1281</v>
      </c>
      <c r="K10" s="399" t="s">
        <v>29</v>
      </c>
      <c r="L10" s="399" t="s">
        <v>29</v>
      </c>
      <c r="M10" s="399" t="s">
        <v>29</v>
      </c>
      <c r="N10" s="400" t="str">
        <f>+82 2 3451 7626</f>
        <v>#ERROR!</v>
      </c>
      <c r="O10" s="400"/>
      <c r="P10" s="397"/>
      <c r="Q10" s="397"/>
      <c r="R10" s="397"/>
      <c r="S10" s="397"/>
      <c r="T10" s="397"/>
    </row>
    <row r="11">
      <c r="A11" s="398">
        <v>2025.0</v>
      </c>
      <c r="B11" s="405">
        <v>8.0</v>
      </c>
      <c r="C11" s="406">
        <v>4.0</v>
      </c>
      <c r="D11" s="406" t="s">
        <v>814</v>
      </c>
      <c r="E11" s="406" t="s">
        <v>1357</v>
      </c>
      <c r="F11" s="407" t="s">
        <v>815</v>
      </c>
      <c r="G11" s="405" t="s">
        <v>2546</v>
      </c>
      <c r="H11" s="406" t="s">
        <v>28</v>
      </c>
      <c r="I11" s="406" t="s">
        <v>27</v>
      </c>
      <c r="J11" s="406" t="s">
        <v>1356</v>
      </c>
      <c r="K11" s="406" t="s">
        <v>2171</v>
      </c>
      <c r="L11" s="406" t="s">
        <v>29</v>
      </c>
      <c r="M11" s="406" t="s">
        <v>29</v>
      </c>
      <c r="N11" s="406" t="s">
        <v>29</v>
      </c>
      <c r="O11" s="408"/>
      <c r="P11" s="397"/>
      <c r="Q11" s="397"/>
      <c r="R11" s="397"/>
      <c r="S11" s="397"/>
      <c r="T11" s="397"/>
    </row>
    <row r="12">
      <c r="A12" s="398">
        <v>2025.0</v>
      </c>
      <c r="B12" s="399">
        <v>8.0</v>
      </c>
      <c r="C12" s="399">
        <v>11.0</v>
      </c>
      <c r="D12" s="399" t="s">
        <v>817</v>
      </c>
      <c r="E12" s="399" t="s">
        <v>816</v>
      </c>
      <c r="F12" s="225" t="s">
        <v>2559</v>
      </c>
      <c r="G12" s="406" t="s">
        <v>2546</v>
      </c>
      <c r="H12" s="403"/>
      <c r="I12" s="399" t="s">
        <v>52</v>
      </c>
      <c r="J12" s="406" t="s">
        <v>1308</v>
      </c>
      <c r="K12" s="406" t="s">
        <v>29</v>
      </c>
      <c r="L12" s="406" t="s">
        <v>29</v>
      </c>
      <c r="M12" s="406" t="s">
        <v>29</v>
      </c>
      <c r="N12" s="408" t="str">
        <f>+82 2 3451 7580</f>
        <v>#ERROR!</v>
      </c>
      <c r="O12" s="400"/>
      <c r="P12" s="397"/>
      <c r="Q12" s="397"/>
      <c r="R12" s="397"/>
      <c r="S12" s="397"/>
      <c r="T12" s="397"/>
    </row>
    <row r="13">
      <c r="A13" s="398">
        <v>2025.0</v>
      </c>
      <c r="B13" s="131">
        <v>9.0</v>
      </c>
      <c r="C13" s="131">
        <v>1.0</v>
      </c>
      <c r="D13" s="131" t="s">
        <v>822</v>
      </c>
      <c r="E13" s="131" t="s">
        <v>821</v>
      </c>
      <c r="F13" s="225" t="s">
        <v>2560</v>
      </c>
      <c r="G13" s="131" t="s">
        <v>2546</v>
      </c>
      <c r="H13" s="218"/>
      <c r="I13" s="131" t="s">
        <v>202</v>
      </c>
      <c r="J13" s="409" t="s">
        <v>1351</v>
      </c>
      <c r="K13" s="409" t="s">
        <v>29</v>
      </c>
      <c r="L13" s="409" t="s">
        <v>29</v>
      </c>
      <c r="M13" s="409" t="s">
        <v>29</v>
      </c>
      <c r="N13" s="410" t="str">
        <f>+82 2 3451 7523</f>
        <v>#ERROR!</v>
      </c>
      <c r="O13" s="131" t="s">
        <v>2561</v>
      </c>
      <c r="P13" s="397"/>
      <c r="Q13" s="397"/>
      <c r="R13" s="397"/>
      <c r="S13" s="397"/>
      <c r="T13" s="397"/>
    </row>
    <row r="14">
      <c r="A14" s="398">
        <v>2025.0</v>
      </c>
      <c r="B14" s="131">
        <v>9.0</v>
      </c>
      <c r="C14" s="131">
        <v>1.0</v>
      </c>
      <c r="D14" s="131" t="s">
        <v>827</v>
      </c>
      <c r="E14" s="131" t="s">
        <v>826</v>
      </c>
      <c r="F14" s="270" t="s">
        <v>828</v>
      </c>
      <c r="G14" s="131" t="s">
        <v>2562</v>
      </c>
      <c r="H14" s="218"/>
      <c r="I14" s="131" t="s">
        <v>20</v>
      </c>
      <c r="J14" s="409" t="s">
        <v>967</v>
      </c>
      <c r="K14" s="409" t="s">
        <v>29</v>
      </c>
      <c r="L14" s="409" t="s">
        <v>29</v>
      </c>
      <c r="M14" s="409" t="s">
        <v>29</v>
      </c>
      <c r="N14" s="409" t="s">
        <v>29</v>
      </c>
      <c r="O14" s="131" t="s">
        <v>2563</v>
      </c>
      <c r="P14" s="397"/>
      <c r="Q14" s="397"/>
      <c r="R14" s="397"/>
      <c r="S14" s="397"/>
      <c r="T14" s="397"/>
    </row>
    <row r="15">
      <c r="A15" s="398">
        <v>2025.0</v>
      </c>
      <c r="B15" s="131">
        <v>9.0</v>
      </c>
      <c r="C15" s="131">
        <v>1.0</v>
      </c>
      <c r="D15" s="131" t="s">
        <v>2516</v>
      </c>
      <c r="E15" s="131" t="s">
        <v>2515</v>
      </c>
      <c r="F15" s="225" t="s">
        <v>2564</v>
      </c>
      <c r="G15" s="131" t="s">
        <v>2562</v>
      </c>
      <c r="H15" s="218"/>
      <c r="I15" s="131" t="s">
        <v>1348</v>
      </c>
      <c r="J15" s="409" t="s">
        <v>1123</v>
      </c>
      <c r="K15" s="409" t="s">
        <v>29</v>
      </c>
      <c r="L15" s="409" t="s">
        <v>29</v>
      </c>
      <c r="M15" s="409" t="s">
        <v>29</v>
      </c>
      <c r="N15" s="409" t="s">
        <v>29</v>
      </c>
      <c r="O15" s="131" t="s">
        <v>2565</v>
      </c>
      <c r="P15" s="397"/>
      <c r="Q15" s="397"/>
      <c r="R15" s="397"/>
      <c r="S15" s="397"/>
      <c r="T15" s="397"/>
    </row>
    <row r="16">
      <c r="A16" s="398">
        <v>2025.0</v>
      </c>
      <c r="B16" s="131">
        <v>9.0</v>
      </c>
      <c r="C16" s="131">
        <v>1.0</v>
      </c>
      <c r="D16" s="131" t="s">
        <v>2519</v>
      </c>
      <c r="E16" s="131" t="s">
        <v>2518</v>
      </c>
      <c r="F16" s="225" t="s">
        <v>2566</v>
      </c>
      <c r="G16" s="131" t="s">
        <v>2562</v>
      </c>
      <c r="H16" s="218"/>
      <c r="I16" s="131" t="s">
        <v>67</v>
      </c>
      <c r="J16" s="409" t="s">
        <v>1081</v>
      </c>
      <c r="K16" s="409" t="s">
        <v>29</v>
      </c>
      <c r="L16" s="409" t="s">
        <v>29</v>
      </c>
      <c r="M16" s="409" t="s">
        <v>29</v>
      </c>
      <c r="N16" s="409" t="s">
        <v>29</v>
      </c>
      <c r="O16" s="131" t="s">
        <v>2567</v>
      </c>
      <c r="P16" s="397"/>
      <c r="Q16" s="397"/>
      <c r="R16" s="397"/>
      <c r="S16" s="397"/>
      <c r="T16" s="397"/>
    </row>
    <row r="17">
      <c r="A17" s="398">
        <v>2025.0</v>
      </c>
      <c r="B17" s="131">
        <v>10.0</v>
      </c>
      <c r="C17" s="131">
        <v>13.0</v>
      </c>
      <c r="D17" s="131" t="s">
        <v>836</v>
      </c>
      <c r="E17" s="131" t="s">
        <v>2568</v>
      </c>
      <c r="F17" s="131" t="s">
        <v>837</v>
      </c>
      <c r="G17" s="131" t="s">
        <v>2546</v>
      </c>
      <c r="H17" s="131" t="s">
        <v>28</v>
      </c>
      <c r="I17" s="131" t="s">
        <v>1030</v>
      </c>
      <c r="J17" s="409" t="s">
        <v>1081</v>
      </c>
      <c r="K17" s="409" t="s">
        <v>29</v>
      </c>
      <c r="L17" s="199"/>
      <c r="M17" s="199"/>
      <c r="N17" s="199"/>
      <c r="O17" s="199"/>
      <c r="P17" s="397"/>
      <c r="Q17" s="397"/>
      <c r="R17" s="397"/>
      <c r="S17" s="397"/>
      <c r="T17" s="397"/>
    </row>
    <row r="18">
      <c r="A18" s="398">
        <v>2025.0</v>
      </c>
      <c r="B18" s="131">
        <v>10.0</v>
      </c>
      <c r="C18" s="131">
        <v>26.0</v>
      </c>
      <c r="D18" s="131" t="s">
        <v>827</v>
      </c>
      <c r="E18" s="131" t="s">
        <v>826</v>
      </c>
      <c r="F18" s="270" t="s">
        <v>828</v>
      </c>
      <c r="G18" s="131" t="s">
        <v>2546</v>
      </c>
      <c r="H18" s="131" t="s">
        <v>53</v>
      </c>
      <c r="I18" s="131" t="s">
        <v>20</v>
      </c>
      <c r="J18" s="409" t="s">
        <v>967</v>
      </c>
      <c r="K18" s="238" t="s">
        <v>1968</v>
      </c>
      <c r="L18" s="409" t="s">
        <v>29</v>
      </c>
      <c r="M18" s="409" t="s">
        <v>29</v>
      </c>
      <c r="N18" s="409" t="s">
        <v>29</v>
      </c>
      <c r="O18" s="131" t="s">
        <v>2563</v>
      </c>
      <c r="P18" s="397"/>
      <c r="Q18" s="397"/>
      <c r="R18" s="397"/>
      <c r="S18" s="397"/>
      <c r="T18" s="397"/>
    </row>
    <row r="19">
      <c r="A19" s="398">
        <v>2025.0</v>
      </c>
      <c r="B19" s="131">
        <v>11.0</v>
      </c>
      <c r="C19" s="131">
        <v>3.0</v>
      </c>
      <c r="D19" s="131" t="s">
        <v>846</v>
      </c>
      <c r="E19" s="131" t="s">
        <v>845</v>
      </c>
      <c r="F19" s="131" t="s">
        <v>847</v>
      </c>
      <c r="G19" s="131" t="s">
        <v>2569</v>
      </c>
      <c r="H19" s="199"/>
      <c r="I19" s="131" t="s">
        <v>67</v>
      </c>
      <c r="J19" s="126" t="s">
        <v>1222</v>
      </c>
      <c r="K19" s="409" t="s">
        <v>29</v>
      </c>
      <c r="L19" s="399" t="s">
        <v>2252</v>
      </c>
      <c r="M19" s="409" t="s">
        <v>29</v>
      </c>
      <c r="N19" s="199"/>
      <c r="O19" s="199"/>
      <c r="P19" s="397"/>
      <c r="Q19" s="397"/>
      <c r="R19" s="397"/>
      <c r="S19" s="397"/>
      <c r="T19" s="397"/>
    </row>
    <row r="20">
      <c r="A20" s="398">
        <v>2025.0</v>
      </c>
      <c r="B20" s="131">
        <v>11.0</v>
      </c>
      <c r="C20" s="131">
        <v>10.0</v>
      </c>
      <c r="D20" s="131" t="s">
        <v>855</v>
      </c>
      <c r="E20" s="131" t="s">
        <v>854</v>
      </c>
      <c r="F20" s="131" t="s">
        <v>856</v>
      </c>
      <c r="G20" s="131" t="s">
        <v>2569</v>
      </c>
      <c r="H20" s="131" t="s">
        <v>2570</v>
      </c>
      <c r="I20" s="131" t="s">
        <v>1078</v>
      </c>
      <c r="J20" s="131" t="s">
        <v>1321</v>
      </c>
      <c r="K20" s="409" t="s">
        <v>29</v>
      </c>
      <c r="L20" s="409" t="s">
        <v>29</v>
      </c>
      <c r="M20" s="409" t="s">
        <v>29</v>
      </c>
      <c r="N20" s="400" t="str">
        <f>+82 2 3451 7681</f>
        <v>#ERROR!</v>
      </c>
      <c r="O20" s="199"/>
      <c r="P20" s="397"/>
      <c r="Q20" s="397"/>
      <c r="R20" s="397"/>
      <c r="S20" s="397"/>
      <c r="T20" s="397"/>
    </row>
    <row r="21">
      <c r="A21" s="398">
        <v>2025.0</v>
      </c>
      <c r="B21" s="131">
        <v>11.0</v>
      </c>
      <c r="C21" s="131">
        <v>26.0</v>
      </c>
      <c r="D21" s="131" t="s">
        <v>860</v>
      </c>
      <c r="E21" s="131" t="s">
        <v>2571</v>
      </c>
      <c r="F21" s="131" t="s">
        <v>861</v>
      </c>
      <c r="G21" s="131" t="s">
        <v>2569</v>
      </c>
      <c r="H21" s="131" t="s">
        <v>2570</v>
      </c>
      <c r="I21" s="131" t="s">
        <v>142</v>
      </c>
      <c r="J21" s="131" t="s">
        <v>1410</v>
      </c>
      <c r="K21" s="409" t="s">
        <v>29</v>
      </c>
      <c r="L21" s="409" t="s">
        <v>29</v>
      </c>
      <c r="M21" s="409" t="s">
        <v>29</v>
      </c>
      <c r="N21" s="199"/>
      <c r="O21" s="199"/>
      <c r="P21" s="397"/>
      <c r="Q21" s="397"/>
      <c r="R21" s="397"/>
      <c r="S21" s="397"/>
      <c r="T21" s="397"/>
    </row>
    <row r="22">
      <c r="A22" s="131">
        <v>2026.0</v>
      </c>
      <c r="B22" s="131">
        <v>1.0</v>
      </c>
      <c r="C22" s="131">
        <v>2.0</v>
      </c>
      <c r="D22" s="131" t="s">
        <v>864</v>
      </c>
      <c r="E22" s="131" t="s">
        <v>2530</v>
      </c>
      <c r="F22" s="131" t="s">
        <v>865</v>
      </c>
      <c r="G22" s="131" t="s">
        <v>105</v>
      </c>
      <c r="H22" s="131" t="s">
        <v>2572</v>
      </c>
      <c r="I22" s="199"/>
      <c r="J22" s="199"/>
      <c r="K22" s="199"/>
      <c r="L22" s="199"/>
      <c r="M22" s="199"/>
      <c r="N22" s="199"/>
      <c r="O22" s="199"/>
      <c r="P22" s="411"/>
      <c r="Q22" s="411"/>
      <c r="R22" s="411"/>
      <c r="S22" s="411"/>
      <c r="T22" s="411"/>
      <c r="U22" s="301"/>
      <c r="V22" s="301"/>
      <c r="W22" s="301"/>
      <c r="X22" s="301"/>
      <c r="Y22" s="301"/>
      <c r="Z22" s="301"/>
      <c r="AA22" s="301"/>
    </row>
    <row r="23">
      <c r="A23" s="131">
        <v>2026.0</v>
      </c>
      <c r="B23" s="131">
        <v>2.0</v>
      </c>
      <c r="C23" s="131">
        <v>2.0</v>
      </c>
      <c r="D23" s="131" t="s">
        <v>871</v>
      </c>
      <c r="E23" s="131" t="s">
        <v>870</v>
      </c>
      <c r="F23" s="131" t="s">
        <v>872</v>
      </c>
      <c r="G23" s="131" t="s">
        <v>2546</v>
      </c>
      <c r="H23" s="131" t="s">
        <v>28</v>
      </c>
      <c r="I23" s="131" t="s">
        <v>1030</v>
      </c>
      <c r="J23" s="218"/>
      <c r="K23" s="218"/>
      <c r="L23" s="218"/>
      <c r="M23" s="218"/>
      <c r="N23" s="218"/>
      <c r="O23" s="210" t="s">
        <v>2573</v>
      </c>
    </row>
    <row r="24">
      <c r="A24" s="131">
        <v>2026.0</v>
      </c>
      <c r="B24" s="131">
        <v>2.0</v>
      </c>
      <c r="C24" s="131">
        <v>2.0</v>
      </c>
      <c r="D24" s="112" t="s">
        <v>874</v>
      </c>
      <c r="E24" s="131" t="s">
        <v>2574</v>
      </c>
      <c r="F24" s="131" t="s">
        <v>875</v>
      </c>
      <c r="G24" s="131" t="s">
        <v>2546</v>
      </c>
      <c r="H24" s="131" t="s">
        <v>28</v>
      </c>
      <c r="I24" s="131" t="s">
        <v>1030</v>
      </c>
      <c r="J24" s="218"/>
      <c r="K24" s="218"/>
      <c r="L24" s="218"/>
      <c r="M24" s="218"/>
      <c r="N24" s="218"/>
      <c r="O24" s="210" t="s">
        <v>2575</v>
      </c>
      <c r="P24" s="397"/>
      <c r="Q24" s="397"/>
      <c r="R24" s="397"/>
      <c r="S24" s="397"/>
      <c r="T24" s="397"/>
    </row>
    <row r="25">
      <c r="A25" s="131">
        <v>2026.0</v>
      </c>
      <c r="B25" s="131">
        <v>2.0</v>
      </c>
      <c r="C25" s="131">
        <v>2.0</v>
      </c>
      <c r="D25" s="112" t="s">
        <v>868</v>
      </c>
      <c r="E25" s="112" t="s">
        <v>867</v>
      </c>
      <c r="F25" s="112" t="s">
        <v>869</v>
      </c>
      <c r="G25" s="131" t="s">
        <v>2546</v>
      </c>
      <c r="H25" s="131" t="s">
        <v>28</v>
      </c>
      <c r="I25" s="131" t="s">
        <v>1030</v>
      </c>
      <c r="J25" s="118"/>
      <c r="K25" s="118"/>
      <c r="L25" s="118"/>
      <c r="M25" s="118"/>
      <c r="N25" s="118"/>
      <c r="O25" s="114" t="s">
        <v>2576</v>
      </c>
      <c r="P25" s="397"/>
      <c r="Q25" s="397"/>
      <c r="R25" s="397"/>
      <c r="S25" s="397"/>
      <c r="T25" s="397"/>
    </row>
    <row r="26">
      <c r="A26" s="131">
        <v>2026.0</v>
      </c>
      <c r="B26" s="131">
        <v>2.0</v>
      </c>
      <c r="C26" s="131">
        <v>13.0</v>
      </c>
      <c r="D26" s="131" t="s">
        <v>266</v>
      </c>
      <c r="E26" s="131" t="s">
        <v>2577</v>
      </c>
      <c r="F26" s="199"/>
      <c r="G26" s="131" t="s">
        <v>2546</v>
      </c>
      <c r="H26" s="131" t="s">
        <v>174</v>
      </c>
      <c r="I26" s="131" t="s">
        <v>20</v>
      </c>
      <c r="J26" s="199"/>
      <c r="K26" s="199"/>
      <c r="L26" s="199"/>
      <c r="M26" s="199"/>
      <c r="N26" s="199"/>
      <c r="O26" s="199"/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8"/>
  </hyperlinks>
  <drawing r:id="rId17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5" max="5" width="23.13"/>
    <col customWidth="1" min="8" max="8" width="13.0"/>
    <col customWidth="1" min="9" max="9" width="14.0"/>
    <col customWidth="1" min="12" max="12" width="15.88"/>
    <col customWidth="1" min="13" max="13" width="27.25"/>
  </cols>
  <sheetData>
    <row r="1">
      <c r="A1" s="394" t="s">
        <v>2578</v>
      </c>
      <c r="B1" s="395" t="s">
        <v>2532</v>
      </c>
      <c r="C1" s="395" t="s">
        <v>2533</v>
      </c>
      <c r="D1" s="121" t="s">
        <v>1</v>
      </c>
      <c r="E1" s="121" t="s">
        <v>3</v>
      </c>
      <c r="F1" s="395" t="s">
        <v>2579</v>
      </c>
      <c r="G1" s="395" t="s">
        <v>5</v>
      </c>
      <c r="H1" s="395" t="s">
        <v>2535</v>
      </c>
      <c r="I1" s="395" t="s">
        <v>2536</v>
      </c>
      <c r="J1" s="395" t="s">
        <v>2537</v>
      </c>
      <c r="K1" s="395" t="s">
        <v>2538</v>
      </c>
      <c r="L1" s="395" t="s">
        <v>2539</v>
      </c>
      <c r="M1" s="395" t="s">
        <v>2340</v>
      </c>
      <c r="N1" s="397"/>
    </row>
    <row r="2">
      <c r="A2" s="412">
        <v>2025.0</v>
      </c>
      <c r="B2" s="413">
        <v>0.0</v>
      </c>
      <c r="C2" s="413">
        <v>0.0</v>
      </c>
      <c r="D2" s="413" t="s">
        <v>743</v>
      </c>
      <c r="E2" s="414" t="s">
        <v>744</v>
      </c>
      <c r="F2" s="413" t="s">
        <v>2541</v>
      </c>
      <c r="G2" s="415"/>
      <c r="H2" s="413" t="str">
        <f t="array" ref="H2">IFERROR(INDEX(All_User_backup!H:H,MATCH(E2,All_User_backup!D:D,0)),"반납완료")</f>
        <v>5CD3469HCZ</v>
      </c>
      <c r="I2" s="413" t="str">
        <f t="array" ref="I2">IFERROR(INDEX(All_User_backup!K:K,MATCH(E2,All_User_backup!D:D,0)),"없음")</f>
        <v>J1XWPW66YY</v>
      </c>
      <c r="J2" s="413" t="str">
        <f t="array" ref="J2">IFERROR(INDEX(All_User_backup!N:N,MATCH(E2,All_User_backup!D:D,0)),"없음")</f>
        <v>없음</v>
      </c>
      <c r="K2" s="413" t="str">
        <f t="array" ref="K2">IFERROR(INDEX(All_User_backup!M:M,MATCH(E2,All_User_backup!D:D,0)),"없음")</f>
        <v>없음</v>
      </c>
      <c r="L2" s="415" t="str">
        <f t="array" ref="L2">IFERROR(INDEX(All_User_backup!L:L,MATCH(E2,All_User_backup!D:D,0)),"없음")</f>
        <v>tel:+82234517681</v>
      </c>
      <c r="M2" s="416"/>
      <c r="N2" s="397"/>
    </row>
    <row r="3">
      <c r="A3" s="412">
        <v>2025.0</v>
      </c>
      <c r="B3" s="165">
        <v>4.0</v>
      </c>
      <c r="C3" s="165">
        <v>30.0</v>
      </c>
      <c r="D3" s="417" t="s">
        <v>2580</v>
      </c>
      <c r="E3" s="418" t="s">
        <v>2581</v>
      </c>
      <c r="F3" s="165" t="s">
        <v>2582</v>
      </c>
      <c r="G3" s="165" t="s">
        <v>27</v>
      </c>
      <c r="H3" s="165" t="str">
        <f t="array" ref="H3">IFERROR(INDEX(All_User_backup!H:H,MATCH(E3,All_User_backup!D:D,0)),"반납완료")</f>
        <v>반납완료</v>
      </c>
      <c r="I3" s="165" t="s">
        <v>2260</v>
      </c>
      <c r="J3" s="165" t="s">
        <v>29</v>
      </c>
      <c r="K3" s="165" t="s">
        <v>29</v>
      </c>
      <c r="L3" s="419" t="str">
        <f t="array" ref="L3">IFERROR(INDEX(All_User_backup!L:L,MATCH(E3,All_User_backup!D:D,0)),"없음")</f>
        <v>없음</v>
      </c>
      <c r="M3" s="420" t="s">
        <v>2583</v>
      </c>
      <c r="N3" s="397"/>
    </row>
    <row r="4">
      <c r="A4" s="412">
        <v>2025.0</v>
      </c>
      <c r="B4" s="165">
        <v>4.0</v>
      </c>
      <c r="C4" s="165">
        <v>30.0</v>
      </c>
      <c r="D4" s="165" t="s">
        <v>2584</v>
      </c>
      <c r="E4" s="418" t="s">
        <v>2585</v>
      </c>
      <c r="F4" s="165" t="s">
        <v>2582</v>
      </c>
      <c r="G4" s="165" t="s">
        <v>27</v>
      </c>
      <c r="H4" s="165" t="str">
        <f t="array" ref="H4">IFERROR(INDEX(All_User_backup!H:H,MATCH(E4,All_User_backup!D:D,0)),"반납완료")</f>
        <v>반납완료</v>
      </c>
      <c r="I4" s="165" t="s">
        <v>2260</v>
      </c>
      <c r="J4" s="165" t="s">
        <v>29</v>
      </c>
      <c r="K4" s="165" t="s">
        <v>29</v>
      </c>
      <c r="L4" s="419" t="str">
        <f t="array" ref="L4">IFERROR(INDEX(All_User_backup!L:L,MATCH(E4,All_User_backup!D:D,0)),"없음")</f>
        <v>없음</v>
      </c>
      <c r="M4" s="421"/>
      <c r="N4" s="397"/>
    </row>
    <row r="5">
      <c r="A5" s="412">
        <v>2025.0</v>
      </c>
      <c r="B5" s="165">
        <v>5.0</v>
      </c>
      <c r="C5" s="165">
        <v>2.0</v>
      </c>
      <c r="D5" s="165" t="s">
        <v>2586</v>
      </c>
      <c r="E5" s="418" t="s">
        <v>2587</v>
      </c>
      <c r="F5" s="165" t="s">
        <v>2582</v>
      </c>
      <c r="G5" s="165" t="s">
        <v>27</v>
      </c>
      <c r="H5" s="165" t="str">
        <f t="array" ref="H5">IFERROR(INDEX(All_User_backup!H:H,MATCH(E5,All_User_backup!D:D,0)),"반납완료")</f>
        <v>반납완료</v>
      </c>
      <c r="I5" s="165" t="s">
        <v>29</v>
      </c>
      <c r="J5" s="165" t="s">
        <v>29</v>
      </c>
      <c r="K5" s="165" t="s">
        <v>29</v>
      </c>
      <c r="L5" s="419" t="str">
        <f t="array" ref="L5">IFERROR(INDEX(All_User_backup!L:L,MATCH(E5,All_User_backup!D:D,0)),"없음")</f>
        <v>없음</v>
      </c>
      <c r="M5" s="421"/>
      <c r="N5" s="397"/>
    </row>
    <row r="6">
      <c r="A6" s="412">
        <v>2025.0</v>
      </c>
      <c r="B6" s="165">
        <v>5.0</v>
      </c>
      <c r="C6" s="165">
        <v>7.0</v>
      </c>
      <c r="D6" s="165" t="s">
        <v>2588</v>
      </c>
      <c r="E6" s="418" t="s">
        <v>2589</v>
      </c>
      <c r="F6" s="165" t="s">
        <v>2582</v>
      </c>
      <c r="G6" s="165" t="s">
        <v>52</v>
      </c>
      <c r="H6" s="165" t="str">
        <f t="array" ref="H6">IFERROR(INDEX(All_User_backup!H:H,MATCH(E6,All_User_backup!D:D,0)),"반납완료")</f>
        <v>반납완료</v>
      </c>
      <c r="I6" s="165" t="s">
        <v>29</v>
      </c>
      <c r="J6" s="165" t="s">
        <v>29</v>
      </c>
      <c r="K6" s="165" t="s">
        <v>29</v>
      </c>
      <c r="L6" s="419" t="str">
        <f t="array" ref="L6">IFERROR(INDEX(All_User_backup!L:L,MATCH(E6,All_User_backup!D:D,0)),"없음")</f>
        <v>없음</v>
      </c>
      <c r="M6" s="421"/>
      <c r="N6" s="397"/>
    </row>
    <row r="7">
      <c r="A7" s="412">
        <v>2025.0</v>
      </c>
      <c r="B7" s="165">
        <v>4.0</v>
      </c>
      <c r="C7" s="165">
        <v>18.0</v>
      </c>
      <c r="D7" s="165" t="s">
        <v>2590</v>
      </c>
      <c r="E7" s="418" t="s">
        <v>2591</v>
      </c>
      <c r="F7" s="165" t="s">
        <v>2582</v>
      </c>
      <c r="G7" s="165" t="s">
        <v>295</v>
      </c>
      <c r="H7" s="165" t="str">
        <f t="array" ref="H7">IFERROR(INDEX(All_User_backup!H:H,MATCH(E7,All_User_backup!D:D,0)),"반납완료")</f>
        <v>반납완료</v>
      </c>
      <c r="I7" s="165" t="s">
        <v>29</v>
      </c>
      <c r="J7" s="165" t="s">
        <v>29</v>
      </c>
      <c r="K7" s="165" t="s">
        <v>29</v>
      </c>
      <c r="L7" s="419" t="str">
        <f t="array" ref="L7">IFERROR(INDEX(All_User_backup!L:L,MATCH(E7,All_User_backup!D:D,0)),"없음")</f>
        <v>없음</v>
      </c>
      <c r="M7" s="419"/>
      <c r="N7" s="397"/>
    </row>
    <row r="8">
      <c r="A8" s="412">
        <v>2025.0</v>
      </c>
      <c r="B8" s="165">
        <v>4.0</v>
      </c>
      <c r="C8" s="165">
        <v>30.0</v>
      </c>
      <c r="D8" s="165" t="s">
        <v>2592</v>
      </c>
      <c r="E8" s="418" t="s">
        <v>2593</v>
      </c>
      <c r="F8" s="165" t="s">
        <v>2582</v>
      </c>
      <c r="G8" s="165" t="s">
        <v>1348</v>
      </c>
      <c r="H8" s="165" t="str">
        <f t="array" ref="H8">IFERROR(INDEX(All_User_backup!H:H,MATCH(E8,All_User_backup!D:D,0)),"반납완료")</f>
        <v>반납완료</v>
      </c>
      <c r="I8" s="165" t="s">
        <v>2260</v>
      </c>
      <c r="J8" s="165" t="s">
        <v>29</v>
      </c>
      <c r="K8" s="165" t="s">
        <v>29</v>
      </c>
      <c r="L8" s="419" t="str">
        <f t="array" ref="L8">IFERROR(INDEX(All_User_backup!L:L,MATCH(E8,All_User_backup!D:D,0)),"없음")</f>
        <v>없음</v>
      </c>
      <c r="M8" s="165" t="s">
        <v>2594</v>
      </c>
      <c r="N8" s="397"/>
    </row>
    <row r="9">
      <c r="A9" s="412">
        <v>2025.0</v>
      </c>
      <c r="B9" s="165">
        <v>6.0</v>
      </c>
      <c r="C9" s="165">
        <v>6.0</v>
      </c>
      <c r="D9" s="165" t="s">
        <v>2595</v>
      </c>
      <c r="E9" s="418" t="s">
        <v>2596</v>
      </c>
      <c r="F9" s="165" t="s">
        <v>2582</v>
      </c>
      <c r="G9" s="165" t="s">
        <v>27</v>
      </c>
      <c r="H9" s="165" t="str">
        <f t="array" ref="H9">IFERROR(INDEX(All_User_backup!H:H,MATCH(E9,All_User_backup!D:D,0)),"반납완료")</f>
        <v>반납완료</v>
      </c>
      <c r="I9" s="165" t="s">
        <v>2260</v>
      </c>
      <c r="J9" s="165" t="s">
        <v>29</v>
      </c>
      <c r="K9" s="165" t="s">
        <v>29</v>
      </c>
      <c r="L9" s="419" t="str">
        <f t="array" ref="L9">IFERROR(INDEX(All_User_backup!L:L,MATCH(E9,All_User_backup!D:D,0)),"없음")</f>
        <v>없음</v>
      </c>
      <c r="M9" s="421"/>
      <c r="N9" s="397"/>
    </row>
    <row r="10">
      <c r="A10" s="412">
        <v>2025.0</v>
      </c>
      <c r="B10" s="165">
        <v>6.0</v>
      </c>
      <c r="C10" s="165">
        <v>4.0</v>
      </c>
      <c r="D10" s="165" t="s">
        <v>2597</v>
      </c>
      <c r="E10" s="418" t="s">
        <v>2598</v>
      </c>
      <c r="F10" s="165" t="s">
        <v>2582</v>
      </c>
      <c r="G10" s="420" t="s">
        <v>62</v>
      </c>
      <c r="H10" s="165" t="str">
        <f t="array" ref="H10">IFERROR(INDEX(All_User_backup!H:H,MATCH(E10,All_User_backup!D:D,0)),"반납완료")</f>
        <v>반납완료</v>
      </c>
      <c r="I10" s="165" t="s">
        <v>29</v>
      </c>
      <c r="J10" s="165" t="s">
        <v>29</v>
      </c>
      <c r="K10" s="165" t="s">
        <v>29</v>
      </c>
      <c r="L10" s="419" t="str">
        <f t="array" ref="L10">IFERROR(INDEX(All_User_backup!L:L,MATCH(E10,All_User_backup!D:D,0)),"없음")</f>
        <v>없음</v>
      </c>
      <c r="M10" s="421"/>
      <c r="N10" s="397"/>
    </row>
    <row r="11">
      <c r="A11" s="412">
        <v>2025.0</v>
      </c>
      <c r="B11" s="165">
        <v>6.0</v>
      </c>
      <c r="C11" s="165">
        <v>30.0</v>
      </c>
      <c r="D11" s="165" t="s">
        <v>2599</v>
      </c>
      <c r="E11" s="418" t="s">
        <v>2600</v>
      </c>
      <c r="F11" s="165" t="s">
        <v>2582</v>
      </c>
      <c r="G11" s="165" t="s">
        <v>202</v>
      </c>
      <c r="H11" s="165" t="str">
        <f t="array" ref="H11">IFERROR(INDEX(All_User_backup!H:H,MATCH(E11,All_User_backup!D:D,0)),"반납완료")</f>
        <v>반납완료</v>
      </c>
      <c r="I11" s="165" t="s">
        <v>29</v>
      </c>
      <c r="J11" s="165" t="s">
        <v>29</v>
      </c>
      <c r="K11" s="165" t="s">
        <v>29</v>
      </c>
      <c r="L11" s="419" t="str">
        <f t="array" ref="L11">IFERROR(INDEX(All_User_backup!L:L,MATCH(E11,All_User_backup!D:D,0)),"없음")</f>
        <v>없음</v>
      </c>
      <c r="M11" s="419"/>
      <c r="N11" s="397"/>
    </row>
    <row r="12">
      <c r="A12" s="412">
        <v>2025.0</v>
      </c>
      <c r="B12" s="165">
        <v>7.0</v>
      </c>
      <c r="C12" s="165">
        <v>7.0</v>
      </c>
      <c r="D12" s="165" t="s">
        <v>2601</v>
      </c>
      <c r="E12" s="418" t="s">
        <v>2602</v>
      </c>
      <c r="F12" s="165" t="s">
        <v>2582</v>
      </c>
      <c r="G12" s="165" t="s">
        <v>62</v>
      </c>
      <c r="H12" s="165" t="str">
        <f t="array" ref="H12">IFERROR(INDEX(All_User_backup!H:H,MATCH(E12,All_User_backup!D:D,0)),"반납완료")</f>
        <v>반납완료</v>
      </c>
      <c r="I12" s="165" t="s">
        <v>29</v>
      </c>
      <c r="J12" s="165" t="s">
        <v>2260</v>
      </c>
      <c r="K12" s="165" t="s">
        <v>29</v>
      </c>
      <c r="L12" s="419" t="str">
        <f t="array" ref="L12">IFERROR(INDEX(All_User_backup!L:L,MATCH(E12,All_User_backup!D:D,0)),"없음")</f>
        <v>없음</v>
      </c>
      <c r="M12" s="420" t="s">
        <v>2603</v>
      </c>
    </row>
    <row r="13">
      <c r="A13" s="412">
        <v>2025.0</v>
      </c>
      <c r="B13" s="422">
        <v>8.0</v>
      </c>
      <c r="C13" s="423">
        <v>22.0</v>
      </c>
      <c r="D13" s="423" t="s">
        <v>2604</v>
      </c>
      <c r="E13" s="424" t="s">
        <v>2605</v>
      </c>
      <c r="F13" s="165" t="s">
        <v>2582</v>
      </c>
      <c r="G13" s="423" t="s">
        <v>378</v>
      </c>
      <c r="H13" s="165" t="str">
        <f t="array" ref="H13">IFERROR(INDEX(All_User_backup!H:H,MATCH(E13,All_User_backup!D:D,0)),"반납완료")</f>
        <v>반납완료</v>
      </c>
      <c r="I13" s="423" t="s">
        <v>2260</v>
      </c>
      <c r="J13" s="165" t="s">
        <v>29</v>
      </c>
      <c r="K13" s="165" t="s">
        <v>29</v>
      </c>
      <c r="L13" s="419" t="str">
        <f t="array" ref="L13">IFERROR(INDEX(All_User_backup!L:L,MATCH(E13,All_User_backup!D:D,0)),"없음")</f>
        <v>없음</v>
      </c>
      <c r="M13" s="425"/>
      <c r="N13" s="397"/>
    </row>
    <row r="14">
      <c r="A14" s="412">
        <v>2025.0</v>
      </c>
      <c r="B14" s="165">
        <v>8.0</v>
      </c>
      <c r="C14" s="165">
        <v>18.0</v>
      </c>
      <c r="D14" s="165" t="s">
        <v>2606</v>
      </c>
      <c r="E14" s="418" t="s">
        <v>2607</v>
      </c>
      <c r="F14" s="165" t="s">
        <v>2582</v>
      </c>
      <c r="G14" s="165" t="s">
        <v>52</v>
      </c>
      <c r="H14" s="165" t="str">
        <f t="array" ref="H14">IFERROR(INDEX(All_User_backup!H:H,MATCH(E14,All_User_backup!D:D,0)),"반납완료")</f>
        <v>반납완료</v>
      </c>
      <c r="I14" s="165" t="s">
        <v>29</v>
      </c>
      <c r="J14" s="165" t="s">
        <v>29</v>
      </c>
      <c r="K14" s="165" t="s">
        <v>29</v>
      </c>
      <c r="L14" s="419" t="str">
        <f t="array" ref="L14">IFERROR(INDEX(All_User_backup!L:L,MATCH(E14,All_User_backup!D:D,0)),"없음")</f>
        <v>없음</v>
      </c>
      <c r="M14" s="421"/>
      <c r="N14" s="397"/>
    </row>
    <row r="15">
      <c r="A15" s="412">
        <v>2025.0</v>
      </c>
      <c r="B15" s="165">
        <v>8.0</v>
      </c>
      <c r="C15" s="165">
        <v>25.0</v>
      </c>
      <c r="D15" s="165" t="s">
        <v>2608</v>
      </c>
      <c r="E15" s="418" t="s">
        <v>2609</v>
      </c>
      <c r="F15" s="165" t="s">
        <v>2582</v>
      </c>
      <c r="G15" s="165" t="s">
        <v>62</v>
      </c>
      <c r="H15" s="165" t="str">
        <f t="array" ref="H15">IFERROR(INDEX(All_User_backup!H:H,MATCH(E15,All_User_backup!D:D,0)),"반납완료")</f>
        <v>반납완료</v>
      </c>
      <c r="I15" s="165" t="s">
        <v>29</v>
      </c>
      <c r="J15" s="165" t="s">
        <v>29</v>
      </c>
      <c r="K15" s="165" t="s">
        <v>29</v>
      </c>
      <c r="L15" s="165" t="s">
        <v>29</v>
      </c>
      <c r="M15" s="419"/>
      <c r="N15" s="397"/>
    </row>
    <row r="16">
      <c r="A16" s="412">
        <v>2025.0</v>
      </c>
      <c r="B16" s="422">
        <v>8.0</v>
      </c>
      <c r="C16" s="423">
        <v>31.0</v>
      </c>
      <c r="D16" s="423" t="s">
        <v>2610</v>
      </c>
      <c r="E16" s="424" t="s">
        <v>2611</v>
      </c>
      <c r="F16" s="165" t="s">
        <v>2582</v>
      </c>
      <c r="G16" s="423" t="s">
        <v>1030</v>
      </c>
      <c r="H16" s="165" t="str">
        <f t="array" ref="H16">IFERROR(INDEX(All_User_backup!H:H,MATCH(E16,All_User_backup!D:D,0)),"반납완료")</f>
        <v>반납완료</v>
      </c>
      <c r="I16" s="423" t="s">
        <v>29</v>
      </c>
      <c r="J16" s="165" t="s">
        <v>29</v>
      </c>
      <c r="K16" s="165" t="s">
        <v>2287</v>
      </c>
      <c r="L16" s="419" t="str">
        <f t="array" ref="L16">IFERROR(INDEX(All_User_backup!L:L,MATCH(E16,All_User_backup!D:D,0)),"없음")</f>
        <v>없음</v>
      </c>
      <c r="M16" s="426" t="s">
        <v>2612</v>
      </c>
      <c r="N16" s="397"/>
    </row>
    <row r="17">
      <c r="A17" s="412">
        <v>2025.0</v>
      </c>
      <c r="B17" s="165">
        <v>8.0</v>
      </c>
      <c r="C17" s="165">
        <v>31.0</v>
      </c>
      <c r="D17" s="165" t="s">
        <v>2613</v>
      </c>
      <c r="E17" s="418" t="s">
        <v>2614</v>
      </c>
      <c r="F17" s="165" t="s">
        <v>2582</v>
      </c>
      <c r="G17" s="165" t="s">
        <v>142</v>
      </c>
      <c r="H17" s="165" t="str">
        <f t="array" ref="H17">IFERROR(INDEX(All_User_backup!H:H,MATCH(E17,All_User_backup!D:D,0)),"반납완료")</f>
        <v>반납완료</v>
      </c>
      <c r="I17" s="165" t="s">
        <v>2260</v>
      </c>
      <c r="J17" s="165" t="s">
        <v>29</v>
      </c>
      <c r="K17" s="165" t="s">
        <v>29</v>
      </c>
      <c r="L17" s="165" t="s">
        <v>29</v>
      </c>
      <c r="M17" s="420" t="s">
        <v>2615</v>
      </c>
    </row>
    <row r="18">
      <c r="A18" s="412">
        <v>2025.0</v>
      </c>
      <c r="B18" s="165">
        <v>8.0</v>
      </c>
      <c r="C18" s="165">
        <v>31.0</v>
      </c>
      <c r="D18" s="165" t="s">
        <v>2616</v>
      </c>
      <c r="E18" s="418" t="s">
        <v>2617</v>
      </c>
      <c r="F18" s="165" t="s">
        <v>2582</v>
      </c>
      <c r="G18" s="165" t="s">
        <v>1348</v>
      </c>
      <c r="H18" s="165" t="str">
        <f t="array" ref="H18">IFERROR(INDEX(All_User_backup!H:H,MATCH(E18,All_User_backup!D:D,0)),"반납완료")</f>
        <v>반납완료</v>
      </c>
      <c r="I18" s="165" t="s">
        <v>29</v>
      </c>
      <c r="J18" s="165" t="s">
        <v>29</v>
      </c>
      <c r="K18" s="165" t="s">
        <v>29</v>
      </c>
      <c r="L18" s="165" t="s">
        <v>29</v>
      </c>
      <c r="M18" s="165" t="s">
        <v>2618</v>
      </c>
    </row>
    <row r="19">
      <c r="A19" s="412">
        <v>2025.0</v>
      </c>
      <c r="B19" s="165">
        <v>8.0</v>
      </c>
      <c r="C19" s="165">
        <v>31.0</v>
      </c>
      <c r="D19" s="165" t="s">
        <v>2619</v>
      </c>
      <c r="E19" s="418" t="s">
        <v>2620</v>
      </c>
      <c r="F19" s="165" t="s">
        <v>2582</v>
      </c>
      <c r="G19" s="165" t="s">
        <v>2621</v>
      </c>
      <c r="H19" s="165" t="str">
        <f t="array" ref="H19">IFERROR(INDEX(All_User_backup!H:H,MATCH(E19,All_User_backup!D:D,0)),"반납완료")</f>
        <v>반납완료</v>
      </c>
      <c r="I19" s="165" t="s">
        <v>29</v>
      </c>
      <c r="J19" s="165" t="s">
        <v>29</v>
      </c>
      <c r="K19" s="165" t="s">
        <v>29</v>
      </c>
      <c r="L19" s="165" t="s">
        <v>29</v>
      </c>
      <c r="M19" s="419"/>
    </row>
    <row r="20">
      <c r="A20" s="412">
        <v>2025.0</v>
      </c>
      <c r="B20" s="165">
        <v>9.0</v>
      </c>
      <c r="C20" s="165">
        <v>10.0</v>
      </c>
      <c r="D20" s="165" t="s">
        <v>2257</v>
      </c>
      <c r="E20" s="418" t="s">
        <v>2622</v>
      </c>
      <c r="F20" s="165" t="s">
        <v>2582</v>
      </c>
      <c r="G20" s="165" t="s">
        <v>67</v>
      </c>
      <c r="H20" s="165" t="str">
        <f t="array" ref="H20">IFERROR(INDEX(All_User_backup!H:H,MATCH(E20,All_User_backup!D:D,0)),"반납완료")</f>
        <v>반납완료</v>
      </c>
      <c r="I20" s="165" t="s">
        <v>29</v>
      </c>
      <c r="J20" s="165" t="s">
        <v>2260</v>
      </c>
      <c r="K20" s="165" t="s">
        <v>29</v>
      </c>
      <c r="L20" s="165" t="s">
        <v>29</v>
      </c>
      <c r="M20" s="420" t="s">
        <v>2603</v>
      </c>
    </row>
    <row r="21">
      <c r="A21" s="412">
        <v>2025.0</v>
      </c>
      <c r="B21" s="422">
        <v>9.0</v>
      </c>
      <c r="C21" s="423">
        <v>30.0</v>
      </c>
      <c r="D21" s="423" t="s">
        <v>2306</v>
      </c>
      <c r="E21" s="424" t="s">
        <v>2623</v>
      </c>
      <c r="F21" s="165" t="s">
        <v>2582</v>
      </c>
      <c r="G21" s="165" t="s">
        <v>52</v>
      </c>
      <c r="H21" s="165" t="str">
        <f t="array" ref="H21">IFERROR(INDEX(All_User_backup!H:H,MATCH(E21,All_User_backup!D:D,0)),"반납완료")</f>
        <v>반납완료</v>
      </c>
      <c r="I21" s="165" t="s">
        <v>29</v>
      </c>
      <c r="J21" s="165" t="s">
        <v>2260</v>
      </c>
      <c r="K21" s="165" t="s">
        <v>2624</v>
      </c>
      <c r="L21" s="419" t="str">
        <f t="array" ref="L21">IFERROR(INDEX(TeamsNumber!C:C,MATCH(E21,TeamsNumber!D:D,0)),"없음")</f>
        <v>없음</v>
      </c>
      <c r="M21" s="165" t="s">
        <v>2625</v>
      </c>
    </row>
    <row r="22">
      <c r="A22" s="412">
        <v>2025.0</v>
      </c>
      <c r="B22" s="427">
        <v>9.0</v>
      </c>
      <c r="C22" s="165">
        <v>26.0</v>
      </c>
      <c r="D22" s="165" t="s">
        <v>2626</v>
      </c>
      <c r="E22" s="418" t="s">
        <v>2627</v>
      </c>
      <c r="F22" s="165" t="s">
        <v>2582</v>
      </c>
      <c r="G22" s="428" t="s">
        <v>52</v>
      </c>
      <c r="H22" s="165" t="str">
        <f t="array" ref="H22">IFERROR(INDEX(All_User_backup!H:H,MATCH(E22,All_User_backup!D:D,0)),"반납완료")</f>
        <v>반납완료</v>
      </c>
      <c r="I22" s="165" t="s">
        <v>29</v>
      </c>
      <c r="J22" s="165" t="s">
        <v>29</v>
      </c>
      <c r="K22" s="165" t="s">
        <v>29</v>
      </c>
      <c r="L22" s="165" t="s">
        <v>29</v>
      </c>
      <c r="M22" s="419"/>
    </row>
    <row r="23">
      <c r="A23" s="412">
        <v>2025.0</v>
      </c>
      <c r="B23" s="165">
        <v>11.0</v>
      </c>
      <c r="C23" s="165">
        <v>30.0</v>
      </c>
      <c r="D23" s="165" t="s">
        <v>2628</v>
      </c>
      <c r="E23" s="418" t="s">
        <v>2629</v>
      </c>
      <c r="F23" s="165" t="s">
        <v>2582</v>
      </c>
      <c r="G23" s="428" t="s">
        <v>52</v>
      </c>
      <c r="H23" s="165" t="str">
        <f t="array" ref="H23">IFERROR(INDEX(All_User_backup!H:H,MATCH(E23,All_User_backup!D:D,0)),"반납완료")</f>
        <v>반납완료</v>
      </c>
      <c r="I23" s="165" t="s">
        <v>2260</v>
      </c>
      <c r="J23" s="165" t="s">
        <v>29</v>
      </c>
      <c r="K23" s="165" t="s">
        <v>29</v>
      </c>
      <c r="L23" s="419" t="str">
        <f t="array" ref="L23">IFERROR(INDEX(TeamsNumber!C:C,MATCH(E23,TeamsNumber!D:D,0)),"없음")</f>
        <v>없음</v>
      </c>
      <c r="M23" s="165" t="s">
        <v>2630</v>
      </c>
    </row>
    <row r="24">
      <c r="A24" s="412">
        <v>2025.0</v>
      </c>
      <c r="B24" s="429">
        <v>10.0</v>
      </c>
      <c r="C24" s="429">
        <v>31.0</v>
      </c>
      <c r="D24" s="429" t="s">
        <v>2631</v>
      </c>
      <c r="E24" s="429" t="s">
        <v>2529</v>
      </c>
      <c r="F24" s="165" t="s">
        <v>2582</v>
      </c>
      <c r="G24" s="165" t="s">
        <v>1030</v>
      </c>
      <c r="H24" s="165" t="str">
        <f t="array" ref="H24">IFERROR(INDEX(All_User_backup!H:H,MATCH(E24,All_User_backup!D:D,0)),"반납완료")</f>
        <v/>
      </c>
      <c r="I24" s="165" t="s">
        <v>29</v>
      </c>
      <c r="J24" s="165" t="s">
        <v>29</v>
      </c>
      <c r="K24" s="165" t="s">
        <v>29</v>
      </c>
      <c r="L24" s="419" t="str">
        <f t="array" ref="L24">IFERROR(INDEX(TeamsNumber!C:C,MATCH(E24,TeamsNumber!D:D,0)),"없음")</f>
        <v>없음</v>
      </c>
      <c r="M24" s="419"/>
    </row>
    <row r="25">
      <c r="A25" s="412">
        <v>2025.0</v>
      </c>
      <c r="B25" s="429">
        <v>11.0</v>
      </c>
      <c r="C25" s="429">
        <v>12.0</v>
      </c>
      <c r="D25" s="429" t="s">
        <v>2503</v>
      </c>
      <c r="E25" s="429" t="s">
        <v>1262</v>
      </c>
      <c r="F25" s="165" t="s">
        <v>2582</v>
      </c>
      <c r="G25" s="165" t="s">
        <v>1030</v>
      </c>
      <c r="H25" s="165" t="s">
        <v>2632</v>
      </c>
      <c r="I25" s="165" t="str">
        <f t="array" ref="I25">IFERROR(INDEX(All_User_backup!K:K,MATCH(E25,All_User_backup!D:D,0)),"없음")</f>
        <v>없음</v>
      </c>
      <c r="J25" s="165" t="s">
        <v>2260</v>
      </c>
      <c r="K25" s="165" t="s">
        <v>29</v>
      </c>
      <c r="L25" s="419" t="str">
        <f t="array" ref="L25">IFERROR(INDEX(All_User_backup!L:L,MATCH(E25,All_User_backup!D:D,0)),"없음")</f>
        <v>없음</v>
      </c>
      <c r="M25" s="165" t="s">
        <v>1263</v>
      </c>
    </row>
    <row r="26">
      <c r="A26" s="412">
        <v>2025.0</v>
      </c>
      <c r="B26" s="399">
        <v>11.0</v>
      </c>
      <c r="C26" s="399">
        <v>30.0</v>
      </c>
      <c r="D26" s="399" t="s">
        <v>2633</v>
      </c>
      <c r="E26" s="430" t="s">
        <v>1780</v>
      </c>
      <c r="F26" s="399" t="s">
        <v>2582</v>
      </c>
      <c r="G26" s="406" t="s">
        <v>27</v>
      </c>
      <c r="H26" s="399" t="str">
        <f t="array" ref="H26">IFERROR(INDEX(All_User_backup!H:H,MATCH(E26,All_User_backup!D:D,0)),"반납완료")</f>
        <v>없음</v>
      </c>
      <c r="I26" s="399" t="str">
        <f t="array" ref="I26">IFERROR(INDEX(All_User_backup!K:K,MATCH(E26,All_User_backup!D:D,0)),"없음")</f>
        <v>없음</v>
      </c>
      <c r="J26" s="399" t="str">
        <f t="array" ref="J26">IFERROR(INDEX(All_User_backup!N:N,MATCH(E26,All_User_backup!D:D,0)),"없음")</f>
        <v>없음</v>
      </c>
      <c r="K26" s="399" t="str">
        <f t="array" ref="K26">IFERROR(INDEX(All_User_backup!M:M,MATCH(E26,All_User_backup!D:D,0)),"없음")</f>
        <v>없음</v>
      </c>
      <c r="L26" s="400" t="str">
        <f t="array" ref="L26">IFERROR(INDEX(All_User_backup!L:L,MATCH(E26,All_User_backup!D:D,0)),"없음")</f>
        <v>tel:+82234517628</v>
      </c>
      <c r="M26" s="399"/>
    </row>
    <row r="27">
      <c r="A27" s="412">
        <v>2025.0</v>
      </c>
      <c r="B27" s="165">
        <v>12.0</v>
      </c>
      <c r="C27" s="165">
        <v>12.0</v>
      </c>
      <c r="D27" s="165" t="s">
        <v>2369</v>
      </c>
      <c r="E27" s="431" t="s">
        <v>2634</v>
      </c>
      <c r="F27" s="165" t="s">
        <v>2582</v>
      </c>
      <c r="G27" s="428" t="s">
        <v>202</v>
      </c>
      <c r="H27" s="165" t="s">
        <v>2260</v>
      </c>
      <c r="I27" s="165" t="s">
        <v>2260</v>
      </c>
      <c r="J27" s="165" t="str">
        <f t="array" ref="J27">IFERROR(INDEX(All_User_backup!N:N,MATCH(E27,All_User_backup!D:D,0)),"없음")</f>
        <v>없음</v>
      </c>
      <c r="K27" s="165" t="str">
        <f t="array" ref="K27">IFERROR(INDEX(All_User_backup!M:M,MATCH(E27,All_User_backup!D:D,0)),"없음")</f>
        <v>없음</v>
      </c>
      <c r="L27" s="419" t="str">
        <f t="array" ref="L27">IFERROR(INDEX(All_User_backup!L:L,MATCH(E27,All_User_backup!D:D,0)),"없음")</f>
        <v>없음</v>
      </c>
      <c r="M27" s="165"/>
    </row>
    <row r="28">
      <c r="A28" s="412">
        <v>2025.0</v>
      </c>
      <c r="B28" s="432">
        <v>12.0</v>
      </c>
      <c r="C28" s="432">
        <v>31.0</v>
      </c>
      <c r="D28" s="432" t="s">
        <v>1120</v>
      </c>
      <c r="E28" s="432" t="s">
        <v>1121</v>
      </c>
      <c r="F28" s="165" t="s">
        <v>2582</v>
      </c>
      <c r="G28" s="432" t="s">
        <v>67</v>
      </c>
      <c r="H28" s="165" t="str">
        <f t="array" ref="H28">IFERROR(INDEX(All_User_backup!H:H,MATCH(E28,All_User_backup!D:D,0)),"반납완료")</f>
        <v>5CD4305D82</v>
      </c>
      <c r="I28" s="165" t="str">
        <f t="array" ref="I28">IFERROR(INDEX(All_User_backup!K:K,MATCH(E28,All_User_backup!D:D,0)),"없음")</f>
        <v>없음</v>
      </c>
      <c r="J28" s="165" t="str">
        <f t="array" ref="J28">IFERROR(INDEX(All_User_backup!N:N,MATCH(E28,All_User_backup!D:D,0)),"없음")</f>
        <v>없음</v>
      </c>
      <c r="K28" s="165" t="str">
        <f t="array" ref="K28">IFERROR(INDEX(All_User_backup!M:M,MATCH(E28,All_User_backup!D:D,0)),"없음")</f>
        <v>없음</v>
      </c>
      <c r="L28" s="419" t="str">
        <f t="array" ref="L28">IFERROR(INDEX(All_User_backup!L:L,MATCH(E28,All_User_backup!D:D,0)),"없음")</f>
        <v>tel:+82234517526</v>
      </c>
      <c r="M28" s="112" t="s">
        <v>2635</v>
      </c>
    </row>
    <row r="29">
      <c r="A29" s="412">
        <v>2025.0</v>
      </c>
      <c r="B29" s="432">
        <v>12.0</v>
      </c>
      <c r="C29" s="432">
        <v>24.0</v>
      </c>
      <c r="D29" s="432" t="s">
        <v>2356</v>
      </c>
      <c r="E29" s="432" t="s">
        <v>2357</v>
      </c>
      <c r="F29" s="433"/>
      <c r="G29" s="165" t="s">
        <v>142</v>
      </c>
      <c r="H29" s="165" t="s">
        <v>2632</v>
      </c>
      <c r="I29" s="165" t="s">
        <v>2260</v>
      </c>
      <c r="J29" s="165" t="str">
        <f t="array" ref="J29">IFERROR(INDEX(All_User_backup!N:N,MATCH(E29,All_User_backup!D:D,0)),"없음")</f>
        <v>없음</v>
      </c>
      <c r="K29" s="165" t="str">
        <f t="array" ref="K29">IFERROR(INDEX(All_User_backup!M:M,MATCH(E29,All_User_backup!D:D,0)),"없음")</f>
        <v>없음</v>
      </c>
      <c r="L29" s="419" t="str">
        <f t="array" ref="L29">IFERROR(INDEX(All_User_backup!L:L,MATCH(E29,All_User_backup!D:D,0)),"없음")</f>
        <v>없음</v>
      </c>
      <c r="M29" s="419"/>
    </row>
    <row r="30">
      <c r="A30" s="434">
        <v>2026.0</v>
      </c>
      <c r="B30" s="112">
        <v>1.0</v>
      </c>
      <c r="C30" s="112">
        <v>2.0</v>
      </c>
      <c r="D30" s="435" t="s">
        <v>2488</v>
      </c>
      <c r="E30" s="112" t="s">
        <v>2490</v>
      </c>
      <c r="F30" s="275"/>
      <c r="G30" s="131" t="s">
        <v>27</v>
      </c>
      <c r="H30" s="131" t="str">
        <f t="array" ref="H30">IFERROR(INDEX(All_User_backup!H:H,MATCH(E30,All_User_backup!D:D,0)),"반납완료")</f>
        <v>없음</v>
      </c>
      <c r="I30" s="131" t="str">
        <f t="array" ref="I30">IFERROR(INDEX(All_User_backup!K:K,MATCH(E30,All_User_backup!D:D,0)),"없음")</f>
        <v>없음</v>
      </c>
      <c r="J30" s="131" t="str">
        <f t="array" ref="J30">IFERROR(INDEX(All_User_backup!N:N,MATCH(E30,All_User_backup!D:D,0)),"없음")</f>
        <v>없음</v>
      </c>
      <c r="K30" s="131" t="str">
        <f t="array" ref="K30">IFERROR(INDEX(All_User_backup!M:M,MATCH(E30,All_User_backup!D:D,0)),"없음")</f>
        <v>없음</v>
      </c>
      <c r="L30" s="199" t="str">
        <f t="array" ref="L30">IFERROR(INDEX(All_User_backup!L:L,MATCH(E30,All_User_backup!D:D,0)),"없음")</f>
        <v>없음</v>
      </c>
      <c r="M30" s="218"/>
      <c r="N30" s="155" t="s">
        <v>2636</v>
      </c>
    </row>
    <row r="31">
      <c r="A31" s="434">
        <v>2026.0</v>
      </c>
      <c r="B31" s="112">
        <v>3.0</v>
      </c>
      <c r="C31" s="112">
        <v>18.0</v>
      </c>
      <c r="D31" s="435" t="s">
        <v>188</v>
      </c>
      <c r="E31" s="112" t="s">
        <v>190</v>
      </c>
      <c r="F31" s="275"/>
      <c r="G31" s="131" t="s">
        <v>2621</v>
      </c>
      <c r="H31" s="131" t="str">
        <f t="array" ref="H31">IFERROR(INDEX(All_User_backup!H:H,MATCH(E31,All_User_backup!D:D,0)),"반납완료")</f>
        <v>5CD4305D8H</v>
      </c>
      <c r="I31" s="131" t="str">
        <f t="array" ref="I31">IFERROR(INDEX(All_User_backup!K:K,MATCH(E31,All_User_backup!D:D,0)),"없음")</f>
        <v>없음</v>
      </c>
      <c r="J31" s="131" t="str">
        <f t="array" ref="J31">IFERROR(INDEX(All_User_backup!N:N,MATCH(E31,All_User_backup!D:D,0)),"없음")</f>
        <v>없음</v>
      </c>
      <c r="K31" s="131" t="str">
        <f t="array" ref="K31">IFERROR(INDEX(All_User_backup!M:M,MATCH(E31,All_User_backup!D:D,0)),"없음")</f>
        <v>없음</v>
      </c>
      <c r="L31" s="199" t="str">
        <f t="array" ref="L31">IFERROR(INDEX(All_User_backup!L:L,MATCH(E31,All_User_backup!D:D,0)),"없음")</f>
        <v>tel:+82234517630</v>
      </c>
      <c r="M31" s="218"/>
      <c r="N31" s="155"/>
    </row>
    <row r="32">
      <c r="A32" s="434">
        <v>2026.0</v>
      </c>
      <c r="B32" s="112">
        <v>3.0</v>
      </c>
      <c r="C32" s="112">
        <v>31.0</v>
      </c>
      <c r="D32" s="435" t="s">
        <v>539</v>
      </c>
      <c r="E32" s="112" t="s">
        <v>541</v>
      </c>
      <c r="F32" s="275"/>
      <c r="G32" s="131" t="s">
        <v>20</v>
      </c>
      <c r="H32" s="131" t="str">
        <f t="array" ref="H32">IFERROR(INDEX(All_User_backup!H:H,MATCH(E32,All_User_backup!D:D,0)),"반납완료")</f>
        <v>5CD4232BFB</v>
      </c>
      <c r="I32" s="131" t="str">
        <f t="array" ref="I32">IFERROR(INDEX(All_User_backup!K:K,MATCH(E32,All_User_backup!D:D,0)),"없음")</f>
        <v>없음</v>
      </c>
      <c r="J32" s="131" t="str">
        <f t="array" ref="J32">IFERROR(INDEX(All_User_backup!N:N,MATCH(E32,All_User_backup!D:D,0)),"없음")</f>
        <v>없음</v>
      </c>
      <c r="K32" s="131" t="str">
        <f t="array" ref="K32">IFERROR(INDEX(All_User_backup!M:M,MATCH(E32,All_User_backup!D:D,0)),"없음")</f>
        <v>없음</v>
      </c>
      <c r="L32" s="199" t="str">
        <f t="array" ref="L32">IFERROR(INDEX(All_User_backup!L:L,MATCH(E32,All_User_backup!D:D,0)),"없음")</f>
        <v>tel:+82234517564</v>
      </c>
      <c r="M32" s="218"/>
      <c r="N32" s="155"/>
    </row>
  </sheetData>
  <hyperlinks>
    <hyperlink r:id="rId1" ref="E6"/>
    <hyperlink r:id="rId2" ref="E7"/>
    <hyperlink r:id="rId3" ref="E8"/>
    <hyperlink r:id="rId4" ref="E10"/>
    <hyperlink r:id="rId5" ref="E11"/>
    <hyperlink r:id="rId6" ref="E12"/>
    <hyperlink r:id="rId7" ref="E13"/>
    <hyperlink r:id="rId8" ref="E14"/>
    <hyperlink r:id="rId9" ref="E15"/>
    <hyperlink r:id="rId10" ref="E16"/>
    <hyperlink r:id="rId11" ref="E17"/>
    <hyperlink r:id="rId12" ref="E18"/>
    <hyperlink r:id="rId13" ref="E19"/>
    <hyperlink r:id="rId14" ref="E20"/>
    <hyperlink r:id="rId15" ref="E21"/>
    <hyperlink r:id="rId16" ref="E22"/>
    <hyperlink r:id="rId17" ref="E23"/>
  </hyperlinks>
  <drawing r:id="rId18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.5"/>
    <col customWidth="1" min="2" max="2" width="10.5"/>
    <col customWidth="1" min="3" max="3" width="19.5"/>
    <col customWidth="1" min="4" max="4" width="16.0"/>
  </cols>
  <sheetData>
    <row r="1">
      <c r="A1" s="436"/>
      <c r="B1" s="436" t="s">
        <v>2637</v>
      </c>
      <c r="C1" s="437" t="s">
        <v>3</v>
      </c>
      <c r="D1" s="436" t="s">
        <v>2638</v>
      </c>
      <c r="H1" s="438" t="s">
        <v>2639</v>
      </c>
    </row>
    <row r="2">
      <c r="A2" s="436">
        <v>1.0</v>
      </c>
      <c r="B2" s="436" t="s">
        <v>615</v>
      </c>
      <c r="C2" s="439" t="s">
        <v>617</v>
      </c>
      <c r="D2" s="436" t="s">
        <v>2640</v>
      </c>
      <c r="E2" s="288" t="s">
        <v>29</v>
      </c>
      <c r="F2" s="288" t="str">
        <f t="array" ref="F2">IFERROR(INDEX(All_User_backup!R:R,MATCH(C2,All_User_backup!D:D,0)),"퇴사자아님")</f>
        <v/>
      </c>
      <c r="H2" s="377" t="s">
        <v>20</v>
      </c>
    </row>
    <row r="3">
      <c r="A3" s="436">
        <v>2.0</v>
      </c>
      <c r="B3" s="436" t="s">
        <v>585</v>
      </c>
      <c r="C3" s="439" t="s">
        <v>587</v>
      </c>
      <c r="D3" s="436" t="s">
        <v>2640</v>
      </c>
      <c r="E3" s="288" t="s">
        <v>29</v>
      </c>
      <c r="F3" s="288" t="str">
        <f t="array" ref="F3">IFERROR(INDEX(All_User_backup!R:R,MATCH(C3,All_User_backup!D:D,0)),"퇴사자아님")</f>
        <v/>
      </c>
      <c r="H3" s="377" t="s">
        <v>52</v>
      </c>
    </row>
    <row r="4">
      <c r="A4" s="436">
        <v>3.0</v>
      </c>
      <c r="B4" s="436" t="s">
        <v>662</v>
      </c>
      <c r="C4" s="439" t="s">
        <v>664</v>
      </c>
      <c r="D4" s="436" t="s">
        <v>2640</v>
      </c>
      <c r="E4" s="288" t="s">
        <v>29</v>
      </c>
      <c r="F4" s="288" t="str">
        <f t="array" ref="F4">IFERROR(INDEX(All_User_backup!R:R,MATCH(C4,All_User_backup!D:D,0)),"퇴사자아님")</f>
        <v/>
      </c>
      <c r="H4" s="377" t="s">
        <v>20</v>
      </c>
    </row>
    <row r="5">
      <c r="A5" s="436">
        <v>4.0</v>
      </c>
      <c r="B5" s="436" t="s">
        <v>590</v>
      </c>
      <c r="C5" s="439" t="s">
        <v>592</v>
      </c>
      <c r="D5" s="436" t="s">
        <v>2640</v>
      </c>
      <c r="E5" s="288" t="s">
        <v>29</v>
      </c>
      <c r="F5" s="288" t="str">
        <f t="array" ref="F5">IFERROR(INDEX(All_User_backup!R:R,MATCH(C5,All_User_backup!D:D,0)),"퇴사자아님")</f>
        <v/>
      </c>
      <c r="H5" s="126" t="s">
        <v>67</v>
      </c>
    </row>
    <row r="6">
      <c r="A6" s="436">
        <v>5.0</v>
      </c>
      <c r="B6" s="436" t="s">
        <v>151</v>
      </c>
      <c r="C6" s="439" t="s">
        <v>153</v>
      </c>
      <c r="D6" s="436" t="s">
        <v>2640</v>
      </c>
      <c r="E6" s="288" t="s">
        <v>29</v>
      </c>
      <c r="F6" s="288" t="str">
        <f t="array" ref="F6">IFERROR(INDEX(All_User_backup!R:R,MATCH(C6,All_User_backup!D:D,0)),"퇴사자아님")</f>
        <v/>
      </c>
      <c r="H6" s="126" t="s">
        <v>142</v>
      </c>
    </row>
    <row r="7">
      <c r="A7" s="436">
        <v>6.0</v>
      </c>
      <c r="B7" s="436" t="s">
        <v>474</v>
      </c>
      <c r="C7" s="439" t="s">
        <v>476</v>
      </c>
      <c r="D7" s="436" t="s">
        <v>2641</v>
      </c>
      <c r="E7" s="288" t="s">
        <v>29</v>
      </c>
      <c r="F7" s="288" t="str">
        <f t="array" ref="F7">IFERROR(INDEX(All_User_backup!R:R,MATCH(C7,All_User_backup!D:D,0)),"퇴사자아님")</f>
        <v/>
      </c>
      <c r="H7" s="126" t="s">
        <v>77</v>
      </c>
    </row>
    <row r="8">
      <c r="A8" s="436">
        <v>7.0</v>
      </c>
      <c r="B8" s="436" t="s">
        <v>534</v>
      </c>
      <c r="C8" s="439" t="s">
        <v>536</v>
      </c>
      <c r="D8" s="436" t="s">
        <v>2641</v>
      </c>
      <c r="E8" s="288" t="s">
        <v>29</v>
      </c>
      <c r="F8" s="288" t="str">
        <f t="array" ref="F8">IFERROR(INDEX(All_User_backup!R:R,MATCH(C8,All_User_backup!D:D,0)),"퇴사자아님")</f>
        <v/>
      </c>
      <c r="H8" s="126" t="s">
        <v>142</v>
      </c>
    </row>
    <row r="9">
      <c r="A9" s="436">
        <v>8.0</v>
      </c>
      <c r="B9" s="436" t="s">
        <v>181</v>
      </c>
      <c r="C9" s="439" t="s">
        <v>183</v>
      </c>
      <c r="D9" s="436" t="s">
        <v>2641</v>
      </c>
      <c r="E9" s="288" t="s">
        <v>29</v>
      </c>
      <c r="F9" s="288" t="str">
        <f t="array" ref="F9">IFERROR(INDEX(All_User_backup!R:R,MATCH(C9,All_User_backup!D:D,0)),"퇴사자아님")</f>
        <v/>
      </c>
      <c r="H9" s="126" t="s">
        <v>20</v>
      </c>
    </row>
    <row r="10">
      <c r="A10" s="436">
        <v>9.0</v>
      </c>
      <c r="B10" s="436" t="s">
        <v>478</v>
      </c>
      <c r="C10" s="439" t="s">
        <v>480</v>
      </c>
      <c r="D10" s="436" t="s">
        <v>2641</v>
      </c>
      <c r="E10" s="288" t="s">
        <v>29</v>
      </c>
      <c r="F10" s="288" t="str">
        <f t="array" ref="F10">IFERROR(INDEX(All_User_backup!R:R,MATCH(C10,All_User_backup!D:D,0)),"퇴사자아님")</f>
        <v/>
      </c>
      <c r="H10" s="126" t="s">
        <v>257</v>
      </c>
    </row>
    <row r="11">
      <c r="A11" s="436">
        <v>10.0</v>
      </c>
      <c r="B11" s="436" t="s">
        <v>115</v>
      </c>
      <c r="C11" s="439" t="s">
        <v>117</v>
      </c>
      <c r="D11" s="436" t="s">
        <v>2641</v>
      </c>
      <c r="E11" s="288" t="s">
        <v>29</v>
      </c>
      <c r="F11" s="288" t="str">
        <f t="array" ref="F11">IFERROR(INDEX(All_User_backup!R:R,MATCH(C11,All_User_backup!D:D,0)),"퇴사자아님")</f>
        <v/>
      </c>
      <c r="H11" s="126" t="s">
        <v>27</v>
      </c>
    </row>
    <row r="12">
      <c r="A12" s="436">
        <v>11.0</v>
      </c>
      <c r="B12" s="436" t="s">
        <v>228</v>
      </c>
      <c r="C12" s="439" t="s">
        <v>230</v>
      </c>
      <c r="D12" s="436" t="s">
        <v>2641</v>
      </c>
      <c r="E12" s="288" t="s">
        <v>29</v>
      </c>
      <c r="F12" s="288" t="str">
        <f t="array" ref="F12">IFERROR(INDEX(All_User_backup!R:R,MATCH(C12,All_User_backup!D:D,0)),"퇴사자아님")</f>
        <v/>
      </c>
      <c r="H12" s="126" t="s">
        <v>20</v>
      </c>
    </row>
    <row r="13">
      <c r="A13" s="436">
        <v>12.0</v>
      </c>
      <c r="B13" s="436" t="s">
        <v>400</v>
      </c>
      <c r="C13" s="439" t="s">
        <v>402</v>
      </c>
      <c r="D13" s="436" t="s">
        <v>2641</v>
      </c>
      <c r="E13" s="288" t="s">
        <v>29</v>
      </c>
      <c r="F13" s="288" t="str">
        <f t="array" ref="F13">IFERROR(INDEX(All_User_backup!R:R,MATCH(C13,All_User_backup!D:D,0)),"퇴사자아님")</f>
        <v/>
      </c>
      <c r="H13" s="126" t="s">
        <v>52</v>
      </c>
    </row>
    <row r="14">
      <c r="A14" s="436">
        <v>13.0</v>
      </c>
      <c r="B14" s="436" t="s">
        <v>155</v>
      </c>
      <c r="C14" s="439" t="s">
        <v>157</v>
      </c>
      <c r="D14" s="436" t="s">
        <v>2641</v>
      </c>
      <c r="E14" s="288" t="s">
        <v>29</v>
      </c>
      <c r="F14" s="288" t="str">
        <f t="array" ref="F14">IFERROR(INDEX(All_User_backup!R:R,MATCH(C14,All_User_backup!D:D,0)),"퇴사자아님")</f>
        <v/>
      </c>
      <c r="H14" s="126" t="s">
        <v>20</v>
      </c>
    </row>
    <row r="15">
      <c r="A15" s="436">
        <v>14.0</v>
      </c>
      <c r="B15" s="436" t="s">
        <v>506</v>
      </c>
      <c r="C15" s="439" t="s">
        <v>508</v>
      </c>
      <c r="D15" s="436" t="s">
        <v>2641</v>
      </c>
      <c r="E15" s="288" t="s">
        <v>29</v>
      </c>
      <c r="F15" s="288" t="str">
        <f t="array" ref="F15">IFERROR(INDEX(All_User_backup!R:R,MATCH(C15,All_User_backup!D:D,0)),"퇴사자아님")</f>
        <v/>
      </c>
      <c r="H15" s="126" t="s">
        <v>671</v>
      </c>
    </row>
    <row r="16">
      <c r="A16" s="436">
        <v>15.0</v>
      </c>
      <c r="B16" s="436" t="s">
        <v>231</v>
      </c>
      <c r="C16" s="439" t="s">
        <v>233</v>
      </c>
      <c r="D16" s="436" t="s">
        <v>2641</v>
      </c>
      <c r="E16" s="288" t="s">
        <v>29</v>
      </c>
      <c r="F16" s="288" t="str">
        <f t="array" ref="F16">IFERROR(INDEX(All_User_backup!R:R,MATCH(C16,All_User_backup!D:D,0)),"퇴사자아님")</f>
        <v/>
      </c>
      <c r="H16" s="126" t="s">
        <v>52</v>
      </c>
    </row>
    <row r="17">
      <c r="A17" s="436">
        <v>16.0</v>
      </c>
      <c r="B17" s="440" t="s">
        <v>16</v>
      </c>
      <c r="C17" s="441" t="s">
        <v>18</v>
      </c>
      <c r="D17" s="437" t="s">
        <v>2642</v>
      </c>
      <c r="E17" s="288" t="s">
        <v>29</v>
      </c>
      <c r="F17" s="288" t="str">
        <f t="array" ref="F17">IFERROR(INDEX(All_User_backup!R:R,MATCH(C17,All_User_backup!D:D,0)),"퇴사자아님")</f>
        <v/>
      </c>
      <c r="H17" s="118"/>
    </row>
    <row r="18">
      <c r="A18" s="436">
        <v>17.0</v>
      </c>
      <c r="B18" s="440" t="s">
        <v>90</v>
      </c>
      <c r="C18" s="442" t="s">
        <v>92</v>
      </c>
      <c r="D18" s="437" t="s">
        <v>2642</v>
      </c>
      <c r="E18" s="288" t="s">
        <v>29</v>
      </c>
      <c r="F18" s="288" t="str">
        <f t="array" ref="F18">IFERROR(INDEX(All_User_backup!R:R,MATCH(C18,All_User_backup!D:D,0)),"퇴사자아님")</f>
        <v/>
      </c>
      <c r="H18" s="118"/>
    </row>
    <row r="19">
      <c r="A19" s="436">
        <v>18.0</v>
      </c>
      <c r="B19" s="440" t="s">
        <v>119</v>
      </c>
      <c r="C19" s="442" t="s">
        <v>120</v>
      </c>
      <c r="D19" s="437" t="s">
        <v>2642</v>
      </c>
      <c r="E19" s="288" t="s">
        <v>29</v>
      </c>
      <c r="F19" s="288" t="str">
        <f t="array" ref="F19">IFERROR(INDEX(All_User_backup!R:R,MATCH(C19,All_User_backup!D:D,0)),"퇴사자아님")</f>
        <v/>
      </c>
      <c r="H19" s="118"/>
    </row>
    <row r="20">
      <c r="A20" s="436">
        <v>19.0</v>
      </c>
      <c r="B20" s="440" t="s">
        <v>193</v>
      </c>
      <c r="C20" s="442" t="s">
        <v>195</v>
      </c>
      <c r="D20" s="437" t="s">
        <v>2642</v>
      </c>
      <c r="E20" s="288" t="s">
        <v>29</v>
      </c>
      <c r="F20" s="288" t="str">
        <f t="array" ref="F20">IFERROR(INDEX(All_User_backup!R:R,MATCH(C20,All_User_backup!D:D,0)),"퇴사자아님")</f>
        <v/>
      </c>
      <c r="H20" s="118"/>
    </row>
    <row r="21">
      <c r="A21" s="436">
        <v>20.0</v>
      </c>
      <c r="B21" s="440" t="s">
        <v>389</v>
      </c>
      <c r="C21" s="442" t="s">
        <v>391</v>
      </c>
      <c r="D21" s="437" t="s">
        <v>2642</v>
      </c>
      <c r="E21" s="288" t="s">
        <v>29</v>
      </c>
      <c r="F21" s="288" t="str">
        <f t="array" ref="F21">IFERROR(INDEX(All_User_backup!R:R,MATCH(C21,All_User_backup!D:D,0)),"퇴사자아님")</f>
        <v/>
      </c>
      <c r="H21" s="118"/>
    </row>
    <row r="22">
      <c r="A22" s="436">
        <v>21.0</v>
      </c>
      <c r="B22" s="440" t="s">
        <v>393</v>
      </c>
      <c r="C22" s="442" t="s">
        <v>395</v>
      </c>
      <c r="D22" s="437" t="s">
        <v>2642</v>
      </c>
      <c r="E22" s="288" t="s">
        <v>29</v>
      </c>
      <c r="F22" s="288" t="str">
        <f t="array" ref="F22">IFERROR(INDEX(All_User_backup!R:R,MATCH(C22,All_User_backup!D:D,0)),"퇴사자아님")</f>
        <v/>
      </c>
      <c r="H22" s="118"/>
    </row>
    <row r="23">
      <c r="A23" s="436">
        <v>22.0</v>
      </c>
      <c r="B23" s="440" t="s">
        <v>437</v>
      </c>
      <c r="C23" s="442" t="s">
        <v>439</v>
      </c>
      <c r="D23" s="437" t="s">
        <v>2642</v>
      </c>
      <c r="E23" s="288" t="s">
        <v>29</v>
      </c>
      <c r="F23" s="288" t="str">
        <f t="array" ref="F23">IFERROR(INDEX(All_User_backup!R:R,MATCH(C23,All_User_backup!D:D,0)),"퇴사자아님")</f>
        <v/>
      </c>
      <c r="H23" s="118"/>
    </row>
    <row r="24">
      <c r="A24" s="436">
        <v>23.0</v>
      </c>
      <c r="B24" s="440" t="s">
        <v>501</v>
      </c>
      <c r="C24" s="442" t="s">
        <v>503</v>
      </c>
      <c r="D24" s="437" t="s">
        <v>2642</v>
      </c>
      <c r="E24" s="288" t="s">
        <v>29</v>
      </c>
      <c r="F24" s="288" t="str">
        <f t="array" ref="F24">IFERROR(INDEX(All_User_backup!R:R,MATCH(C24,All_User_backup!D:D,0)),"퇴사자아님")</f>
        <v/>
      </c>
      <c r="H24" s="118"/>
    </row>
    <row r="25">
      <c r="A25" s="436">
        <v>24.0</v>
      </c>
      <c r="B25" s="440" t="s">
        <v>543</v>
      </c>
      <c r="C25" s="442" t="s">
        <v>545</v>
      </c>
      <c r="D25" s="437" t="s">
        <v>2642</v>
      </c>
      <c r="E25" s="288" t="s">
        <v>29</v>
      </c>
      <c r="F25" s="288" t="str">
        <f t="array" ref="F25">IFERROR(INDEX(All_User_backup!R:R,MATCH(C25,All_User_backup!D:D,0)),"퇴사자아님")</f>
        <v/>
      </c>
      <c r="H25" s="118"/>
    </row>
    <row r="26">
      <c r="A26" s="436">
        <v>25.0</v>
      </c>
      <c r="B26" s="440" t="s">
        <v>576</v>
      </c>
      <c r="C26" s="442" t="s">
        <v>578</v>
      </c>
      <c r="D26" s="437" t="s">
        <v>2642</v>
      </c>
      <c r="E26" s="288" t="s">
        <v>29</v>
      </c>
      <c r="F26" s="288" t="str">
        <f t="array" ref="F26">IFERROR(INDEX(All_User_backup!R:R,MATCH(C26,All_User_backup!D:D,0)),"퇴사자아님")</f>
        <v/>
      </c>
      <c r="H26" s="118"/>
    </row>
    <row r="27">
      <c r="A27" s="436">
        <v>26.0</v>
      </c>
      <c r="B27" s="440" t="s">
        <v>595</v>
      </c>
      <c r="C27" s="442" t="s">
        <v>597</v>
      </c>
      <c r="D27" s="437" t="s">
        <v>2642</v>
      </c>
      <c r="E27" s="288" t="s">
        <v>29</v>
      </c>
      <c r="F27" s="288" t="str">
        <f t="array" ref="F27">IFERROR(INDEX(All_User_backup!R:R,MATCH(C27,All_User_backup!D:D,0)),"퇴사자아님")</f>
        <v/>
      </c>
      <c r="H27" s="118"/>
    </row>
    <row r="28">
      <c r="A28" s="436">
        <v>27.0</v>
      </c>
      <c r="B28" s="440" t="s">
        <v>636</v>
      </c>
      <c r="C28" s="442" t="s">
        <v>638</v>
      </c>
      <c r="D28" s="437" t="s">
        <v>2642</v>
      </c>
      <c r="E28" s="288" t="s">
        <v>29</v>
      </c>
      <c r="F28" s="288" t="str">
        <f t="array" ref="F28">IFERROR(INDEX(All_User_backup!R:R,MATCH(C28,All_User_backup!D:D,0)),"퇴사자아님")</f>
        <v/>
      </c>
      <c r="H28" s="118"/>
    </row>
    <row r="29">
      <c r="A29" s="436">
        <v>28.0</v>
      </c>
      <c r="B29" s="440" t="s">
        <v>672</v>
      </c>
      <c r="C29" s="442" t="s">
        <v>674</v>
      </c>
      <c r="D29" s="437" t="s">
        <v>2642</v>
      </c>
      <c r="E29" s="288" t="s">
        <v>29</v>
      </c>
      <c r="F29" s="288" t="str">
        <f t="array" ref="F29">IFERROR(INDEX(All_User_backup!R:R,MATCH(C29,All_User_backup!D:D,0)),"퇴사자아님")</f>
        <v/>
      </c>
      <c r="H29" s="118"/>
    </row>
    <row r="30">
      <c r="A30" s="436">
        <v>29.0</v>
      </c>
      <c r="B30" s="440" t="s">
        <v>738</v>
      </c>
      <c r="C30" s="442" t="s">
        <v>740</v>
      </c>
      <c r="D30" s="437" t="s">
        <v>2642</v>
      </c>
      <c r="E30" s="288" t="s">
        <v>29</v>
      </c>
      <c r="F30" s="288" t="str">
        <f t="array" ref="F30">IFERROR(INDEX(All_User_backup!R:R,MATCH(C30,All_User_backup!D:D,0)),"퇴사자아님")</f>
        <v/>
      </c>
      <c r="H30" s="118"/>
    </row>
    <row r="31">
      <c r="A31" s="436">
        <v>30.0</v>
      </c>
      <c r="B31" s="443" t="s">
        <v>2643</v>
      </c>
      <c r="C31" s="444" t="s">
        <v>2644</v>
      </c>
      <c r="D31" s="436" t="s">
        <v>2645</v>
      </c>
      <c r="E31" s="288" t="str">
        <f t="array" ref="E31">IFERROR(INDEX(All_User_backup!H:H,MATCH(C31,All_User_backup!D:D,0)),"all_user에 없음")</f>
        <v>all_user에 없음</v>
      </c>
      <c r="H31" s="126" t="s">
        <v>671</v>
      </c>
    </row>
    <row r="33">
      <c r="B33" s="445" t="s">
        <v>698</v>
      </c>
      <c r="C33" s="288" t="str">
        <f t="array" ref="C33">IFERROR(INDEX(All_User_backup!D:D,MATCH(B33,All_User_backup!B:B,0)),"없음")</f>
        <v>owen.yang@stryker.com</v>
      </c>
      <c r="D33" s="288" t="str">
        <f t="array" ref="D33">IFERROR(INDEX(All_User_backup!H:H,MATCH(C33,All_User_backup!D:D,0)),"없음")</f>
        <v>5CD442C07J</v>
      </c>
    </row>
    <row r="34">
      <c r="B34" s="445" t="s">
        <v>653</v>
      </c>
      <c r="C34" s="288" t="str">
        <f t="array" ref="C34">IFERROR(INDEX(All_User_backup!D:D,MATCH(B34,All_User_backup!B:B,0)),"없음")</f>
        <v>Simon.sin@stryker.com</v>
      </c>
      <c r="D34" s="288" t="str">
        <f t="array" ref="D34">IFERROR(INDEX(All_User_backup!H:H,MATCH(C34,All_User_backup!D:D,0)),"없음")</f>
        <v>5CD5179KH9</v>
      </c>
    </row>
    <row r="35">
      <c r="B35" s="446" t="s">
        <v>330</v>
      </c>
      <c r="C35" s="288" t="str">
        <f t="array" ref="C35">IFERROR(INDEX(All_User_backup!D:D,MATCH(B35,All_User_backup!B:B,0)),"없음")</f>
        <v>jackson.kim@stryker.com</v>
      </c>
      <c r="D35" s="288" t="str">
        <f t="array" ref="D35">IFERROR(INDEX(All_User_backup!H:H,MATCH(C35,All_User_backup!D:D,0)),"없음")</f>
        <v>5CD5179KJ1</v>
      </c>
    </row>
    <row r="36">
      <c r="B36" s="445" t="s">
        <v>335</v>
      </c>
      <c r="C36" s="288" t="str">
        <f t="array" ref="C36">IFERROR(INDEX(All_User_backup!D:D,MATCH(B36,All_User_backup!B:B,0)),"없음")</f>
        <v>genie.kim@stryker.com</v>
      </c>
      <c r="D36" s="288" t="str">
        <f t="array" ref="D36">IFERROR(INDEX(All_User_backup!H:H,MATCH(C36,All_User_backup!D:D,0)),"없음")</f>
        <v>5CD5179KHX</v>
      </c>
    </row>
    <row r="37">
      <c r="B37" s="445" t="s">
        <v>96</v>
      </c>
      <c r="C37" s="288" t="str">
        <f t="array" ref="C37">IFERROR(INDEX(All_User_backup!D:D,MATCH(B37,All_User_backup!B:B,0)),"없음")</f>
        <v>Willy.Chang@stryker.com</v>
      </c>
      <c r="D37" s="288" t="str">
        <f t="array" ref="D37">IFERROR(INDEX(All_User_backup!H:H,MATCH(C37,All_User_backup!D:D,0)),"없음")</f>
        <v>5CD5179KHY</v>
      </c>
    </row>
    <row r="38">
      <c r="B38" s="445" t="s">
        <v>163</v>
      </c>
      <c r="C38" s="288" t="str">
        <f t="array" ref="C38">IFERROR(INDEX(All_User_backup!D:D,MATCH(B38,All_User_backup!B:B,0)),"없음")</f>
        <v>alice.han@stryker.com</v>
      </c>
      <c r="D38" s="288" t="str">
        <f t="array" ref="D38">IFERROR(INDEX(All_User_backup!H:H,MATCH(C38,All_User_backup!D:D,0)),"없음")</f>
        <v>5CD5179KHR</v>
      </c>
    </row>
    <row r="39">
      <c r="B39" s="445" t="s">
        <v>693</v>
      </c>
      <c r="C39" s="288" t="str">
        <f t="array" ref="C39">IFERROR(INDEX(All_User_backup!D:D,MATCH(B39,All_User_backup!B:B,0)),"없음")</f>
        <v>David.Yang@stryker.com</v>
      </c>
      <c r="D39" s="288" t="str">
        <f t="array" ref="D39">IFERROR(INDEX(All_User_backup!H:H,MATCH(C39,All_User_backup!D:D,0)),"없음")</f>
        <v>5CD5179KJ3</v>
      </c>
    </row>
    <row r="40">
      <c r="B40" s="445" t="s">
        <v>339</v>
      </c>
      <c r="C40" s="288" t="str">
        <f t="array" ref="C40">IFERROR(INDEX(All_User_backup!D:D,MATCH(B40,All_User_backup!B:B,0)),"없음")</f>
        <v>jason.kim1@stryker.com</v>
      </c>
      <c r="D40" s="288" t="str">
        <f t="array" ref="D40">IFERROR(INDEX(All_User_backup!H:H,MATCH(C40,All_User_backup!D:D,0)),"없음")</f>
        <v>5CD5062YDG</v>
      </c>
    </row>
    <row r="41">
      <c r="B41" s="445" t="s">
        <v>548</v>
      </c>
      <c r="C41" s="288" t="str">
        <f t="array" ref="C41">IFERROR(INDEX(All_User_backup!D:D,MATCH(B41,All_User_backup!B:B,0)),"없음")</f>
        <v>tyler.park@stryker.com</v>
      </c>
      <c r="D41" s="288" t="str">
        <f t="array" ref="D41">IFERROR(INDEX(All_User_backup!H:H,MATCH(C41,All_User_backup!D:D,0)),"없음")</f>
        <v>5CD5179KHL</v>
      </c>
    </row>
    <row r="42">
      <c r="B42" s="445" t="s">
        <v>716</v>
      </c>
      <c r="C42" s="288" t="str">
        <f t="array" ref="C42">IFERROR(INDEX(All_User_backup!D:D,MATCH(B42,All_User_backup!B:B,0)),"없음")</f>
        <v>jiho.yoo@stryker.com</v>
      </c>
      <c r="D42" s="288" t="str">
        <f t="array" ref="D42">IFERROR(INDEX(All_User_backup!H:H,MATCH(C42,All_User_backup!D:D,0)),"없음")</f>
        <v>5CD5179KH6</v>
      </c>
    </row>
    <row r="43">
      <c r="B43" s="445" t="s">
        <v>380</v>
      </c>
      <c r="C43" s="288" t="str">
        <f t="array" ref="C43">IFERROR(INDEX(All_User_backup!D:D,MATCH(B43,All_User_backup!B:B,0)),"없음")</f>
        <v>hailey.kim@stryker.com</v>
      </c>
      <c r="D43" s="288" t="str">
        <f t="array" ref="D43">IFERROR(INDEX(All_User_backup!H:H,MATCH(C43,All_User_backup!D:D,0)),"없음")</f>
        <v>5CG53403D1</v>
      </c>
    </row>
    <row r="44">
      <c r="B44" s="445" t="s">
        <v>557</v>
      </c>
      <c r="C44" s="288" t="str">
        <f t="array" ref="C44">IFERROR(INDEX(All_User_backup!D:D,MATCH(B44,All_User_backup!B:B,0)),"없음")</f>
        <v>jinny.park@stryker.com</v>
      </c>
      <c r="D44" s="288" t="str">
        <f t="array" ref="D44">IFERROR(INDEX(All_User_backup!H:H,MATCH(C44,All_User_backup!D:D,0)),"없음")</f>
        <v>5CD5062YDX</v>
      </c>
    </row>
    <row r="45">
      <c r="B45" s="445" t="s">
        <v>675</v>
      </c>
      <c r="C45" s="288" t="str">
        <f t="array" ref="C45">IFERROR(INDEX(All_User_backup!D:D,MATCH(B45,All_User_backup!B:B,0)),"없음")</f>
        <v>jayden.song@stryker.com</v>
      </c>
      <c r="D45" s="288" t="str">
        <f t="array" ref="D45">IFERROR(INDEX(All_User_backup!H:H,MATCH(C45,All_User_backup!D:D,0)),"없음")</f>
        <v>5CD4232BFS</v>
      </c>
    </row>
    <row r="46">
      <c r="B46" s="445" t="s">
        <v>287</v>
      </c>
      <c r="C46" s="288" t="str">
        <f t="array" ref="C46">IFERROR(INDEX(All_User_backup!D:D,MATCH(B46,All_User_backup!B:B,0)),"없음")</f>
        <v>louis.kang@stryker.com</v>
      </c>
      <c r="D46" s="288" t="str">
        <f t="array" ref="D46">IFERROR(INDEX(All_User_backup!H:H,MATCH(C46,All_User_backup!D:D,0)),"없음")</f>
        <v>5CD5179KHH</v>
      </c>
    </row>
    <row r="47">
      <c r="B47" s="445" t="s">
        <v>208</v>
      </c>
      <c r="C47" s="288" t="str">
        <f t="array" ref="C47">IFERROR(INDEX(All_User_backup!D:D,MATCH(B47,All_User_backup!B:B,0)),"없음")</f>
        <v>young.hwang@stryker.com</v>
      </c>
      <c r="D47" s="288" t="str">
        <f t="array" ref="D47">IFERROR(INDEX(All_User_backup!H:H,MATCH(C47,All_User_backup!D:D,0)),"없음")</f>
        <v>5CD5179KHZ</v>
      </c>
    </row>
    <row r="48">
      <c r="B48" s="445" t="s">
        <v>819</v>
      </c>
      <c r="C48" s="288" t="str">
        <f t="array" ref="C48">IFERROR(INDEX(All_User_backup!D:D,MATCH(B48,All_User_backup!B:B,0)),"없음")</f>
        <v>kmultiuser@stryker.com</v>
      </c>
      <c r="D48" s="288" t="str">
        <f t="array" ref="D48">IFERROR(INDEX(All_User_backup!H:H,MATCH(C48,All_User_backup!D:D,0)),"없음")</f>
        <v>5CD409908N</v>
      </c>
    </row>
    <row r="49">
      <c r="B49" s="445" t="s">
        <v>2356</v>
      </c>
      <c r="C49" s="288" t="str">
        <f t="array" ref="C49">IFERROR(INDEX(All_User_backup!D:D,MATCH(B49,All_User_backup!B:B,0)),"없음")</f>
        <v>jason.han@stryker.com</v>
      </c>
      <c r="D49" s="288" t="str">
        <f t="array" ref="D49">IFERROR(INDEX(All_User_backup!H:H,MATCH(C49,All_User_backup!D:D,0)),"없음")</f>
        <v>없음</v>
      </c>
    </row>
    <row r="50">
      <c r="B50" s="445" t="s">
        <v>374</v>
      </c>
      <c r="C50" s="288" t="str">
        <f t="array" ref="C50">IFERROR(INDEX(All_User_backup!D:D,MATCH(B50,All_User_backup!B:B,0)),"없음")</f>
        <v>soyoun.kim@stryker.com</v>
      </c>
      <c r="D50" s="288" t="str">
        <f t="array" ref="D50">IFERROR(INDEX(All_User_backup!H:H,MATCH(C50,All_User_backup!D:D,0)),"없음")</f>
        <v>5CD5179KH1</v>
      </c>
    </row>
    <row r="51">
      <c r="B51" s="445" t="s">
        <v>561</v>
      </c>
      <c r="C51" s="288" t="str">
        <f t="array" ref="C51">IFERROR(INDEX(All_User_backup!D:D,MATCH(B51,All_User_backup!B:B,0)),"없음")</f>
        <v>james.park@stryker.com</v>
      </c>
      <c r="D51" s="288" t="str">
        <f t="array" ref="D51">IFERROR(INDEX(All_User_backup!H:H,MATCH(C51,All_User_backup!D:D,0)),"없음")</f>
        <v>5CG53403D9</v>
      </c>
    </row>
    <row r="52">
      <c r="B52" s="445" t="s">
        <v>106</v>
      </c>
      <c r="C52" s="288" t="str">
        <f t="array" ref="C52">IFERROR(INDEX(All_User_backup!D:D,MATCH(B52,All_User_backup!B:B,0)),"없음")</f>
        <v>martin.cho@stryker.com</v>
      </c>
      <c r="D52" s="288" t="str">
        <f t="array" ref="D52">IFERROR(INDEX(All_User_backup!H:H,MATCH(C52,All_User_backup!D:D,0)),"없음")</f>
        <v>5CD5179KHG</v>
      </c>
    </row>
    <row r="53">
      <c r="B53" s="445" t="s">
        <v>644</v>
      </c>
      <c r="C53" s="288" t="str">
        <f t="array" ref="C53">IFERROR(INDEX(All_User_backup!D:D,MATCH(B53,All_User_backup!B:B,0)),"없음")</f>
        <v>dana.shin@stryker.com</v>
      </c>
      <c r="D53" s="288" t="str">
        <f t="array" ref="D53">IFERROR(INDEX(All_User_backup!H:H,MATCH(C53,All_User_backup!D:D,0)),"없음")</f>
        <v>5CD5179KHC</v>
      </c>
    </row>
    <row r="54">
      <c r="B54" s="445" t="s">
        <v>624</v>
      </c>
      <c r="C54" s="288" t="str">
        <f t="array" ref="C54">IFERROR(INDEX(All_User_backup!D:D,MATCH(B54,All_User_backup!B:B,0)),"없음")</f>
        <v>jaehee.seo@stryker.com</v>
      </c>
      <c r="D54" s="288" t="str">
        <f t="array" ref="D54">IFERROR(INDEX(All_User_backup!H:H,MATCH(C54,All_User_backup!D:D,0)),"없음")</f>
        <v>5CD5179KH0</v>
      </c>
    </row>
    <row r="55">
      <c r="B55" s="445" t="s">
        <v>2646</v>
      </c>
      <c r="C55" s="46" t="s">
        <v>190</v>
      </c>
      <c r="D55" s="288" t="str">
        <f t="array" ref="D55">IFERROR(INDEX(All_User_backup!H:H,MATCH(C55,All_User_backup!D:D,0)),"없음")</f>
        <v>5CD4305D8H</v>
      </c>
    </row>
    <row r="56">
      <c r="B56" s="445" t="s">
        <v>2369</v>
      </c>
      <c r="C56" s="288" t="str">
        <f t="array" ref="C56">IFERROR(INDEX(All_User_backup!D:D,MATCH(B56,All_User_backup!B:B,0)),"없음")</f>
        <v>James.Kang@stryker.com</v>
      </c>
      <c r="D56" s="288" t="str">
        <f t="array" ref="D56">IFERROR(INDEX(All_User_backup!H:H,MATCH(C56,All_User_backup!D:D,0)),"없음")</f>
        <v>없음</v>
      </c>
    </row>
    <row r="57">
      <c r="B57" s="445" t="s">
        <v>312</v>
      </c>
      <c r="C57" s="288" t="str">
        <f t="array" ref="C57">IFERROR(INDEX(All_User_backup!D:D,MATCH(B57,All_User_backup!B:B,0)),"없음")</f>
        <v>Rayna.Kim@stryker.com</v>
      </c>
      <c r="D57" s="288" t="str">
        <f t="array" ref="D57">IFERROR(INDEX(All_User_backup!H:H,MATCH(C57,All_User_backup!D:D,0)),"없음")</f>
        <v>5CD5179KJB</v>
      </c>
    </row>
    <row r="58">
      <c r="B58" s="445" t="s">
        <v>471</v>
      </c>
      <c r="C58" s="288" t="str">
        <f t="array" ref="C58">IFERROR(INDEX(All_User_backup!D:D,MATCH(B58,All_User_backup!B:B,0)),"없음")</f>
        <v>henry.lee@stryker.com</v>
      </c>
      <c r="D58" s="288" t="str">
        <f t="array" ref="D58">IFERROR(INDEX(All_User_backup!H:H,MATCH(C58,All_User_backup!D:D,0)),"없음")</f>
        <v>5CD5179KH2</v>
      </c>
    </row>
    <row r="59">
      <c r="B59" s="445" t="s">
        <v>30</v>
      </c>
      <c r="C59" s="288" t="str">
        <f t="array" ref="C59">IFERROR(INDEX(All_User_backup!D:D,MATCH(B59,All_User_backup!B:B,0)),"없음")</f>
        <v>andrew.ahn@stryker.com</v>
      </c>
      <c r="D59" s="288" t="str">
        <f t="array" ref="D59">IFERROR(INDEX(All_User_backup!H:H,MATCH(C59,All_User_backup!D:D,0)),"없음")</f>
        <v>5CD5179KJ6</v>
      </c>
    </row>
  </sheetData>
  <autoFilter ref="$B$1:$Z$977"/>
  <conditionalFormatting sqref="C1:C32 C60:C977">
    <cfRule type="expression" dxfId="1" priority="1">
      <formula>countif(C:C,C:C)&gt;1</formula>
    </cfRule>
  </conditionalFormatting>
  <conditionalFormatting sqref="B1:B977">
    <cfRule type="expression" dxfId="2" priority="2">
      <formula>"countif(B:B,b:b)&gt;1"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75"/>
    <col customWidth="1" min="3" max="3" width="22.75"/>
    <col customWidth="1" min="6" max="6" width="49.5"/>
    <col customWidth="1" min="10" max="10" width="22.75"/>
  </cols>
  <sheetData>
    <row r="1">
      <c r="A1" s="447" t="s">
        <v>2647</v>
      </c>
      <c r="B1" s="447" t="s">
        <v>2648</v>
      </c>
      <c r="C1" s="447" t="s">
        <v>3</v>
      </c>
      <c r="D1" s="447" t="s">
        <v>5</v>
      </c>
      <c r="E1" s="447" t="s">
        <v>2649</v>
      </c>
      <c r="F1" s="447" t="s">
        <v>2650</v>
      </c>
      <c r="G1" s="448" t="s">
        <v>2651</v>
      </c>
      <c r="H1" s="448" t="s">
        <v>2652</v>
      </c>
      <c r="I1" s="111" t="s">
        <v>2653</v>
      </c>
    </row>
    <row r="2">
      <c r="A2" s="449">
        <v>1478259.0</v>
      </c>
      <c r="B2" s="449" t="s">
        <v>2654</v>
      </c>
      <c r="C2" s="449" t="s">
        <v>98</v>
      </c>
      <c r="D2" s="449" t="s">
        <v>27</v>
      </c>
      <c r="E2" s="449" t="s">
        <v>53</v>
      </c>
      <c r="F2" s="449" t="s">
        <v>89</v>
      </c>
      <c r="G2" s="87" t="str">
        <f t="array" ref="G2">IFERROR(INDEX(Printer!D:D,MATCH(C2,Printer!H:H,0)),"list 없음")</f>
        <v>SL-C565FW</v>
      </c>
      <c r="H2" s="87" t="str">
        <f t="array" ref="H2">IFERROR(INDEX(Ipad_List!C:C,MATCH(C2,Ipad_List!J:J,0)),"없음")</f>
        <v>Q4VMC2579N</v>
      </c>
      <c r="I2" s="111" t="s">
        <v>2655</v>
      </c>
      <c r="J2" s="288" t="str">
        <f t="array" ref="J2">IFERROR(INDEX(All_User_backup!D:D,MATCH(C2,All_User_backup!D:D,0)),"list없음")</f>
        <v>Willy.Chang@stryker.com</v>
      </c>
    </row>
    <row r="3">
      <c r="A3" s="449">
        <v>1496493.0</v>
      </c>
      <c r="B3" s="449" t="s">
        <v>2656</v>
      </c>
      <c r="C3" s="449" t="s">
        <v>695</v>
      </c>
      <c r="D3" s="449" t="s">
        <v>27</v>
      </c>
      <c r="E3" s="449" t="s">
        <v>53</v>
      </c>
      <c r="F3" s="449" t="s">
        <v>89</v>
      </c>
      <c r="G3" s="87" t="str">
        <f t="array" ref="G3">IFERROR(INDEX(Printer!D:D,MATCH(C3,Printer!H:H,0)),"list 없음")</f>
        <v>SL-C483FW</v>
      </c>
      <c r="H3" s="87" t="str">
        <f t="array" ref="H3">IFERROR(INDEX(Ipad_List!C:C,MATCH(C3,Ipad_List!J:J,0)),"없음")</f>
        <v>T32JYKMQQF</v>
      </c>
      <c r="I3" s="111" t="s">
        <v>2655</v>
      </c>
      <c r="J3" s="288" t="str">
        <f t="array" ref="J3">IFERROR(INDEX(All_User_backup!D:D,MATCH(C3,All_User_backup!D:D,0)),"list없음")</f>
        <v>David.Yang@stryker.com</v>
      </c>
    </row>
    <row r="4">
      <c r="A4" s="449">
        <v>2483496.0</v>
      </c>
      <c r="B4" s="449" t="s">
        <v>2657</v>
      </c>
      <c r="C4" s="449" t="s">
        <v>664</v>
      </c>
      <c r="D4" s="449" t="s">
        <v>20</v>
      </c>
      <c r="E4" s="449" t="s">
        <v>20</v>
      </c>
      <c r="F4" s="449" t="s">
        <v>665</v>
      </c>
      <c r="G4" s="87" t="str">
        <f t="array" ref="G4">IFERROR(INDEX(Printer!D:D,MATCH(C4,Printer!H:H,0)),"list 없음")</f>
        <v>list 없음</v>
      </c>
      <c r="H4" s="87" t="str">
        <f t="array" ref="H4">IFERROR(INDEX(Ipad_List!C:C,MATCH(C4,Ipad_List!J:J,0)),"없음")</f>
        <v>C2QFHGVW92</v>
      </c>
      <c r="I4" s="111" t="s">
        <v>2655</v>
      </c>
      <c r="J4" s="288" t="str">
        <f t="array" ref="J4">IFERROR(INDEX(All_User_backup!D:D,MATCH(C4,All_User_backup!D:D,0)),"list없음")</f>
        <v>mina.song@stryker.com</v>
      </c>
    </row>
    <row r="5">
      <c r="A5" s="449">
        <v>2483498.0</v>
      </c>
      <c r="B5" s="449" t="s">
        <v>2658</v>
      </c>
      <c r="C5" s="449" t="s">
        <v>18</v>
      </c>
      <c r="D5" s="449" t="s">
        <v>20</v>
      </c>
      <c r="E5" s="449" t="s">
        <v>20</v>
      </c>
      <c r="F5" s="449" t="s">
        <v>19</v>
      </c>
      <c r="G5" s="87" t="str">
        <f t="array" ref="G5">IFERROR(INDEX(Printer!D:D,MATCH(C5,Printer!H:H,0)),"list 없음")</f>
        <v>SL-C563W</v>
      </c>
      <c r="H5" s="87" t="str">
        <f t="array" ref="H5">IFERROR(INDEX(Ipad_List!C:C,MATCH(C5,Ipad_List!J:J,0)),"없음")</f>
        <v>QWG7C19T9N</v>
      </c>
      <c r="I5" s="111" t="s">
        <v>2655</v>
      </c>
      <c r="J5" s="288" t="str">
        <f t="array" ref="J5">IFERROR(INDEX(All_User_backup!D:D,MATCH(C5,All_User_backup!D:D,0)),"list없음")</f>
        <v>dj.ahn@stryker.com</v>
      </c>
    </row>
    <row r="6">
      <c r="A6" s="449">
        <v>2636418.0</v>
      </c>
      <c r="B6" s="449" t="s">
        <v>2659</v>
      </c>
      <c r="C6" s="449" t="s">
        <v>149</v>
      </c>
      <c r="D6" s="449" t="s">
        <v>1078</v>
      </c>
      <c r="E6" s="449" t="s">
        <v>53</v>
      </c>
      <c r="F6" s="449" t="s">
        <v>150</v>
      </c>
      <c r="G6" s="87" t="str">
        <f t="array" ref="G6">IFERROR(INDEX(Printer!D:D,MATCH(C6,Printer!H:H,0)),"list 없음")</f>
        <v>SL-C486FW</v>
      </c>
      <c r="H6" s="87" t="str">
        <f t="array" ref="H6">IFERROR(INDEX(Ipad_List!C:C,MATCH(C6,Ipad_List!J:J,0)),"없음")</f>
        <v>GW245H3KYL</v>
      </c>
      <c r="I6" s="111" t="s">
        <v>2655</v>
      </c>
      <c r="J6" s="288" t="str">
        <f t="array" ref="J6">IFERROR(INDEX(All_User_backup!D:D,MATCH(C6,All_User_backup!D:D,0)),"list없음")</f>
        <v>Nathan.Eom@stryker.com</v>
      </c>
    </row>
    <row r="7">
      <c r="A7" s="449">
        <v>3172504.0</v>
      </c>
      <c r="B7" s="449" t="s">
        <v>2660</v>
      </c>
      <c r="C7" s="449" t="s">
        <v>88</v>
      </c>
      <c r="D7" s="449" t="s">
        <v>27</v>
      </c>
      <c r="E7" s="449" t="s">
        <v>53</v>
      </c>
      <c r="F7" s="449" t="s">
        <v>89</v>
      </c>
      <c r="G7" s="87" t="str">
        <f t="array" ref="G7">IFERROR(INDEX(Printer!D:D,MATCH(C7,Printer!H:H,0)),"list 없음")</f>
        <v>SL-C563W</v>
      </c>
      <c r="H7" s="87" t="str">
        <f t="array" ref="H7">IFERROR(INDEX(Ipad_List!C:C,MATCH(C7,Ipad_List!J:J,0)),"없음")</f>
        <v>LXDC4F97QM</v>
      </c>
      <c r="I7" s="111" t="s">
        <v>2655</v>
      </c>
      <c r="J7" s="288" t="str">
        <f t="array" ref="J7">IFERROR(INDEX(All_User_backup!D:D,MATCH(C7,All_User_backup!D:D,0)),"list없음")</f>
        <v>Bruce.Cha@stryker.com</v>
      </c>
    </row>
    <row r="8">
      <c r="A8" s="449">
        <v>3217714.0</v>
      </c>
      <c r="B8" s="449" t="s">
        <v>2661</v>
      </c>
      <c r="C8" s="449" t="s">
        <v>311</v>
      </c>
      <c r="D8" s="449" t="s">
        <v>1078</v>
      </c>
      <c r="E8" s="449" t="s">
        <v>53</v>
      </c>
      <c r="F8" s="449" t="s">
        <v>150</v>
      </c>
      <c r="G8" s="87" t="str">
        <f t="array" ref="G8">IFERROR(INDEX(Printer!D:D,MATCH(C8,Printer!H:H,0)),"list 없음")</f>
        <v>SL-C563W</v>
      </c>
      <c r="H8" s="87" t="str">
        <f t="array" ref="H8">IFERROR(INDEX(Ipad_List!C:C,MATCH(C8,Ipad_List!J:J,0)),"없음")</f>
        <v>DWFLMWX243</v>
      </c>
      <c r="I8" s="111" t="s">
        <v>2655</v>
      </c>
      <c r="J8" s="288" t="str">
        <f t="array" ref="J8">IFERROR(INDEX(All_User_backup!D:D,MATCH(C8,All_User_backup!D:D,0)),"list없음")</f>
        <v>danny.kim@stryker.com</v>
      </c>
    </row>
    <row r="9">
      <c r="A9" s="449">
        <v>3255182.0</v>
      </c>
      <c r="B9" s="449" t="s">
        <v>2662</v>
      </c>
      <c r="C9" s="449" t="s">
        <v>655</v>
      </c>
      <c r="D9" s="449" t="s">
        <v>1078</v>
      </c>
      <c r="E9" s="449" t="s">
        <v>53</v>
      </c>
      <c r="F9" s="449" t="s">
        <v>150</v>
      </c>
      <c r="G9" s="87" t="str">
        <f t="array" ref="G9">IFERROR(INDEX(Printer!D:D,MATCH(C9,Printer!H:H,0)),"list 없음")</f>
        <v>SL-C486FW</v>
      </c>
      <c r="H9" s="87" t="str">
        <f t="array" ref="H9">IFERROR(INDEX(Ipad_List!C:C,MATCH(C9,Ipad_List!J:J,0)),"없음")</f>
        <v>FWJG39XV9Q</v>
      </c>
      <c r="I9" s="111" t="s">
        <v>2655</v>
      </c>
      <c r="J9" s="288" t="str">
        <f t="array" ref="J9">IFERROR(INDEX(All_User_backup!D:D,MATCH(C9,All_User_backup!D:D,0)),"list없음")</f>
        <v>Simon.sin@stryker.com</v>
      </c>
    </row>
    <row r="10">
      <c r="A10" s="449">
        <v>3267620.0</v>
      </c>
      <c r="B10" s="449" t="s">
        <v>2663</v>
      </c>
      <c r="C10" s="449" t="s">
        <v>319</v>
      </c>
      <c r="D10" s="449" t="s">
        <v>77</v>
      </c>
      <c r="E10" s="449" t="s">
        <v>53</v>
      </c>
      <c r="F10" s="449" t="s">
        <v>320</v>
      </c>
      <c r="G10" s="87" t="str">
        <f t="array" ref="G10">IFERROR(INDEX(Printer!D:D,MATCH(C10,Printer!H:H,0)),"list 없음")</f>
        <v>SL-C486FW</v>
      </c>
      <c r="H10" s="87" t="str">
        <f t="array" ref="H10">IFERROR(INDEX(Ipad_List!C:C,MATCH(C10,Ipad_List!J:J,0)),"없음")</f>
        <v>MQ6X021QX2</v>
      </c>
      <c r="I10" s="111" t="s">
        <v>2655</v>
      </c>
      <c r="J10" s="288" t="str">
        <f t="array" ref="J10">IFERROR(INDEX(All_User_backup!D:D,MATCH(C10,All_User_backup!D:D,0)),"list없음")</f>
        <v>Suhyun.Kim@stryker.com</v>
      </c>
    </row>
    <row r="11">
      <c r="A11" s="449">
        <v>6465818.0</v>
      </c>
      <c r="B11" s="449" t="s">
        <v>2664</v>
      </c>
      <c r="C11" s="449" t="s">
        <v>550</v>
      </c>
      <c r="D11" s="449" t="s">
        <v>20</v>
      </c>
      <c r="E11" s="449" t="s">
        <v>20</v>
      </c>
      <c r="F11" s="449" t="s">
        <v>551</v>
      </c>
      <c r="G11" s="87" t="str">
        <f t="array" ref="G11">IFERROR(INDEX(Printer!D:D,MATCH(C11,Printer!H:H,0)),"list 없음")</f>
        <v>반납</v>
      </c>
      <c r="H11" s="87" t="str">
        <f t="array" ref="H11">IFERROR(INDEX(Ipad_List!C:C,MATCH(C11,Ipad_List!J:J,0)),"없음")</f>
        <v>VCF25MJ6YY</v>
      </c>
      <c r="I11" s="111" t="s">
        <v>2655</v>
      </c>
      <c r="J11" s="288" t="str">
        <f t="array" ref="J11">IFERROR(INDEX(All_User_backup!D:D,MATCH(C11,All_User_backup!D:D,0)),"list없음")</f>
        <v>tyler.park@stryker.com</v>
      </c>
    </row>
    <row r="12">
      <c r="A12" s="449">
        <v>6701810.0</v>
      </c>
      <c r="B12" s="449" t="s">
        <v>2665</v>
      </c>
      <c r="C12" s="449" t="s">
        <v>447</v>
      </c>
      <c r="D12" s="449" t="s">
        <v>1078</v>
      </c>
      <c r="E12" s="449" t="s">
        <v>53</v>
      </c>
      <c r="F12" s="449" t="s">
        <v>76</v>
      </c>
      <c r="G12" s="87" t="str">
        <f t="array" ref="G12">IFERROR(INDEX(Printer!D:D,MATCH(C12,Printer!H:H,0)),"list 없음")</f>
        <v>SL-C563W</v>
      </c>
      <c r="H12" s="87" t="str">
        <f t="array" ref="H12">IFERROR(INDEX(Ipad_List!C:C,MATCH(C12,Ipad_List!J:J,0)),"없음")</f>
        <v>KXDGGF9C90</v>
      </c>
      <c r="I12" s="111" t="s">
        <v>2655</v>
      </c>
      <c r="J12" s="288" t="str">
        <f t="array" ref="J12">IFERROR(INDEX(All_User_backup!D:D,MATCH(C12,All_User_backup!D:D,0)),"list없음")</f>
        <v>joy.lee@stryker.com</v>
      </c>
    </row>
    <row r="13">
      <c r="A13" s="449">
        <v>2476410.0</v>
      </c>
      <c r="B13" s="449" t="s">
        <v>2666</v>
      </c>
      <c r="C13" s="449" t="s">
        <v>303</v>
      </c>
      <c r="D13" s="449" t="s">
        <v>27</v>
      </c>
      <c r="E13" s="449" t="s">
        <v>53</v>
      </c>
      <c r="F13" s="449" t="s">
        <v>304</v>
      </c>
      <c r="G13" s="87" t="str">
        <f t="array" ref="G13">IFERROR(INDEX(Printer!D:D,MATCH(C13,Printer!H:H,0)),"list 없음")</f>
        <v>SL-C565W / SL-C563W</v>
      </c>
      <c r="H13" s="87" t="str">
        <f t="array" ref="H13">IFERROR(INDEX(Ipad_List!C:C,MATCH(C13,Ipad_List!J:J,0)),"없음")</f>
        <v>THD6Q4W3LT</v>
      </c>
      <c r="I13" s="111" t="s">
        <v>2655</v>
      </c>
      <c r="J13" s="288" t="str">
        <f t="array" ref="J13">IFERROR(INDEX(All_User_backup!D:D,MATCH(C13,All_User_backup!D:D,0)),"list없음")</f>
        <v>Justin.Kim@stryker.com</v>
      </c>
    </row>
    <row r="14">
      <c r="A14" s="449">
        <v>7076098.0</v>
      </c>
      <c r="B14" s="449" t="s">
        <v>2667</v>
      </c>
      <c r="C14" s="449" t="s">
        <v>289</v>
      </c>
      <c r="D14" s="449" t="s">
        <v>142</v>
      </c>
      <c r="E14" s="449" t="s">
        <v>53</v>
      </c>
      <c r="F14" s="449" t="s">
        <v>76</v>
      </c>
      <c r="G14" s="87" t="str">
        <f t="array" ref="G14">IFERROR(INDEX(Printer!D:D,MATCH(C14,Printer!H:H,0)),"list 없음")</f>
        <v>SL-C563W</v>
      </c>
      <c r="H14" s="87" t="str">
        <f t="array" ref="H14">IFERROR(INDEX(Ipad_List!C:C,MATCH(C14,Ipad_List!J:J,0)),"없음")</f>
        <v>H7Q22YXYWF</v>
      </c>
      <c r="I14" s="111" t="s">
        <v>2655</v>
      </c>
      <c r="J14" s="288" t="str">
        <f t="array" ref="J14">IFERROR(INDEX(All_User_backup!D:D,MATCH(C14,All_User_backup!D:D,0)),"list없음")</f>
        <v>louis.kang@stryker.com</v>
      </c>
    </row>
    <row r="15">
      <c r="A15" s="449">
        <v>7126305.0</v>
      </c>
      <c r="B15" s="449" t="s">
        <v>2668</v>
      </c>
      <c r="C15" s="449" t="s">
        <v>521</v>
      </c>
      <c r="D15" s="449" t="s">
        <v>1078</v>
      </c>
      <c r="E15" s="449" t="s">
        <v>53</v>
      </c>
      <c r="F15" s="449" t="s">
        <v>320</v>
      </c>
      <c r="G15" s="87" t="str">
        <f t="array" ref="G15">IFERROR(INDEX(Printer!D:D,MATCH(C15,Printer!H:H,0)),"list 없음")</f>
        <v>SL-C563W</v>
      </c>
      <c r="H15" s="87" t="str">
        <f t="array" ref="H15">IFERROR(INDEX(Ipad_List!C:C,MATCH(C15,Ipad_List!J:J,0)),"없음")</f>
        <v>MXK59D7LPL</v>
      </c>
      <c r="I15" s="111" t="s">
        <v>2655</v>
      </c>
      <c r="J15" s="288" t="str">
        <f t="array" ref="J15">IFERROR(INDEX(All_User_backup!D:D,MATCH(C15,All_User_backup!D:D,0)),"list없음")</f>
        <v>ethan.na@stryker.com</v>
      </c>
    </row>
    <row r="16">
      <c r="A16" s="449">
        <v>7254232.0</v>
      </c>
      <c r="B16" s="449" t="s">
        <v>2669</v>
      </c>
      <c r="C16" s="449" t="s">
        <v>337</v>
      </c>
      <c r="D16" s="449" t="s">
        <v>77</v>
      </c>
      <c r="E16" s="449" t="s">
        <v>53</v>
      </c>
      <c r="F16" s="449" t="s">
        <v>125</v>
      </c>
      <c r="G16" s="87" t="str">
        <f t="array" ref="G16">IFERROR(INDEX(Printer!D:D,MATCH(C16,Printer!H:H,0)),"list 없음")</f>
        <v>반납</v>
      </c>
      <c r="H16" s="87" t="str">
        <f t="array" ref="H16">IFERROR(INDEX(Ipad_List!C:C,MATCH(C16,Ipad_List!J:J,0)),"없음")</f>
        <v>J9157FQXYM</v>
      </c>
      <c r="I16" s="111" t="s">
        <v>2655</v>
      </c>
      <c r="J16" s="288" t="str">
        <f t="array" ref="J16">IFERROR(INDEX(All_User_backup!D:D,MATCH(C16,All_User_backup!D:D,0)),"list없음")</f>
        <v>genie.kim@stryker.com</v>
      </c>
    </row>
    <row r="17">
      <c r="A17" s="449">
        <v>7195635.0</v>
      </c>
      <c r="B17" s="449" t="s">
        <v>2670</v>
      </c>
      <c r="C17" s="449" t="s">
        <v>341</v>
      </c>
      <c r="D17" s="449" t="s">
        <v>77</v>
      </c>
      <c r="E17" s="449" t="s">
        <v>53</v>
      </c>
      <c r="F17" s="449" t="s">
        <v>76</v>
      </c>
      <c r="G17" s="87" t="str">
        <f t="array" ref="G17">IFERROR(INDEX(Printer!D:D,MATCH(C17,Printer!H:H,0)),"list 없음")</f>
        <v>2차 조사 정보 없음</v>
      </c>
      <c r="H17" s="87" t="str">
        <f t="array" ref="H17">IFERROR(INDEX(Ipad_List!C:C,MATCH(C17,Ipad_List!J:J,0)),"없음")</f>
        <v>M6T0VJHK6P</v>
      </c>
      <c r="I17" s="111" t="s">
        <v>2655</v>
      </c>
      <c r="J17" s="288" t="str">
        <f t="array" ref="J17">IFERROR(INDEX(All_User_backup!D:D,MATCH(C17,All_User_backup!D:D,0)),"list없음")</f>
        <v>jason.kim1@stryker.com</v>
      </c>
    </row>
    <row r="18">
      <c r="A18" s="449">
        <v>7195567.0</v>
      </c>
      <c r="B18" s="449" t="s">
        <v>2671</v>
      </c>
      <c r="C18" s="449" t="s">
        <v>718</v>
      </c>
      <c r="D18" s="449" t="s">
        <v>142</v>
      </c>
      <c r="E18" s="449" t="s">
        <v>53</v>
      </c>
      <c r="F18" s="449" t="s">
        <v>320</v>
      </c>
      <c r="G18" s="87" t="str">
        <f t="array" ref="G18">IFERROR(INDEX(Printer!D:D,MATCH(C18,Printer!H:H,0)),"list 없음")</f>
        <v>SL-C486FW</v>
      </c>
      <c r="H18" s="87" t="str">
        <f t="array" ref="H18">IFERROR(INDEX(Ipad_List!C:C,MATCH(C18,Ipad_List!J:J,0)),"없음")</f>
        <v>JYVMXW3RWV</v>
      </c>
      <c r="I18" s="111" t="s">
        <v>2655</v>
      </c>
      <c r="J18" s="288" t="str">
        <f t="array" ref="J18">IFERROR(INDEX(All_User_backup!D:D,MATCH(C18,All_User_backup!D:D,0)),"list없음")</f>
        <v>jiho.yoo@stryker.com</v>
      </c>
    </row>
    <row r="19">
      <c r="A19" s="449">
        <v>1001208.0</v>
      </c>
      <c r="B19" s="449" t="s">
        <v>2672</v>
      </c>
      <c r="C19" s="449" t="s">
        <v>345</v>
      </c>
      <c r="D19" s="449" t="s">
        <v>20</v>
      </c>
      <c r="E19" s="449" t="s">
        <v>20</v>
      </c>
      <c r="F19" s="449" t="s">
        <v>211</v>
      </c>
      <c r="G19" s="87" t="str">
        <f t="array" ref="G19">IFERROR(INDEX(Printer!D:D,MATCH(C19,Printer!H:H,0)),"list 없음")</f>
        <v>SL-C486FW</v>
      </c>
      <c r="H19" s="87" t="str">
        <f t="array" ref="H19">IFERROR(INDEX(Ipad_List!C:C,MATCH(C19,Ipad_List!J:J,0)),"없음")</f>
        <v>R75T7C9N17</v>
      </c>
      <c r="I19" s="111" t="s">
        <v>2655</v>
      </c>
      <c r="J19" s="288" t="str">
        <f t="array" ref="J19">IFERROR(INDEX(All_User_backup!D:D,MATCH(C19,All_User_backup!D:D,0)),"list없음")</f>
        <v>henry.kim1@stryker.com</v>
      </c>
    </row>
    <row r="20">
      <c r="A20" s="449">
        <v>7194226.0</v>
      </c>
      <c r="B20" s="449" t="s">
        <v>2673</v>
      </c>
      <c r="C20" s="449" t="s">
        <v>524</v>
      </c>
      <c r="D20" s="449" t="s">
        <v>1348</v>
      </c>
      <c r="E20" s="449" t="s">
        <v>53</v>
      </c>
      <c r="F20" s="449" t="s">
        <v>125</v>
      </c>
      <c r="G20" s="87" t="str">
        <f t="array" ref="G20">IFERROR(INDEX(Printer!D:D,MATCH(C20,Printer!H:H,0)),"list 없음")</f>
        <v>SL-C486FW</v>
      </c>
      <c r="H20" s="87" t="str">
        <f t="array" ref="H20">IFERROR(INDEX(Ipad_List!C:C,MATCH(C20,Ipad_List!J:J,0)),"없음")</f>
        <v>GXDWV9GT62</v>
      </c>
      <c r="I20" s="111" t="s">
        <v>2655</v>
      </c>
      <c r="J20" s="288" t="str">
        <f t="array" ref="J20">IFERROR(INDEX(All_User_backup!D:D,MATCH(C20,All_User_backup!D:D,0)),"list없음")</f>
        <v>david.oh@stryker.com</v>
      </c>
    </row>
    <row r="21">
      <c r="A21" s="449">
        <v>1004257.0</v>
      </c>
      <c r="B21" s="449" t="s">
        <v>2674</v>
      </c>
      <c r="C21" s="449" t="s">
        <v>71</v>
      </c>
      <c r="D21" s="449" t="s">
        <v>27</v>
      </c>
      <c r="E21" s="449" t="s">
        <v>28</v>
      </c>
      <c r="F21" s="449" t="s">
        <v>72</v>
      </c>
      <c r="G21" s="87" t="str">
        <f t="array" ref="G21">IFERROR(INDEX(Printer!D:D,MATCH(C21,Printer!H:H,0)),"list 없음")</f>
        <v>list 없음</v>
      </c>
      <c r="H21" s="87" t="str">
        <f t="array" ref="H21">IFERROR(INDEX(Ipad_List!C:C,MATCH(C21,Ipad_List!J:J,0)),"없음")</f>
        <v>QXKLQ74WYW</v>
      </c>
      <c r="I21" s="111" t="s">
        <v>2655</v>
      </c>
      <c r="J21" s="288" t="str">
        <f t="array" ref="J21">IFERROR(INDEX(All_User_backup!D:D,MATCH(C21,All_User_backup!D:D,0)),"list없음")</f>
        <v>bella.bang@stryker.com</v>
      </c>
    </row>
    <row r="22">
      <c r="A22" s="449">
        <v>1009631.0</v>
      </c>
      <c r="B22" s="449" t="s">
        <v>2675</v>
      </c>
      <c r="C22" s="449" t="s">
        <v>210</v>
      </c>
      <c r="D22" s="449" t="s">
        <v>20</v>
      </c>
      <c r="E22" s="449" t="s">
        <v>20</v>
      </c>
      <c r="F22" s="449" t="s">
        <v>211</v>
      </c>
      <c r="G22" s="87" t="str">
        <f t="array" ref="G22">IFERROR(INDEX(Printer!D:D,MATCH(C22,Printer!H:H,0)),"list 없음")</f>
        <v>2차 조사 정보 없음</v>
      </c>
      <c r="H22" s="87" t="str">
        <f t="array" ref="H22">IFERROR(INDEX(Ipad_List!C:C,MATCH(C22,Ipad_List!J:J,0)),"없음")</f>
        <v>FNP3C7WRP2</v>
      </c>
      <c r="I22" s="111" t="s">
        <v>2655</v>
      </c>
      <c r="J22" s="288" t="str">
        <f t="array" ref="J22">IFERROR(INDEX(All_User_backup!D:D,MATCH(C22,All_User_backup!D:D,0)),"list없음")</f>
        <v>young.hwang@stryker.com</v>
      </c>
    </row>
    <row r="23">
      <c r="A23" s="449">
        <v>1014071.0</v>
      </c>
      <c r="B23" s="449" t="s">
        <v>2676</v>
      </c>
      <c r="C23" s="449" t="s">
        <v>271</v>
      </c>
      <c r="D23" s="449" t="s">
        <v>27</v>
      </c>
      <c r="E23" s="449" t="s">
        <v>28</v>
      </c>
      <c r="F23" s="449" t="s">
        <v>72</v>
      </c>
      <c r="G23" s="87" t="str">
        <f t="array" ref="G23">IFERROR(INDEX(Printer!D:D,MATCH(C23,Printer!H:H,0)),"list 없음")</f>
        <v>list 없음</v>
      </c>
      <c r="H23" s="87" t="str">
        <f t="array" ref="H23">IFERROR(INDEX(Ipad_List!C:C,MATCH(C23,Ipad_List!J:J,0)),"없음")</f>
        <v>J6YXV33LDP</v>
      </c>
      <c r="I23" s="111" t="s">
        <v>2655</v>
      </c>
      <c r="J23" s="288" t="str">
        <f t="array" ref="J23">IFERROR(INDEX(All_User_backup!D:D,MATCH(C23,All_User_backup!D:D,0)),"list없음")</f>
        <v>jade.jung@stryker.com</v>
      </c>
    </row>
    <row r="24">
      <c r="A24" s="449">
        <v>1014072.0</v>
      </c>
      <c r="B24" s="449" t="s">
        <v>2677</v>
      </c>
      <c r="C24" s="449" t="s">
        <v>681</v>
      </c>
      <c r="D24" s="449" t="s">
        <v>27</v>
      </c>
      <c r="E24" s="449" t="s">
        <v>53</v>
      </c>
      <c r="F24" s="449" t="s">
        <v>72</v>
      </c>
      <c r="G24" s="87" t="str">
        <f t="array" ref="G24">IFERROR(INDEX(Printer!D:D,MATCH(C24,Printer!H:H,0)),"list 없음")</f>
        <v>list 없음</v>
      </c>
      <c r="H24" s="87" t="str">
        <f t="array" ref="H24">IFERROR(INDEX(Ipad_List!C:C,MATCH(C24,Ipad_List!J:J,0)),"없음")</f>
        <v>DPX6TM2FG4</v>
      </c>
      <c r="I24" s="111" t="s">
        <v>2655</v>
      </c>
      <c r="J24" s="288" t="str">
        <f t="array" ref="J24">IFERROR(INDEX(All_User_backup!D:D,MATCH(C24,All_User_backup!D:D,0)),"list없음")</f>
        <v>ethan.song@stryker.com</v>
      </c>
    </row>
    <row r="25">
      <c r="A25" s="449">
        <v>1014070.0</v>
      </c>
      <c r="B25" s="449" t="s">
        <v>2678</v>
      </c>
      <c r="C25" s="449" t="s">
        <v>463</v>
      </c>
      <c r="D25" s="449" t="s">
        <v>27</v>
      </c>
      <c r="E25" s="449" t="s">
        <v>28</v>
      </c>
      <c r="F25" s="449" t="s">
        <v>72</v>
      </c>
      <c r="G25" s="87" t="str">
        <f t="array" ref="G25">IFERROR(INDEX(Printer!D:D,MATCH(C25,Printer!H:H,0)),"list 없음")</f>
        <v>list 없음</v>
      </c>
      <c r="H25" s="87" t="str">
        <f t="array" ref="H25">IFERROR(INDEX(Ipad_List!C:C,MATCH(C25,Ipad_List!J:J,0)),"없음")</f>
        <v>XD791W017Y</v>
      </c>
      <c r="I25" s="111" t="s">
        <v>2655</v>
      </c>
      <c r="J25" s="288" t="str">
        <f t="array" ref="J25">IFERROR(INDEX(All_User_backup!D:D,MATCH(C25,All_User_backup!D:D,0)),"list없음")</f>
        <v>nathan.lee@stryker.com</v>
      </c>
    </row>
    <row r="26">
      <c r="A26" s="449">
        <v>1014077.0</v>
      </c>
      <c r="B26" s="449" t="s">
        <v>2679</v>
      </c>
      <c r="C26" s="449" t="s">
        <v>684</v>
      </c>
      <c r="D26" s="449" t="s">
        <v>27</v>
      </c>
      <c r="E26" s="449" t="s">
        <v>28</v>
      </c>
      <c r="F26" s="449" t="s">
        <v>72</v>
      </c>
      <c r="G26" s="87" t="str">
        <f t="array" ref="G26">IFERROR(INDEX(Printer!D:D,MATCH(C26,Printer!H:H,0)),"list 없음")</f>
        <v>SL-C563W</v>
      </c>
      <c r="H26" s="87" t="str">
        <f t="array" ref="H26">IFERROR(INDEX(Ipad_List!C:C,MATCH(C26,Ipad_List!J:J,0)),"없음")</f>
        <v>F3720LW0J0</v>
      </c>
      <c r="I26" s="111" t="s">
        <v>2655</v>
      </c>
      <c r="J26" s="288" t="str">
        <f t="array" ref="J26">IFERROR(INDEX(All_User_backup!D:D,MATCH(C26,All_User_backup!D:D,0)),"list없음")</f>
        <v>rosey.song@stryker.com</v>
      </c>
    </row>
    <row r="27">
      <c r="A27" s="449">
        <v>1014075.0</v>
      </c>
      <c r="B27" s="449" t="s">
        <v>2680</v>
      </c>
      <c r="C27" s="449" t="s">
        <v>568</v>
      </c>
      <c r="D27" s="449" t="s">
        <v>27</v>
      </c>
      <c r="E27" s="449" t="s">
        <v>28</v>
      </c>
      <c r="F27" s="449" t="s">
        <v>72</v>
      </c>
      <c r="G27" s="87" t="str">
        <f t="array" ref="G27">IFERROR(INDEX(Printer!D:D,MATCH(C27,Printer!H:H,0)),"list 없음")</f>
        <v>list 없음</v>
      </c>
      <c r="H27" s="87" t="str">
        <f t="array" ref="H27">IFERROR(INDEX(Ipad_List!C:C,MATCH(C27,Ipad_List!J:J,0)),"없음")</f>
        <v>DY5F770LQ3</v>
      </c>
      <c r="I27" s="111" t="s">
        <v>2655</v>
      </c>
      <c r="J27" s="288" t="str">
        <f t="array" ref="J27">IFERROR(INDEX(All_User_backup!D:D,MATCH(C27,All_User_backup!D:D,0)),"list없음")</f>
        <v>jackson.park@stryker.com</v>
      </c>
    </row>
    <row r="28">
      <c r="A28" s="449">
        <v>1014076.0</v>
      </c>
      <c r="B28" s="449" t="s">
        <v>2681</v>
      </c>
      <c r="C28" s="449" t="s">
        <v>439</v>
      </c>
      <c r="D28" s="449" t="s">
        <v>27</v>
      </c>
      <c r="E28" s="449" t="s">
        <v>28</v>
      </c>
      <c r="F28" s="449" t="s">
        <v>72</v>
      </c>
      <c r="G28" s="87" t="str">
        <f t="array" ref="G28">IFERROR(INDEX(Printer!D:D,MATCH(C28,Printer!H:H,0)),"list 없음")</f>
        <v>list 없음</v>
      </c>
      <c r="H28" s="87" t="str">
        <f t="array" ref="H28">IFERROR(INDEX(Ipad_List!C:C,MATCH(C28,Ipad_List!J:J,0)),"없음")</f>
        <v>F2PL7Y4JWM</v>
      </c>
      <c r="I28" s="111" t="s">
        <v>2655</v>
      </c>
      <c r="J28" s="288" t="str">
        <f t="array" ref="J28">IFERROR(INDEX(All_User_backup!D:D,MATCH(C28,All_User_backup!D:D,0)),"list없음")</f>
        <v>allen.ku@stryker.com</v>
      </c>
    </row>
    <row r="29">
      <c r="A29" s="449">
        <v>1021092.0</v>
      </c>
      <c r="B29" s="449" t="s">
        <v>2682</v>
      </c>
      <c r="C29" s="449" t="s">
        <v>278</v>
      </c>
      <c r="D29" s="449" t="s">
        <v>27</v>
      </c>
      <c r="E29" s="449" t="s">
        <v>28</v>
      </c>
      <c r="F29" s="449" t="s">
        <v>72</v>
      </c>
      <c r="G29" s="87" t="str">
        <f t="array" ref="G29">IFERROR(INDEX(Printer!D:D,MATCH(C29,Printer!H:H,0)),"list 없음")</f>
        <v>list 없음</v>
      </c>
      <c r="H29" s="87" t="str">
        <f t="array" ref="H29">IFERROR(INDEX(Ipad_List!C:C,MATCH(C29,Ipad_List!J:J,0)),"없음")</f>
        <v>XCYDTQ4H1F</v>
      </c>
      <c r="I29" s="111" t="s">
        <v>2655</v>
      </c>
      <c r="J29" s="288" t="str">
        <f t="array" ref="J29">IFERROR(INDEX(All_User_backup!D:D,MATCH(C29,All_User_backup!D:D,0)),"list없음")</f>
        <v>suhwan.jung@stryker.com</v>
      </c>
    </row>
    <row r="30">
      <c r="A30" s="449">
        <v>1021086.0</v>
      </c>
      <c r="B30" s="449" t="s">
        <v>2683</v>
      </c>
      <c r="C30" s="449" t="s">
        <v>687</v>
      </c>
      <c r="D30" s="449" t="s">
        <v>27</v>
      </c>
      <c r="E30" s="449" t="s">
        <v>28</v>
      </c>
      <c r="F30" s="449" t="s">
        <v>72</v>
      </c>
      <c r="G30" s="87" t="str">
        <f t="array" ref="G30">IFERROR(INDEX(Printer!D:D,MATCH(C30,Printer!H:H,0)),"list 없음")</f>
        <v>list 없음</v>
      </c>
      <c r="H30" s="87" t="str">
        <f t="array" ref="H30">IFERROR(INDEX(Ipad_List!C:C,MATCH(C30,Ipad_List!J:J,0)),"없음")</f>
        <v>D1HJ9KM7XJ</v>
      </c>
      <c r="I30" s="111" t="s">
        <v>2655</v>
      </c>
      <c r="J30" s="288" t="str">
        <f t="array" ref="J30">IFERROR(INDEX(All_User_backup!D:D,MATCH(C30,All_User_backup!D:D,0)),"list없음")</f>
        <v>hailey.song@stryker.com</v>
      </c>
    </row>
    <row r="31">
      <c r="A31" s="449">
        <v>1021098.0</v>
      </c>
      <c r="B31" s="449" t="s">
        <v>2684</v>
      </c>
      <c r="C31" s="449" t="s">
        <v>187</v>
      </c>
      <c r="D31" s="449" t="s">
        <v>27</v>
      </c>
      <c r="E31" s="449" t="s">
        <v>28</v>
      </c>
      <c r="F31" s="449" t="s">
        <v>72</v>
      </c>
      <c r="G31" s="87" t="str">
        <f t="array" ref="G31">IFERROR(INDEX(Printer!D:D,MATCH(C31,Printer!H:H,0)),"list 없음")</f>
        <v>list 없음</v>
      </c>
      <c r="H31" s="87" t="str">
        <f t="array" ref="H31">IFERROR(INDEX(Ipad_List!C:C,MATCH(C31,Ipad_List!J:J,0)),"없음")</f>
        <v>J99N6MMPMT</v>
      </c>
      <c r="I31" s="111" t="s">
        <v>2655</v>
      </c>
      <c r="J31" s="288" t="str">
        <f t="array" ref="J31">IFERROR(INDEX(All_User_backup!D:D,MATCH(C31,All_User_backup!D:D,0)),"list없음")</f>
        <v>ashley.hong@stryker.com</v>
      </c>
    </row>
    <row r="32">
      <c r="A32" s="449">
        <v>1021099.0</v>
      </c>
      <c r="B32" s="449" t="s">
        <v>2685</v>
      </c>
      <c r="C32" s="449" t="s">
        <v>366</v>
      </c>
      <c r="D32" s="449" t="s">
        <v>27</v>
      </c>
      <c r="E32" s="449" t="s">
        <v>53</v>
      </c>
      <c r="F32" s="449" t="s">
        <v>125</v>
      </c>
      <c r="G32" s="87" t="str">
        <f t="array" ref="G32">IFERROR(INDEX(Printer!D:D,MATCH(C32,Printer!H:H,0)),"list 없음")</f>
        <v>SL-C563W</v>
      </c>
      <c r="H32" s="87" t="str">
        <f t="array" ref="H32">IFERROR(INDEX(Ipad_List!C:C,MATCH(C32,Ipad_List!J:J,0)),"없음")</f>
        <v>P7Q3X0HYFW</v>
      </c>
      <c r="I32" s="111" t="s">
        <v>2655</v>
      </c>
      <c r="J32" s="288" t="str">
        <f t="array" ref="J32">IFERROR(INDEX(All_User_backup!D:D,MATCH(C32,All_User_backup!D:D,0)),"list없음")</f>
        <v>jayden.kim@stryker.com</v>
      </c>
    </row>
    <row r="33">
      <c r="A33" s="449">
        <v>1021100.0</v>
      </c>
      <c r="B33" s="449" t="s">
        <v>2686</v>
      </c>
      <c r="C33" s="449" t="s">
        <v>638</v>
      </c>
      <c r="D33" s="449" t="s">
        <v>27</v>
      </c>
      <c r="E33" s="449" t="s">
        <v>28</v>
      </c>
      <c r="F33" s="449" t="s">
        <v>72</v>
      </c>
      <c r="G33" s="87" t="str">
        <f t="array" ref="G33">IFERROR(INDEX(Printer!D:D,MATCH(C33,Printer!H:H,0)),"list 없음")</f>
        <v>list 없음</v>
      </c>
      <c r="H33" s="87" t="str">
        <f t="array" ref="H33">IFERROR(INDEX(Ipad_List!C:C,MATCH(C33,Ipad_List!J:J,0)),"없음")</f>
        <v>LR4DPX93T4</v>
      </c>
      <c r="I33" s="111" t="s">
        <v>2655</v>
      </c>
      <c r="J33" s="288" t="str">
        <f t="array" ref="J33">IFERROR(INDEX(All_User_backup!D:D,MATCH(C33,All_User_backup!D:D,0)),"list없음")</f>
        <v>chris.shin@stryker.com</v>
      </c>
    </row>
    <row r="34">
      <c r="A34" s="449">
        <v>1021083.0</v>
      </c>
      <c r="B34" s="449" t="s">
        <v>2687</v>
      </c>
      <c r="C34" s="449" t="s">
        <v>427</v>
      </c>
      <c r="D34" s="449" t="s">
        <v>27</v>
      </c>
      <c r="E34" s="449" t="s">
        <v>28</v>
      </c>
      <c r="F34" s="449" t="s">
        <v>72</v>
      </c>
      <c r="G34" s="87" t="str">
        <f t="array" ref="G34">IFERROR(INDEX(Printer!D:D,MATCH(C34,Printer!H:H,0)),"list 없음")</f>
        <v>list 없음</v>
      </c>
      <c r="H34" s="87" t="str">
        <f t="array" ref="H34">IFERROR(INDEX(Ipad_List!C:C,MATCH(C34,Ipad_List!J:J,0)),"없음")</f>
        <v>CJ66CPWXQ2</v>
      </c>
      <c r="I34" s="111" t="s">
        <v>2655</v>
      </c>
      <c r="J34" s="288" t="str">
        <f t="array" ref="J34">IFERROR(INDEX(All_User_backup!D:D,MATCH(C34,All_User_backup!D:D,0)),"list없음")</f>
        <v>ara.ko@stryker.com</v>
      </c>
    </row>
    <row r="35">
      <c r="A35" s="449">
        <v>1021084.0</v>
      </c>
      <c r="B35" s="449" t="s">
        <v>2688</v>
      </c>
      <c r="C35" s="449" t="s">
        <v>169</v>
      </c>
      <c r="D35" s="449" t="s">
        <v>27</v>
      </c>
      <c r="E35" s="449" t="s">
        <v>28</v>
      </c>
      <c r="F35" s="449" t="s">
        <v>72</v>
      </c>
      <c r="G35" s="87" t="str">
        <f t="array" ref="G35">IFERROR(INDEX(Printer!D:D,MATCH(C35,Printer!H:H,0)),"list 없음")</f>
        <v>SL-C563W</v>
      </c>
      <c r="H35" s="87" t="str">
        <f t="array" ref="H35">IFERROR(INDEX(Ipad_List!C:C,MATCH(C35,Ipad_List!J:J,0)),"없음")</f>
        <v>CXVPVQXG09</v>
      </c>
      <c r="I35" s="111" t="s">
        <v>2655</v>
      </c>
      <c r="J35" s="288" t="str">
        <f t="array" ref="J35">IFERROR(INDEX(All_User_backup!D:D,MATCH(C35,All_User_backup!D:D,0)),"list없음")</f>
        <v>leo.han@stryker.com</v>
      </c>
    </row>
    <row r="36">
      <c r="A36" s="449">
        <v>1021097.0</v>
      </c>
      <c r="B36" s="449" t="s">
        <v>2689</v>
      </c>
      <c r="C36" s="449" t="s">
        <v>120</v>
      </c>
      <c r="D36" s="449" t="s">
        <v>27</v>
      </c>
      <c r="E36" s="449" t="s">
        <v>28</v>
      </c>
      <c r="F36" s="449" t="s">
        <v>72</v>
      </c>
      <c r="G36" s="87" t="str">
        <f t="array" ref="G36">IFERROR(INDEX(Printer!D:D,MATCH(C36,Printer!H:H,0)),"list 없음")</f>
        <v>SL-C563W</v>
      </c>
      <c r="H36" s="87" t="str">
        <f t="array" ref="H36">IFERROR(INDEX(Ipad_List!C:C,MATCH(C36,Ipad_List!J:J,0)),"없음")</f>
        <v>CQ0MQK66GM</v>
      </c>
      <c r="I36" s="111" t="s">
        <v>2655</v>
      </c>
      <c r="J36" s="288" t="str">
        <f t="array" ref="J36">IFERROR(INDEX(All_User_backup!D:D,MATCH(C36,All_User_backup!D:D,0)),"list없음")</f>
        <v>claire.choi@stryker.com</v>
      </c>
    </row>
    <row r="37">
      <c r="A37" s="449">
        <v>1029908.0</v>
      </c>
      <c r="B37" s="449" t="s">
        <v>2690</v>
      </c>
      <c r="C37" s="449" t="s">
        <v>729</v>
      </c>
      <c r="D37" s="449" t="s">
        <v>27</v>
      </c>
      <c r="E37" s="449" t="s">
        <v>28</v>
      </c>
      <c r="F37" s="449" t="s">
        <v>72</v>
      </c>
      <c r="G37" s="87" t="str">
        <f t="array" ref="G37">IFERROR(INDEX(Printer!D:D,MATCH(C37,Printer!H:H,0)),"list 없음")</f>
        <v>list 없음</v>
      </c>
      <c r="H37" s="87" t="str">
        <f t="array" ref="H37">IFERROR(INDEX(Ipad_List!C:C,MATCH(C37,Ipad_List!J:J,0)),"없음")</f>
        <v>DMW34MWM7C</v>
      </c>
      <c r="I37" s="111" t="s">
        <v>2655</v>
      </c>
      <c r="J37" s="288" t="str">
        <f t="array" ref="J37">IFERROR(INDEX(All_User_backup!D:D,MATCH(C37,All_User_backup!D:D,0)),"list없음")</f>
        <v>ayaan.yoon@stryker.com</v>
      </c>
    </row>
    <row r="38">
      <c r="A38" s="449">
        <v>1032229.0</v>
      </c>
      <c r="B38" s="449" t="s">
        <v>2691</v>
      </c>
      <c r="C38" s="449" t="s">
        <v>578</v>
      </c>
      <c r="D38" s="449" t="s">
        <v>1348</v>
      </c>
      <c r="E38" s="449" t="s">
        <v>53</v>
      </c>
      <c r="F38" s="449" t="s">
        <v>76</v>
      </c>
      <c r="G38" s="87" t="str">
        <f t="array" ref="G38">IFERROR(INDEX(Printer!D:D,MATCH(C38,Printer!H:H,0)),"list 없음")</f>
        <v>SL-C438W</v>
      </c>
      <c r="H38" s="87" t="str">
        <f t="array" ref="H38">IFERROR(INDEX(Ipad_List!C:C,MATCH(C38,Ipad_List!J:J,0)),"없음")</f>
        <v>GXK670F7DH</v>
      </c>
      <c r="I38" s="111" t="s">
        <v>2655</v>
      </c>
      <c r="J38" s="288" t="str">
        <f t="array" ref="J38">IFERROR(INDEX(All_User_backup!D:D,MATCH(C38,All_User_backup!D:D,0)),"list없음")</f>
        <v>peter.park@stryker.com</v>
      </c>
    </row>
    <row r="39">
      <c r="A39" s="449">
        <v>1035256.0</v>
      </c>
      <c r="B39" s="449" t="s">
        <v>2692</v>
      </c>
      <c r="C39" s="449" t="s">
        <v>582</v>
      </c>
      <c r="D39" s="449" t="s">
        <v>904</v>
      </c>
      <c r="E39" s="449" t="s">
        <v>53</v>
      </c>
      <c r="F39" s="449" t="s">
        <v>583</v>
      </c>
      <c r="G39" s="87" t="str">
        <f t="array" ref="G39">IFERROR(INDEX(Printer!D:D,MATCH(C39,Printer!H:H,0)),"list 없음")</f>
        <v>2차 조사 정보 없음</v>
      </c>
      <c r="H39" s="87" t="str">
        <f t="array" ref="H39">IFERROR(INDEX(Ipad_List!C:C,MATCH(C39,Ipad_List!J:J,0)),"없음")</f>
        <v>M9CN2VYJ46</v>
      </c>
      <c r="I39" s="111" t="s">
        <v>2655</v>
      </c>
      <c r="J39" s="288" t="str">
        <f t="array" ref="J39">IFERROR(INDEX(All_User_backup!D:D,MATCH(C39,All_User_backup!D:D,0)),"list없음")</f>
        <v>michelle.park@stryker.com</v>
      </c>
    </row>
    <row r="40">
      <c r="A40" s="449">
        <v>1038999.0</v>
      </c>
      <c r="B40" s="449" t="s">
        <v>2693</v>
      </c>
      <c r="C40" s="449" t="s">
        <v>2490</v>
      </c>
      <c r="D40" s="449" t="s">
        <v>27</v>
      </c>
      <c r="E40" s="449" t="s">
        <v>28</v>
      </c>
      <c r="F40" s="449" t="s">
        <v>72</v>
      </c>
      <c r="G40" s="87" t="str">
        <f t="array" ref="G40">IFERROR(INDEX(Printer!D:D,MATCH(C40,Printer!H:H,0)),"list 없음")</f>
        <v>list 없음</v>
      </c>
      <c r="H40" s="87" t="str">
        <f t="array" ref="H40">IFERROR(INDEX(Ipad_List!C:C,MATCH(C40,Ipad_List!J:J,0)),"없음")</f>
        <v>없음</v>
      </c>
      <c r="I40" s="111" t="s">
        <v>2655</v>
      </c>
      <c r="J40" s="288" t="str">
        <f t="array" ref="J40">IFERROR(INDEX(All_User_backup!D:D,MATCH(C40,All_User_backup!D:D,0)),"list없음")</f>
        <v>seohyun.jung@stryker.com</v>
      </c>
    </row>
    <row r="41">
      <c r="A41" s="449">
        <v>1039333.0</v>
      </c>
      <c r="B41" s="449" t="s">
        <v>2694</v>
      </c>
      <c r="C41" s="449" t="s">
        <v>85</v>
      </c>
      <c r="D41" s="449" t="s">
        <v>27</v>
      </c>
      <c r="E41" s="449" t="s">
        <v>28</v>
      </c>
      <c r="F41" s="449" t="s">
        <v>72</v>
      </c>
      <c r="G41" s="87" t="str">
        <f t="array" ref="G41">IFERROR(INDEX(Printer!D:D,MATCH(C41,Printer!H:H,0)),"list 없음")</f>
        <v>list 없음</v>
      </c>
      <c r="H41" s="87" t="str">
        <f t="array" ref="H41">IFERROR(INDEX(Ipad_List!C:C,MATCH(C41,Ipad_List!J:J,0)),"없음")</f>
        <v>R34F5XVT2M</v>
      </c>
      <c r="I41" s="111" t="s">
        <v>2655</v>
      </c>
      <c r="J41" s="288" t="str">
        <f t="array" ref="J41">IFERROR(INDEX(All_User_backup!D:D,MATCH(C41,All_User_backup!D:D,0)),"list없음")</f>
        <v>junseong.byun@stryker.com</v>
      </c>
    </row>
    <row r="42">
      <c r="A42" s="449">
        <v>1042240.0</v>
      </c>
      <c r="B42" s="449" t="s">
        <v>2695</v>
      </c>
      <c r="C42" s="449" t="s">
        <v>587</v>
      </c>
      <c r="D42" s="449" t="s">
        <v>1078</v>
      </c>
      <c r="E42" s="449" t="s">
        <v>53</v>
      </c>
      <c r="F42" s="449" t="s">
        <v>588</v>
      </c>
      <c r="G42" s="87" t="str">
        <f t="array" ref="G42">IFERROR(INDEX(Printer!D:D,MATCH(C42,Printer!H:H,0)),"list 없음")</f>
        <v>2차 조사 정보 없음</v>
      </c>
      <c r="H42" s="87" t="str">
        <f t="array" ref="H42">IFERROR(INDEX(Ipad_List!C:C,MATCH(C42,Ipad_List!J:J,0)),"없음")</f>
        <v>YWFN4L7RQJ</v>
      </c>
      <c r="I42" s="111" t="s">
        <v>2655</v>
      </c>
      <c r="J42" s="288" t="str">
        <f t="array" ref="J42">IFERROR(INDEX(All_User_backup!D:D,MATCH(C42,All_User_backup!D:D,0)),"list없음")</f>
        <v>jin.park@stryker.com</v>
      </c>
    </row>
    <row r="43">
      <c r="A43" s="449">
        <v>1045476.0</v>
      </c>
      <c r="B43" s="449" t="s">
        <v>2696</v>
      </c>
      <c r="C43" s="449" t="s">
        <v>646</v>
      </c>
      <c r="D43" s="449" t="s">
        <v>1078</v>
      </c>
      <c r="E43" s="449" t="s">
        <v>53</v>
      </c>
      <c r="F43" s="449" t="s">
        <v>125</v>
      </c>
      <c r="G43" s="87" t="str">
        <f t="array" ref="G43">IFERROR(INDEX(Printer!D:D,MATCH(C43,Printer!H:H,0)),"list 없음")</f>
        <v>SL-C486FW</v>
      </c>
      <c r="H43" s="87" t="str">
        <f t="array" ref="H43">IFERROR(INDEX(Ipad_List!C:C,MATCH(C43,Ipad_List!J:J,0)),"없음")</f>
        <v>M90KHK7Y1F</v>
      </c>
      <c r="I43" s="111" t="s">
        <v>2655</v>
      </c>
      <c r="J43" s="288" t="str">
        <f t="array" ref="J43">IFERROR(INDEX(All_User_backup!D:D,MATCH(C43,All_User_backup!D:D,0)),"list없음")</f>
        <v>dana.shin@stryker.com</v>
      </c>
    </row>
    <row r="44">
      <c r="A44" s="449">
        <v>1045477.0</v>
      </c>
      <c r="B44" s="449" t="s">
        <v>2697</v>
      </c>
      <c r="C44" s="449" t="s">
        <v>108</v>
      </c>
      <c r="D44" s="449" t="s">
        <v>1078</v>
      </c>
      <c r="E44" s="449" t="s">
        <v>53</v>
      </c>
      <c r="F44" s="449" t="s">
        <v>125</v>
      </c>
      <c r="G44" s="87" t="str">
        <f t="array" ref="G44">IFERROR(INDEX(Printer!D:D,MATCH(C44,Printer!H:H,0)),"list 없음")</f>
        <v>SL-C563W</v>
      </c>
      <c r="H44" s="87" t="str">
        <f t="array" ref="H44">IFERROR(INDEX(Ipad_List!C:C,MATCH(C44,Ipad_List!J:J,0)),"없음")</f>
        <v>L2Q9F70301</v>
      </c>
      <c r="I44" s="111" t="s">
        <v>2655</v>
      </c>
      <c r="J44" s="288" t="str">
        <f t="array" ref="J44">IFERROR(INDEX(All_User_backup!D:D,MATCH(C44,All_User_backup!D:D,0)),"list없음")</f>
        <v>martin.cho@stryker.com</v>
      </c>
    </row>
    <row r="45">
      <c r="A45" s="449">
        <v>1048517.0</v>
      </c>
      <c r="B45" s="449" t="s">
        <v>2698</v>
      </c>
      <c r="C45" s="449" t="s">
        <v>732</v>
      </c>
      <c r="D45" s="449" t="s">
        <v>142</v>
      </c>
      <c r="E45" s="449" t="s">
        <v>53</v>
      </c>
      <c r="F45" s="449" t="s">
        <v>733</v>
      </c>
      <c r="G45" s="87" t="str">
        <f t="array" ref="G45">IFERROR(INDEX(Printer!D:D,MATCH(C45,Printer!H:H,0)),"list 없음")</f>
        <v>2차 조사 정보 없음</v>
      </c>
      <c r="H45" s="87" t="str">
        <f t="array" ref="H45">IFERROR(INDEX(Ipad_List!C:C,MATCH(C45,Ipad_List!J:J,0)),"없음")</f>
        <v>JWR90CCXJ3</v>
      </c>
      <c r="I45" s="111" t="s">
        <v>2655</v>
      </c>
      <c r="J45" s="288" t="str">
        <f t="array" ref="J45">IFERROR(INDEX(All_User_backup!D:D,MATCH(C45,All_User_backup!D:D,0)),"list없음")</f>
        <v>jw.yoon@stryker.com</v>
      </c>
    </row>
    <row r="46">
      <c r="A46" s="449">
        <v>1053062.0</v>
      </c>
      <c r="B46" s="449" t="s">
        <v>2699</v>
      </c>
      <c r="C46" s="449" t="s">
        <v>473</v>
      </c>
      <c r="D46" s="449" t="s">
        <v>1078</v>
      </c>
      <c r="E46" s="449" t="s">
        <v>53</v>
      </c>
      <c r="F46" s="449" t="s">
        <v>76</v>
      </c>
      <c r="G46" s="87" t="str">
        <f t="array" ref="G46">IFERROR(INDEX(Printer!D:D,MATCH(C46,Printer!H:H,0)),"list 없음")</f>
        <v>SL-C486FW</v>
      </c>
      <c r="H46" s="87" t="str">
        <f t="array" ref="H46">IFERROR(INDEX(Ipad_List!C:C,MATCH(C46,Ipad_List!J:J,0)),"없음")</f>
        <v>JN14143DQC</v>
      </c>
      <c r="I46" s="111" t="s">
        <v>2655</v>
      </c>
      <c r="J46" s="288" t="str">
        <f t="array" ref="J46">IFERROR(INDEX(All_User_backup!D:D,MATCH(C46,All_User_backup!D:D,0)),"list없음")</f>
        <v>henry.lee@stryker.com</v>
      </c>
    </row>
    <row r="47">
      <c r="A47" s="449">
        <v>1054726.0</v>
      </c>
      <c r="B47" s="449" t="s">
        <v>2700</v>
      </c>
      <c r="C47" s="449" t="s">
        <v>240</v>
      </c>
      <c r="D47" s="449" t="s">
        <v>27</v>
      </c>
      <c r="E47" s="449" t="s">
        <v>28</v>
      </c>
      <c r="F47" s="449" t="s">
        <v>57</v>
      </c>
      <c r="G47" s="87" t="str">
        <f t="array" ref="G47">IFERROR(INDEX(Printer!D:D,MATCH(C47,Printer!H:H,0)),"list 없음")</f>
        <v>list 없음</v>
      </c>
      <c r="H47" s="87" t="str">
        <f t="array" ref="H47">IFERROR(INDEX(Ipad_List!C:C,MATCH(C47,Ipad_List!J:J,0)),"없음")</f>
        <v>DFC7V7Q9X3</v>
      </c>
      <c r="I47" s="111" t="s">
        <v>2655</v>
      </c>
      <c r="J47" s="288" t="str">
        <f t="array" ref="J47">IFERROR(INDEX(All_User_backup!D:D,MATCH(C47,All_User_backup!D:D,0)),"list없음")</f>
        <v>somi.jeong@stryker.com</v>
      </c>
    </row>
    <row r="48">
      <c r="A48" s="449">
        <v>1054729.0</v>
      </c>
      <c r="B48" s="449" t="s">
        <v>2701</v>
      </c>
      <c r="C48" s="449" t="s">
        <v>391</v>
      </c>
      <c r="D48" s="449" t="s">
        <v>27</v>
      </c>
      <c r="E48" s="449" t="s">
        <v>28</v>
      </c>
      <c r="F48" s="449" t="s">
        <v>57</v>
      </c>
      <c r="G48" s="87" t="str">
        <f t="array" ref="G48">IFERROR(INDEX(Printer!D:D,MATCH(C48,Printer!H:H,0)),"list 없음")</f>
        <v>list 없음</v>
      </c>
      <c r="H48" s="87" t="str">
        <f t="array" ref="H48">IFERROR(INDEX(Ipad_List!C:C,MATCH(C48,Ipad_List!J:J,0)),"없음")</f>
        <v>LY9JGJQMTP</v>
      </c>
      <c r="I48" s="111" t="s">
        <v>2655</v>
      </c>
      <c r="J48" s="288" t="str">
        <f t="array" ref="J48">IFERROR(INDEX(All_User_backup!D:D,MATCH(C48,All_User_backup!D:D,0)),"list없음")</f>
        <v>mindo.kim@stryker.com</v>
      </c>
    </row>
    <row r="49">
      <c r="A49" s="449">
        <v>1054728.0</v>
      </c>
      <c r="B49" s="449" t="s">
        <v>2702</v>
      </c>
      <c r="C49" s="449" t="s">
        <v>395</v>
      </c>
      <c r="D49" s="449" t="s">
        <v>27</v>
      </c>
      <c r="E49" s="449" t="s">
        <v>28</v>
      </c>
      <c r="F49" s="449" t="s">
        <v>57</v>
      </c>
      <c r="G49" s="87" t="str">
        <f t="array" ref="G49">IFERROR(INDEX(Printer!D:D,MATCH(C49,Printer!H:H,0)),"list 없음")</f>
        <v>list 없음</v>
      </c>
      <c r="H49" s="87" t="str">
        <f t="array" ref="H49">IFERROR(INDEX(Ipad_List!C:C,MATCH(C49,Ipad_List!J:J,0)),"없음")</f>
        <v>JJWL6VTHKK</v>
      </c>
      <c r="I49" s="111" t="s">
        <v>2655</v>
      </c>
      <c r="J49" s="288" t="str">
        <f t="array" ref="J49">IFERROR(INDEX(All_User_backup!D:D,MATCH(C49,All_User_backup!D:D,0)),"list없음")</f>
        <v>aspyn.kim@stryker.com</v>
      </c>
    </row>
    <row r="50">
      <c r="A50" s="449">
        <v>1054872.0</v>
      </c>
      <c r="B50" s="449" t="s">
        <v>2703</v>
      </c>
      <c r="C50" s="449" t="s">
        <v>1780</v>
      </c>
      <c r="D50" s="449" t="s">
        <v>27</v>
      </c>
      <c r="E50" s="449" t="s">
        <v>28</v>
      </c>
      <c r="F50" s="449" t="s">
        <v>57</v>
      </c>
      <c r="G50" s="87" t="str">
        <f t="array" ref="G50">IFERROR(INDEX(Printer!D:D,MATCH(C50,Printer!H:H,0)),"list 없음")</f>
        <v>list 없음</v>
      </c>
      <c r="H50" s="87" t="str">
        <f t="array" ref="H50">IFERROR(INDEX(Ipad_List!C:C,MATCH(C50,Ipad_List!J:J,0)),"없음")</f>
        <v>없음</v>
      </c>
      <c r="I50" s="111" t="s">
        <v>2655</v>
      </c>
      <c r="J50" s="288" t="str">
        <f t="array" ref="J50">IFERROR(INDEX(All_User_backup!D:D,MATCH(C50,All_User_backup!D:D,0)),"list없음")</f>
        <v>minjeong.kim@stryker.com</v>
      </c>
    </row>
    <row r="51">
      <c r="A51" s="449">
        <v>1055467.0</v>
      </c>
      <c r="B51" s="449" t="s">
        <v>2704</v>
      </c>
      <c r="C51" s="449" t="s">
        <v>153</v>
      </c>
      <c r="D51" s="449" t="s">
        <v>142</v>
      </c>
      <c r="E51" s="449" t="s">
        <v>53</v>
      </c>
      <c r="F51" s="449" t="s">
        <v>125</v>
      </c>
      <c r="G51" s="87" t="str">
        <f t="array" ref="G51">IFERROR(INDEX(Printer!D:D,MATCH(C51,Printer!H:H,0)),"list 없음")</f>
        <v>2차 조사 정보 없음</v>
      </c>
      <c r="H51" s="87" t="str">
        <f t="array" ref="H51">IFERROR(INDEX(Ipad_List!C:C,MATCH(C51,Ipad_List!J:J,0)),"없음")</f>
        <v>D64QK42W36</v>
      </c>
      <c r="I51" s="111" t="s">
        <v>2655</v>
      </c>
      <c r="J51" s="288" t="str">
        <f t="array" ref="J51">IFERROR(INDEX(All_User_backup!D:D,MATCH(C51,All_User_backup!D:D,0)),"list없음")</f>
        <v>jack.eum@stryker.com</v>
      </c>
    </row>
    <row r="52">
      <c r="A52" s="449">
        <v>1054871.0</v>
      </c>
      <c r="B52" s="449" t="s">
        <v>2705</v>
      </c>
      <c r="C52" s="449" t="s">
        <v>597</v>
      </c>
      <c r="D52" s="449" t="s">
        <v>1078</v>
      </c>
      <c r="E52" s="449" t="s">
        <v>53</v>
      </c>
      <c r="F52" s="449" t="s">
        <v>76</v>
      </c>
      <c r="G52" s="87" t="str">
        <f t="array" ref="G52">IFERROR(INDEX(Printer!D:D,MATCH(C52,Printer!H:H,0)),"list 없음")</f>
        <v>SL-C563W</v>
      </c>
      <c r="H52" s="87" t="str">
        <f t="array" ref="H52">IFERROR(INDEX(Ipad_List!C:C,MATCH(C52,Ipad_List!J:J,0)),"없음")</f>
        <v>W6RQPLQLJY</v>
      </c>
      <c r="I52" s="111" t="s">
        <v>2655</v>
      </c>
      <c r="J52" s="288" t="str">
        <f t="array" ref="J52">IFERROR(INDEX(All_User_backup!D:D,MATCH(C52,All_User_backup!D:D,0)),"list없음")</f>
        <v>daniel.park@stryker.com</v>
      </c>
    </row>
    <row r="53">
      <c r="A53" s="449">
        <v>1055099.0</v>
      </c>
      <c r="B53" s="449" t="s">
        <v>2706</v>
      </c>
      <c r="C53" s="449" t="s">
        <v>531</v>
      </c>
      <c r="D53" s="449" t="s">
        <v>1348</v>
      </c>
      <c r="E53" s="449" t="s">
        <v>53</v>
      </c>
      <c r="F53" s="449" t="s">
        <v>125</v>
      </c>
      <c r="G53" s="87" t="str">
        <f t="array" ref="G53">IFERROR(INDEX(Printer!D:D,MATCH(C53,Printer!H:H,0)),"list 없음")</f>
        <v>2차 조사 정보 없음</v>
      </c>
      <c r="H53" s="87" t="str">
        <f t="array" ref="H53">IFERROR(INDEX(Ipad_List!C:C,MATCH(C53,Ipad_List!J:J,0)),"없음")</f>
        <v>MX224565CF</v>
      </c>
      <c r="I53" s="111" t="s">
        <v>2655</v>
      </c>
      <c r="J53" s="288" t="str">
        <f t="array" ref="J53">IFERROR(INDEX(All_User_backup!D:D,MATCH(C53,All_User_backup!D:D,0)),"list없음")</f>
        <v>mason.oh@stryker.com</v>
      </c>
    </row>
    <row r="54">
      <c r="A54" s="449">
        <v>1055989.0</v>
      </c>
      <c r="B54" s="449" t="s">
        <v>2707</v>
      </c>
      <c r="C54" s="449" t="s">
        <v>124</v>
      </c>
      <c r="D54" s="449" t="s">
        <v>77</v>
      </c>
      <c r="E54" s="449" t="s">
        <v>53</v>
      </c>
      <c r="F54" s="449" t="s">
        <v>125</v>
      </c>
      <c r="G54" s="87" t="str">
        <f t="array" ref="G54">IFERROR(INDEX(Printer!D:D,MATCH(C54,Printer!H:H,0)),"list 없음")</f>
        <v>SL-C563W</v>
      </c>
      <c r="H54" s="87" t="str">
        <f t="array" ref="H54">IFERROR(INDEX(Ipad_List!C:C,MATCH(C54,Ipad_List!J:J,0)),"없음")</f>
        <v>MKTFHJRWT2</v>
      </c>
      <c r="I54" s="111" t="s">
        <v>2655</v>
      </c>
      <c r="J54" s="288" t="str">
        <f t="array" ref="J54">IFERROR(INDEX(All_User_backup!D:D,MATCH(C54,All_User_backup!D:D,0)),"list없음")</f>
        <v>brad.choi@stryker.com</v>
      </c>
    </row>
    <row r="55">
      <c r="A55" s="449">
        <v>1056056.0</v>
      </c>
      <c r="B55" s="449" t="s">
        <v>2708</v>
      </c>
      <c r="C55" s="449" t="s">
        <v>476</v>
      </c>
      <c r="D55" s="449" t="s">
        <v>77</v>
      </c>
      <c r="E55" s="449" t="s">
        <v>53</v>
      </c>
      <c r="F55" s="449" t="s">
        <v>141</v>
      </c>
      <c r="G55" s="87" t="str">
        <f t="array" ref="G55">IFERROR(INDEX(Printer!D:D,MATCH(C55,Printer!H:H,0)),"list 없음")</f>
        <v>SL-C563W</v>
      </c>
      <c r="H55" s="87" t="str">
        <f t="array" ref="H55">IFERROR(INDEX(Ipad_List!C:C,MATCH(C55,Ipad_List!J:J,0)),"없음")</f>
        <v>LHJDGDMQCH</v>
      </c>
      <c r="I55" s="111" t="s">
        <v>2655</v>
      </c>
      <c r="J55" s="288" t="str">
        <f t="array" ref="J55">IFERROR(INDEX(All_User_backup!D:D,MATCH(C55,All_User_backup!D:D,0)),"list없음")</f>
        <v>ayaan.lee@stryker.com</v>
      </c>
    </row>
    <row r="56">
      <c r="A56" s="449">
        <v>1056057.0</v>
      </c>
      <c r="B56" s="449" t="s">
        <v>2709</v>
      </c>
      <c r="C56" s="449" t="s">
        <v>264</v>
      </c>
      <c r="D56" s="449" t="s">
        <v>142</v>
      </c>
      <c r="E56" s="449" t="s">
        <v>53</v>
      </c>
      <c r="F56" s="449" t="s">
        <v>150</v>
      </c>
      <c r="G56" s="87" t="str">
        <f t="array" ref="G56">IFERROR(INDEX(Printer!D:D,MATCH(C56,Printer!H:H,0)),"list 없음")</f>
        <v>list 없음</v>
      </c>
      <c r="H56" s="87" t="str">
        <f t="array" ref="H56">IFERROR(INDEX(Ipad_List!C:C,MATCH(C56,Ipad_List!J:J,0)),"없음")</f>
        <v>JFK7CC9090</v>
      </c>
      <c r="I56" s="111" t="s">
        <v>2655</v>
      </c>
      <c r="J56" s="288" t="str">
        <f t="array" ref="J56">IFERROR(INDEX(All_User_backup!D:D,MATCH(C56,All_User_backup!D:D,0)),"list없음")</f>
        <v>scott.jo@stryker.com</v>
      </c>
    </row>
    <row r="57">
      <c r="A57" s="449">
        <v>1058353.0</v>
      </c>
      <c r="B57" s="449" t="s">
        <v>2710</v>
      </c>
      <c r="C57" s="449" t="s">
        <v>285</v>
      </c>
      <c r="D57" s="449" t="s">
        <v>27</v>
      </c>
      <c r="E57" s="449" t="s">
        <v>28</v>
      </c>
      <c r="F57" s="449" t="s">
        <v>57</v>
      </c>
      <c r="G57" s="87" t="str">
        <f t="array" ref="G57">IFERROR(INDEX(Printer!D:D,MATCH(C57,Printer!H:H,0)),"list 없음")</f>
        <v>list 없음</v>
      </c>
      <c r="H57" s="87" t="str">
        <f t="array" ref="H57">IFERROR(INDEX(Ipad_List!C:C,MATCH(C57,Ipad_List!J:J,0)),"없음")</f>
        <v>G09WDG49T4</v>
      </c>
      <c r="I57" s="111" t="s">
        <v>2655</v>
      </c>
      <c r="J57" s="288" t="str">
        <f t="array" ref="J57">IFERROR(INDEX(All_User_backup!D:D,MATCH(C57,All_User_backup!D:D,0)),"list없음")</f>
        <v>sol.jung@stryker.com</v>
      </c>
    </row>
    <row r="58">
      <c r="A58" s="449">
        <v>1058885.0</v>
      </c>
      <c r="B58" s="449" t="s">
        <v>2711</v>
      </c>
      <c r="C58" s="449" t="s">
        <v>602</v>
      </c>
      <c r="D58" s="449" t="s">
        <v>1078</v>
      </c>
      <c r="E58" s="449" t="s">
        <v>53</v>
      </c>
      <c r="F58" s="449" t="s">
        <v>125</v>
      </c>
      <c r="G58" s="87" t="str">
        <f t="array" ref="G58">IFERROR(INDEX(Printer!D:D,MATCH(C58,Printer!H:H,0)),"list 없음")</f>
        <v>SL-C563W</v>
      </c>
      <c r="H58" s="87" t="str">
        <f t="array" ref="H58">IFERROR(INDEX(Ipad_List!C:C,MATCH(C58,Ipad_List!J:J,0)),"없음")</f>
        <v>MNPXXL2C5X</v>
      </c>
      <c r="I58" s="111" t="s">
        <v>2655</v>
      </c>
      <c r="J58" s="288" t="str">
        <f t="array" ref="J58">IFERROR(INDEX(All_User_backup!D:D,MATCH(C58,All_User_backup!D:D,0)),"list없음")</f>
        <v>hyoseon.park@stryker.com</v>
      </c>
    </row>
    <row r="59">
      <c r="A59" s="449">
        <v>1058884.0</v>
      </c>
      <c r="B59" s="449" t="s">
        <v>2712</v>
      </c>
      <c r="C59" s="449" t="s">
        <v>183</v>
      </c>
      <c r="D59" s="449" t="s">
        <v>20</v>
      </c>
      <c r="E59" s="449" t="s">
        <v>20</v>
      </c>
      <c r="F59" s="449" t="s">
        <v>129</v>
      </c>
      <c r="G59" s="87" t="str">
        <f t="array" ref="G59">IFERROR(INDEX(Printer!D:D,MATCH(C59,Printer!H:H,0)),"list 없음")</f>
        <v>2차 조사 정보 없음</v>
      </c>
      <c r="H59" s="87" t="str">
        <f t="array" ref="H59">IFERROR(INDEX(Ipad_List!C:C,MATCH(C59,Ipad_List!J:J,0)),"없음")</f>
        <v>DYQP729JPM</v>
      </c>
      <c r="I59" s="111" t="s">
        <v>2655</v>
      </c>
      <c r="J59" s="288" t="str">
        <f t="array" ref="J59">IFERROR(INDEX(All_User_backup!D:D,MATCH(C59,All_User_backup!D:D,0)),"list없음")</f>
        <v>yejin.heo@stryker.com</v>
      </c>
    </row>
    <row r="60">
      <c r="A60" s="449">
        <v>1059744.0</v>
      </c>
      <c r="B60" s="449" t="s">
        <v>2713</v>
      </c>
      <c r="C60" s="449" t="s">
        <v>405</v>
      </c>
      <c r="D60" s="449" t="s">
        <v>1348</v>
      </c>
      <c r="E60" s="449" t="s">
        <v>53</v>
      </c>
      <c r="F60" s="449" t="s">
        <v>76</v>
      </c>
      <c r="G60" s="87" t="str">
        <f t="array" ref="G60">IFERROR(INDEX(Printer!D:D,MATCH(C60,Printer!H:H,0)),"list 없음")</f>
        <v>SL-C486FW</v>
      </c>
      <c r="H60" s="87" t="str">
        <f t="array" ref="H60">IFERROR(INDEX(Ipad_List!C:C,MATCH(C60,Ipad_List!J:J,0)),"없음")</f>
        <v>Q5M6F1YX19</v>
      </c>
      <c r="I60" s="111" t="s">
        <v>2655</v>
      </c>
      <c r="J60" s="288" t="str">
        <f t="array" ref="J60">IFERROR(INDEX(All_User_backup!D:D,MATCH(C60,All_User_backup!D:D,0)),"list없음")</f>
        <v>james.kim@stryker.com</v>
      </c>
    </row>
    <row r="61">
      <c r="A61" s="449">
        <v>1059745.0</v>
      </c>
      <c r="B61" s="449" t="s">
        <v>2714</v>
      </c>
      <c r="C61" s="449" t="s">
        <v>402</v>
      </c>
      <c r="D61" s="449" t="s">
        <v>1078</v>
      </c>
      <c r="E61" s="449" t="s">
        <v>53</v>
      </c>
      <c r="F61" s="449" t="s">
        <v>76</v>
      </c>
      <c r="G61" s="87" t="str">
        <f t="array" ref="G61">IFERROR(INDEX(Printer!D:D,MATCH(C61,Printer!H:H,0)),"list 없음")</f>
        <v>list 없음</v>
      </c>
      <c r="H61" s="87" t="str">
        <f t="array" ref="H61">IFERROR(INDEX(Ipad_List!C:C,MATCH(C61,Ipad_List!J:J,0)),"없음")</f>
        <v>HC0FP2JHG7</v>
      </c>
      <c r="I61" s="111" t="s">
        <v>2655</v>
      </c>
      <c r="J61" s="288" t="str">
        <f t="array" ref="J61">IFERROR(INDEX(All_User_backup!D:D,MATCH(C61,All_User_backup!D:D,0)),"list없음")</f>
        <v>david.kim3@stryker.com</v>
      </c>
    </row>
    <row r="62">
      <c r="A62" s="449">
        <v>1062039.0</v>
      </c>
      <c r="B62" s="449" t="s">
        <v>2715</v>
      </c>
      <c r="C62" s="449" t="s">
        <v>230</v>
      </c>
      <c r="D62" s="449" t="s">
        <v>20</v>
      </c>
      <c r="E62" s="449" t="s">
        <v>20</v>
      </c>
      <c r="F62" s="449" t="s">
        <v>129</v>
      </c>
      <c r="G62" s="87" t="str">
        <f t="array" ref="G62">IFERROR(INDEX(Printer!D:D,MATCH(C62,Printer!H:H,0)),"list 없음")</f>
        <v>SL-C486FW</v>
      </c>
      <c r="H62" s="87" t="str">
        <f t="array" ref="H62">IFERROR(INDEX(Ipad_List!C:C,MATCH(C62,Ipad_List!J:J,0)),"없음")</f>
        <v>J7J79LY961</v>
      </c>
      <c r="I62" s="111" t="s">
        <v>2655</v>
      </c>
      <c r="J62" s="288" t="str">
        <f t="array" ref="J62">IFERROR(INDEX(All_User_backup!D:D,MATCH(C62,All_User_backup!D:D,0)),"list없음")</f>
        <v>lucas.jeon@stryker.com</v>
      </c>
    </row>
    <row r="63">
      <c r="A63" s="449">
        <v>1062041.0</v>
      </c>
      <c r="B63" s="449" t="s">
        <v>2716</v>
      </c>
      <c r="C63" s="449" t="s">
        <v>128</v>
      </c>
      <c r="D63" s="449" t="s">
        <v>20</v>
      </c>
      <c r="E63" s="449" t="s">
        <v>20</v>
      </c>
      <c r="F63" s="449" t="s">
        <v>129</v>
      </c>
      <c r="G63" s="87" t="str">
        <f t="array" ref="G63">IFERROR(INDEX(Printer!D:D,MATCH(C63,Printer!H:H,0)),"list 없음")</f>
        <v>SL-C565FW</v>
      </c>
      <c r="H63" s="87" t="str">
        <f t="array" ref="H63">IFERROR(INDEX(Ipad_List!C:C,MATCH(C63,Ipad_List!J:J,0)),"없음")</f>
        <v>HP6F2M6GJ7</v>
      </c>
      <c r="I63" s="111" t="s">
        <v>2655</v>
      </c>
      <c r="J63" s="288" t="str">
        <f t="array" ref="J63">IFERROR(INDEX(All_User_backup!D:D,MATCH(C63,All_User_backup!D:D,0)),"list없음")</f>
        <v>kyu.choi@stryker.com</v>
      </c>
    </row>
    <row r="64">
      <c r="A64" s="449">
        <v>1062515.0</v>
      </c>
      <c r="B64" s="449" t="s">
        <v>2717</v>
      </c>
      <c r="C64" s="449" t="s">
        <v>215</v>
      </c>
      <c r="D64" s="449" t="s">
        <v>1078</v>
      </c>
      <c r="E64" s="449" t="s">
        <v>53</v>
      </c>
      <c r="F64" s="449" t="s">
        <v>125</v>
      </c>
      <c r="G64" s="87" t="str">
        <f t="array" ref="G64">IFERROR(INDEX(Printer!D:D,MATCH(C64,Printer!H:H,0)),"list 없음")</f>
        <v>SL-C563W</v>
      </c>
      <c r="H64" s="87" t="str">
        <f t="array" ref="H64">IFERROR(INDEX(Ipad_List!C:C,MATCH(C64,Ipad_List!J:J,0)),"없음")</f>
        <v>GD2WG3K71P</v>
      </c>
      <c r="I64" s="111" t="s">
        <v>2655</v>
      </c>
      <c r="J64" s="288" t="str">
        <f t="array" ref="J64">IFERROR(INDEX(All_User_backup!D:D,MATCH(C64,All_User_backup!D:D,0)),"list없음")</f>
        <v>theo.hwang@stryker.com</v>
      </c>
    </row>
    <row r="65">
      <c r="A65" s="449">
        <v>1064909.0</v>
      </c>
      <c r="B65" s="449" t="s">
        <v>2718</v>
      </c>
      <c r="C65" s="449" t="s">
        <v>233</v>
      </c>
      <c r="D65" s="449" t="s">
        <v>1078</v>
      </c>
      <c r="E65" s="449" t="s">
        <v>53</v>
      </c>
      <c r="F65" s="449" t="s">
        <v>125</v>
      </c>
      <c r="G65" s="87" t="str">
        <f t="array" ref="G65">IFERROR(INDEX(Printer!D:D,MATCH(C65,Printer!H:H,0)),"list 없음")</f>
        <v>SL-C565W</v>
      </c>
      <c r="H65" s="87" t="str">
        <f t="array" ref="H65">IFERROR(INDEX(Ipad_List!C:C,MATCH(C65,Ipad_List!J:J,0)),"없음")</f>
        <v>WHYPLVY40L</v>
      </c>
      <c r="I65" s="111" t="s">
        <v>2655</v>
      </c>
      <c r="J65" s="288" t="str">
        <f t="array" ref="J65">IFERROR(INDEX(All_User_backup!D:D,MATCH(C65,All_User_backup!D:D,0)),"list없음")</f>
        <v>chan.jeon@stryker.com</v>
      </c>
    </row>
    <row r="66">
      <c r="A66" s="449">
        <v>1045575.0</v>
      </c>
      <c r="B66" s="449" t="s">
        <v>2719</v>
      </c>
      <c r="C66" s="449" t="s">
        <v>387</v>
      </c>
      <c r="D66" s="449" t="s">
        <v>27</v>
      </c>
      <c r="E66" s="449" t="s">
        <v>28</v>
      </c>
      <c r="F66" s="449" t="s">
        <v>388</v>
      </c>
      <c r="G66" s="87" t="str">
        <f t="array" ref="G66">IFERROR(INDEX(Printer!D:D,MATCH(C66,Printer!H:H,0)),"list 없음")</f>
        <v>list 없음</v>
      </c>
      <c r="H66" s="87" t="str">
        <f t="array" ref="H66">IFERROR(INDEX(Ipad_List!C:C,MATCH(C66,Ipad_List!J:J,0)),"없음")</f>
        <v>P40KK7NLQG</v>
      </c>
      <c r="I66" s="111" t="s">
        <v>2655</v>
      </c>
      <c r="J66" s="288" t="str">
        <f t="array" ref="J66">IFERROR(INDEX(All_User_backup!D:D,MATCH(C66,All_User_backup!D:D,0)),"list없음")</f>
        <v>mason.kim1@stryker.com</v>
      </c>
    </row>
    <row r="67">
      <c r="A67" s="449">
        <v>1069391.0</v>
      </c>
      <c r="B67" s="449" t="s">
        <v>2720</v>
      </c>
      <c r="C67" s="449" t="s">
        <v>243</v>
      </c>
      <c r="D67" s="449" t="s">
        <v>27</v>
      </c>
      <c r="E67" s="449" t="s">
        <v>28</v>
      </c>
      <c r="F67" s="449" t="s">
        <v>57</v>
      </c>
      <c r="G67" s="87" t="str">
        <f t="array" ref="G67">IFERROR(INDEX(Printer!D:D,MATCH(C67,Printer!H:H,0)),"list 없음")</f>
        <v>list 없음</v>
      </c>
      <c r="H67" s="87" t="str">
        <f t="array" ref="H67">IFERROR(INDEX(Ipad_List!C:C,MATCH(C67,Ipad_List!J:J,0)),"없음")</f>
        <v>GVYCM2VJKW</v>
      </c>
      <c r="I67" s="111" t="s">
        <v>2655</v>
      </c>
      <c r="J67" s="288" t="str">
        <f t="array" ref="J67">IFERROR(INDEX(All_User_backup!D:D,MATCH(C67,All_User_backup!D:D,0)),"list없음")</f>
        <v>dahye.jeong@stryker.com</v>
      </c>
    </row>
    <row r="68">
      <c r="A68" s="449">
        <v>1069791.0</v>
      </c>
      <c r="B68" s="449" t="s">
        <v>2721</v>
      </c>
      <c r="C68" s="449" t="s">
        <v>140</v>
      </c>
      <c r="D68" s="449" t="s">
        <v>142</v>
      </c>
      <c r="E68" s="449" t="s">
        <v>53</v>
      </c>
      <c r="F68" s="449" t="s">
        <v>141</v>
      </c>
      <c r="G68" s="87" t="str">
        <f t="array" ref="G68">IFERROR(INDEX(Printer!D:D,MATCH(C68,Printer!H:H,0)),"list 없음")</f>
        <v>list 없음</v>
      </c>
      <c r="H68" s="87" t="str">
        <f t="array" ref="H68">IFERROR(INDEX(Ipad_List!C:C,MATCH(C68,Ipad_List!J:J,0)),"없음")</f>
        <v>DWJX4VVTX2</v>
      </c>
      <c r="I68" s="111" t="s">
        <v>2655</v>
      </c>
      <c r="J68" s="288" t="str">
        <f t="array" ref="J68">IFERROR(INDEX(All_User_backup!D:D,MATCH(C68,All_User_backup!D:D,0)),"list없음")</f>
        <v>david.chung@stryker.com</v>
      </c>
    </row>
    <row r="69">
      <c r="A69" s="449">
        <v>1069792.0</v>
      </c>
      <c r="B69" s="449" t="s">
        <v>2722</v>
      </c>
      <c r="C69" s="449" t="s">
        <v>75</v>
      </c>
      <c r="D69" s="449" t="s">
        <v>142</v>
      </c>
      <c r="E69" s="449" t="s">
        <v>53</v>
      </c>
      <c r="F69" s="449" t="s">
        <v>76</v>
      </c>
      <c r="G69" s="87" t="str">
        <f t="array" ref="G69">IFERROR(INDEX(Printer!D:D,MATCH(C69,Printer!H:H,0)),"list 없음")</f>
        <v>list 없음</v>
      </c>
      <c r="H69" s="87" t="str">
        <f t="array" ref="H69">IFERROR(INDEX(Ipad_List!C:C,MATCH(C69,Ipad_List!J:J,0)),"없음")</f>
        <v>OQ2GGXF3FK</v>
      </c>
      <c r="I69" s="111" t="s">
        <v>2655</v>
      </c>
      <c r="J69" s="288" t="str">
        <f t="array" ref="J69">IFERROR(INDEX(All_User_backup!D:D,MATCH(C69,All_User_backup!D:D,0)),"list없음")</f>
        <v>sunghoon.bang@stryker.com</v>
      </c>
    </row>
    <row r="70">
      <c r="A70" s="449">
        <v>1073089.0</v>
      </c>
      <c r="B70" s="449" t="s">
        <v>2723</v>
      </c>
      <c r="C70" s="449" t="s">
        <v>219</v>
      </c>
      <c r="D70" s="449" t="s">
        <v>1348</v>
      </c>
      <c r="E70" s="449" t="s">
        <v>53</v>
      </c>
      <c r="F70" s="449" t="s">
        <v>125</v>
      </c>
      <c r="G70" s="87" t="str">
        <f t="array" ref="G70">IFERROR(INDEX(Printer!D:D,MATCH(C70,Printer!H:H,0)),"list 없음")</f>
        <v>list 없음</v>
      </c>
      <c r="H70" s="87" t="str">
        <f t="array" ref="H70">IFERROR(INDEX(Ipad_List!C:C,MATCH(C70,Ipad_List!J:J,0)),"없음")</f>
        <v>Q9JKF6RRK4</v>
      </c>
      <c r="I70" s="111" t="s">
        <v>2655</v>
      </c>
      <c r="J70" s="288" t="str">
        <f t="array" ref="J70">IFERROR(INDEX(All_User_backup!D:D,MATCH(C70,All_User_backup!D:D,0)),"list없음")</f>
        <v>daniel.jang@stryker.com</v>
      </c>
    </row>
    <row r="71">
      <c r="A71" s="449">
        <v>1029906.0</v>
      </c>
      <c r="B71" s="449" t="s">
        <v>2724</v>
      </c>
      <c r="C71" s="449" t="s">
        <v>369</v>
      </c>
      <c r="D71" s="449" t="s">
        <v>27</v>
      </c>
      <c r="E71" s="449" t="s">
        <v>28</v>
      </c>
      <c r="F71" s="449" t="s">
        <v>57</v>
      </c>
      <c r="G71" s="87" t="str">
        <f t="array" ref="G71">IFERROR(INDEX(Printer!D:D,MATCH(C71,Printer!H:H,0)),"list 없음")</f>
        <v>list 없음</v>
      </c>
      <c r="H71" s="87" t="str">
        <f t="array" ref="H71">IFERROR(INDEX(Ipad_List!C:C,MATCH(C71,Ipad_List!J:J,0)),"없음")</f>
        <v>F9XWF4345F</v>
      </c>
      <c r="I71" s="111" t="s">
        <v>2655</v>
      </c>
      <c r="J71" s="288" t="str">
        <f t="array" ref="J71">IFERROR(INDEX(All_User_backup!D:D,MATCH(C71,All_User_backup!D:D,0)),"list없음")</f>
        <v>dongkyu.kim@stryker.com</v>
      </c>
    </row>
    <row r="72">
      <c r="A72" s="449">
        <v>1075226.0</v>
      </c>
      <c r="B72" s="449" t="s">
        <v>2725</v>
      </c>
      <c r="C72" s="449" t="s">
        <v>132</v>
      </c>
      <c r="D72" s="449" t="s">
        <v>27</v>
      </c>
      <c r="E72" s="449" t="s">
        <v>28</v>
      </c>
      <c r="F72" s="449" t="s">
        <v>57</v>
      </c>
      <c r="G72" s="87" t="str">
        <f t="array" ref="G72">IFERROR(INDEX(Printer!D:D,MATCH(C72,Printer!H:H,0)),"list 없음")</f>
        <v>list 없음</v>
      </c>
      <c r="H72" s="87" t="str">
        <f t="array" ref="H72">IFERROR(INDEX(Ipad_List!C:C,MATCH(C72,Ipad_List!J:J,0)),"없음")</f>
        <v>QC36D93T16</v>
      </c>
      <c r="I72" s="111" t="s">
        <v>2655</v>
      </c>
      <c r="J72" s="288" t="str">
        <f t="array" ref="J72">IFERROR(INDEX(All_User_backup!D:D,MATCH(C72,All_User_backup!D:D,0)),"list없음")</f>
        <v>mason.choi@stryker.com</v>
      </c>
    </row>
    <row r="73">
      <c r="A73" s="449">
        <v>1075227.0</v>
      </c>
      <c r="B73" s="449" t="s">
        <v>2726</v>
      </c>
      <c r="C73" s="449" t="s">
        <v>737</v>
      </c>
      <c r="D73" s="449" t="s">
        <v>27</v>
      </c>
      <c r="E73" s="449" t="s">
        <v>28</v>
      </c>
      <c r="F73" s="449" t="s">
        <v>57</v>
      </c>
      <c r="G73" s="87" t="str">
        <f t="array" ref="G73">IFERROR(INDEX(Printer!D:D,MATCH(C73,Printer!H:H,0)),"list 없음")</f>
        <v>list 없음</v>
      </c>
      <c r="H73" s="87" t="str">
        <f t="array" ref="H73">IFERROR(INDEX(Ipad_List!C:C,MATCH(C73,Ipad_List!J:J,0)),"없음")</f>
        <v>M90G1Q6XFP</v>
      </c>
      <c r="I73" s="111" t="s">
        <v>2655</v>
      </c>
      <c r="J73" s="288" t="str">
        <f t="array" ref="J73">IFERROR(INDEX(All_User_backup!D:D,MATCH(C73,All_User_backup!D:D,0)),"list없음")</f>
        <v>aaron.yoon@stryker.com</v>
      </c>
    </row>
    <row r="74">
      <c r="A74" s="449">
        <v>1062428.0</v>
      </c>
      <c r="B74" s="449" t="s">
        <v>2727</v>
      </c>
      <c r="C74" s="449" t="s">
        <v>409</v>
      </c>
      <c r="D74" s="449" t="s">
        <v>27</v>
      </c>
      <c r="E74" s="449" t="s">
        <v>28</v>
      </c>
      <c r="F74" s="449" t="s">
        <v>57</v>
      </c>
      <c r="G74" s="87" t="str">
        <f t="array" ref="G74">IFERROR(INDEX(Printer!D:D,MATCH(C74,Printer!H:H,0)),"list 없음")</f>
        <v>list 없음</v>
      </c>
      <c r="H74" s="87" t="str">
        <f t="array" ref="H74">IFERROR(INDEX(Ipad_List!C:C,MATCH(C74,Ipad_List!J:J,0)),"없음")</f>
        <v>VHJMJWTK6N</v>
      </c>
      <c r="I74" s="111" t="s">
        <v>2655</v>
      </c>
      <c r="J74" s="288" t="str">
        <f t="array" ref="J74">IFERROR(INDEX(All_User_backup!D:D,MATCH(C74,All_User_backup!D:D,0)),"list없음")</f>
        <v>hannah.kim@stryker.com</v>
      </c>
    </row>
    <row r="75">
      <c r="A75" s="449">
        <v>1075858.0</v>
      </c>
      <c r="B75" s="449" t="s">
        <v>2728</v>
      </c>
      <c r="C75" s="449" t="s">
        <v>56</v>
      </c>
      <c r="D75" s="449" t="s">
        <v>27</v>
      </c>
      <c r="E75" s="449" t="s">
        <v>28</v>
      </c>
      <c r="F75" s="449" t="s">
        <v>57</v>
      </c>
      <c r="G75" s="87" t="str">
        <f t="array" ref="G75">IFERROR(INDEX(Printer!D:D,MATCH(C75,Printer!H:H,0)),"list 없음")</f>
        <v>list 없음</v>
      </c>
      <c r="H75" s="87" t="str">
        <f t="array" ref="H75">IFERROR(INDEX(Ipad_List!C:C,MATCH(C75,Ipad_List!J:J,0)),"없음")</f>
        <v>HL7Q0T6MHW</v>
      </c>
      <c r="I75" s="111" t="s">
        <v>2655</v>
      </c>
      <c r="J75" s="288" t="str">
        <f t="array" ref="J75">IFERROR(INDEX(All_User_backup!D:D,MATCH(C75,All_User_backup!D:D,0)),"list없음")</f>
        <v>vincent.bae@stryker.com</v>
      </c>
    </row>
    <row r="76">
      <c r="A76" s="449">
        <v>1076111.0</v>
      </c>
      <c r="B76" s="449" t="s">
        <v>2729</v>
      </c>
      <c r="C76" s="449" t="s">
        <v>609</v>
      </c>
      <c r="D76" s="449" t="s">
        <v>27</v>
      </c>
      <c r="E76" s="449" t="s">
        <v>28</v>
      </c>
      <c r="F76" s="449" t="s">
        <v>57</v>
      </c>
      <c r="G76" s="87" t="str">
        <f t="array" ref="G76">IFERROR(INDEX(Printer!D:D,MATCH(C76,Printer!H:H,0)),"list 없음")</f>
        <v>list 없음</v>
      </c>
      <c r="H76" s="87" t="str">
        <f t="array" ref="H76">IFERROR(INDEX(Ipad_List!C:C,MATCH(C76,Ipad_List!J:J,0)),"없음")</f>
        <v>L2717D33PM</v>
      </c>
      <c r="I76" s="111" t="s">
        <v>2655</v>
      </c>
      <c r="J76" s="288" t="str">
        <f t="array" ref="J76">IFERROR(INDEX(All_User_backup!D:D,MATCH(C76,All_User_backup!D:D,0)),"list없음")</f>
        <v>lucia.park@stryker.com</v>
      </c>
    </row>
    <row r="77">
      <c r="A77" s="449">
        <v>1076799.0</v>
      </c>
      <c r="B77" s="449" t="s">
        <v>2730</v>
      </c>
      <c r="C77" s="449" t="s">
        <v>770</v>
      </c>
      <c r="D77" s="449" t="s">
        <v>27</v>
      </c>
      <c r="E77" s="449" t="s">
        <v>53</v>
      </c>
      <c r="F77" s="449" t="s">
        <v>125</v>
      </c>
      <c r="G77" s="87" t="str">
        <f t="array" ref="G77">IFERROR(INDEX(Printer!D:D,MATCH(C77,Printer!H:H,0)),"list 없음")</f>
        <v>SL-C563W</v>
      </c>
      <c r="H77" s="87" t="str">
        <f t="array" ref="H77">IFERROR(INDEX(Ipad_List!C:C,MATCH(C77,Ipad_List!J:J,0)),"없음")</f>
        <v>FHTK4GJCF9</v>
      </c>
      <c r="I77" s="111" t="s">
        <v>2655</v>
      </c>
      <c r="J77" s="288" t="str">
        <f t="array" ref="J77">IFERROR(INDEX(All_User_backup!D:D,MATCH(C77,All_User_backup!D:D,0)),"list없음")</f>
        <v>neal.kim@stryker.com</v>
      </c>
    </row>
    <row r="78">
      <c r="A78" s="449">
        <v>1076800.0</v>
      </c>
      <c r="B78" s="449" t="s">
        <v>2731</v>
      </c>
      <c r="C78" s="449" t="s">
        <v>790</v>
      </c>
      <c r="D78" s="449" t="s">
        <v>27</v>
      </c>
      <c r="E78" s="449" t="s">
        <v>28</v>
      </c>
      <c r="F78" s="449" t="s">
        <v>57</v>
      </c>
      <c r="G78" s="87" t="str">
        <f t="array" ref="G78">IFERROR(INDEX(Printer!D:D,MATCH(C78,Printer!H:H,0)),"list 없음")</f>
        <v>list 없음</v>
      </c>
      <c r="H78" s="87" t="str">
        <f t="array" ref="H78">IFERROR(INDEX(Ipad_List!C:C,MATCH(C78,Ipad_List!J:J,0)),"없음")</f>
        <v>H2JWWY6V5C</v>
      </c>
      <c r="I78" s="111" t="s">
        <v>2655</v>
      </c>
      <c r="J78" s="288" t="str">
        <f t="array" ref="J78">IFERROR(INDEX(All_User_backup!D:D,MATCH(C78,All_User_backup!D:D,0)),"list없음")</f>
        <v>lucas.heo@stryker.com</v>
      </c>
    </row>
    <row r="79">
      <c r="A79" s="449">
        <v>1029907.0</v>
      </c>
      <c r="B79" s="449" t="s">
        <v>2732</v>
      </c>
      <c r="C79" s="449" t="s">
        <v>815</v>
      </c>
      <c r="D79" s="449" t="s">
        <v>27</v>
      </c>
      <c r="E79" s="449" t="s">
        <v>28</v>
      </c>
      <c r="F79" s="449" t="s">
        <v>72</v>
      </c>
      <c r="G79" s="87" t="str">
        <f t="array" ref="G79">IFERROR(INDEX(Printer!D:D,MATCH(C79,Printer!H:H,0)),"list 없음")</f>
        <v>list 없음</v>
      </c>
      <c r="H79" s="87" t="str">
        <f t="array" ref="H79">IFERROR(INDEX(Ipad_List!C:C,MATCH(C79,Ipad_List!J:J,0)),"없음")</f>
        <v>WR34FVRW4C</v>
      </c>
      <c r="I79" s="111" t="s">
        <v>2655</v>
      </c>
      <c r="J79" s="288" t="str">
        <f t="array" ref="J79">IFERROR(INDEX(All_User_backup!D:D,MATCH(C79,All_User_backup!D:D,0)),"list없음")</f>
        <v>bryan.park@stryker.com</v>
      </c>
    </row>
    <row r="80">
      <c r="B80" s="46" t="s">
        <v>724</v>
      </c>
      <c r="C80" s="46" t="s">
        <v>726</v>
      </c>
      <c r="E80" s="46" t="s">
        <v>137</v>
      </c>
      <c r="G80" s="87" t="str">
        <f t="array" ref="G80">IFERROR(INDEX(Printer!D:D,MATCH(C80,Printer!H:H,0)),"list 없음")</f>
        <v>list 없음</v>
      </c>
      <c r="H80" s="87" t="str">
        <f t="array" ref="H80">IFERROR(INDEX(Ipad_List!C:C,MATCH(C80,Ipad_List!J:J,0)),"없음")</f>
        <v>D50QVTWX76</v>
      </c>
      <c r="I80" s="111" t="s">
        <v>2655</v>
      </c>
      <c r="J80" s="288" t="str">
        <f t="array" ref="J80">IFERROR(INDEX(All_User_backup!D:D,MATCH(C80,All_User_backup!D:D,0)),"list없음")</f>
        <v>bella.yoon@stryker.com</v>
      </c>
    </row>
    <row r="81">
      <c r="B81" s="46" t="s">
        <v>615</v>
      </c>
      <c r="C81" s="46" t="s">
        <v>617</v>
      </c>
      <c r="E81" s="46" t="s">
        <v>53</v>
      </c>
      <c r="G81" s="87" t="str">
        <f t="array" ref="G81">IFERROR(INDEX(Printer!D:D,MATCH(C81,Printer!H:H,0)),"list 없음")</f>
        <v>SL-C563W</v>
      </c>
      <c r="H81" s="87" t="str">
        <f t="array" ref="H81">IFERROR(INDEX(Ipad_List!C:C,MATCH(C81,Ipad_List!J:J,0)),"없음")</f>
        <v>KJ44CP93XQ</v>
      </c>
      <c r="I81" s="111" t="s">
        <v>2655</v>
      </c>
      <c r="J81" s="288" t="str">
        <f t="array" ref="J81">IFERROR(INDEX(All_User_backup!D:D,MATCH(C81,All_User_backup!D:D,0)),"list없음")</f>
        <v>Gregory.Seo@stryker.com</v>
      </c>
    </row>
    <row r="82">
      <c r="B82" s="46" t="s">
        <v>272</v>
      </c>
      <c r="C82" s="46" t="s">
        <v>274</v>
      </c>
      <c r="E82" s="46" t="s">
        <v>137</v>
      </c>
      <c r="G82" s="87" t="str">
        <f t="array" ref="G82">IFERROR(INDEX(Printer!D:D,MATCH(C82,Printer!H:H,0)),"list 없음")</f>
        <v>list 없음</v>
      </c>
      <c r="H82" s="87" t="str">
        <f t="array" ref="H82">IFERROR(INDEX(Ipad_List!C:C,MATCH(C82,Ipad_List!J:J,0)),"없음")</f>
        <v>DG3XL2W5VX</v>
      </c>
      <c r="I82" s="111" t="s">
        <v>2655</v>
      </c>
      <c r="J82" s="288" t="str">
        <f t="array" ref="J82">IFERROR(INDEX(All_User_backup!D:D,MATCH(C82,All_User_backup!D:D,0)),"list없음")</f>
        <v>jenny.jung@stryker.com</v>
      </c>
      <c r="K82" s="46" t="s">
        <v>2733</v>
      </c>
    </row>
    <row r="83">
      <c r="B83" s="46" t="s">
        <v>569</v>
      </c>
      <c r="C83" s="46" t="s">
        <v>571</v>
      </c>
      <c r="E83" s="46" t="s">
        <v>35</v>
      </c>
      <c r="G83" s="87" t="str">
        <f t="array" ref="G83">IFERROR(INDEX(Printer!D:D,MATCH(C83,Printer!H:H,0)),"list 없음")</f>
        <v>list 없음</v>
      </c>
      <c r="H83" s="87" t="str">
        <f t="array" ref="H83">IFERROR(INDEX(Ipad_List!C:C,MATCH(C83,Ipad_List!J:J,0)),"없음")</f>
        <v>DP77MWKXNR</v>
      </c>
      <c r="I83" s="111" t="s">
        <v>2655</v>
      </c>
      <c r="J83" s="288" t="str">
        <f t="array" ref="J83">IFERROR(INDEX(All_User_backup!D:D,MATCH(C83,All_User_backup!D:D,0)),"list없음")</f>
        <v>owen.park@stryker.com</v>
      </c>
    </row>
    <row r="84">
      <c r="B84" s="46" t="s">
        <v>464</v>
      </c>
      <c r="C84" s="46" t="s">
        <v>466</v>
      </c>
      <c r="E84" s="46" t="s">
        <v>137</v>
      </c>
      <c r="G84" s="87" t="str">
        <f t="array" ref="G84">IFERROR(INDEX(Printer!D:D,MATCH(C84,Printer!H:H,0)),"list 없음")</f>
        <v>list 없음</v>
      </c>
      <c r="H84" s="87" t="str">
        <f t="array" ref="H84">IFERROR(INDEX(Ipad_List!C:C,MATCH(C84,Ipad_List!J:J,0)),"없음")</f>
        <v>GWR3CYT2GJ</v>
      </c>
      <c r="I84" s="111" t="s">
        <v>2655</v>
      </c>
      <c r="J84" s="288" t="str">
        <f t="array" ref="J84">IFERROR(INDEX(All_User_backup!D:D,MATCH(C84,All_User_backup!D:D,0)),"list없음")</f>
        <v>rosie.lee@stryker.com</v>
      </c>
    </row>
    <row r="85">
      <c r="B85" s="46" t="s">
        <v>738</v>
      </c>
      <c r="C85" s="46" t="s">
        <v>740</v>
      </c>
      <c r="E85" s="46" t="s">
        <v>137</v>
      </c>
      <c r="G85" s="288" t="str">
        <f t="array" ref="G85">IFERROR(INDEX(Printer!D:D,MATCH(C85,Printer!H:H,0)),"list 없음")</f>
        <v>list 없음</v>
      </c>
      <c r="H85" s="288" t="str">
        <f t="array" ref="H85">IFERROR(INDEX(Ipad_List!C:C,MATCH(C85,Ipad_List!J:J,0)),"없음")</f>
        <v>HYC714DK25</v>
      </c>
      <c r="I85" s="111" t="s">
        <v>2655</v>
      </c>
      <c r="J85" s="288" t="str">
        <f t="array" ref="J85">IFERROR(INDEX(All_User_backup!D:D,MATCH(C85,All_User_backup!D:D,0)),"list없음")</f>
        <v>sarah.youn@stryker.com</v>
      </c>
    </row>
    <row r="86">
      <c r="B86" s="46" t="s">
        <v>234</v>
      </c>
      <c r="C86" s="46" t="s">
        <v>236</v>
      </c>
      <c r="E86" s="46" t="s">
        <v>53</v>
      </c>
      <c r="G86" s="87" t="str">
        <f t="array" ref="G86">IFERROR(INDEX(Printer!D:D,MATCH(C86,Printer!H:H,0)),"list 없음")</f>
        <v>SL-C563W</v>
      </c>
      <c r="H86" s="87" t="str">
        <f t="array" ref="H86">IFERROR(INDEX(Ipad_List!C:C,MATCH(C86,Ipad_List!J:J,0)),"없음")</f>
        <v>M2FKP9T7QX</v>
      </c>
      <c r="I86" s="111" t="s">
        <v>2655</v>
      </c>
      <c r="J86" s="288" t="str">
        <f t="array" ref="J86">IFERROR(INDEX(All_User_backup!D:D,MATCH(C86,All_User_backup!D:D,0)),"list없음")</f>
        <v>yoonbee.jeong@stryker.com</v>
      </c>
    </row>
    <row r="87">
      <c r="B87" s="46" t="s">
        <v>330</v>
      </c>
      <c r="C87" s="46" t="s">
        <v>332</v>
      </c>
      <c r="E87" s="46" t="s">
        <v>53</v>
      </c>
      <c r="G87" s="87" t="str">
        <f t="array" ref="G87">IFERROR(INDEX(Printer!D:D,MATCH(C87,Printer!H:H,0)),"list 없음")</f>
        <v>SL-C486FW</v>
      </c>
      <c r="H87" s="87" t="str">
        <f t="array" ref="H87">IFERROR(INDEX(Ipad_List!C:C,MATCH(C87,Ipad_List!J:J,0)),"없음")</f>
        <v>MK21Q5L65C</v>
      </c>
      <c r="I87" s="111" t="s">
        <v>2655</v>
      </c>
      <c r="J87" s="288" t="str">
        <f t="array" ref="J87">IFERROR(INDEX(All_User_backup!D:D,MATCH(C87,All_User_backup!D:D,0)),"list없음")</f>
        <v>jackson.kim@stryker.com</v>
      </c>
    </row>
    <row r="88">
      <c r="B88" s="46" t="s">
        <v>312</v>
      </c>
      <c r="C88" s="46" t="s">
        <v>313</v>
      </c>
      <c r="E88" s="46" t="s">
        <v>137</v>
      </c>
      <c r="G88" s="87" t="str">
        <f t="array" ref="G88">IFERROR(INDEX(Printer!D:D,MATCH(C88,Printer!H:H,0)),"list 없음")</f>
        <v>list 없음</v>
      </c>
      <c r="H88" s="87" t="str">
        <f t="array" ref="H88">IFERROR(INDEX(Ipad_List!C:C,MATCH(C88,Ipad_List!J:J,0)),"없음")</f>
        <v>FQPW2GVP7C</v>
      </c>
      <c r="I88" s="111" t="s">
        <v>2655</v>
      </c>
      <c r="J88" s="288" t="str">
        <f t="array" ref="J88">IFERROR(INDEX(All_User_backup!D:D,MATCH(C88,All_User_backup!D:D,0)),"list없음")</f>
        <v>Rayna.Kim@stryker.com</v>
      </c>
    </row>
    <row r="89">
      <c r="B89" s="46" t="s">
        <v>258</v>
      </c>
      <c r="C89" s="46" t="s">
        <v>260</v>
      </c>
      <c r="E89" s="46" t="s">
        <v>53</v>
      </c>
      <c r="G89" s="87" t="str">
        <f t="array" ref="G89">IFERROR(INDEX(Printer!D:D,MATCH(C89,Printer!H:H,0)),"list 없음")</f>
        <v>list 없음</v>
      </c>
      <c r="H89" s="87" t="str">
        <f t="array" ref="H89">IFERROR(INDEX(Ipad_List!C:C,MATCH(C89,Ipad_List!J:J,0)),"없음")</f>
        <v>GGWR7NXY2D</v>
      </c>
      <c r="I89" s="111" t="s">
        <v>2655</v>
      </c>
      <c r="J89" s="288" t="str">
        <f t="array" ref="J89">IFERROR(INDEX(All_User_backup!D:D,MATCH(C89,All_User_backup!D:D,0)),"list없음")</f>
        <v>jay.ji@stryker.com</v>
      </c>
    </row>
    <row r="90">
      <c r="B90" s="46" t="s">
        <v>30</v>
      </c>
      <c r="C90" s="46" t="s">
        <v>32</v>
      </c>
      <c r="E90" s="46" t="s">
        <v>35</v>
      </c>
      <c r="G90" s="87" t="str">
        <f t="array" ref="G90">IFERROR(INDEX(Printer!D:D,MATCH(C90,Printer!H:H,0)),"list 없음")</f>
        <v>list 없음</v>
      </c>
      <c r="H90" s="87" t="str">
        <f t="array" ref="H90">IFERROR(INDEX(Ipad_List!C:C,MATCH(C90,Ipad_List!J:J,0)),"없음")</f>
        <v>C4RQH3W74V</v>
      </c>
      <c r="I90" s="111" t="s">
        <v>2655</v>
      </c>
      <c r="J90" s="288" t="str">
        <f t="array" ref="J90">IFERROR(INDEX(All_User_backup!D:D,MATCH(C90,All_User_backup!D:D,0)),"list없음")</f>
        <v>andrew.ahn@stryker.com</v>
      </c>
    </row>
    <row r="91">
      <c r="B91" s="46" t="s">
        <v>346</v>
      </c>
      <c r="C91" s="46" t="s">
        <v>348</v>
      </c>
      <c r="E91" s="46" t="s">
        <v>137</v>
      </c>
      <c r="G91" s="87" t="str">
        <f t="array" ref="G91">IFERROR(INDEX(Printer!D:D,MATCH(C91,Printer!H:H,0)),"list 없음")</f>
        <v>SL-C563W</v>
      </c>
      <c r="H91" s="87" t="str">
        <f t="array" ref="H91">IFERROR(INDEX(Ipad_List!C:C,MATCH(C91,Ipad_List!J:J,0)),"없음")</f>
        <v>HYFKQFR4RD</v>
      </c>
      <c r="I91" s="111" t="s">
        <v>2655</v>
      </c>
      <c r="J91" s="288" t="str">
        <f t="array" ref="J91">IFERROR(INDEX(All_User_backup!D:D,MATCH(C91,All_User_backup!D:D,0)),"list없음")</f>
        <v>yeonjoo.kim@stryker.com</v>
      </c>
    </row>
    <row r="92">
      <c r="B92" s="46" t="s">
        <v>90</v>
      </c>
      <c r="C92" s="46" t="s">
        <v>92</v>
      </c>
      <c r="E92" s="46" t="s">
        <v>35</v>
      </c>
      <c r="G92" s="87" t="str">
        <f t="array" ref="G92">IFERROR(INDEX(Printer!D:D,MATCH(C92,Printer!H:H,0)),"list 없음")</f>
        <v>list 없음</v>
      </c>
      <c r="H92" s="87" t="str">
        <f t="array" ref="H92">IFERROR(INDEX(Ipad_List!C:C,MATCH(C92,Ipad_List!J:J,0)),"없음")</f>
        <v>Q4VGFW40QV</v>
      </c>
      <c r="I92" s="111" t="s">
        <v>2655</v>
      </c>
      <c r="J92" s="288" t="str">
        <f t="array" ref="J92">IFERROR(INDEX(All_User_backup!D:D,MATCH(C92,All_User_backup!D:D,0)),"list없음")</f>
        <v>carl.cha@stryker.com</v>
      </c>
    </row>
    <row r="93">
      <c r="B93" s="46" t="s">
        <v>204</v>
      </c>
      <c r="C93" s="46" t="s">
        <v>206</v>
      </c>
      <c r="E93" s="46" t="s">
        <v>35</v>
      </c>
      <c r="G93" s="87" t="str">
        <f t="array" ref="G93">IFERROR(INDEX(Printer!D:D,MATCH(C93,Printer!H:H,0)),"list 없음")</f>
        <v>없음</v>
      </c>
      <c r="H93" s="87" t="str">
        <f t="array" ref="H93">IFERROR(INDEX(Ipad_List!C:C,MATCH(C93,Ipad_List!J:J,0)),"없음")</f>
        <v>XYGFK42KQP</v>
      </c>
      <c r="I93" s="111" t="s">
        <v>2655</v>
      </c>
      <c r="J93" s="288" t="str">
        <f t="array" ref="J93">IFERROR(INDEX(All_User_backup!D:D,MATCH(C93,All_User_backup!D:D,0)),"list없음")</f>
        <v>oscar.hwang@stryker.com</v>
      </c>
    </row>
    <row r="94">
      <c r="B94" s="46" t="s">
        <v>370</v>
      </c>
      <c r="C94" s="46" t="s">
        <v>372</v>
      </c>
      <c r="E94" s="46" t="s">
        <v>137</v>
      </c>
      <c r="G94" s="87" t="str">
        <f t="array" ref="G94">IFERROR(INDEX(Printer!D:D,MATCH(C94,Printer!H:H,0)),"list 없음")</f>
        <v>list 없음</v>
      </c>
      <c r="H94" s="87" t="str">
        <f t="array" ref="H94">IFERROR(INDEX(Ipad_List!C:C,MATCH(C94,Ipad_List!J:J,0)),"없음")</f>
        <v>XGH27YLWQM</v>
      </c>
      <c r="I94" s="111" t="s">
        <v>2655</v>
      </c>
      <c r="J94" s="288" t="str">
        <f t="array" ref="J94">IFERROR(INDEX(All_User_backup!D:D,MATCH(C94,All_User_backup!D:D,0)),"list없음")</f>
        <v>minki.kim@stryker.com</v>
      </c>
    </row>
    <row r="95">
      <c r="B95" s="46" t="s">
        <v>675</v>
      </c>
      <c r="C95" s="46" t="s">
        <v>677</v>
      </c>
      <c r="E95" s="46" t="s">
        <v>35</v>
      </c>
      <c r="G95" s="288" t="str">
        <f t="array" ref="G95">IFERROR(INDEX(Printer!D:D,MATCH(C95,Printer!H:H,0)),"list 없음")</f>
        <v>list 없음</v>
      </c>
      <c r="H95" s="288" t="str">
        <f t="array" ref="H95">IFERROR(INDEX(Ipad_List!C:C,MATCH(C95,Ipad_List!J:J,0)),"없음")</f>
        <v>RVF25297YV</v>
      </c>
      <c r="I95" s="111" t="s">
        <v>2655</v>
      </c>
      <c r="J95" s="288" t="str">
        <f t="array" ref="J95">IFERROR(INDEX(All_User_backup!D:D,MATCH(C95,All_User_backup!D:D,0)),"list없음")</f>
        <v>jayden.song@stryker.com</v>
      </c>
    </row>
    <row r="96">
      <c r="B96" s="46" t="s">
        <v>826</v>
      </c>
      <c r="C96" s="46" t="s">
        <v>828</v>
      </c>
      <c r="E96" s="46" t="s">
        <v>53</v>
      </c>
      <c r="G96" s="87" t="str">
        <f t="array" ref="G96">IFERROR(INDEX(Printer!D:D,MATCH(C96,Printer!H:H,0)),"list 없음")</f>
        <v>SL-C563W</v>
      </c>
      <c r="H96" s="87" t="str">
        <f t="array" ref="H96">IFERROR(INDEX(Ipad_List!C:C,MATCH(C96,Ipad_List!J:J,0)),"없음")</f>
        <v>GHL46K1F9M</v>
      </c>
      <c r="I96" s="111" t="s">
        <v>2655</v>
      </c>
      <c r="J96" s="288" t="str">
        <f t="array" ref="J96">IFERROR(INDEX(All_User_backup!D:D,MATCH(C96,All_User_backup!D:D,0)),"list없음")</f>
        <v>ian.hwang@stryker.com</v>
      </c>
    </row>
    <row r="97">
      <c r="B97" s="46" t="s">
        <v>467</v>
      </c>
      <c r="C97" s="46" t="s">
        <v>469</v>
      </c>
      <c r="E97" s="46" t="s">
        <v>35</v>
      </c>
      <c r="G97" s="87" t="str">
        <f t="array" ref="G97">IFERROR(INDEX(Printer!D:D,MATCH(C97,Printer!H:H,0)),"list 없음")</f>
        <v>SL-C563W</v>
      </c>
      <c r="H97" s="87" t="str">
        <f t="array" ref="H97">IFERROR(INDEX(Ipad_List!C:C,MATCH(C97,Ipad_List!J:J,0)),"없음")</f>
        <v>FN47DRXYYW</v>
      </c>
      <c r="I97" s="111" t="s">
        <v>2655</v>
      </c>
      <c r="J97" s="288" t="str">
        <f t="array" ref="J97">IFERROR(INDEX(All_User_backup!D:D,MATCH(C97,All_User_backup!D:D,0)),"list없음")</f>
        <v>daniel.lee1@stryker.com</v>
      </c>
    </row>
    <row r="98">
      <c r="B98" s="46" t="s">
        <v>648</v>
      </c>
      <c r="C98" s="46" t="s">
        <v>650</v>
      </c>
      <c r="E98" s="46" t="s">
        <v>35</v>
      </c>
      <c r="G98" s="87" t="str">
        <f t="array" ref="G98">IFERROR(INDEX(Printer!D:D,MATCH(C98,Printer!H:H,0)),"list 없음")</f>
        <v>SL-C563W</v>
      </c>
      <c r="H98" s="87" t="str">
        <f t="array" ref="H98">IFERROR(INDEX(Ipad_List!C:C,MATCH(C98,Ipad_List!J:J,0)),"없음")</f>
        <v>RFJJ97J4YG</v>
      </c>
      <c r="I98" s="111" t="s">
        <v>2655</v>
      </c>
      <c r="J98" s="288" t="str">
        <f t="array" ref="J98">IFERROR(INDEX(All_User_backup!D:D,MATCH(C98,All_User_backup!D:D,0)),"list없음")</f>
        <v>Huey.Sim@stryker.com</v>
      </c>
    </row>
    <row r="99">
      <c r="B99" s="46" t="s">
        <v>133</v>
      </c>
      <c r="C99" s="46" t="s">
        <v>135</v>
      </c>
      <c r="E99" s="46" t="s">
        <v>137</v>
      </c>
      <c r="G99" s="87" t="str">
        <f t="array" ref="G99">IFERROR(INDEX(Printer!D:D,MATCH(C99,Printer!H:H,0)),"list 없음")</f>
        <v>SL-C483W</v>
      </c>
      <c r="H99" s="87" t="str">
        <f t="array" ref="H99">IFERROR(INDEX(Ipad_List!C:C,MATCH(C99,Ipad_List!J:J,0)),"없음")</f>
        <v>GMF3VLXNKG</v>
      </c>
      <c r="I99" s="111" t="s">
        <v>2655</v>
      </c>
      <c r="J99" s="288" t="str">
        <f t="array" ref="J99">IFERROR(INDEX(All_User_backup!D:D,MATCH(C99,All_User_backup!D:D,0)),"list없음")</f>
        <v>jae.chung@stryker.com</v>
      </c>
    </row>
    <row r="100">
      <c r="B100" s="46" t="s">
        <v>553</v>
      </c>
      <c r="C100" s="46" t="s">
        <v>555</v>
      </c>
      <c r="E100" s="46" t="s">
        <v>137</v>
      </c>
      <c r="G100" s="87" t="str">
        <f t="array" ref="G100">IFERROR(INDEX(Printer!D:D,MATCH(C100,Printer!H:H,0)),"list 없음")</f>
        <v>list 없음</v>
      </c>
      <c r="H100" s="87" t="str">
        <f t="array" ref="H100">IFERROR(INDEX(Ipad_List!C:C,MATCH(C100,Ipad_List!J:J,0)),"없음")</f>
        <v>TK79FYYWPV</v>
      </c>
      <c r="I100" s="111" t="s">
        <v>2655</v>
      </c>
      <c r="J100" s="288" t="str">
        <f t="array" ref="J100">IFERROR(INDEX(All_User_backup!D:D,MATCH(C100,All_User_backup!D:D,0)),"list없음")</f>
        <v>julie.park@stryker.com</v>
      </c>
    </row>
    <row r="101">
      <c r="B101" s="46" t="s">
        <v>457</v>
      </c>
      <c r="C101" s="46" t="s">
        <v>459</v>
      </c>
      <c r="E101" s="46" t="s">
        <v>35</v>
      </c>
      <c r="G101" s="87" t="str">
        <f t="array" ref="G101">IFERROR(INDEX(Printer!D:D,MATCH(C101,Printer!H:H,0)),"list 없음")</f>
        <v>SL-C563W</v>
      </c>
      <c r="H101" s="87" t="str">
        <f t="array" ref="H101">IFERROR(INDEX(Ipad_List!C:C,MATCH(C101,Ipad_List!J:J,0)),"없음")</f>
        <v>Q0C6LC7F3X</v>
      </c>
      <c r="I101" s="111" t="s">
        <v>2655</v>
      </c>
      <c r="J101" s="288" t="str">
        <f t="array" ref="J101">IFERROR(INDEX(All_User_backup!D:D,MATCH(C101,All_User_backup!D:D,0)),"list없음")</f>
        <v>david.lee4@stryker.com</v>
      </c>
    </row>
    <row r="102">
      <c r="B102" s="46" t="s">
        <v>220</v>
      </c>
      <c r="C102" s="46" t="s">
        <v>222</v>
      </c>
      <c r="E102" s="46" t="s">
        <v>35</v>
      </c>
      <c r="G102" s="87" t="str">
        <f t="array" ref="G102">IFERROR(INDEX(Printer!D:D,MATCH(C102,Printer!H:H,0)),"list 없음")</f>
        <v>list 없음</v>
      </c>
      <c r="H102" s="87" t="str">
        <f t="array" ref="H102">IFERROR(INDEX(Ipad_List!C:C,MATCH(C102,Ipad_List!J:J,0)),"없음")</f>
        <v>G7CV2M99YM</v>
      </c>
      <c r="I102" s="111" t="s">
        <v>2655</v>
      </c>
      <c r="J102" s="288" t="str">
        <f t="array" ref="J102">IFERROR(INDEX(All_User_backup!D:D,MATCH(C102,All_User_backup!D:D,0)),"list없음")</f>
        <v>ethan.jang@stryker.com</v>
      </c>
    </row>
    <row r="103">
      <c r="B103" s="46" t="s">
        <v>2734</v>
      </c>
      <c r="C103" s="450" t="s">
        <v>527</v>
      </c>
      <c r="D103" s="46" t="s">
        <v>2735</v>
      </c>
      <c r="E103" s="449" t="s">
        <v>53</v>
      </c>
      <c r="F103" s="450" t="s">
        <v>2501</v>
      </c>
      <c r="G103" s="87" t="str">
        <f t="array" ref="G103">IFERROR(INDEX(Printer!D:D,MATCH(C103,Printer!H:H,0)),"list 없음")</f>
        <v>list 없음</v>
      </c>
      <c r="H103" s="87" t="str">
        <f t="array" ref="H103">IFERROR(INDEX(Ipad_List!C:C,MATCH(C103,Ipad_List!J:J,0)),"없음")</f>
        <v>MP2C9F46FN</v>
      </c>
      <c r="I103" s="111" t="s">
        <v>2655</v>
      </c>
      <c r="J103" s="288" t="str">
        <f t="array" ref="J103">IFERROR(INDEX(All_User_backup!D:D,MATCH(C103,All_User_backup!D:D,0)),"list없음")</f>
        <v>peter.oh@stryker.com</v>
      </c>
    </row>
    <row r="104">
      <c r="B104" s="46" t="s">
        <v>2736</v>
      </c>
      <c r="C104" s="46" t="s">
        <v>545</v>
      </c>
      <c r="D104" s="164" t="s">
        <v>27</v>
      </c>
      <c r="E104" s="449" t="s">
        <v>53</v>
      </c>
      <c r="F104" s="451" t="s">
        <v>546</v>
      </c>
      <c r="G104" s="288" t="str">
        <f t="array" ref="G104">IFERROR(INDEX(Printer!D:D,MATCH(C104,Printer!H:H,0)),"list 없음")</f>
        <v>list 없음</v>
      </c>
      <c r="H104" s="288" t="str">
        <f t="array" ref="H104">IFERROR(INDEX(Ipad_List!C:C,MATCH(C104,Ipad_List!J:J,0)),"없음")</f>
        <v>없음</v>
      </c>
      <c r="I104" s="301"/>
    </row>
    <row r="105">
      <c r="B105" s="106" t="s">
        <v>534</v>
      </c>
      <c r="C105" s="106" t="s">
        <v>536</v>
      </c>
      <c r="E105" s="46" t="s">
        <v>137</v>
      </c>
      <c r="G105" s="288" t="str">
        <f t="array" ref="G105">IFERROR(INDEX(Printer!D:D,MATCH(C105,Printer!H:H,0)),"list 없음")</f>
        <v>list 없음</v>
      </c>
      <c r="H105" s="288" t="str">
        <f t="array" ref="H105">IFERROR(INDEX(Ipad_List!C:C,MATCH(C105,Ipad_List!J:J,0)),"없음")</f>
        <v>없음</v>
      </c>
      <c r="I105" s="301"/>
    </row>
    <row r="106">
      <c r="C106" s="288" t="s">
        <v>443</v>
      </c>
      <c r="G106" s="87" t="str">
        <f t="array" ref="G106">IFERROR(INDEX(Printer!D:D,MATCH(C106,Printer!H:H,0)),"list 없음")</f>
        <v>2차 조사 정보 없음</v>
      </c>
      <c r="H106" s="87" t="str">
        <f t="array" ref="H106">IFERROR(INDEX(Ipad_List!C:C,MATCH(C106,Ipad_List!J:J,0)),"없음")</f>
        <v>M7WVNHQ0YQ</v>
      </c>
      <c r="I106" s="111" t="s">
        <v>2655</v>
      </c>
      <c r="J106" s="288" t="str">
        <f t="array" ref="J106">IFERROR(INDEX(All_User_backup!D:D,MATCH(C106,All_User_backup!D:D,0)),"list없음")</f>
        <v>Jeff.Lee@stryker.com</v>
      </c>
    </row>
    <row r="107">
      <c r="C107" s="288" t="s">
        <v>25</v>
      </c>
      <c r="G107" s="87" t="str">
        <f t="array" ref="G107">IFERROR(INDEX(Printer!D:D,MATCH(C107,Printer!H:H,0)),"list 없음")</f>
        <v>SL-C563W</v>
      </c>
      <c r="H107" s="87" t="str">
        <f t="array" ref="H107">IFERROR(INDEX(Ipad_List!C:C,MATCH(C107,Ipad_List!J:J,0)),"없음")</f>
        <v>L69V0Q1VT3</v>
      </c>
      <c r="I107" s="111" t="s">
        <v>2655</v>
      </c>
      <c r="J107" s="288" t="str">
        <f t="array" ref="J107">IFERROR(INDEX(All_User_backup!D:D,MATCH(C107,All_User_backup!D:D,0)),"list없음")</f>
        <v>gd.ahn@stryker.com</v>
      </c>
    </row>
    <row r="108">
      <c r="C108" s="288" t="s">
        <v>117</v>
      </c>
      <c r="G108" s="87" t="str">
        <f t="array" ref="G108">IFERROR(INDEX(Printer!D:D,MATCH(C108,Printer!H:H,0)),"list 없음")</f>
        <v>폐기</v>
      </c>
      <c r="H108" s="87" t="str">
        <f t="array" ref="H108">IFERROR(INDEX(Ipad_List!C:C,MATCH(C108,Ipad_List!J:J,0)),"없음")</f>
        <v>LD0W924NX3</v>
      </c>
      <c r="I108" s="111" t="s">
        <v>2655</v>
      </c>
      <c r="J108" s="288" t="str">
        <f t="array" ref="J108">IFERROR(INDEX(All_User_backup!D:D,MATCH(C108,All_User_backup!D:D,0)),"list없음")</f>
        <v>roy.choi@stryker.com</v>
      </c>
    </row>
    <row r="109">
      <c r="C109" s="288" t="s">
        <v>307</v>
      </c>
      <c r="G109" s="87" t="str">
        <f t="array" ref="G109">IFERROR(INDEX(Printer!D:D,MATCH(C109,Printer!H:H,0)),"list 없음")</f>
        <v>SL-M2035</v>
      </c>
      <c r="H109" s="87" t="str">
        <f t="array" ref="H109">IFERROR(INDEX(Ipad_List!C:C,MATCH(C109,Ipad_List!J:J,0)),"없음")</f>
        <v>DDPWWYNVPX</v>
      </c>
      <c r="I109" s="111" t="s">
        <v>2655</v>
      </c>
      <c r="J109" s="288" t="str">
        <f t="array" ref="J109">IFERROR(INDEX(All_User_backup!D:D,MATCH(C109,All_User_backup!D:D,0)),"list없음")</f>
        <v>Sue.Kim@stryker.com</v>
      </c>
    </row>
    <row r="110">
      <c r="C110" s="288" t="s">
        <v>622</v>
      </c>
      <c r="G110" s="87" t="str">
        <f t="array" ref="G110">IFERROR(INDEX(Printer!D:D,MATCH(C110,Printer!H:H,0)),"list 없음")</f>
        <v>없음</v>
      </c>
      <c r="H110" s="87" t="str">
        <f t="array" ref="H110">IFERROR(INDEX(Ipad_List!C:C,MATCH(C110,Ipad_List!J:J,0)),"없음")</f>
        <v>없음</v>
      </c>
      <c r="I110" s="111" t="s">
        <v>2655</v>
      </c>
      <c r="J110" s="288" t="str">
        <f t="array" ref="J110">IFERROR(INDEX(All_User_backup!D:D,MATCH(C110,All_User_backup!D:D,0)),"list없음")</f>
        <v>junghoon.seo@stryker.com</v>
      </c>
    </row>
    <row r="111">
      <c r="C111" s="114" t="s">
        <v>2324</v>
      </c>
      <c r="G111" s="288" t="str">
        <f t="array" ref="G111">IFERROR(INDEX(Printer!D:D,MATCH(C111,Printer!H:H,0)),"list 없음")</f>
        <v>SL-C486FW</v>
      </c>
      <c r="H111" s="288" t="str">
        <f t="array" ref="H111">IFERROR(INDEX(Ipad_List!C:C,MATCH(C111,Ipad_List!J:J,0)),"없음")</f>
        <v>없음</v>
      </c>
      <c r="I111" s="111" t="s">
        <v>2655</v>
      </c>
    </row>
    <row r="112">
      <c r="C112" s="114" t="s">
        <v>2325</v>
      </c>
      <c r="G112" s="288" t="str">
        <f t="array" ref="G112">IFERROR(INDEX(Printer!D:D,MATCH(C112,Printer!H:H,0)),"list 없음")</f>
        <v>SL-C563W</v>
      </c>
      <c r="H112" s="288" t="str">
        <f t="array" ref="H112">IFERROR(INDEX(Ipad_List!C:C,MATCH(C112,Ipad_List!J:J,0)),"없음")</f>
        <v>없음</v>
      </c>
      <c r="I112" s="111" t="s">
        <v>2655</v>
      </c>
    </row>
    <row r="113">
      <c r="C113" s="114" t="s">
        <v>2326</v>
      </c>
      <c r="G113" s="288" t="str">
        <f t="array" ref="G113">IFERROR(INDEX(Printer!D:D,MATCH(C113,Printer!H:H,0)),"list 없음")</f>
        <v>SL-C483FW</v>
      </c>
      <c r="H113" s="288" t="str">
        <f t="array" ref="H113">IFERROR(INDEX(Ipad_List!C:C,MATCH(C113,Ipad_List!J:J,0)),"없음")</f>
        <v>없음</v>
      </c>
      <c r="I113" s="111" t="s">
        <v>2655</v>
      </c>
    </row>
    <row r="114">
      <c r="I114" s="301"/>
    </row>
    <row r="115">
      <c r="I115" s="301"/>
    </row>
    <row r="116">
      <c r="I116" s="301"/>
    </row>
    <row r="117">
      <c r="I117" s="301"/>
    </row>
    <row r="118">
      <c r="I118" s="301"/>
    </row>
    <row r="119">
      <c r="I119" s="301"/>
    </row>
    <row r="120">
      <c r="I120" s="301"/>
    </row>
    <row r="121">
      <c r="I121" s="301"/>
    </row>
    <row r="122">
      <c r="I122" s="301"/>
    </row>
    <row r="123">
      <c r="I123" s="301"/>
    </row>
    <row r="124">
      <c r="I124" s="301"/>
    </row>
    <row r="125">
      <c r="I125" s="301"/>
    </row>
    <row r="126">
      <c r="I126" s="301"/>
    </row>
    <row r="127">
      <c r="I127" s="301"/>
    </row>
    <row r="128">
      <c r="I128" s="301"/>
    </row>
    <row r="129">
      <c r="I129" s="301"/>
    </row>
    <row r="130">
      <c r="I130" s="301"/>
    </row>
    <row r="131">
      <c r="I131" s="301"/>
    </row>
    <row r="132">
      <c r="I132" s="301"/>
    </row>
    <row r="133">
      <c r="I133" s="301"/>
    </row>
    <row r="134">
      <c r="I134" s="301"/>
    </row>
    <row r="135">
      <c r="I135" s="301"/>
    </row>
    <row r="136">
      <c r="I136" s="301"/>
    </row>
    <row r="137">
      <c r="I137" s="301"/>
    </row>
    <row r="138">
      <c r="I138" s="301"/>
    </row>
    <row r="139">
      <c r="I139" s="301"/>
    </row>
    <row r="140">
      <c r="I140" s="301"/>
    </row>
    <row r="141">
      <c r="I141" s="301"/>
    </row>
    <row r="142">
      <c r="I142" s="301"/>
    </row>
    <row r="143">
      <c r="I143" s="301"/>
    </row>
    <row r="144">
      <c r="I144" s="301"/>
    </row>
    <row r="145">
      <c r="I145" s="301"/>
    </row>
    <row r="146">
      <c r="I146" s="301"/>
    </row>
    <row r="147">
      <c r="I147" s="301"/>
    </row>
    <row r="148">
      <c r="I148" s="301"/>
    </row>
    <row r="149">
      <c r="I149" s="301"/>
    </row>
    <row r="150">
      <c r="I150" s="301"/>
    </row>
    <row r="151">
      <c r="I151" s="301"/>
    </row>
    <row r="152">
      <c r="I152" s="301"/>
    </row>
    <row r="153">
      <c r="I153" s="301"/>
    </row>
    <row r="154">
      <c r="I154" s="301"/>
    </row>
    <row r="155">
      <c r="I155" s="301"/>
    </row>
    <row r="156">
      <c r="I156" s="301"/>
    </row>
    <row r="157">
      <c r="I157" s="301"/>
    </row>
    <row r="158">
      <c r="I158" s="301"/>
    </row>
    <row r="159">
      <c r="I159" s="301"/>
    </row>
    <row r="160">
      <c r="I160" s="301"/>
    </row>
    <row r="161">
      <c r="I161" s="301"/>
    </row>
    <row r="162">
      <c r="I162" s="301"/>
    </row>
    <row r="163">
      <c r="I163" s="301"/>
    </row>
    <row r="164">
      <c r="I164" s="301"/>
    </row>
    <row r="165">
      <c r="I165" s="301"/>
    </row>
    <row r="166">
      <c r="I166" s="301"/>
    </row>
    <row r="167">
      <c r="I167" s="301"/>
    </row>
    <row r="168">
      <c r="I168" s="301"/>
    </row>
    <row r="169">
      <c r="I169" s="301"/>
    </row>
    <row r="170">
      <c r="I170" s="301"/>
    </row>
    <row r="171">
      <c r="I171" s="301"/>
    </row>
    <row r="172">
      <c r="I172" s="301"/>
    </row>
    <row r="173">
      <c r="I173" s="301"/>
    </row>
    <row r="174">
      <c r="I174" s="301"/>
    </row>
    <row r="175">
      <c r="I175" s="301"/>
    </row>
    <row r="176">
      <c r="I176" s="301"/>
    </row>
    <row r="177">
      <c r="I177" s="301"/>
    </row>
    <row r="178">
      <c r="I178" s="301"/>
    </row>
    <row r="179">
      <c r="I179" s="301"/>
    </row>
    <row r="180">
      <c r="I180" s="301"/>
    </row>
    <row r="181">
      <c r="I181" s="301"/>
    </row>
    <row r="182">
      <c r="I182" s="301"/>
    </row>
    <row r="183">
      <c r="I183" s="301"/>
    </row>
    <row r="184">
      <c r="I184" s="301"/>
    </row>
    <row r="185">
      <c r="I185" s="301"/>
    </row>
    <row r="186">
      <c r="I186" s="301"/>
    </row>
    <row r="187">
      <c r="I187" s="301"/>
    </row>
    <row r="188">
      <c r="I188" s="301"/>
    </row>
    <row r="189">
      <c r="I189" s="301"/>
    </row>
    <row r="190">
      <c r="I190" s="301"/>
    </row>
    <row r="191">
      <c r="I191" s="301"/>
    </row>
    <row r="192">
      <c r="I192" s="301"/>
    </row>
    <row r="193">
      <c r="I193" s="301"/>
    </row>
    <row r="194">
      <c r="I194" s="301"/>
    </row>
    <row r="195">
      <c r="I195" s="301"/>
    </row>
    <row r="196">
      <c r="I196" s="301"/>
    </row>
    <row r="197">
      <c r="I197" s="301"/>
    </row>
    <row r="198">
      <c r="I198" s="301"/>
    </row>
    <row r="199">
      <c r="I199" s="301"/>
    </row>
    <row r="200">
      <c r="I200" s="301"/>
    </row>
    <row r="201">
      <c r="I201" s="301"/>
    </row>
    <row r="202">
      <c r="I202" s="301"/>
    </row>
    <row r="203">
      <c r="I203" s="301"/>
    </row>
    <row r="204">
      <c r="I204" s="301"/>
    </row>
    <row r="205">
      <c r="I205" s="301"/>
    </row>
    <row r="206">
      <c r="I206" s="301"/>
    </row>
    <row r="207">
      <c r="I207" s="301"/>
    </row>
    <row r="208">
      <c r="I208" s="301"/>
    </row>
    <row r="209">
      <c r="I209" s="301"/>
    </row>
    <row r="210">
      <c r="I210" s="301"/>
    </row>
    <row r="211">
      <c r="I211" s="301"/>
    </row>
    <row r="212">
      <c r="I212" s="301"/>
    </row>
    <row r="213">
      <c r="I213" s="301"/>
    </row>
    <row r="214">
      <c r="I214" s="301"/>
    </row>
    <row r="215">
      <c r="I215" s="301"/>
    </row>
    <row r="216">
      <c r="I216" s="301"/>
    </row>
    <row r="217">
      <c r="I217" s="301"/>
    </row>
    <row r="218">
      <c r="I218" s="301"/>
    </row>
    <row r="219">
      <c r="I219" s="301"/>
    </row>
    <row r="220">
      <c r="I220" s="301"/>
    </row>
    <row r="221">
      <c r="I221" s="301"/>
    </row>
    <row r="222">
      <c r="I222" s="301"/>
    </row>
    <row r="223">
      <c r="I223" s="301"/>
    </row>
    <row r="224">
      <c r="I224" s="301"/>
    </row>
    <row r="225">
      <c r="I225" s="301"/>
    </row>
    <row r="226">
      <c r="I226" s="301"/>
    </row>
    <row r="227">
      <c r="I227" s="301"/>
    </row>
    <row r="228">
      <c r="I228" s="301"/>
    </row>
    <row r="229">
      <c r="I229" s="301"/>
    </row>
    <row r="230">
      <c r="I230" s="301"/>
    </row>
    <row r="231">
      <c r="I231" s="301"/>
    </row>
    <row r="232">
      <c r="I232" s="301"/>
    </row>
    <row r="233">
      <c r="I233" s="301"/>
    </row>
    <row r="234">
      <c r="I234" s="301"/>
    </row>
    <row r="235">
      <c r="I235" s="301"/>
    </row>
    <row r="236">
      <c r="I236" s="301"/>
    </row>
    <row r="237">
      <c r="I237" s="301"/>
    </row>
    <row r="238">
      <c r="I238" s="301"/>
    </row>
    <row r="239">
      <c r="I239" s="301"/>
    </row>
    <row r="240">
      <c r="I240" s="301"/>
    </row>
    <row r="241">
      <c r="I241" s="301"/>
    </row>
    <row r="242">
      <c r="I242" s="301"/>
    </row>
    <row r="243">
      <c r="I243" s="301"/>
    </row>
    <row r="244">
      <c r="I244" s="301"/>
    </row>
    <row r="245">
      <c r="I245" s="301"/>
    </row>
    <row r="246">
      <c r="I246" s="301"/>
    </row>
    <row r="247">
      <c r="I247" s="301"/>
    </row>
    <row r="248">
      <c r="I248" s="301"/>
    </row>
    <row r="249">
      <c r="I249" s="301"/>
    </row>
    <row r="250">
      <c r="I250" s="301"/>
    </row>
    <row r="251">
      <c r="I251" s="301"/>
    </row>
    <row r="252">
      <c r="I252" s="301"/>
    </row>
    <row r="253">
      <c r="I253" s="301"/>
    </row>
    <row r="254">
      <c r="I254" s="301"/>
    </row>
    <row r="255">
      <c r="I255" s="301"/>
    </row>
    <row r="256">
      <c r="I256" s="301"/>
    </row>
    <row r="257">
      <c r="I257" s="301"/>
    </row>
    <row r="258">
      <c r="I258" s="301"/>
    </row>
    <row r="259">
      <c r="I259" s="301"/>
    </row>
    <row r="260">
      <c r="I260" s="301"/>
    </row>
    <row r="261">
      <c r="I261" s="301"/>
    </row>
    <row r="262">
      <c r="I262" s="301"/>
    </row>
    <row r="263">
      <c r="I263" s="301"/>
    </row>
    <row r="264">
      <c r="I264" s="301"/>
    </row>
    <row r="265">
      <c r="I265" s="301"/>
    </row>
    <row r="266">
      <c r="I266" s="301"/>
    </row>
    <row r="267">
      <c r="I267" s="301"/>
    </row>
    <row r="268">
      <c r="I268" s="301"/>
    </row>
    <row r="269">
      <c r="I269" s="301"/>
    </row>
    <row r="270">
      <c r="I270" s="301"/>
    </row>
    <row r="271">
      <c r="I271" s="301"/>
    </row>
    <row r="272">
      <c r="I272" s="301"/>
    </row>
    <row r="273">
      <c r="I273" s="301"/>
    </row>
    <row r="274">
      <c r="I274" s="301"/>
    </row>
    <row r="275">
      <c r="I275" s="301"/>
    </row>
    <row r="276">
      <c r="I276" s="301"/>
    </row>
    <row r="277">
      <c r="I277" s="301"/>
    </row>
    <row r="278">
      <c r="I278" s="301"/>
    </row>
    <row r="279">
      <c r="I279" s="301"/>
    </row>
    <row r="280">
      <c r="I280" s="301"/>
    </row>
    <row r="281">
      <c r="I281" s="301"/>
    </row>
    <row r="282">
      <c r="I282" s="301"/>
    </row>
    <row r="283">
      <c r="I283" s="301"/>
    </row>
    <row r="284">
      <c r="I284" s="301"/>
    </row>
    <row r="285">
      <c r="I285" s="301"/>
    </row>
    <row r="286">
      <c r="I286" s="301"/>
    </row>
    <row r="287">
      <c r="I287" s="301"/>
    </row>
    <row r="288">
      <c r="I288" s="301"/>
    </row>
    <row r="289">
      <c r="I289" s="301"/>
    </row>
    <row r="290">
      <c r="I290" s="301"/>
    </row>
    <row r="291">
      <c r="I291" s="301"/>
    </row>
    <row r="292">
      <c r="I292" s="301"/>
    </row>
    <row r="293">
      <c r="I293" s="301"/>
    </row>
    <row r="294">
      <c r="I294" s="301"/>
    </row>
    <row r="295">
      <c r="I295" s="301"/>
    </row>
    <row r="296">
      <c r="I296" s="301"/>
    </row>
    <row r="297">
      <c r="I297" s="301"/>
    </row>
    <row r="298">
      <c r="I298" s="301"/>
    </row>
    <row r="299">
      <c r="I299" s="301"/>
    </row>
    <row r="300">
      <c r="I300" s="301"/>
    </row>
    <row r="301">
      <c r="I301" s="301"/>
    </row>
    <row r="302">
      <c r="I302" s="301"/>
    </row>
    <row r="303">
      <c r="I303" s="301"/>
    </row>
    <row r="304">
      <c r="I304" s="301"/>
    </row>
    <row r="305">
      <c r="I305" s="301"/>
    </row>
    <row r="306">
      <c r="I306" s="301"/>
    </row>
    <row r="307">
      <c r="I307" s="301"/>
    </row>
    <row r="308">
      <c r="I308" s="301"/>
    </row>
    <row r="309">
      <c r="I309" s="301"/>
    </row>
    <row r="310">
      <c r="I310" s="301"/>
    </row>
    <row r="311">
      <c r="I311" s="301"/>
    </row>
    <row r="312">
      <c r="I312" s="301"/>
    </row>
    <row r="313">
      <c r="I313" s="301"/>
    </row>
    <row r="314">
      <c r="I314" s="301"/>
    </row>
    <row r="315">
      <c r="I315" s="301"/>
    </row>
    <row r="316">
      <c r="I316" s="301"/>
    </row>
    <row r="317">
      <c r="I317" s="301"/>
    </row>
    <row r="318">
      <c r="I318" s="301"/>
    </row>
    <row r="319">
      <c r="I319" s="301"/>
    </row>
    <row r="320">
      <c r="I320" s="301"/>
    </row>
    <row r="321">
      <c r="I321" s="301"/>
    </row>
    <row r="322">
      <c r="I322" s="301"/>
    </row>
    <row r="323">
      <c r="I323" s="301"/>
    </row>
    <row r="324">
      <c r="I324" s="301"/>
    </row>
    <row r="325">
      <c r="I325" s="301"/>
    </row>
    <row r="326">
      <c r="I326" s="301"/>
    </row>
    <row r="327">
      <c r="I327" s="301"/>
    </row>
    <row r="328">
      <c r="I328" s="301"/>
    </row>
    <row r="329">
      <c r="I329" s="301"/>
    </row>
    <row r="330">
      <c r="I330" s="301"/>
    </row>
    <row r="331">
      <c r="I331" s="301"/>
    </row>
    <row r="332">
      <c r="I332" s="301"/>
    </row>
    <row r="333">
      <c r="I333" s="301"/>
    </row>
    <row r="334">
      <c r="I334" s="301"/>
    </row>
    <row r="335">
      <c r="I335" s="301"/>
    </row>
    <row r="336">
      <c r="I336" s="301"/>
    </row>
    <row r="337">
      <c r="I337" s="301"/>
    </row>
    <row r="338">
      <c r="I338" s="301"/>
    </row>
    <row r="339">
      <c r="I339" s="301"/>
    </row>
    <row r="340">
      <c r="I340" s="301"/>
    </row>
    <row r="341">
      <c r="I341" s="301"/>
    </row>
    <row r="342">
      <c r="I342" s="301"/>
    </row>
    <row r="343">
      <c r="I343" s="301"/>
    </row>
    <row r="344">
      <c r="I344" s="301"/>
    </row>
    <row r="345">
      <c r="I345" s="301"/>
    </row>
    <row r="346">
      <c r="I346" s="301"/>
    </row>
    <row r="347">
      <c r="I347" s="301"/>
    </row>
    <row r="348">
      <c r="I348" s="301"/>
    </row>
    <row r="349">
      <c r="I349" s="301"/>
    </row>
    <row r="350">
      <c r="I350" s="301"/>
    </row>
    <row r="351">
      <c r="I351" s="301"/>
    </row>
    <row r="352">
      <c r="I352" s="301"/>
    </row>
    <row r="353">
      <c r="I353" s="301"/>
    </row>
    <row r="354">
      <c r="I354" s="301"/>
    </row>
    <row r="355">
      <c r="I355" s="301"/>
    </row>
    <row r="356">
      <c r="I356" s="301"/>
    </row>
    <row r="357">
      <c r="I357" s="301"/>
    </row>
    <row r="358">
      <c r="I358" s="301"/>
    </row>
    <row r="359">
      <c r="I359" s="301"/>
    </row>
    <row r="360">
      <c r="I360" s="301"/>
    </row>
    <row r="361">
      <c r="I361" s="301"/>
    </row>
    <row r="362">
      <c r="I362" s="301"/>
    </row>
    <row r="363">
      <c r="I363" s="301"/>
    </row>
    <row r="364">
      <c r="I364" s="301"/>
    </row>
    <row r="365">
      <c r="I365" s="301"/>
    </row>
    <row r="366">
      <c r="I366" s="301"/>
    </row>
    <row r="367">
      <c r="I367" s="301"/>
    </row>
    <row r="368">
      <c r="I368" s="301"/>
    </row>
    <row r="369">
      <c r="I369" s="301"/>
    </row>
    <row r="370">
      <c r="I370" s="301"/>
    </row>
    <row r="371">
      <c r="I371" s="301"/>
    </row>
    <row r="372">
      <c r="I372" s="301"/>
    </row>
    <row r="373">
      <c r="I373" s="301"/>
    </row>
    <row r="374">
      <c r="I374" s="301"/>
    </row>
    <row r="375">
      <c r="I375" s="301"/>
    </row>
    <row r="376">
      <c r="I376" s="301"/>
    </row>
    <row r="377">
      <c r="I377" s="301"/>
    </row>
    <row r="378">
      <c r="I378" s="301"/>
    </row>
    <row r="379">
      <c r="I379" s="301"/>
    </row>
    <row r="380">
      <c r="I380" s="301"/>
    </row>
    <row r="381">
      <c r="I381" s="301"/>
    </row>
    <row r="382">
      <c r="I382" s="301"/>
    </row>
    <row r="383">
      <c r="I383" s="301"/>
    </row>
    <row r="384">
      <c r="I384" s="301"/>
    </row>
    <row r="385">
      <c r="I385" s="301"/>
    </row>
    <row r="386">
      <c r="I386" s="301"/>
    </row>
    <row r="387">
      <c r="I387" s="301"/>
    </row>
    <row r="388">
      <c r="I388" s="301"/>
    </row>
    <row r="389">
      <c r="I389" s="301"/>
    </row>
    <row r="390">
      <c r="I390" s="301"/>
    </row>
    <row r="391">
      <c r="I391" s="301"/>
    </row>
    <row r="392">
      <c r="I392" s="301"/>
    </row>
    <row r="393">
      <c r="I393" s="301"/>
    </row>
    <row r="394">
      <c r="I394" s="301"/>
    </row>
    <row r="395">
      <c r="I395" s="301"/>
    </row>
    <row r="396">
      <c r="I396" s="301"/>
    </row>
    <row r="397">
      <c r="I397" s="301"/>
    </row>
    <row r="398">
      <c r="I398" s="301"/>
    </row>
    <row r="399">
      <c r="I399" s="301"/>
    </row>
    <row r="400">
      <c r="I400" s="301"/>
    </row>
    <row r="401">
      <c r="I401" s="301"/>
    </row>
    <row r="402">
      <c r="I402" s="301"/>
    </row>
    <row r="403">
      <c r="I403" s="301"/>
    </row>
    <row r="404">
      <c r="I404" s="301"/>
    </row>
    <row r="405">
      <c r="I405" s="301"/>
    </row>
    <row r="406">
      <c r="I406" s="301"/>
    </row>
    <row r="407">
      <c r="I407" s="301"/>
    </row>
    <row r="408">
      <c r="I408" s="301"/>
    </row>
    <row r="409">
      <c r="I409" s="301"/>
    </row>
    <row r="410">
      <c r="I410" s="301"/>
    </row>
    <row r="411">
      <c r="I411" s="301"/>
    </row>
    <row r="412">
      <c r="I412" s="301"/>
    </row>
    <row r="413">
      <c r="I413" s="301"/>
    </row>
    <row r="414">
      <c r="I414" s="301"/>
    </row>
    <row r="415">
      <c r="I415" s="301"/>
    </row>
    <row r="416">
      <c r="I416" s="301"/>
    </row>
    <row r="417">
      <c r="I417" s="301"/>
    </row>
    <row r="418">
      <c r="I418" s="301"/>
    </row>
    <row r="419">
      <c r="I419" s="301"/>
    </row>
    <row r="420">
      <c r="I420" s="301"/>
    </row>
    <row r="421">
      <c r="I421" s="301"/>
    </row>
    <row r="422">
      <c r="I422" s="301"/>
    </row>
    <row r="423">
      <c r="I423" s="301"/>
    </row>
    <row r="424">
      <c r="I424" s="301"/>
    </row>
    <row r="425">
      <c r="I425" s="301"/>
    </row>
    <row r="426">
      <c r="I426" s="301"/>
    </row>
    <row r="427">
      <c r="I427" s="301"/>
    </row>
    <row r="428">
      <c r="I428" s="301"/>
    </row>
    <row r="429">
      <c r="I429" s="301"/>
    </row>
    <row r="430">
      <c r="I430" s="301"/>
    </row>
    <row r="431">
      <c r="I431" s="301"/>
    </row>
    <row r="432">
      <c r="I432" s="301"/>
    </row>
    <row r="433">
      <c r="I433" s="301"/>
    </row>
    <row r="434">
      <c r="I434" s="301"/>
    </row>
    <row r="435">
      <c r="I435" s="301"/>
    </row>
    <row r="436">
      <c r="I436" s="301"/>
    </row>
    <row r="437">
      <c r="I437" s="301"/>
    </row>
    <row r="438">
      <c r="I438" s="301"/>
    </row>
    <row r="439">
      <c r="I439" s="301"/>
    </row>
    <row r="440">
      <c r="I440" s="301"/>
    </row>
    <row r="441">
      <c r="I441" s="301"/>
    </row>
    <row r="442">
      <c r="I442" s="301"/>
    </row>
    <row r="443">
      <c r="I443" s="301"/>
    </row>
    <row r="444">
      <c r="I444" s="301"/>
    </row>
    <row r="445">
      <c r="I445" s="301"/>
    </row>
    <row r="446">
      <c r="I446" s="301"/>
    </row>
    <row r="447">
      <c r="I447" s="301"/>
    </row>
    <row r="448">
      <c r="I448" s="301"/>
    </row>
    <row r="449">
      <c r="I449" s="301"/>
    </row>
    <row r="450">
      <c r="I450" s="301"/>
    </row>
    <row r="451">
      <c r="I451" s="301"/>
    </row>
    <row r="452">
      <c r="I452" s="301"/>
    </row>
    <row r="453">
      <c r="I453" s="301"/>
    </row>
    <row r="454">
      <c r="I454" s="301"/>
    </row>
    <row r="455">
      <c r="I455" s="301"/>
    </row>
    <row r="456">
      <c r="I456" s="301"/>
    </row>
    <row r="457">
      <c r="I457" s="301"/>
    </row>
    <row r="458">
      <c r="I458" s="301"/>
    </row>
    <row r="459">
      <c r="I459" s="301"/>
    </row>
    <row r="460">
      <c r="I460" s="301"/>
    </row>
    <row r="461">
      <c r="I461" s="301"/>
    </row>
    <row r="462">
      <c r="I462" s="301"/>
    </row>
    <row r="463">
      <c r="I463" s="301"/>
    </row>
    <row r="464">
      <c r="I464" s="301"/>
    </row>
    <row r="465">
      <c r="I465" s="301"/>
    </row>
    <row r="466">
      <c r="I466" s="301"/>
    </row>
    <row r="467">
      <c r="I467" s="301"/>
    </row>
    <row r="468">
      <c r="I468" s="301"/>
    </row>
    <row r="469">
      <c r="I469" s="301"/>
    </row>
    <row r="470">
      <c r="I470" s="301"/>
    </row>
    <row r="471">
      <c r="I471" s="301"/>
    </row>
    <row r="472">
      <c r="I472" s="301"/>
    </row>
    <row r="473">
      <c r="I473" s="301"/>
    </row>
    <row r="474">
      <c r="I474" s="301"/>
    </row>
    <row r="475">
      <c r="I475" s="301"/>
    </row>
    <row r="476">
      <c r="I476" s="301"/>
    </row>
    <row r="477">
      <c r="I477" s="301"/>
    </row>
    <row r="478">
      <c r="I478" s="301"/>
    </row>
    <row r="479">
      <c r="I479" s="301"/>
    </row>
    <row r="480">
      <c r="I480" s="301"/>
    </row>
    <row r="481">
      <c r="I481" s="301"/>
    </row>
    <row r="482">
      <c r="I482" s="301"/>
    </row>
    <row r="483">
      <c r="I483" s="301"/>
    </row>
    <row r="484">
      <c r="I484" s="301"/>
    </row>
    <row r="485">
      <c r="I485" s="301"/>
    </row>
    <row r="486">
      <c r="I486" s="301"/>
    </row>
    <row r="487">
      <c r="I487" s="301"/>
    </row>
    <row r="488">
      <c r="I488" s="301"/>
    </row>
    <row r="489">
      <c r="I489" s="301"/>
    </row>
    <row r="490">
      <c r="I490" s="301"/>
    </row>
    <row r="491">
      <c r="I491" s="301"/>
    </row>
    <row r="492">
      <c r="I492" s="301"/>
    </row>
    <row r="493">
      <c r="I493" s="301"/>
    </row>
    <row r="494">
      <c r="I494" s="301"/>
    </row>
    <row r="495">
      <c r="I495" s="301"/>
    </row>
    <row r="496">
      <c r="I496" s="301"/>
    </row>
    <row r="497">
      <c r="I497" s="301"/>
    </row>
    <row r="498">
      <c r="I498" s="301"/>
    </row>
    <row r="499">
      <c r="I499" s="301"/>
    </row>
    <row r="500">
      <c r="I500" s="301"/>
    </row>
    <row r="501">
      <c r="I501" s="301"/>
    </row>
    <row r="502">
      <c r="I502" s="301"/>
    </row>
    <row r="503">
      <c r="I503" s="301"/>
    </row>
    <row r="504">
      <c r="I504" s="301"/>
    </row>
    <row r="505">
      <c r="I505" s="301"/>
    </row>
    <row r="506">
      <c r="I506" s="301"/>
    </row>
    <row r="507">
      <c r="I507" s="301"/>
    </row>
    <row r="508">
      <c r="I508" s="301"/>
    </row>
    <row r="509">
      <c r="I509" s="301"/>
    </row>
    <row r="510">
      <c r="I510" s="301"/>
    </row>
    <row r="511">
      <c r="I511" s="301"/>
    </row>
    <row r="512">
      <c r="I512" s="301"/>
    </row>
    <row r="513">
      <c r="I513" s="301"/>
    </row>
    <row r="514">
      <c r="I514" s="301"/>
    </row>
    <row r="515">
      <c r="I515" s="301"/>
    </row>
    <row r="516">
      <c r="I516" s="301"/>
    </row>
    <row r="517">
      <c r="I517" s="301"/>
    </row>
    <row r="518">
      <c r="I518" s="301"/>
    </row>
    <row r="519">
      <c r="I519" s="301"/>
    </row>
    <row r="520">
      <c r="I520" s="301"/>
    </row>
    <row r="521">
      <c r="I521" s="301"/>
    </row>
    <row r="522">
      <c r="I522" s="301"/>
    </row>
    <row r="523">
      <c r="I523" s="301"/>
    </row>
    <row r="524">
      <c r="I524" s="301"/>
    </row>
    <row r="525">
      <c r="I525" s="301"/>
    </row>
    <row r="526">
      <c r="I526" s="301"/>
    </row>
    <row r="527">
      <c r="I527" s="301"/>
    </row>
    <row r="528">
      <c r="I528" s="301"/>
    </row>
    <row r="529">
      <c r="I529" s="301"/>
    </row>
    <row r="530">
      <c r="I530" s="301"/>
    </row>
    <row r="531">
      <c r="I531" s="301"/>
    </row>
    <row r="532">
      <c r="I532" s="301"/>
    </row>
    <row r="533">
      <c r="I533" s="301"/>
    </row>
    <row r="534">
      <c r="I534" s="301"/>
    </row>
    <row r="535">
      <c r="I535" s="301"/>
    </row>
    <row r="536">
      <c r="I536" s="301"/>
    </row>
    <row r="537">
      <c r="I537" s="301"/>
    </row>
    <row r="538">
      <c r="I538" s="301"/>
    </row>
    <row r="539">
      <c r="I539" s="301"/>
    </row>
    <row r="540">
      <c r="I540" s="301"/>
    </row>
    <row r="541">
      <c r="I541" s="301"/>
    </row>
    <row r="542">
      <c r="I542" s="301"/>
    </row>
    <row r="543">
      <c r="I543" s="301"/>
    </row>
    <row r="544">
      <c r="I544" s="301"/>
    </row>
    <row r="545">
      <c r="I545" s="301"/>
    </row>
    <row r="546">
      <c r="I546" s="301"/>
    </row>
    <row r="547">
      <c r="I547" s="301"/>
    </row>
    <row r="548">
      <c r="I548" s="301"/>
    </row>
    <row r="549">
      <c r="I549" s="301"/>
    </row>
    <row r="550">
      <c r="I550" s="301"/>
    </row>
    <row r="551">
      <c r="I551" s="301"/>
    </row>
    <row r="552">
      <c r="I552" s="301"/>
    </row>
    <row r="553">
      <c r="I553" s="301"/>
    </row>
    <row r="554">
      <c r="I554" s="301"/>
    </row>
    <row r="555">
      <c r="I555" s="301"/>
    </row>
    <row r="556">
      <c r="I556" s="301"/>
    </row>
    <row r="557">
      <c r="I557" s="301"/>
    </row>
    <row r="558">
      <c r="I558" s="301"/>
    </row>
    <row r="559">
      <c r="I559" s="301"/>
    </row>
    <row r="560">
      <c r="I560" s="301"/>
    </row>
    <row r="561">
      <c r="I561" s="301"/>
    </row>
    <row r="562">
      <c r="I562" s="301"/>
    </row>
    <row r="563">
      <c r="I563" s="301"/>
    </row>
    <row r="564">
      <c r="I564" s="301"/>
    </row>
    <row r="565">
      <c r="I565" s="301"/>
    </row>
    <row r="566">
      <c r="I566" s="301"/>
    </row>
    <row r="567">
      <c r="I567" s="301"/>
    </row>
    <row r="568">
      <c r="I568" s="301"/>
    </row>
    <row r="569">
      <c r="I569" s="301"/>
    </row>
    <row r="570">
      <c r="I570" s="301"/>
    </row>
    <row r="571">
      <c r="I571" s="301"/>
    </row>
    <row r="572">
      <c r="I572" s="301"/>
    </row>
    <row r="573">
      <c r="I573" s="301"/>
    </row>
    <row r="574">
      <c r="I574" s="301"/>
    </row>
    <row r="575">
      <c r="I575" s="301"/>
    </row>
    <row r="576">
      <c r="I576" s="301"/>
    </row>
    <row r="577">
      <c r="I577" s="301"/>
    </row>
    <row r="578">
      <c r="I578" s="301"/>
    </row>
    <row r="579">
      <c r="I579" s="301"/>
    </row>
    <row r="580">
      <c r="I580" s="301"/>
    </row>
    <row r="581">
      <c r="I581" s="301"/>
    </row>
    <row r="582">
      <c r="I582" s="301"/>
    </row>
    <row r="583">
      <c r="I583" s="301"/>
    </row>
    <row r="584">
      <c r="I584" s="301"/>
    </row>
    <row r="585">
      <c r="I585" s="301"/>
    </row>
    <row r="586">
      <c r="I586" s="301"/>
    </row>
    <row r="587">
      <c r="I587" s="301"/>
    </row>
    <row r="588">
      <c r="I588" s="301"/>
    </row>
    <row r="589">
      <c r="I589" s="301"/>
    </row>
    <row r="590">
      <c r="I590" s="301"/>
    </row>
    <row r="591">
      <c r="I591" s="301"/>
    </row>
    <row r="592">
      <c r="I592" s="301"/>
    </row>
    <row r="593">
      <c r="I593" s="301"/>
    </row>
    <row r="594">
      <c r="I594" s="301"/>
    </row>
    <row r="595">
      <c r="I595" s="301"/>
    </row>
    <row r="596">
      <c r="I596" s="301"/>
    </row>
    <row r="597">
      <c r="I597" s="301"/>
    </row>
    <row r="598">
      <c r="I598" s="301"/>
    </row>
    <row r="599">
      <c r="I599" s="301"/>
    </row>
    <row r="600">
      <c r="I600" s="301"/>
    </row>
    <row r="601">
      <c r="I601" s="301"/>
    </row>
    <row r="602">
      <c r="I602" s="301"/>
    </row>
    <row r="603">
      <c r="I603" s="301"/>
    </row>
    <row r="604">
      <c r="I604" s="301"/>
    </row>
    <row r="605">
      <c r="I605" s="301"/>
    </row>
    <row r="606">
      <c r="I606" s="301"/>
    </row>
    <row r="607">
      <c r="I607" s="301"/>
    </row>
    <row r="608">
      <c r="I608" s="301"/>
    </row>
    <row r="609">
      <c r="I609" s="301"/>
    </row>
    <row r="610">
      <c r="I610" s="301"/>
    </row>
    <row r="611">
      <c r="I611" s="301"/>
    </row>
    <row r="612">
      <c r="I612" s="301"/>
    </row>
    <row r="613">
      <c r="I613" s="301"/>
    </row>
    <row r="614">
      <c r="I614" s="301"/>
    </row>
    <row r="615">
      <c r="I615" s="301"/>
    </row>
    <row r="616">
      <c r="I616" s="301"/>
    </row>
    <row r="617">
      <c r="I617" s="301"/>
    </row>
    <row r="618">
      <c r="I618" s="301"/>
    </row>
    <row r="619">
      <c r="I619" s="301"/>
    </row>
    <row r="620">
      <c r="I620" s="301"/>
    </row>
    <row r="621">
      <c r="I621" s="301"/>
    </row>
    <row r="622">
      <c r="I622" s="301"/>
    </row>
    <row r="623">
      <c r="I623" s="301"/>
    </row>
    <row r="624">
      <c r="I624" s="301"/>
    </row>
    <row r="625">
      <c r="I625" s="301"/>
    </row>
    <row r="626">
      <c r="I626" s="301"/>
    </row>
    <row r="627">
      <c r="I627" s="301"/>
    </row>
    <row r="628">
      <c r="I628" s="301"/>
    </row>
    <row r="629">
      <c r="I629" s="301"/>
    </row>
    <row r="630">
      <c r="I630" s="301"/>
    </row>
    <row r="631">
      <c r="I631" s="301"/>
    </row>
    <row r="632">
      <c r="I632" s="301"/>
    </row>
    <row r="633">
      <c r="I633" s="301"/>
    </row>
    <row r="634">
      <c r="I634" s="301"/>
    </row>
    <row r="635">
      <c r="I635" s="301"/>
    </row>
    <row r="636">
      <c r="I636" s="301"/>
    </row>
    <row r="637">
      <c r="I637" s="301"/>
    </row>
    <row r="638">
      <c r="I638" s="301"/>
    </row>
    <row r="639">
      <c r="I639" s="301"/>
    </row>
    <row r="640">
      <c r="I640" s="301"/>
    </row>
    <row r="641">
      <c r="I641" s="301"/>
    </row>
    <row r="642">
      <c r="I642" s="301"/>
    </row>
    <row r="643">
      <c r="I643" s="301"/>
    </row>
    <row r="644">
      <c r="I644" s="301"/>
    </row>
    <row r="645">
      <c r="I645" s="301"/>
    </row>
    <row r="646">
      <c r="I646" s="301"/>
    </row>
    <row r="647">
      <c r="I647" s="301"/>
    </row>
    <row r="648">
      <c r="I648" s="301"/>
    </row>
    <row r="649">
      <c r="I649" s="301"/>
    </row>
    <row r="650">
      <c r="I650" s="301"/>
    </row>
    <row r="651">
      <c r="I651" s="301"/>
    </row>
    <row r="652">
      <c r="I652" s="301"/>
    </row>
    <row r="653">
      <c r="I653" s="301"/>
    </row>
    <row r="654">
      <c r="I654" s="301"/>
    </row>
    <row r="655">
      <c r="I655" s="301"/>
    </row>
    <row r="656">
      <c r="I656" s="301"/>
    </row>
    <row r="657">
      <c r="I657" s="301"/>
    </row>
    <row r="658">
      <c r="I658" s="301"/>
    </row>
    <row r="659">
      <c r="I659" s="301"/>
    </row>
    <row r="660">
      <c r="I660" s="301"/>
    </row>
    <row r="661">
      <c r="I661" s="301"/>
    </row>
    <row r="662">
      <c r="I662" s="301"/>
    </row>
    <row r="663">
      <c r="I663" s="301"/>
    </row>
    <row r="664">
      <c r="I664" s="301"/>
    </row>
    <row r="665">
      <c r="I665" s="301"/>
    </row>
    <row r="666">
      <c r="I666" s="301"/>
    </row>
    <row r="667">
      <c r="I667" s="301"/>
    </row>
    <row r="668">
      <c r="I668" s="301"/>
    </row>
    <row r="669">
      <c r="I669" s="301"/>
    </row>
    <row r="670">
      <c r="I670" s="301"/>
    </row>
    <row r="671">
      <c r="I671" s="301"/>
    </row>
    <row r="672">
      <c r="I672" s="301"/>
    </row>
    <row r="673">
      <c r="I673" s="301"/>
    </row>
    <row r="674">
      <c r="I674" s="301"/>
    </row>
    <row r="675">
      <c r="I675" s="301"/>
    </row>
    <row r="676">
      <c r="I676" s="301"/>
    </row>
    <row r="677">
      <c r="I677" s="301"/>
    </row>
    <row r="678">
      <c r="I678" s="301"/>
    </row>
    <row r="679">
      <c r="I679" s="301"/>
    </row>
    <row r="680">
      <c r="I680" s="301"/>
    </row>
    <row r="681">
      <c r="I681" s="301"/>
    </row>
    <row r="682">
      <c r="I682" s="301"/>
    </row>
    <row r="683">
      <c r="I683" s="301"/>
    </row>
    <row r="684">
      <c r="I684" s="301"/>
    </row>
    <row r="685">
      <c r="I685" s="301"/>
    </row>
    <row r="686">
      <c r="I686" s="301"/>
    </row>
    <row r="687">
      <c r="I687" s="301"/>
    </row>
    <row r="688">
      <c r="I688" s="301"/>
    </row>
    <row r="689">
      <c r="I689" s="301"/>
    </row>
    <row r="690">
      <c r="I690" s="301"/>
    </row>
    <row r="691">
      <c r="I691" s="301"/>
    </row>
    <row r="692">
      <c r="I692" s="301"/>
    </row>
    <row r="693">
      <c r="I693" s="301"/>
    </row>
    <row r="694">
      <c r="I694" s="301"/>
    </row>
    <row r="695">
      <c r="I695" s="301"/>
    </row>
    <row r="696">
      <c r="I696" s="301"/>
    </row>
    <row r="697">
      <c r="I697" s="301"/>
    </row>
    <row r="698">
      <c r="I698" s="301"/>
    </row>
    <row r="699">
      <c r="I699" s="301"/>
    </row>
    <row r="700">
      <c r="I700" s="301"/>
    </row>
    <row r="701">
      <c r="I701" s="301"/>
    </row>
    <row r="702">
      <c r="I702" s="301"/>
    </row>
    <row r="703">
      <c r="I703" s="301"/>
    </row>
    <row r="704">
      <c r="I704" s="301"/>
    </row>
    <row r="705">
      <c r="I705" s="301"/>
    </row>
    <row r="706">
      <c r="I706" s="301"/>
    </row>
    <row r="707">
      <c r="I707" s="301"/>
    </row>
    <row r="708">
      <c r="I708" s="301"/>
    </row>
    <row r="709">
      <c r="I709" s="301"/>
    </row>
    <row r="710">
      <c r="I710" s="301"/>
    </row>
    <row r="711">
      <c r="I711" s="301"/>
    </row>
    <row r="712">
      <c r="I712" s="301"/>
    </row>
    <row r="713">
      <c r="I713" s="301"/>
    </row>
    <row r="714">
      <c r="I714" s="301"/>
    </row>
    <row r="715">
      <c r="I715" s="301"/>
    </row>
    <row r="716">
      <c r="I716" s="301"/>
    </row>
    <row r="717">
      <c r="I717" s="301"/>
    </row>
    <row r="718">
      <c r="I718" s="301"/>
    </row>
    <row r="719">
      <c r="I719" s="301"/>
    </row>
    <row r="720">
      <c r="I720" s="301"/>
    </row>
    <row r="721">
      <c r="I721" s="301"/>
    </row>
    <row r="722">
      <c r="I722" s="301"/>
    </row>
    <row r="723">
      <c r="I723" s="301"/>
    </row>
    <row r="724">
      <c r="I724" s="301"/>
    </row>
    <row r="725">
      <c r="I725" s="301"/>
    </row>
    <row r="726">
      <c r="I726" s="301"/>
    </row>
    <row r="727">
      <c r="I727" s="301"/>
    </row>
    <row r="728">
      <c r="I728" s="301"/>
    </row>
    <row r="729">
      <c r="I729" s="301"/>
    </row>
    <row r="730">
      <c r="I730" s="301"/>
    </row>
    <row r="731">
      <c r="I731" s="301"/>
    </row>
    <row r="732">
      <c r="I732" s="301"/>
    </row>
    <row r="733">
      <c r="I733" s="301"/>
    </row>
    <row r="734">
      <c r="I734" s="301"/>
    </row>
    <row r="735">
      <c r="I735" s="301"/>
    </row>
    <row r="736">
      <c r="I736" s="301"/>
    </row>
    <row r="737">
      <c r="I737" s="301"/>
    </row>
    <row r="738">
      <c r="I738" s="301"/>
    </row>
    <row r="739">
      <c r="I739" s="301"/>
    </row>
    <row r="740">
      <c r="I740" s="301"/>
    </row>
    <row r="741">
      <c r="I741" s="301"/>
    </row>
    <row r="742">
      <c r="I742" s="301"/>
    </row>
    <row r="743">
      <c r="I743" s="301"/>
    </row>
    <row r="744">
      <c r="I744" s="301"/>
    </row>
    <row r="745">
      <c r="I745" s="301"/>
    </row>
    <row r="746">
      <c r="I746" s="301"/>
    </row>
    <row r="747">
      <c r="I747" s="301"/>
    </row>
    <row r="748">
      <c r="I748" s="301"/>
    </row>
    <row r="749">
      <c r="I749" s="301"/>
    </row>
    <row r="750">
      <c r="I750" s="301"/>
    </row>
    <row r="751">
      <c r="I751" s="301"/>
    </row>
    <row r="752">
      <c r="I752" s="301"/>
    </row>
    <row r="753">
      <c r="I753" s="301"/>
    </row>
    <row r="754">
      <c r="I754" s="301"/>
    </row>
    <row r="755">
      <c r="I755" s="301"/>
    </row>
    <row r="756">
      <c r="I756" s="301"/>
    </row>
    <row r="757">
      <c r="I757" s="301"/>
    </row>
    <row r="758">
      <c r="I758" s="301"/>
    </row>
    <row r="759">
      <c r="I759" s="301"/>
    </row>
    <row r="760">
      <c r="I760" s="301"/>
    </row>
    <row r="761">
      <c r="I761" s="301"/>
    </row>
    <row r="762">
      <c r="I762" s="301"/>
    </row>
    <row r="763">
      <c r="I763" s="301"/>
    </row>
    <row r="764">
      <c r="I764" s="301"/>
    </row>
    <row r="765">
      <c r="I765" s="301"/>
    </row>
    <row r="766">
      <c r="I766" s="301"/>
    </row>
    <row r="767">
      <c r="I767" s="301"/>
    </row>
    <row r="768">
      <c r="I768" s="301"/>
    </row>
    <row r="769">
      <c r="I769" s="301"/>
    </row>
    <row r="770">
      <c r="I770" s="301"/>
    </row>
    <row r="771">
      <c r="I771" s="301"/>
    </row>
    <row r="772">
      <c r="I772" s="301"/>
    </row>
    <row r="773">
      <c r="I773" s="301"/>
    </row>
    <row r="774">
      <c r="I774" s="301"/>
    </row>
    <row r="775">
      <c r="I775" s="301"/>
    </row>
    <row r="776">
      <c r="I776" s="301"/>
    </row>
    <row r="777">
      <c r="I777" s="301"/>
    </row>
    <row r="778">
      <c r="I778" s="301"/>
    </row>
    <row r="779">
      <c r="I779" s="301"/>
    </row>
    <row r="780">
      <c r="I780" s="301"/>
    </row>
    <row r="781">
      <c r="I781" s="301"/>
    </row>
    <row r="782">
      <c r="I782" s="301"/>
    </row>
    <row r="783">
      <c r="I783" s="301"/>
    </row>
    <row r="784">
      <c r="I784" s="301"/>
    </row>
    <row r="785">
      <c r="I785" s="301"/>
    </row>
    <row r="786">
      <c r="I786" s="301"/>
    </row>
    <row r="787">
      <c r="I787" s="301"/>
    </row>
    <row r="788">
      <c r="I788" s="301"/>
    </row>
    <row r="789">
      <c r="I789" s="301"/>
    </row>
    <row r="790">
      <c r="I790" s="301"/>
    </row>
    <row r="791">
      <c r="I791" s="301"/>
    </row>
    <row r="792">
      <c r="I792" s="301"/>
    </row>
    <row r="793">
      <c r="I793" s="301"/>
    </row>
    <row r="794">
      <c r="I794" s="301"/>
    </row>
    <row r="795">
      <c r="I795" s="301"/>
    </row>
    <row r="796">
      <c r="I796" s="301"/>
    </row>
    <row r="797">
      <c r="I797" s="301"/>
    </row>
    <row r="798">
      <c r="I798" s="301"/>
    </row>
    <row r="799">
      <c r="I799" s="301"/>
    </row>
    <row r="800">
      <c r="I800" s="301"/>
    </row>
    <row r="801">
      <c r="I801" s="301"/>
    </row>
    <row r="802">
      <c r="I802" s="301"/>
    </row>
    <row r="803">
      <c r="I803" s="301"/>
    </row>
    <row r="804">
      <c r="I804" s="301"/>
    </row>
    <row r="805">
      <c r="I805" s="301"/>
    </row>
    <row r="806">
      <c r="I806" s="301"/>
    </row>
    <row r="807">
      <c r="I807" s="301"/>
    </row>
    <row r="808">
      <c r="I808" s="301"/>
    </row>
    <row r="809">
      <c r="I809" s="301"/>
    </row>
    <row r="810">
      <c r="I810" s="301"/>
    </row>
    <row r="811">
      <c r="I811" s="301"/>
    </row>
    <row r="812">
      <c r="I812" s="301"/>
    </row>
    <row r="813">
      <c r="I813" s="301"/>
    </row>
    <row r="814">
      <c r="I814" s="301"/>
    </row>
    <row r="815">
      <c r="I815" s="301"/>
    </row>
    <row r="816">
      <c r="I816" s="301"/>
    </row>
    <row r="817">
      <c r="I817" s="301"/>
    </row>
    <row r="818">
      <c r="I818" s="301"/>
    </row>
    <row r="819">
      <c r="I819" s="301"/>
    </row>
    <row r="820">
      <c r="I820" s="301"/>
    </row>
    <row r="821">
      <c r="I821" s="301"/>
    </row>
    <row r="822">
      <c r="I822" s="301"/>
    </row>
    <row r="823">
      <c r="I823" s="301"/>
    </row>
    <row r="824">
      <c r="I824" s="301"/>
    </row>
    <row r="825">
      <c r="I825" s="301"/>
    </row>
    <row r="826">
      <c r="I826" s="301"/>
    </row>
    <row r="827">
      <c r="I827" s="301"/>
    </row>
    <row r="828">
      <c r="I828" s="301"/>
    </row>
    <row r="829">
      <c r="I829" s="301"/>
    </row>
    <row r="830">
      <c r="I830" s="301"/>
    </row>
    <row r="831">
      <c r="I831" s="301"/>
    </row>
    <row r="832">
      <c r="I832" s="301"/>
    </row>
    <row r="833">
      <c r="I833" s="301"/>
    </row>
    <row r="834">
      <c r="I834" s="301"/>
    </row>
    <row r="835">
      <c r="I835" s="301"/>
    </row>
    <row r="836">
      <c r="I836" s="301"/>
    </row>
    <row r="837">
      <c r="I837" s="301"/>
    </row>
    <row r="838">
      <c r="I838" s="301"/>
    </row>
    <row r="839">
      <c r="I839" s="301"/>
    </row>
    <row r="840">
      <c r="I840" s="301"/>
    </row>
    <row r="841">
      <c r="I841" s="301"/>
    </row>
    <row r="842">
      <c r="I842" s="301"/>
    </row>
    <row r="843">
      <c r="I843" s="301"/>
    </row>
    <row r="844">
      <c r="I844" s="301"/>
    </row>
    <row r="845">
      <c r="I845" s="301"/>
    </row>
    <row r="846">
      <c r="I846" s="301"/>
    </row>
    <row r="847">
      <c r="I847" s="301"/>
    </row>
    <row r="848">
      <c r="I848" s="301"/>
    </row>
    <row r="849">
      <c r="I849" s="301"/>
    </row>
    <row r="850">
      <c r="I850" s="301"/>
    </row>
    <row r="851">
      <c r="I851" s="301"/>
    </row>
    <row r="852">
      <c r="I852" s="301"/>
    </row>
    <row r="853">
      <c r="I853" s="301"/>
    </row>
    <row r="854">
      <c r="I854" s="301"/>
    </row>
    <row r="855">
      <c r="I855" s="301"/>
    </row>
    <row r="856">
      <c r="I856" s="301"/>
    </row>
    <row r="857">
      <c r="I857" s="301"/>
    </row>
    <row r="858">
      <c r="I858" s="301"/>
    </row>
    <row r="859">
      <c r="I859" s="301"/>
    </row>
    <row r="860">
      <c r="I860" s="301"/>
    </row>
    <row r="861">
      <c r="I861" s="301"/>
    </row>
    <row r="862">
      <c r="I862" s="301"/>
    </row>
    <row r="863">
      <c r="I863" s="301"/>
    </row>
    <row r="864">
      <c r="I864" s="301"/>
    </row>
    <row r="865">
      <c r="I865" s="301"/>
    </row>
    <row r="866">
      <c r="I866" s="301"/>
    </row>
    <row r="867">
      <c r="I867" s="301"/>
    </row>
    <row r="868">
      <c r="I868" s="301"/>
    </row>
    <row r="869">
      <c r="I869" s="301"/>
    </row>
    <row r="870">
      <c r="I870" s="301"/>
    </row>
    <row r="871">
      <c r="I871" s="301"/>
    </row>
    <row r="872">
      <c r="I872" s="301"/>
    </row>
    <row r="873">
      <c r="I873" s="301"/>
    </row>
    <row r="874">
      <c r="I874" s="301"/>
    </row>
    <row r="875">
      <c r="I875" s="301"/>
    </row>
    <row r="876">
      <c r="I876" s="301"/>
    </row>
    <row r="877">
      <c r="I877" s="301"/>
    </row>
    <row r="878">
      <c r="I878" s="301"/>
    </row>
    <row r="879">
      <c r="I879" s="301"/>
    </row>
    <row r="880">
      <c r="I880" s="301"/>
    </row>
    <row r="881">
      <c r="I881" s="301"/>
    </row>
    <row r="882">
      <c r="I882" s="301"/>
    </row>
    <row r="883">
      <c r="I883" s="301"/>
    </row>
    <row r="884">
      <c r="I884" s="301"/>
    </row>
    <row r="885">
      <c r="I885" s="301"/>
    </row>
    <row r="886">
      <c r="I886" s="301"/>
    </row>
    <row r="887">
      <c r="I887" s="301"/>
    </row>
    <row r="888">
      <c r="I888" s="301"/>
    </row>
    <row r="889">
      <c r="I889" s="301"/>
    </row>
    <row r="890">
      <c r="I890" s="301"/>
    </row>
    <row r="891">
      <c r="I891" s="301"/>
    </row>
    <row r="892">
      <c r="I892" s="301"/>
    </row>
    <row r="893">
      <c r="I893" s="301"/>
    </row>
    <row r="894">
      <c r="I894" s="301"/>
    </row>
    <row r="895">
      <c r="I895" s="301"/>
    </row>
    <row r="896">
      <c r="I896" s="301"/>
    </row>
    <row r="897">
      <c r="I897" s="301"/>
    </row>
    <row r="898">
      <c r="I898" s="301"/>
    </row>
    <row r="899">
      <c r="I899" s="301"/>
    </row>
    <row r="900">
      <c r="I900" s="301"/>
    </row>
    <row r="901">
      <c r="I901" s="301"/>
    </row>
    <row r="902">
      <c r="I902" s="301"/>
    </row>
    <row r="903">
      <c r="I903" s="301"/>
    </row>
    <row r="904">
      <c r="I904" s="301"/>
    </row>
    <row r="905">
      <c r="I905" s="301"/>
    </row>
    <row r="906">
      <c r="I906" s="301"/>
    </row>
    <row r="907">
      <c r="I907" s="301"/>
    </row>
    <row r="908">
      <c r="I908" s="301"/>
    </row>
    <row r="909">
      <c r="I909" s="301"/>
    </row>
    <row r="910">
      <c r="I910" s="301"/>
    </row>
    <row r="911">
      <c r="I911" s="301"/>
    </row>
    <row r="912">
      <c r="I912" s="301"/>
    </row>
    <row r="913">
      <c r="I913" s="301"/>
    </row>
    <row r="914">
      <c r="I914" s="301"/>
    </row>
    <row r="915">
      <c r="I915" s="301"/>
    </row>
    <row r="916">
      <c r="I916" s="301"/>
    </row>
    <row r="917">
      <c r="I917" s="301"/>
    </row>
    <row r="918">
      <c r="I918" s="301"/>
    </row>
    <row r="919">
      <c r="I919" s="301"/>
    </row>
    <row r="920">
      <c r="I920" s="301"/>
    </row>
    <row r="921">
      <c r="I921" s="301"/>
    </row>
    <row r="922">
      <c r="I922" s="301"/>
    </row>
    <row r="923">
      <c r="I923" s="301"/>
    </row>
    <row r="924">
      <c r="I924" s="301"/>
    </row>
    <row r="925">
      <c r="I925" s="301"/>
    </row>
    <row r="926">
      <c r="I926" s="301"/>
    </row>
    <row r="927">
      <c r="I927" s="301"/>
    </row>
    <row r="928">
      <c r="I928" s="301"/>
    </row>
    <row r="929">
      <c r="I929" s="301"/>
    </row>
    <row r="930">
      <c r="I930" s="301"/>
    </row>
    <row r="931">
      <c r="I931" s="301"/>
    </row>
    <row r="932">
      <c r="I932" s="301"/>
    </row>
    <row r="933">
      <c r="I933" s="301"/>
    </row>
    <row r="934">
      <c r="I934" s="301"/>
    </row>
    <row r="935">
      <c r="I935" s="301"/>
    </row>
    <row r="936">
      <c r="I936" s="301"/>
    </row>
    <row r="937">
      <c r="I937" s="301"/>
    </row>
    <row r="938">
      <c r="I938" s="301"/>
    </row>
    <row r="939">
      <c r="I939" s="301"/>
    </row>
    <row r="940">
      <c r="I940" s="301"/>
    </row>
    <row r="941">
      <c r="I941" s="301"/>
    </row>
    <row r="942">
      <c r="I942" s="301"/>
    </row>
    <row r="943">
      <c r="I943" s="301"/>
    </row>
    <row r="944">
      <c r="I944" s="301"/>
    </row>
    <row r="945">
      <c r="I945" s="301"/>
    </row>
    <row r="946">
      <c r="I946" s="301"/>
    </row>
    <row r="947">
      <c r="I947" s="301"/>
    </row>
    <row r="948">
      <c r="I948" s="301"/>
    </row>
    <row r="949">
      <c r="I949" s="301"/>
    </row>
    <row r="950">
      <c r="I950" s="301"/>
    </row>
    <row r="951">
      <c r="I951" s="301"/>
    </row>
    <row r="952">
      <c r="I952" s="301"/>
    </row>
    <row r="953">
      <c r="I953" s="301"/>
    </row>
    <row r="954">
      <c r="I954" s="301"/>
    </row>
    <row r="955">
      <c r="I955" s="301"/>
    </row>
    <row r="956">
      <c r="I956" s="301"/>
    </row>
    <row r="957">
      <c r="I957" s="301"/>
    </row>
    <row r="958">
      <c r="I958" s="301"/>
    </row>
    <row r="959">
      <c r="I959" s="301"/>
    </row>
    <row r="960">
      <c r="I960" s="301"/>
    </row>
    <row r="961">
      <c r="I961" s="301"/>
    </row>
    <row r="962">
      <c r="I962" s="301"/>
    </row>
    <row r="963">
      <c r="I963" s="301"/>
    </row>
    <row r="964">
      <c r="I964" s="301"/>
    </row>
    <row r="965">
      <c r="I965" s="301"/>
    </row>
    <row r="966">
      <c r="I966" s="301"/>
    </row>
    <row r="967">
      <c r="I967" s="301"/>
    </row>
    <row r="968">
      <c r="I968" s="301"/>
    </row>
    <row r="969">
      <c r="I969" s="301"/>
    </row>
    <row r="970">
      <c r="I970" s="301"/>
    </row>
    <row r="971">
      <c r="I971" s="301"/>
    </row>
    <row r="972">
      <c r="I972" s="301"/>
    </row>
    <row r="973">
      <c r="I973" s="301"/>
    </row>
    <row r="974">
      <c r="I974" s="301"/>
    </row>
    <row r="975">
      <c r="I975" s="301"/>
    </row>
    <row r="976">
      <c r="I976" s="301"/>
    </row>
    <row r="977">
      <c r="I977" s="301"/>
    </row>
    <row r="978">
      <c r="I978" s="301"/>
    </row>
    <row r="979">
      <c r="I979" s="301"/>
    </row>
    <row r="980">
      <c r="I980" s="301"/>
    </row>
    <row r="981">
      <c r="I981" s="301"/>
    </row>
    <row r="982">
      <c r="I982" s="301"/>
    </row>
    <row r="983">
      <c r="I983" s="301"/>
    </row>
    <row r="984">
      <c r="I984" s="301"/>
    </row>
    <row r="985">
      <c r="I985" s="301"/>
    </row>
    <row r="986">
      <c r="I986" s="301"/>
    </row>
    <row r="987">
      <c r="I987" s="301"/>
    </row>
    <row r="988">
      <c r="I988" s="301"/>
    </row>
    <row r="989">
      <c r="I989" s="301"/>
    </row>
    <row r="990">
      <c r="I990" s="301"/>
    </row>
    <row r="991">
      <c r="I991" s="301"/>
    </row>
    <row r="992">
      <c r="I992" s="301"/>
    </row>
    <row r="993">
      <c r="I993" s="301"/>
    </row>
    <row r="994">
      <c r="I994" s="301"/>
    </row>
    <row r="995">
      <c r="I995" s="301"/>
    </row>
    <row r="996">
      <c r="I996" s="301"/>
    </row>
    <row r="997">
      <c r="I997" s="301"/>
    </row>
    <row r="998">
      <c r="I998" s="301"/>
    </row>
    <row r="999">
      <c r="I999" s="301"/>
    </row>
  </sheetData>
  <autoFilter ref="$A$1:$V$999"/>
  <conditionalFormatting sqref="C1:C102 C104 C106:C110 C114:C999">
    <cfRule type="expression" dxfId="3" priority="1">
      <formula>counif(C:C,C:C)&gt;1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3.13"/>
    <col customWidth="1" min="8" max="8" width="13.0"/>
    <col customWidth="1" min="9" max="9" width="14.0"/>
    <col customWidth="1" min="12" max="12" width="15.88"/>
    <col customWidth="1" min="13" max="13" width="27.25"/>
  </cols>
  <sheetData>
    <row r="1">
      <c r="A1" s="121" t="s">
        <v>1</v>
      </c>
      <c r="B1" s="121" t="s">
        <v>3</v>
      </c>
      <c r="C1" s="452" t="s">
        <v>2737</v>
      </c>
      <c r="D1" s="452" t="s">
        <v>2738</v>
      </c>
      <c r="E1" s="452" t="s">
        <v>2739</v>
      </c>
      <c r="F1" s="452" t="s">
        <v>2740</v>
      </c>
      <c r="G1" s="395" t="s">
        <v>5</v>
      </c>
      <c r="H1" s="395" t="s">
        <v>2535</v>
      </c>
      <c r="I1" s="395" t="s">
        <v>2536</v>
      </c>
      <c r="J1" s="395" t="s">
        <v>2537</v>
      </c>
      <c r="K1" s="395" t="s">
        <v>2538</v>
      </c>
      <c r="L1" s="395" t="s">
        <v>2539</v>
      </c>
      <c r="M1" s="395" t="s">
        <v>2340</v>
      </c>
      <c r="N1" s="397"/>
    </row>
    <row r="2">
      <c r="A2" s="453" t="s">
        <v>272</v>
      </c>
      <c r="B2" s="15" t="s">
        <v>274</v>
      </c>
      <c r="C2" s="454" t="s">
        <v>2741</v>
      </c>
      <c r="D2" s="455">
        <v>45880.0</v>
      </c>
      <c r="E2" s="455">
        <v>46035.0</v>
      </c>
      <c r="F2" s="129"/>
      <c r="G2" s="165" t="s">
        <v>27</v>
      </c>
      <c r="H2" s="165" t="str">
        <f t="array" ref="H2">IFERROR(INDEX(All_User_backup!H:H,MATCH(B2,All_User_backup!D:D,0)),"반납완료")</f>
        <v>5CD3469HDT</v>
      </c>
      <c r="I2" s="165" t="s">
        <v>2260</v>
      </c>
      <c r="J2" s="165" t="s">
        <v>29</v>
      </c>
      <c r="K2" s="165" t="s">
        <v>29</v>
      </c>
      <c r="L2" s="419" t="str">
        <f t="array" ref="L2">IFERROR(INDEX(All_User_backup!L:L,MATCH(B2,All_User_backup!D:D,0)),"없음")</f>
        <v>tel:+82234517605</v>
      </c>
      <c r="M2" s="420"/>
      <c r="N2" s="397"/>
    </row>
    <row r="3">
      <c r="A3" s="456" t="s">
        <v>724</v>
      </c>
      <c r="B3" s="15" t="s">
        <v>726</v>
      </c>
      <c r="C3" s="457" t="s">
        <v>2742</v>
      </c>
      <c r="D3" s="458">
        <v>45958.0</v>
      </c>
      <c r="E3" s="458">
        <v>46047.0</v>
      </c>
      <c r="F3" s="454" t="s">
        <v>2743</v>
      </c>
      <c r="G3" s="165" t="s">
        <v>27</v>
      </c>
      <c r="H3" s="165" t="str">
        <f t="array" ref="H3">IFERROR(INDEX(All_User_backup!H:H,MATCH(B3,All_User_backup!D:D,0)),"반납완료")</f>
        <v>5CD4305D8F</v>
      </c>
      <c r="I3" s="165" t="s">
        <v>2260</v>
      </c>
      <c r="J3" s="165" t="s">
        <v>29</v>
      </c>
      <c r="K3" s="165" t="s">
        <v>29</v>
      </c>
      <c r="L3" s="419" t="str">
        <f t="array" ref="L3">IFERROR(INDEX(All_User_backup!L:L,MATCH(B3,All_User_backup!D:D,0)),"없음")</f>
        <v>tel:+82234517561</v>
      </c>
      <c r="M3" s="421"/>
      <c r="N3" s="397"/>
    </row>
    <row r="4">
      <c r="A4" s="456" t="s">
        <v>355</v>
      </c>
      <c r="B4" s="15" t="s">
        <v>357</v>
      </c>
      <c r="C4" s="457" t="s">
        <v>2744</v>
      </c>
      <c r="D4" s="458">
        <v>45876.0</v>
      </c>
      <c r="E4" s="458">
        <v>46390.0</v>
      </c>
      <c r="F4" s="459"/>
      <c r="G4" s="165" t="s">
        <v>27</v>
      </c>
      <c r="H4" s="165" t="str">
        <f t="array" ref="H4">IFERROR(INDEX(All_User_backup!H:H,MATCH(B4,All_User_backup!D:D,0)),"반납완료")</f>
        <v>5CD5179KHJ</v>
      </c>
      <c r="I4" s="165" t="s">
        <v>29</v>
      </c>
      <c r="J4" s="165" t="s">
        <v>29</v>
      </c>
      <c r="K4" s="165" t="s">
        <v>29</v>
      </c>
      <c r="L4" s="419" t="str">
        <f t="array" ref="L4">IFERROR(INDEX(All_User_backup!L:L,MATCH(B4,All_User_backup!D:D,0)),"없음")</f>
        <v>tel:+82234517647</v>
      </c>
      <c r="M4" s="421"/>
      <c r="N4" s="397"/>
    </row>
    <row r="5">
      <c r="A5" s="456" t="s">
        <v>69</v>
      </c>
      <c r="B5" s="114" t="s">
        <v>71</v>
      </c>
      <c r="C5" s="457" t="s">
        <v>2741</v>
      </c>
      <c r="D5" s="458">
        <v>46142.0</v>
      </c>
      <c r="E5" s="458">
        <v>46444.0</v>
      </c>
      <c r="F5" s="118"/>
      <c r="G5" s="165" t="s">
        <v>27</v>
      </c>
      <c r="H5" s="165" t="str">
        <f t="array" ref="H5">IFERROR(INDEX(All_User_backup!H:H,MATCH(B5,All_User_backup!D:D,0)),"반납완료")</f>
        <v>5CD5062YF5</v>
      </c>
      <c r="I5" s="165" t="s">
        <v>29</v>
      </c>
      <c r="J5" s="165" t="s">
        <v>29</v>
      </c>
      <c r="K5" s="165" t="s">
        <v>29</v>
      </c>
      <c r="L5" s="419" t="str">
        <f t="array" ref="L5">IFERROR(INDEX(All_User_backup!L:L,MATCH(B5,All_User_backup!D:D,0)),"없음")</f>
        <v>tel:+82234517568</v>
      </c>
      <c r="M5" s="421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60">
        <v>17.0</v>
      </c>
      <c r="B1" s="461" t="s">
        <v>2616</v>
      </c>
      <c r="C1" s="461" t="s">
        <v>2745</v>
      </c>
      <c r="D1" s="461" t="s">
        <v>2746</v>
      </c>
      <c r="E1" s="461" t="s">
        <v>150</v>
      </c>
      <c r="F1" s="461" t="s">
        <v>2471</v>
      </c>
      <c r="G1" s="461" t="s">
        <v>2480</v>
      </c>
      <c r="H1" s="462" t="str">
        <f t="array" ref="H1">IFERROR(INDEX(Lease_List!D:D,MATCH(All_User_backup!D1,Lease_List!H:H,0)),"없음")</f>
        <v>S/N</v>
      </c>
      <c r="I1" s="463" t="s">
        <v>29</v>
      </c>
      <c r="J1" s="463"/>
      <c r="K1" s="463" t="str">
        <f t="array" ref="K1">IFERROR(INDEX(Ipad_List!C:C,MATCH(All_User_backup!D1,Ipad_List!J:J,0)),"없음")</f>
        <v>S/N</v>
      </c>
      <c r="L1" s="464" t="str">
        <f t="array" ref="L1">IFERROR(INDEX(TeamsNumber!B:B,MATCH(All_User_backup!D1,TeamsNumber!D:D,0)),"없음")</f>
        <v>LineURI</v>
      </c>
      <c r="M1" s="464" t="str">
        <f t="array" ref="M1">IFERROR(INDEX(Printer!D:D,MATCH(All_User_backup!D1,Printer!H:H,0)),"없음")</f>
        <v>Additional Information 2</v>
      </c>
      <c r="N1" s="464" t="str">
        <f t="array" ref="N1">IFERROR(INDEX(sales!D:D,MATCH(D1,sales!C:C,0)),"없음")</f>
        <v>없음</v>
      </c>
      <c r="O1" s="464" t="str">
        <f t="array" ref="O1">IFERROR(INDEX(sales!E:E,MATCH(D1,sales!C:C,0)),"없음")</f>
        <v>없음</v>
      </c>
      <c r="P1" s="464"/>
      <c r="Q1" s="464" t="s">
        <v>2747</v>
      </c>
    </row>
    <row r="2">
      <c r="A2" s="465">
        <v>22.0</v>
      </c>
      <c r="B2" s="466" t="s">
        <v>2628</v>
      </c>
      <c r="C2" s="466" t="s">
        <v>2748</v>
      </c>
      <c r="D2" s="466" t="s">
        <v>2749</v>
      </c>
      <c r="E2" s="466" t="s">
        <v>2750</v>
      </c>
      <c r="F2" s="466" t="s">
        <v>2471</v>
      </c>
      <c r="G2" s="466" t="s">
        <v>2482</v>
      </c>
      <c r="H2" s="467" t="str">
        <f t="array" ref="H2">IFERROR(INDEX(Lease_List!D:D,MATCH(All_User_backup!D2,Lease_List!H:H,0)),"없음")</f>
        <v>5CD5179KGZ</v>
      </c>
      <c r="I2" s="468" t="s">
        <v>2751</v>
      </c>
      <c r="J2" s="468"/>
      <c r="K2" s="468" t="str">
        <f t="array" ref="K2">IFERROR(INDEX(Ipad_List!C:C,MATCH(All_User_backup!D2,Ipad_List!J:J,0)),"없음")</f>
        <v>QWG7C19T9N</v>
      </c>
      <c r="L2" s="469" t="str">
        <f t="array" ref="L2">IFERROR(INDEX(TeamsNumber!B:B,MATCH(All_User_backup!D2,TeamsNumber!D:D,0)),"없음")</f>
        <v>tel:+82234517682</v>
      </c>
      <c r="M2" s="469" t="str">
        <f t="array" ref="M2">IFERROR(INDEX(Printer!D:D,MATCH(All_User_backup!D2,Printer!H:H,0)),"없음")</f>
        <v>SL-C563W</v>
      </c>
      <c r="N2" s="469" t="str">
        <f t="array" ref="N2">IFERROR(INDEX(sales!D:D,MATCH(D2,sales!C:C,0)),"없음")</f>
        <v>없음</v>
      </c>
      <c r="O2" s="469" t="str">
        <f t="array" ref="O2">IFERROR(INDEX(sales!E:E,MATCH(D2,sales!C:C,0)),"없음")</f>
        <v>없음</v>
      </c>
      <c r="P2" s="470"/>
      <c r="Q2" s="471">
        <v>45991.0</v>
      </c>
    </row>
    <row r="3">
      <c r="A3" s="465">
        <v>27.0</v>
      </c>
      <c r="B3" s="466" t="s">
        <v>2608</v>
      </c>
      <c r="C3" s="466" t="s">
        <v>2752</v>
      </c>
      <c r="D3" s="466" t="s">
        <v>2753</v>
      </c>
      <c r="E3" s="466" t="s">
        <v>485</v>
      </c>
      <c r="F3" s="466" t="s">
        <v>2475</v>
      </c>
      <c r="G3" s="466" t="s">
        <v>2477</v>
      </c>
      <c r="H3" s="467" t="str">
        <f t="array" ref="H3">IFERROR(INDEX(Lease_List!D:D,MATCH(All_User_backup!D3,Lease_List!H:H,0)),"없음")</f>
        <v>5CD4232BFL</v>
      </c>
      <c r="I3" s="468" t="s">
        <v>29</v>
      </c>
      <c r="J3" s="468"/>
      <c r="K3" s="468" t="str">
        <f t="array" ref="K3">IFERROR(INDEX(Ipad_List!C:C,MATCH(All_User_backup!D3,Ipad_List!J:J,0)),"없음")</f>
        <v>L69V0Q1VT3</v>
      </c>
      <c r="L3" s="469" t="str">
        <f t="array" ref="L3">IFERROR(INDEX(TeamsNumber!B:B,MATCH(All_User_backup!D3,TeamsNumber!D:D,0)),"없음")</f>
        <v>tel:+82234517566</v>
      </c>
      <c r="M3" s="469" t="str">
        <f t="array" ref="M3">IFERROR(INDEX(Printer!D:D,MATCH(All_User_backup!D3,Printer!G:G,0)),"없음")</f>
        <v>없음</v>
      </c>
      <c r="N3" s="469" t="str">
        <f t="array" ref="N3">IFERROR(INDEX(sales!D:D,MATCH(D3,sales!C:C,0)),"없음")</f>
        <v>없음</v>
      </c>
      <c r="O3" s="469" t="str">
        <f t="array" ref="O3">IFERROR(INDEX(sales!E:E,MATCH(D3,sales!C:C,0)),"없음")</f>
        <v>없음</v>
      </c>
      <c r="P3" s="470"/>
      <c r="Q3" s="471">
        <v>45894.0</v>
      </c>
    </row>
    <row r="4">
      <c r="A4" s="465">
        <v>40.0</v>
      </c>
      <c r="B4" s="466" t="s">
        <v>2601</v>
      </c>
      <c r="C4" s="466" t="s">
        <v>2754</v>
      </c>
      <c r="D4" s="466" t="s">
        <v>2755</v>
      </c>
      <c r="E4" s="466" t="s">
        <v>2756</v>
      </c>
      <c r="F4" s="466" t="s">
        <v>2475</v>
      </c>
      <c r="G4" s="466" t="s">
        <v>2477</v>
      </c>
      <c r="H4" s="467" t="str">
        <f t="array" ref="H4">IFERROR(INDEX(Lease_List!D:D,MATCH(All_User_backup!D4,Lease_List!H:H,0)),"없음")</f>
        <v>5CD5179KJ6</v>
      </c>
      <c r="I4" s="468" t="s">
        <v>29</v>
      </c>
      <c r="J4" s="468" t="s">
        <v>967</v>
      </c>
      <c r="K4" s="468" t="str">
        <f t="array" ref="K4">IFERROR(INDEX(Ipad_List!C:C,MATCH(All_User_backup!D4,Ipad_List!J:J,0)),"없음")</f>
        <v>C4RQH3W74V</v>
      </c>
      <c r="L4" s="469" t="str">
        <f t="array" ref="L4">IFERROR(INDEX(TeamsNumber!B:B,MATCH(All_User_backup!D4,TeamsNumber!D:D,0)),"없음")</f>
        <v>tel:+82234517512</v>
      </c>
      <c r="M4" s="469" t="str">
        <f t="array" ref="M4">IFERROR(INDEX(Printer!D:D,MATCH(All_User_backup!D4,Printer!G:G,0)),"없음")</f>
        <v>없음</v>
      </c>
      <c r="N4" s="469" t="str">
        <f t="array" ref="N4">IFERROR(INDEX(sales!D:D,MATCH(D4,sales!C:C,0)),"없음")</f>
        <v>없음</v>
      </c>
      <c r="O4" s="469" t="str">
        <f t="array" ref="O4">IFERROR(INDEX(sales!E:E,MATCH(D4,sales!C:C,0)),"없음")</f>
        <v>없음</v>
      </c>
      <c r="P4" s="470"/>
      <c r="Q4" s="471">
        <v>45845.0</v>
      </c>
    </row>
    <row r="5">
      <c r="A5" s="465">
        <v>50.0</v>
      </c>
      <c r="B5" s="466" t="s">
        <v>2599</v>
      </c>
      <c r="C5" s="466" t="s">
        <v>2757</v>
      </c>
      <c r="D5" s="466" t="s">
        <v>2758</v>
      </c>
      <c r="E5" s="466" t="s">
        <v>2759</v>
      </c>
      <c r="F5" s="466" t="s">
        <v>2471</v>
      </c>
      <c r="G5" s="466" t="s">
        <v>82</v>
      </c>
      <c r="H5" s="467" t="str">
        <f t="array" ref="H5">IFERROR(INDEX(Lease_List!D:D,MATCH(All_User_backup!D5,Lease_List!H:H,0)),"없음")</f>
        <v>5CD442C071</v>
      </c>
      <c r="I5" s="468" t="s">
        <v>29</v>
      </c>
      <c r="J5" s="468" t="s">
        <v>197</v>
      </c>
      <c r="K5" s="468" t="str">
        <f t="array" ref="K5">IFERROR(INDEX(Ipad_List!C:C,MATCH(All_User_backup!D5,Ipad_List!J:J,0)),"없음")</f>
        <v>없음</v>
      </c>
      <c r="L5" s="469" t="str">
        <f t="array" ref="L5">IFERROR(INDEX(TeamsNumber!B:B,MATCH(All_User_backup!D5,TeamsNumber!D:D,0)),"없음")</f>
        <v>tel:+82234517594</v>
      </c>
      <c r="M5" s="469" t="str">
        <f t="array" ref="M5">IFERROR(INDEX(Printer!D:D,MATCH(All_User_backup!D5,Printer!G:G,0)),"없음")</f>
        <v>없음</v>
      </c>
      <c r="N5" s="469" t="str">
        <f t="array" ref="N5">IFERROR(INDEX(sales!D:D,MATCH(D5,sales!C:C,0)),"없음")</f>
        <v>없음</v>
      </c>
      <c r="O5" s="469" t="str">
        <f t="array" ref="O5">IFERROR(INDEX(sales!E:E,MATCH(D5,sales!C:C,0)),"없음")</f>
        <v>없음</v>
      </c>
      <c r="P5" s="470"/>
      <c r="Q5" s="471">
        <v>45838.0</v>
      </c>
    </row>
    <row r="6">
      <c r="A6" s="465">
        <v>71.0</v>
      </c>
      <c r="B6" s="466" t="s">
        <v>2610</v>
      </c>
      <c r="C6" s="466" t="s">
        <v>2760</v>
      </c>
      <c r="D6" s="466" t="s">
        <v>2761</v>
      </c>
      <c r="E6" s="466" t="s">
        <v>2762</v>
      </c>
      <c r="F6" s="466" t="s">
        <v>2471</v>
      </c>
      <c r="G6" s="466" t="s">
        <v>2473</v>
      </c>
      <c r="H6" s="467" t="str">
        <f t="array" ref="H6">IFERROR(INDEX(Lease_List!D:D,MATCH(All_User_backup!D6,Lease_List!H:H,0)),"없음")</f>
        <v>5CD4145N3N</v>
      </c>
      <c r="I6" s="468" t="s">
        <v>2763</v>
      </c>
      <c r="J6" s="468"/>
      <c r="K6" s="468" t="str">
        <f t="array" ref="K6">IFERROR(INDEX(Ipad_List!C:C,MATCH(All_User_backup!D6,Ipad_List!J:J,0)),"없음")</f>
        <v>없음</v>
      </c>
      <c r="L6" s="469" t="str">
        <f t="array" ref="L6">IFERROR(INDEX(TeamsNumber!B:B,MATCH(All_User_backup!D6,TeamsNumber!D:D,0)),"없음")</f>
        <v>tel:+82234517662</v>
      </c>
      <c r="M6" s="469" t="str">
        <f t="array" ref="M6">IFERROR(INDEX(Printer!D:D,MATCH(All_User_backup!D6,Printer!G:G,0)),"없음")</f>
        <v>없음</v>
      </c>
      <c r="N6" s="469" t="str">
        <f t="array" ref="N6">IFERROR(INDEX(sales!D:D,MATCH(D6,sales!C:C,0)),"없음")</f>
        <v>없음</v>
      </c>
      <c r="O6" s="469" t="str">
        <f t="array" ref="O6">IFERROR(INDEX(sales!E:E,MATCH(D6,sales!C:C,0)),"없음")</f>
        <v>없음</v>
      </c>
      <c r="P6" s="470"/>
      <c r="Q6" s="471">
        <v>45900.0</v>
      </c>
    </row>
    <row r="7">
      <c r="A7" s="460">
        <v>75.0</v>
      </c>
      <c r="B7" s="461" t="s">
        <v>2764</v>
      </c>
      <c r="C7" s="461" t="s">
        <v>2528</v>
      </c>
      <c r="D7" s="461" t="s">
        <v>2529</v>
      </c>
      <c r="E7" s="461" t="s">
        <v>2505</v>
      </c>
      <c r="F7" s="461" t="s">
        <v>2765</v>
      </c>
      <c r="G7" s="461" t="s">
        <v>2493</v>
      </c>
      <c r="H7" s="462" t="str">
        <f t="array" ref="H7">IFERROR(INDEX(Lease_List!D:D,MATCH(All_User_backup!D7,Lease_List!H:H,0)),"없음")</f>
        <v>5CD3469HD0</v>
      </c>
      <c r="I7" s="463" t="s">
        <v>29</v>
      </c>
      <c r="J7" s="463"/>
      <c r="K7" s="463" t="str">
        <f t="array" ref="K7">IFERROR(INDEX(Ipad_List!C:C,MATCH(All_User_backup!D7,Ipad_List!J:J,0)),"없음")</f>
        <v>없음</v>
      </c>
      <c r="L7" s="464" t="str">
        <f t="array" ref="L7">IFERROR(INDEX(TeamsNumber!B:B,MATCH(All_User_backup!D7,TeamsNumber!D:D,0)),"없음")</f>
        <v>tel:+82234517661</v>
      </c>
      <c r="M7" s="464" t="str">
        <f t="array" ref="M7">IFERROR(INDEX(Printer!D:D,MATCH(All_User_backup!D7,Printer!H:H,0)),"없음")</f>
        <v>없음</v>
      </c>
      <c r="N7" s="464" t="str">
        <f t="array" ref="N7">IFERROR(INDEX(sales!D:D,MATCH(D7,sales!C:C,0)),"없음")</f>
        <v>없음</v>
      </c>
      <c r="O7" s="464" t="str">
        <f t="array" ref="O7">IFERROR(INDEX(sales!E:E,MATCH(D7,sales!C:C,0)),"없음")</f>
        <v>없음</v>
      </c>
      <c r="P7" s="464"/>
      <c r="Q7" s="464" t="s">
        <v>2582</v>
      </c>
    </row>
    <row r="8">
      <c r="A8" s="465">
        <v>88.0</v>
      </c>
      <c r="B8" s="466" t="s">
        <v>2613</v>
      </c>
      <c r="C8" s="466" t="s">
        <v>2766</v>
      </c>
      <c r="D8" s="472" t="s">
        <v>2767</v>
      </c>
      <c r="E8" s="466" t="s">
        <v>349</v>
      </c>
      <c r="F8" s="466" t="s">
        <v>2471</v>
      </c>
      <c r="G8" s="466" t="s">
        <v>2482</v>
      </c>
      <c r="H8" s="467" t="str">
        <f t="array" ref="H8">IFERROR(INDEX(Lease_List!D:D,MATCH(All_User_backup!D8,Lease_List!H:H,0)),"없음")</f>
        <v>5CD5062YDY</v>
      </c>
      <c r="I8" s="468" t="s">
        <v>29</v>
      </c>
      <c r="J8" s="468"/>
      <c r="K8" s="468" t="str">
        <f t="array" ref="K8">IFERROR(INDEX(Ipad_List!C:C,MATCH(All_User_backup!D8,Ipad_List!J:J,0)),"없음")</f>
        <v>HL7Q0T6MHW</v>
      </c>
      <c r="L8" s="469" t="str">
        <f t="array" ref="L8">IFERROR(INDEX(TeamsNumber!B:B,MATCH(All_User_backup!D8,TeamsNumber!D:D,0)),"없음")</f>
        <v>없음</v>
      </c>
      <c r="M8" s="469" t="str">
        <f t="array" ref="M8">IFERROR(INDEX(Printer!D:D,MATCH(All_User_backup!D8,Printer!G:G,0)),"없음")</f>
        <v>없음</v>
      </c>
      <c r="N8" s="469" t="str">
        <f t="array" ref="N8">IFERROR(INDEX(sales!D:D,MATCH(D8,sales!C:C,0)),"없음")</f>
        <v>없음</v>
      </c>
      <c r="O8" s="469" t="str">
        <f t="array" ref="O8">IFERROR(INDEX(sales!E:E,MATCH(D8,sales!C:C,0)),"없음")</f>
        <v>없음</v>
      </c>
      <c r="P8" s="470"/>
      <c r="Q8" s="471">
        <v>45900.0</v>
      </c>
    </row>
    <row r="9">
      <c r="A9" s="465">
        <v>94.0</v>
      </c>
      <c r="B9" s="466" t="s">
        <v>2604</v>
      </c>
      <c r="C9" s="466" t="s">
        <v>2768</v>
      </c>
      <c r="D9" s="466" t="s">
        <v>2769</v>
      </c>
      <c r="E9" s="466" t="s">
        <v>2770</v>
      </c>
      <c r="F9" s="466" t="s">
        <v>2500</v>
      </c>
      <c r="G9" s="466" t="s">
        <v>414</v>
      </c>
      <c r="H9" s="467" t="str">
        <f t="array" ref="H9">IFERROR(INDEX(Lease_List!D:D,MATCH(All_User_backup!D9,Lease_List!H:H,0)),"없음")</f>
        <v>5CD3469HDN</v>
      </c>
      <c r="I9" s="468" t="s">
        <v>29</v>
      </c>
      <c r="J9" s="468"/>
      <c r="K9" s="468" t="str">
        <f t="array" ref="K9">IFERROR(INDEX(Ipad_List!C:C,MATCH(All_User_backup!D9,Ipad_List!J:J,0)),"없음")</f>
        <v>없음</v>
      </c>
      <c r="L9" s="469" t="str">
        <f t="array" ref="L9">IFERROR(INDEX(TeamsNumber!B:B,MATCH(All_User_backup!D9,TeamsNumber!D:D,0)),"없음")</f>
        <v>tel:+82234517519</v>
      </c>
      <c r="M9" s="469" t="str">
        <f t="array" ref="M9">IFERROR(INDEX(Printer!D:D,MATCH(All_User_backup!D9,Printer!G:G,0)),"없음")</f>
        <v>없음</v>
      </c>
      <c r="N9" s="469" t="str">
        <f t="array" ref="N9">IFERROR(INDEX(sales!D:D,MATCH(D9,sales!C:C,0)),"없음")</f>
        <v>없음</v>
      </c>
      <c r="O9" s="469" t="str">
        <f t="array" ref="O9">IFERROR(INDEX(sales!E:E,MATCH(D9,sales!C:C,0)),"없음")</f>
        <v>없음</v>
      </c>
      <c r="P9" s="470"/>
      <c r="Q9" s="471">
        <v>45891.0</v>
      </c>
    </row>
    <row r="10">
      <c r="A10" s="465">
        <v>156.0</v>
      </c>
      <c r="B10" s="466" t="s">
        <v>2619</v>
      </c>
      <c r="C10" s="466" t="s">
        <v>2771</v>
      </c>
      <c r="D10" s="466" t="s">
        <v>2772</v>
      </c>
      <c r="E10" s="466" t="s">
        <v>46</v>
      </c>
      <c r="F10" s="466" t="s">
        <v>2474</v>
      </c>
      <c r="G10" s="466" t="s">
        <v>2476</v>
      </c>
      <c r="H10" s="467" t="str">
        <f t="array" ref="H10">IFERROR(INDEX(Lease_List!D:D,MATCH(All_User_backup!D10,Lease_List!H:H,0)),"없음")</f>
        <v>5CG53403D0</v>
      </c>
      <c r="I10" s="468" t="s">
        <v>29</v>
      </c>
      <c r="J10" s="468"/>
      <c r="K10" s="468" t="str">
        <f t="array" ref="K10">IFERROR(INDEX(Ipad_List!C:C,MATCH(All_User_backup!D10,Ipad_List!J:J,0)),"없음")</f>
        <v>없음</v>
      </c>
      <c r="L10" s="469" t="str">
        <f t="array" ref="L10">IFERROR(INDEX(TeamsNumber!B:B,MATCH(All_User_backup!D10,TeamsNumber!D:D,0)),"없음")</f>
        <v>tel:+82234517637</v>
      </c>
      <c r="M10" s="469" t="str">
        <f t="array" ref="M10">IFERROR(INDEX(Printer!D:D,MATCH(All_User_backup!D10,Printer!G:G,0)),"없음")</f>
        <v>없음</v>
      </c>
      <c r="N10" s="469" t="str">
        <f t="array" ref="N10">IFERROR(INDEX(sales!D:D,MATCH(D10,sales!C:C,0)),"없음")</f>
        <v>없음</v>
      </c>
      <c r="O10" s="469" t="str">
        <f t="array" ref="O10">IFERROR(INDEX(sales!E:E,MATCH(D10,sales!C:C,0)),"없음")</f>
        <v>없음</v>
      </c>
      <c r="P10" s="470"/>
      <c r="Q10" s="471">
        <v>45900.0</v>
      </c>
    </row>
    <row r="11">
      <c r="A11" s="465">
        <v>165.0</v>
      </c>
      <c r="B11" s="466" t="s">
        <v>2306</v>
      </c>
      <c r="C11" s="466" t="s">
        <v>2773</v>
      </c>
      <c r="D11" s="466" t="s">
        <v>2307</v>
      </c>
      <c r="E11" s="466" t="s">
        <v>320</v>
      </c>
      <c r="F11" s="466" t="s">
        <v>2471</v>
      </c>
      <c r="G11" s="466" t="s">
        <v>2480</v>
      </c>
      <c r="H11" s="467" t="str">
        <f t="array" ref="H11">IFERROR(INDEX(Lease_List!D:D,MATCH(All_User_backup!D11,Lease_List!H:H,0)),"없음")</f>
        <v>5CD5062YF5</v>
      </c>
      <c r="I11" s="468" t="s">
        <v>29</v>
      </c>
      <c r="J11" s="468" t="s">
        <v>2774</v>
      </c>
      <c r="K11" s="468" t="str">
        <f t="array" ref="K11">IFERROR(INDEX(Ipad_List!C:C,MATCH(All_User_backup!D11,Ipad_List!J:J,0)),"없음")</f>
        <v>QXKLQ74WYW</v>
      </c>
      <c r="L11" s="469" t="str">
        <f t="array" ref="L11">IFERROR(INDEX(TeamsNumber!B:B,MATCH(All_User_backup!D11,TeamsNumber!D:D,0)),"없음")</f>
        <v>tel:+82234517568</v>
      </c>
      <c r="M11" s="469" t="str">
        <f t="array" ref="M11">IFERROR(INDEX(Printer!D:D,MATCH(All_User_backup!D11,Printer!G:G,0)),"없음")</f>
        <v>없음</v>
      </c>
      <c r="N11" s="469" t="str">
        <f t="array" ref="N11">IFERROR(INDEX(sales!D:D,MATCH(D11,sales!C:C,0)),"없음")</f>
        <v>없음</v>
      </c>
      <c r="O11" s="469" t="str">
        <f t="array" ref="O11">IFERROR(INDEX(sales!E:E,MATCH(D11,sales!C:C,0)),"없음")</f>
        <v>없음</v>
      </c>
      <c r="P11" s="470"/>
      <c r="Q11" s="471">
        <v>45930.0</v>
      </c>
    </row>
    <row r="12">
      <c r="A12" s="465">
        <v>169.0</v>
      </c>
      <c r="B12" s="466" t="s">
        <v>2606</v>
      </c>
      <c r="C12" s="466" t="s">
        <v>2775</v>
      </c>
      <c r="D12" s="466" t="s">
        <v>2776</v>
      </c>
      <c r="E12" s="466" t="s">
        <v>2777</v>
      </c>
      <c r="F12" s="466" t="s">
        <v>2471</v>
      </c>
      <c r="G12" s="466" t="s">
        <v>2482</v>
      </c>
      <c r="H12" s="467" t="str">
        <f t="array" ref="H12">IFERROR(INDEX(Lease_List!D:D,MATCH(All_User_backup!D12,Lease_List!H:H,0)),"없음")</f>
        <v>5CD4305D85</v>
      </c>
      <c r="I12" s="468" t="s">
        <v>599</v>
      </c>
      <c r="J12" s="468"/>
      <c r="K12" s="468" t="str">
        <f t="array" ref="K12">IFERROR(INDEX(Ipad_List!C:C,MATCH(All_User_backup!D12,Ipad_List!J:J,0)),"없음")</f>
        <v>OQ2GGXF3FK</v>
      </c>
      <c r="L12" s="469" t="str">
        <f t="array" ref="L12">IFERROR(INDEX(TeamsNumber!B:B,MATCH(All_User_backup!D12,TeamsNumber!D:D,0)),"없음")</f>
        <v>tel:+82234517591</v>
      </c>
      <c r="M12" s="469" t="str">
        <f t="array" ref="M12">IFERROR(INDEX(Printer!D:D,MATCH(All_User_backup!D12,Printer!G:G,0)),"없음")</f>
        <v>없음</v>
      </c>
      <c r="N12" s="469" t="str">
        <f t="array" ref="N12">IFERROR(INDEX(sales!D:D,MATCH(D12,sales!C:C,0)),"없음")</f>
        <v>없음</v>
      </c>
      <c r="O12" s="469" t="str">
        <f t="array" ref="O12">IFERROR(INDEX(sales!E:E,MATCH(D12,sales!C:C,0)),"없음")</f>
        <v>없음</v>
      </c>
      <c r="P12" s="470"/>
      <c r="Q12" s="471">
        <v>45887.0</v>
      </c>
    </row>
    <row r="13">
      <c r="A13" s="460">
        <v>170.0</v>
      </c>
      <c r="B13" s="461" t="s">
        <v>2778</v>
      </c>
      <c r="C13" s="461" t="s">
        <v>2779</v>
      </c>
      <c r="D13" s="461" t="s">
        <v>2780</v>
      </c>
      <c r="E13" s="461" t="s">
        <v>2781</v>
      </c>
      <c r="F13" s="461" t="s">
        <v>2471</v>
      </c>
      <c r="G13" s="461" t="s">
        <v>82</v>
      </c>
      <c r="H13" s="462" t="str">
        <f t="array" ref="H13">IFERROR(INDEX(Lease_List!D:D,MATCH(All_User_backup!D13,Lease_List!H:H,0)),"없음")</f>
        <v>5CD4232BFF</v>
      </c>
      <c r="I13" s="463" t="s">
        <v>29</v>
      </c>
      <c r="J13" s="463"/>
      <c r="K13" s="463" t="str">
        <f t="array" ref="K13">IFERROR(INDEX(Ipad_List!C:C,MATCH(All_User_backup!D13,Ipad_List!J:J,0)),"없음")</f>
        <v>없음</v>
      </c>
      <c r="L13" s="464" t="str">
        <f t="array" ref="L13">IFERROR(INDEX(TeamsNumber!B:B,MATCH(All_User_backup!D13,TeamsNumber!D:D,0)),"없음")</f>
        <v>tel:+82234517513</v>
      </c>
      <c r="M13" s="464" t="str">
        <f t="array" ref="M13">IFERROR(INDEX(Printer!D:D,MATCH(All_User_backup!D13,Printer!H:H,0)),"없음")</f>
        <v>없음</v>
      </c>
      <c r="N13" s="464" t="str">
        <f t="array" ref="N13">IFERROR(INDEX(sales!D:D,MATCH(D13,sales!C:C,0)),"없음")</f>
        <v>없음</v>
      </c>
      <c r="O13" s="464" t="str">
        <f t="array" ref="O13">IFERROR(INDEX(sales!E:E,MATCH(D13,sales!C:C,0)),"없음")</f>
        <v>없음</v>
      </c>
      <c r="P13" s="464"/>
      <c r="Q13" s="464" t="s">
        <v>2255</v>
      </c>
    </row>
    <row r="14">
      <c r="A14" s="465">
        <v>173.0</v>
      </c>
      <c r="B14" s="466" t="s">
        <v>2257</v>
      </c>
      <c r="C14" s="466" t="s">
        <v>2782</v>
      </c>
      <c r="D14" s="466" t="s">
        <v>2258</v>
      </c>
      <c r="E14" s="466" t="s">
        <v>146</v>
      </c>
      <c r="F14" s="466" t="s">
        <v>2478</v>
      </c>
      <c r="G14" s="466" t="s">
        <v>2479</v>
      </c>
      <c r="H14" s="467" t="str">
        <f t="array" ref="H14">IFERROR(INDEX(Lease_List!D:D,MATCH(All_User_backup!D14,Lease_List!H:H,0)),"없음")</f>
        <v>5CD442C074</v>
      </c>
      <c r="I14" s="468" t="s">
        <v>2783</v>
      </c>
      <c r="J14" s="468"/>
      <c r="K14" s="468" t="str">
        <f t="array" ref="K14">IFERROR(INDEX(Ipad_List!C:C,MATCH(All_User_backup!D14,Ipad_List!J:J,0)),"없음")</f>
        <v>R34F5XVT2M</v>
      </c>
      <c r="L14" s="469" t="str">
        <f t="array" ref="L14">IFERROR(INDEX(TeamsNumber!B:B,MATCH(All_User_backup!D14,TeamsNumber!D:D,0)),"없음")</f>
        <v>tel:+82234517659</v>
      </c>
      <c r="M14" s="469" t="str">
        <f t="array" ref="M14">IFERROR(INDEX(Printer!D:D,MATCH(All_User_backup!D14,Printer!H:H,0)),"없음")</f>
        <v>없음</v>
      </c>
      <c r="N14" s="469" t="str">
        <f t="array" ref="N14">IFERROR(INDEX(sales!D:D,MATCH(D14,sales!C:C,0)),"없음")</f>
        <v>없음</v>
      </c>
      <c r="O14" s="469" t="str">
        <f t="array" ref="O14">IFERROR(INDEX(sales!E:E,MATCH(D14,sales!C:C,0)),"없음")</f>
        <v>없음</v>
      </c>
      <c r="P14" s="470"/>
      <c r="Q14" s="471">
        <v>45910.0</v>
      </c>
    </row>
  </sheetData>
  <hyperlinks>
    <hyperlink r:id="rId1" ref="D8"/>
  </hyperlink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2.75"/>
  </cols>
  <sheetData>
    <row r="1">
      <c r="A1" s="473" t="s">
        <v>2</v>
      </c>
      <c r="B1" s="181" t="s">
        <v>2784</v>
      </c>
    </row>
    <row r="2" hidden="1">
      <c r="A2" s="181" t="s">
        <v>2785</v>
      </c>
      <c r="B2" s="181" t="s">
        <v>655</v>
      </c>
      <c r="C2" s="288" t="str">
        <f t="array" ref="C2">IFERROR(INDEX(All_User_backup!H:H,MATCH(B2,All_User_backup!D:D,0)),"list없음")</f>
        <v>5CD5179KH9</v>
      </c>
      <c r="D2" s="288" t="str">
        <f t="array" ref="D2">IFERROR(INDEX(All_User_backup!R:R,MATCH(B2,All_User_backup!D:D,0)),"list없음")</f>
        <v/>
      </c>
    </row>
    <row r="3" hidden="1">
      <c r="A3" s="181" t="s">
        <v>2786</v>
      </c>
      <c r="B3" s="181" t="s">
        <v>319</v>
      </c>
      <c r="C3" s="288" t="str">
        <f t="array" ref="C3">IFERROR(INDEX(All_User_backup!H:H,MATCH(B3,All_User_backup!D:D,0)),"list없음")</f>
        <v>5CD409908J</v>
      </c>
      <c r="D3" s="288" t="str">
        <f t="array" ref="D3">IFERROR(INDEX(All_User_backup!R:R,MATCH(B3,All_User_backup!D:D,0)),"list없음")</f>
        <v/>
      </c>
    </row>
    <row r="4" hidden="1">
      <c r="A4" s="181" t="s">
        <v>2787</v>
      </c>
      <c r="B4" s="181" t="s">
        <v>313</v>
      </c>
      <c r="C4" s="288" t="str">
        <f t="array" ref="C4">IFERROR(INDEX(All_User_backup!H:H,MATCH(B4,All_User_backup!D:D,0)),"list없음")</f>
        <v>5CD5179KJB</v>
      </c>
      <c r="D4" s="288" t="str">
        <f t="array" ref="D4">IFERROR(INDEX(All_User_backup!R:R,MATCH(B4,All_User_backup!D:D,0)),"list없음")</f>
        <v/>
      </c>
    </row>
    <row r="5">
      <c r="A5" s="181" t="s">
        <v>2788</v>
      </c>
      <c r="B5" s="181" t="s">
        <v>617</v>
      </c>
      <c r="C5" s="288" t="str">
        <f t="array" ref="C5">IFERROR(INDEX(All_User_backup!H:H,MATCH(B5,All_User_backup!D:D,0)),"list없음")</f>
        <v>없음</v>
      </c>
      <c r="D5" s="288" t="str">
        <f t="array" ref="D5">IFERROR(INDEX(All_User_backup!R:R,MATCH(B5,All_User_backup!D:D,0)),"list없음")</f>
        <v/>
      </c>
    </row>
    <row r="6" hidden="1">
      <c r="A6" s="181" t="s">
        <v>2789</v>
      </c>
      <c r="B6" s="181" t="s">
        <v>88</v>
      </c>
      <c r="C6" s="288" t="str">
        <f t="array" ref="C6">IFERROR(INDEX(All_User_backup!H:H,MATCH(B6,All_User_backup!D:D,0)),"list없음")</f>
        <v>5CD3469HD6</v>
      </c>
      <c r="D6" s="288" t="str">
        <f t="array" ref="D6">IFERROR(INDEX(All_User_backup!R:R,MATCH(B6,All_User_backup!D:D,0)),"list없음")</f>
        <v/>
      </c>
    </row>
    <row r="7">
      <c r="A7" s="181" t="s">
        <v>2790</v>
      </c>
      <c r="B7" s="181" t="s">
        <v>664</v>
      </c>
      <c r="C7" s="288" t="str">
        <f t="array" ref="C7">IFERROR(INDEX(All_User_backup!H:H,MATCH(B7,All_User_backup!D:D,0)),"list없음")</f>
        <v>없음</v>
      </c>
      <c r="D7" s="288" t="str">
        <f t="array" ref="D7">IFERROR(INDEX(All_User_backup!R:R,MATCH(B7,All_User_backup!D:D,0)),"list없음")</f>
        <v/>
      </c>
    </row>
    <row r="8" hidden="1">
      <c r="A8" s="181" t="s">
        <v>2791</v>
      </c>
      <c r="B8" s="181" t="s">
        <v>650</v>
      </c>
      <c r="C8" s="288" t="str">
        <f t="array" ref="C8">IFERROR(INDEX(All_User_backup!H:H,MATCH(B8,All_User_backup!D:D,0)),"list없음")</f>
        <v>5CD5179KH7</v>
      </c>
      <c r="D8" s="288" t="str">
        <f t="array" ref="D8">IFERROR(INDEX(All_User_backup!R:R,MATCH(B8,All_User_backup!D:D,0)),"list없음")</f>
        <v/>
      </c>
    </row>
    <row r="9" hidden="1">
      <c r="A9" s="181" t="s">
        <v>2792</v>
      </c>
      <c r="B9" s="181" t="s">
        <v>443</v>
      </c>
      <c r="C9" s="288" t="str">
        <f t="array" ref="C9">IFERROR(INDEX(All_User_backup!H:H,MATCH(B9,All_User_backup!D:D,0)),"list없음")</f>
        <v>5CD442C07K</v>
      </c>
      <c r="D9" s="288" t="str">
        <f t="array" ref="D9">IFERROR(INDEX(All_User_backup!R:R,MATCH(B9,All_User_backup!D:D,0)),"list없음")</f>
        <v/>
      </c>
    </row>
    <row r="10" hidden="1">
      <c r="A10" s="181" t="s">
        <v>2793</v>
      </c>
      <c r="B10" s="181" t="s">
        <v>98</v>
      </c>
      <c r="C10" s="288" t="str">
        <f t="array" ref="C10">IFERROR(INDEX(All_User_backup!H:H,MATCH(B10,All_User_backup!D:D,0)),"list없음")</f>
        <v>5CD5179KHY</v>
      </c>
      <c r="D10" s="288" t="str">
        <f t="array" ref="D10">IFERROR(INDEX(All_User_backup!R:R,MATCH(B10,All_User_backup!D:D,0)),"list없음")</f>
        <v/>
      </c>
    </row>
    <row r="11" hidden="1">
      <c r="A11" s="181" t="s">
        <v>2794</v>
      </c>
      <c r="B11" s="181" t="s">
        <v>307</v>
      </c>
      <c r="C11" s="288" t="str">
        <f t="array" ref="C11">IFERROR(INDEX(All_User_backup!H:H,MATCH(B11,All_User_backup!D:D,0)),"list없음")</f>
        <v>5CD409908M</v>
      </c>
      <c r="D11" s="288" t="str">
        <f t="array" ref="D11">IFERROR(INDEX(All_User_backup!R:R,MATCH(B11,All_User_backup!D:D,0)),"list없음")</f>
        <v/>
      </c>
    </row>
    <row r="12" hidden="1">
      <c r="A12" s="181" t="s">
        <v>2795</v>
      </c>
      <c r="B12" s="181" t="s">
        <v>299</v>
      </c>
      <c r="C12" s="288" t="str">
        <f t="array" ref="C12">IFERROR(INDEX(All_User_backup!H:H,MATCH(B12,All_User_backup!D:D,0)),"list없음")</f>
        <v>5CD4232BF3</v>
      </c>
      <c r="D12" s="288" t="str">
        <f t="array" ref="D12">IFERROR(INDEX(All_User_backup!R:R,MATCH(B12,All_User_backup!D:D,0)),"list없음")</f>
        <v/>
      </c>
    </row>
    <row r="13" hidden="1">
      <c r="A13" s="181" t="s">
        <v>2796</v>
      </c>
      <c r="B13" s="181" t="s">
        <v>311</v>
      </c>
      <c r="C13" s="288" t="str">
        <f t="array" ref="C13">IFERROR(INDEX(All_User_backup!H:H,MATCH(B13,All_User_backup!D:D,0)),"list없음")</f>
        <v>5CD4232BFN</v>
      </c>
      <c r="D13" s="288" t="str">
        <f t="array" ref="D13">IFERROR(INDEX(All_User_backup!R:R,MATCH(B13,All_User_backup!D:D,0)),"list없음")</f>
        <v/>
      </c>
    </row>
    <row r="14">
      <c r="A14" s="181" t="s">
        <v>1304</v>
      </c>
      <c r="B14" s="181" t="s">
        <v>18</v>
      </c>
      <c r="C14" s="288" t="str">
        <f t="array" ref="C14">IFERROR(INDEX(All_User_backup!H:H,MATCH(B14,All_User_backup!D:D,0)),"list없음")</f>
        <v>5CD5179KGZ</v>
      </c>
      <c r="D14" s="288" t="str">
        <f t="array" ref="D14">IFERROR(INDEX(All_User_backup!R:R,MATCH(B14,All_User_backup!D:D,0)),"list없음")</f>
        <v/>
      </c>
    </row>
    <row r="15" hidden="1">
      <c r="A15" s="181" t="s">
        <v>2797</v>
      </c>
      <c r="B15" s="181" t="s">
        <v>695</v>
      </c>
      <c r="C15" s="288" t="str">
        <f t="array" ref="C15">IFERROR(INDEX(All_User_backup!H:H,MATCH(B15,All_User_backup!D:D,0)),"list없음")</f>
        <v>5CD5179KJ3</v>
      </c>
      <c r="D15" s="288" t="str">
        <f t="array" ref="D15">IFERROR(INDEX(All_User_backup!R:R,MATCH(B15,All_User_backup!D:D,0)),"list없음")</f>
        <v/>
      </c>
    </row>
    <row r="16" hidden="1">
      <c r="A16" s="181" t="s">
        <v>2798</v>
      </c>
      <c r="B16" s="181" t="s">
        <v>669</v>
      </c>
      <c r="C16" s="288" t="str">
        <f t="array" ref="C16">IFERROR(INDEX(All_User_backup!H:H,MATCH(B16,All_User_backup!D:D,0)),"list없음")</f>
        <v>5CG53403CW</v>
      </c>
      <c r="D16" s="288" t="str">
        <f t="array" ref="D16">IFERROR(INDEX(All_User_backup!R:R,MATCH(B16,All_User_backup!D:D,0)),"list없음")</f>
        <v/>
      </c>
    </row>
    <row r="17" hidden="1">
      <c r="A17" s="181" t="s">
        <v>2799</v>
      </c>
      <c r="B17" s="181" t="s">
        <v>149</v>
      </c>
      <c r="C17" s="288" t="str">
        <f t="array" ref="C17">IFERROR(INDEX(All_User_backup!H:H,MATCH(B17,All_User_backup!D:D,0)),"list없음")</f>
        <v>5CD4305D8C</v>
      </c>
      <c r="D17" s="288" t="str">
        <f t="array" ref="D17">IFERROR(INDEX(All_User_backup!R:R,MATCH(B17,All_User_backup!D:D,0)),"list없음")</f>
        <v/>
      </c>
    </row>
    <row r="18" hidden="1">
      <c r="A18" s="181" t="s">
        <v>2800</v>
      </c>
      <c r="B18" s="181" t="s">
        <v>2370</v>
      </c>
      <c r="C18" s="288" t="str">
        <f t="array" ref="C18">IFERROR(INDEX(All_User_backup!H:H,MATCH(B18,All_User_backup!D:D,0)),"list없음")</f>
        <v>없음</v>
      </c>
      <c r="D18" s="288" t="str">
        <f t="array" ref="D18">IFERROR(INDEX(All_User_backup!R:R,MATCH(B18,All_User_backup!D:D,0)),"list없음")</f>
        <v>퇴사</v>
      </c>
    </row>
    <row r="19" hidden="1">
      <c r="A19" s="181" t="s">
        <v>2801</v>
      </c>
      <c r="B19" s="181" t="s">
        <v>545</v>
      </c>
      <c r="C19" s="288" t="str">
        <f t="array" ref="C19">IFERROR(INDEX(All_User_backup!H:H,MATCH(B19,All_User_backup!D:D,0)),"list없음")</f>
        <v>5CG53403D4</v>
      </c>
      <c r="D19" s="288" t="str">
        <f t="array" ref="D19">IFERROR(INDEX(All_User_backup!R:R,MATCH(B19,All_User_backup!D:D,0)),"list없음")</f>
        <v/>
      </c>
    </row>
    <row r="20" hidden="1">
      <c r="A20" s="181" t="s">
        <v>2802</v>
      </c>
      <c r="B20" s="181" t="s">
        <v>612</v>
      </c>
      <c r="C20" s="288" t="str">
        <f t="array" ref="C20">IFERROR(INDEX(All_User_backup!H:H,MATCH(B20,All_User_backup!D:D,0)),"list없음")</f>
        <v>5CD5179KH8</v>
      </c>
      <c r="D20" s="288" t="str">
        <f t="array" ref="D20">IFERROR(INDEX(All_User_backup!R:R,MATCH(B20,All_User_backup!D:D,0)),"list없음")</f>
        <v/>
      </c>
    </row>
    <row r="21" hidden="1">
      <c r="A21" s="181" t="s">
        <v>2803</v>
      </c>
      <c r="B21" s="181" t="s">
        <v>550</v>
      </c>
      <c r="C21" s="288" t="str">
        <f t="array" ref="C21">IFERROR(INDEX(All_User_backup!H:H,MATCH(B21,All_User_backup!D:D,0)),"list없음")</f>
        <v>5CD5179KHL</v>
      </c>
      <c r="D21" s="288" t="str">
        <f t="array" ref="D21">IFERROR(INDEX(All_User_backup!R:R,MATCH(B21,All_User_backup!D:D,0)),"list없음")</f>
        <v/>
      </c>
    </row>
    <row r="22" hidden="1">
      <c r="A22" s="181" t="s">
        <v>2804</v>
      </c>
      <c r="B22" s="181" t="s">
        <v>60</v>
      </c>
      <c r="C22" s="288" t="str">
        <f t="array" ref="C22">IFERROR(INDEX(All_User_backup!H:H,MATCH(B22,All_User_backup!D:D,0)),"list없음")</f>
        <v>5CD3469HDN</v>
      </c>
      <c r="D22" s="288" t="str">
        <f t="array" ref="D22">IFERROR(INDEX(All_User_backup!R:R,MATCH(B22,All_User_backup!D:D,0)),"list없음")</f>
        <v/>
      </c>
    </row>
    <row r="23" hidden="1">
      <c r="A23" s="181" t="s">
        <v>2805</v>
      </c>
      <c r="B23" s="181" t="s">
        <v>447</v>
      </c>
      <c r="C23" s="288" t="str">
        <f t="array" ref="C23">IFERROR(INDEX(All_User_backup!H:H,MATCH(B23,All_User_backup!D:D,0)),"list없음")</f>
        <v>5CD442C07L</v>
      </c>
      <c r="D23" s="288" t="str">
        <f t="array" ref="D23">IFERROR(INDEX(All_User_backup!R:R,MATCH(B23,All_User_backup!D:D,0)),"list없음")</f>
        <v/>
      </c>
    </row>
    <row r="24" hidden="1">
      <c r="A24" s="181" t="s">
        <v>2806</v>
      </c>
      <c r="B24" s="181" t="s">
        <v>323</v>
      </c>
      <c r="C24" s="288" t="str">
        <f t="array" ref="C24">IFERROR(INDEX(All_User_backup!H:H,MATCH(B24,All_User_backup!D:D,0)),"list없음")</f>
        <v>5CD409908K</v>
      </c>
      <c r="D24" s="288" t="str">
        <f t="array" ref="D24">IFERROR(INDEX(All_User_backup!R:R,MATCH(B24,All_User_backup!D:D,0)),"list없음")</f>
        <v/>
      </c>
    </row>
    <row r="25" hidden="1">
      <c r="A25" s="181" t="s">
        <v>2807</v>
      </c>
      <c r="B25" s="181" t="s">
        <v>271</v>
      </c>
      <c r="C25" s="288" t="str">
        <f t="array" ref="C25">IFERROR(INDEX(All_User_backup!H:H,MATCH(B25,All_User_backup!D:D,0)),"list없음")</f>
        <v>5CD442C079</v>
      </c>
      <c r="D25" s="288" t="str">
        <f t="array" ref="D25">IFERROR(INDEX(All_User_backup!R:R,MATCH(B25,All_User_backup!D:D,0)),"list없음")</f>
        <v/>
      </c>
    </row>
    <row r="26" hidden="1">
      <c r="A26" s="181" t="s">
        <v>2808</v>
      </c>
      <c r="B26" s="181" t="s">
        <v>303</v>
      </c>
      <c r="C26" s="288" t="str">
        <f t="array" ref="C26">IFERROR(INDEX(All_User_backup!H:H,MATCH(B26,All_User_backup!D:D,0)),"list없음")</f>
        <v>5CD5062YF1</v>
      </c>
      <c r="D26" s="288" t="str">
        <f t="array" ref="D26">IFERROR(INDEX(All_User_backup!R:R,MATCH(B26,All_User_backup!D:D,0)),"list없음")</f>
        <v/>
      </c>
    </row>
    <row r="27" hidden="1">
      <c r="A27" s="181" t="s">
        <v>2809</v>
      </c>
      <c r="B27" s="181" t="s">
        <v>700</v>
      </c>
      <c r="C27" s="288" t="str">
        <f t="array" ref="C27">IFERROR(INDEX(All_User_backup!H:H,MATCH(B27,All_User_backup!D:D,0)),"list없음")</f>
        <v>5CD442C07J</v>
      </c>
      <c r="D27" s="288" t="str">
        <f t="array" ref="D27">IFERROR(INDEX(All_User_backup!R:R,MATCH(B27,All_User_backup!D:D,0)),"list없음")</f>
        <v/>
      </c>
    </row>
    <row r="28" hidden="1">
      <c r="A28" s="181" t="s">
        <v>2810</v>
      </c>
      <c r="B28" s="181" t="s">
        <v>820</v>
      </c>
      <c r="C28" s="288" t="str">
        <f t="array" ref="C28">IFERROR(INDEX(All_User_backup!H:H,MATCH(B28,All_User_backup!D:D,0)),"list없음")</f>
        <v>5CD409908N</v>
      </c>
      <c r="D28" s="288" t="str">
        <f t="array" ref="D28">IFERROR(INDEX(All_User_backup!R:R,MATCH(B28,All_User_backup!D:D,0)),"list없음")</f>
        <v/>
      </c>
    </row>
    <row r="29">
      <c r="A29" s="181" t="s">
        <v>2811</v>
      </c>
      <c r="B29" s="181" t="s">
        <v>117</v>
      </c>
      <c r="C29" s="288" t="str">
        <f t="array" ref="C29">IFERROR(INDEX(All_User_backup!H:H,MATCH(B29,All_User_backup!D:D,0)),"list없음")</f>
        <v>없음</v>
      </c>
      <c r="D29" s="288" t="str">
        <f t="array" ref="D29">IFERROR(INDEX(All_User_backup!R:R,MATCH(B29,All_User_backup!D:D,0)),"list없음")</f>
        <v/>
      </c>
    </row>
    <row r="30" hidden="1">
      <c r="A30" s="181" t="s">
        <v>2812</v>
      </c>
      <c r="B30" s="181" t="s">
        <v>450</v>
      </c>
      <c r="C30" s="288" t="str">
        <f t="array" ref="C30">IFERROR(INDEX(All_User_backup!H:H,MATCH(B30,All_User_backup!D:D,0)),"list없음")</f>
        <v>5CG53403DF</v>
      </c>
      <c r="D30" s="288" t="str">
        <f t="array" ref="D30">IFERROR(INDEX(All_User_backup!R:R,MATCH(B30,All_User_backup!D:D,0)),"list없음")</f>
        <v/>
      </c>
    </row>
    <row r="31" hidden="1">
      <c r="A31" s="181" t="s">
        <v>2813</v>
      </c>
      <c r="B31" s="181" t="s">
        <v>65</v>
      </c>
      <c r="C31" s="288" t="str">
        <f t="array" ref="C31">IFERROR(INDEX(All_User_backup!H:H,MATCH(B31,All_User_backup!D:D,0)),"list없음")</f>
        <v>5CG53403D0</v>
      </c>
      <c r="D31" s="288" t="str">
        <f t="array" ref="D31">IFERROR(INDEX(All_User_backup!R:R,MATCH(B31,All_User_backup!D:D,0)),"list없음")</f>
        <v/>
      </c>
    </row>
    <row r="32" hidden="1">
      <c r="A32" s="181" t="s">
        <v>2814</v>
      </c>
      <c r="B32" s="181" t="s">
        <v>289</v>
      </c>
      <c r="C32" s="288" t="str">
        <f t="array" ref="C32">IFERROR(INDEX(All_User_backup!H:H,MATCH(B32,All_User_backup!D:D,0)),"list없음")</f>
        <v>5CD5179KHH</v>
      </c>
      <c r="D32" s="288" t="str">
        <f t="array" ref="D32">IFERROR(INDEX(All_User_backup!R:R,MATCH(B32,All_User_backup!D:D,0)),"list없음")</f>
        <v/>
      </c>
    </row>
    <row r="33" hidden="1">
      <c r="A33" s="181" t="s">
        <v>2815</v>
      </c>
      <c r="B33" s="181" t="s">
        <v>521</v>
      </c>
      <c r="C33" s="288" t="str">
        <f t="array" ref="C33">IFERROR(INDEX(All_User_backup!H:H,MATCH(B33,All_User_backup!D:D,0)),"list없음")</f>
        <v>5CD4145N3L</v>
      </c>
      <c r="D33" s="288" t="str">
        <f t="array" ref="D33">IFERROR(INDEX(All_User_backup!R:R,MATCH(B33,All_User_backup!D:D,0)),"list없음")</f>
        <v/>
      </c>
    </row>
    <row r="34" hidden="1">
      <c r="A34" s="181" t="s">
        <v>2816</v>
      </c>
      <c r="B34" s="181" t="s">
        <v>714</v>
      </c>
      <c r="C34" s="288" t="str">
        <f t="array" ref="C34">IFERROR(INDEX(All_User_backup!H:H,MATCH(B34,All_User_backup!D:D,0)),"list없음")</f>
        <v>5CD4305D8V</v>
      </c>
      <c r="D34" s="288" t="str">
        <f t="array" ref="D34">IFERROR(INDEX(All_User_backup!R:R,MATCH(B34,All_User_backup!D:D,0)),"list없음")</f>
        <v/>
      </c>
    </row>
    <row r="35" hidden="1">
      <c r="A35" s="181" t="s">
        <v>2817</v>
      </c>
      <c r="B35" s="181" t="s">
        <v>455</v>
      </c>
      <c r="C35" s="288" t="str">
        <f t="array" ref="C35">IFERROR(INDEX(All_User_backup!H:H,MATCH(B35,All_User_backup!D:D,0)),"list없음")</f>
        <v>5CD3469HD7</v>
      </c>
      <c r="D35" s="288" t="str">
        <f t="array" ref="D35">IFERROR(INDEX(All_User_backup!R:R,MATCH(B35,All_User_backup!D:D,0)),"list없음")</f>
        <v/>
      </c>
    </row>
    <row r="36" hidden="1">
      <c r="A36" s="181" t="s">
        <v>2818</v>
      </c>
      <c r="B36" s="181" t="s">
        <v>327</v>
      </c>
      <c r="C36" s="288" t="str">
        <f t="array" ref="C36">IFERROR(INDEX(All_User_backup!H:H,MATCH(B36,All_User_backup!D:D,0)),"list없음")</f>
        <v>5CD3469HDJ</v>
      </c>
      <c r="D36" s="288" t="str">
        <f t="array" ref="D36">IFERROR(INDEX(All_User_backup!R:R,MATCH(B36,All_User_backup!D:D,0)),"list없음")</f>
        <v/>
      </c>
    </row>
    <row r="37" hidden="1">
      <c r="A37" s="181" t="s">
        <v>2819</v>
      </c>
      <c r="B37" s="181" t="s">
        <v>332</v>
      </c>
      <c r="C37" s="288" t="str">
        <f t="array" ref="C37">IFERROR(INDEX(All_User_backup!H:H,MATCH(B37,All_User_backup!D:D,0)),"list없음")</f>
        <v>5CD5179KJ1</v>
      </c>
      <c r="D37" s="288" t="str">
        <f t="array" ref="D37">IFERROR(INDEX(All_User_backup!R:R,MATCH(B37,All_User_backup!D:D,0)),"list없음")</f>
        <v/>
      </c>
    </row>
    <row r="38" hidden="1">
      <c r="A38" s="181" t="s">
        <v>2820</v>
      </c>
      <c r="B38" s="181" t="s">
        <v>337</v>
      </c>
      <c r="C38" s="288" t="str">
        <f t="array" ref="C38">IFERROR(INDEX(All_User_backup!H:H,MATCH(B38,All_User_backup!D:D,0)),"list없음")</f>
        <v>5CD5179KHX</v>
      </c>
      <c r="D38" s="288" t="str">
        <f t="array" ref="D38">IFERROR(INDEX(All_User_backup!R:R,MATCH(B38,All_User_backup!D:D,0)),"list없음")</f>
        <v/>
      </c>
    </row>
    <row r="39" hidden="1">
      <c r="A39" s="181" t="s">
        <v>2821</v>
      </c>
      <c r="B39" s="181" t="s">
        <v>632</v>
      </c>
      <c r="C39" s="288" t="str">
        <f t="array" ref="C39">IFERROR(INDEX(All_User_backup!H:H,MATCH(B39,All_User_backup!D:D,0)),"list없음")</f>
        <v>5CD4232BF9</v>
      </c>
      <c r="D39" s="288" t="str">
        <f t="array" ref="D39">IFERROR(INDEX(All_User_backup!R:R,MATCH(B39,All_User_backup!D:D,0)),"list없음")</f>
        <v/>
      </c>
    </row>
    <row r="40" hidden="1">
      <c r="A40" s="181" t="s">
        <v>2822</v>
      </c>
      <c r="B40" s="181" t="s">
        <v>135</v>
      </c>
      <c r="C40" s="288" t="str">
        <f t="array" ref="C40">IFERROR(INDEX(All_User_backup!H:H,MATCH(B40,All_User_backup!D:D,0)),"list없음")</f>
        <v>5CD442C072</v>
      </c>
      <c r="D40" s="288" t="str">
        <f t="array" ref="D40">IFERROR(INDEX(All_User_backup!R:R,MATCH(B40,All_User_backup!D:D,0)),"list없음")</f>
        <v/>
      </c>
    </row>
    <row r="41">
      <c r="A41" s="181" t="s">
        <v>2823</v>
      </c>
      <c r="B41" s="181" t="s">
        <v>674</v>
      </c>
      <c r="C41" s="288" t="str">
        <f t="array" ref="C41">IFERROR(INDEX(All_User_backup!H:H,MATCH(B41,All_User_backup!D:D,0)),"list없음")</f>
        <v>없음</v>
      </c>
      <c r="D41" s="288" t="str">
        <f t="array" ref="D41">IFERROR(INDEX(All_User_backup!R:R,MATCH(B41,All_User_backup!D:D,0)),"list없음")</f>
        <v/>
      </c>
    </row>
    <row r="42" hidden="1">
      <c r="A42" s="181" t="s">
        <v>2824</v>
      </c>
      <c r="B42" s="181" t="s">
        <v>25</v>
      </c>
      <c r="C42" s="288" t="str">
        <f t="array" ref="C42">IFERROR(INDEX(All_User_backup!H:H,MATCH(B42,All_User_backup!D:D,0)),"list없음")</f>
        <v>5CD4232BFL</v>
      </c>
      <c r="D42" s="288" t="str">
        <f t="array" ref="D42">IFERROR(INDEX(All_User_backup!R:R,MATCH(B42,All_User_backup!D:D,0)),"list없음")</f>
        <v/>
      </c>
    </row>
    <row r="43" hidden="1">
      <c r="A43" s="181" t="s">
        <v>2825</v>
      </c>
      <c r="B43" s="181" t="s">
        <v>226</v>
      </c>
      <c r="C43" s="288" t="str">
        <f t="array" ref="C43">IFERROR(INDEX(All_User_backup!H:H,MATCH(B43,All_User_backup!D:D,0)),"list없음")</f>
        <v>5CG53403D5</v>
      </c>
      <c r="D43" s="288" t="str">
        <f t="array" ref="D43">IFERROR(INDEX(All_User_backup!R:R,MATCH(B43,All_User_backup!D:D,0)),"list없음")</f>
        <v/>
      </c>
    </row>
    <row r="44" hidden="1">
      <c r="A44" s="181" t="s">
        <v>2826</v>
      </c>
      <c r="B44" s="181" t="s">
        <v>555</v>
      </c>
      <c r="C44" s="288" t="str">
        <f t="array" ref="C44">IFERROR(INDEX(All_User_backup!H:H,MATCH(B44,All_User_backup!D:D,0)),"list없음")</f>
        <v>5CD4305D84</v>
      </c>
      <c r="D44" s="288" t="str">
        <f t="array" ref="D44">IFERROR(INDEX(All_User_backup!R:R,MATCH(B44,All_User_backup!D:D,0)),"list없음")</f>
        <v/>
      </c>
    </row>
    <row r="45" hidden="1">
      <c r="A45" s="181" t="s">
        <v>2827</v>
      </c>
      <c r="B45" s="181" t="s">
        <v>524</v>
      </c>
      <c r="C45" s="288" t="str">
        <f t="array" ref="C45">IFERROR(INDEX(All_User_backup!H:H,MATCH(B45,All_User_backup!D:D,0)),"list없음")</f>
        <v>5CD3469HD9</v>
      </c>
      <c r="D45" s="288" t="str">
        <f t="array" ref="D45">IFERROR(INDEX(All_User_backup!R:R,MATCH(B45,All_User_backup!D:D,0)),"list없음")</f>
        <v/>
      </c>
    </row>
    <row r="46" hidden="1">
      <c r="A46" s="181" t="s">
        <v>2828</v>
      </c>
      <c r="B46" s="181" t="s">
        <v>559</v>
      </c>
      <c r="C46" s="288" t="str">
        <f t="array" ref="C46">IFERROR(INDEX(All_User_backup!H:H,MATCH(B46,All_User_backup!D:D,0)),"list없음")</f>
        <v>5CD5062YDX</v>
      </c>
      <c r="D46" s="288" t="str">
        <f t="array" ref="D46">IFERROR(INDEX(All_User_backup!R:R,MATCH(B46,All_User_backup!D:D,0)),"list없음")</f>
        <v/>
      </c>
    </row>
    <row r="47" hidden="1">
      <c r="A47" s="181" t="s">
        <v>2829</v>
      </c>
      <c r="B47" s="181" t="s">
        <v>206</v>
      </c>
      <c r="C47" s="288" t="str">
        <f t="array" ref="C47">IFERROR(INDEX(All_User_backup!H:H,MATCH(B47,All_User_backup!D:D,0)),"list없음")</f>
        <v>5CD442C07G</v>
      </c>
      <c r="D47" s="288" t="str">
        <f t="array" ref="D47">IFERROR(INDEX(All_User_backup!R:R,MATCH(B47,All_User_backup!D:D,0)),"list없음")</f>
        <v/>
      </c>
    </row>
    <row r="48" hidden="1">
      <c r="A48" s="181" t="s">
        <v>2830</v>
      </c>
      <c r="B48" s="181" t="s">
        <v>718</v>
      </c>
      <c r="C48" s="288" t="str">
        <f t="array" ref="C48">IFERROR(INDEX(All_User_backup!H:H,MATCH(B48,All_User_backup!D:D,0)),"list없음")</f>
        <v>5CD5179KH6</v>
      </c>
      <c r="D48" s="288" t="str">
        <f t="array" ref="D48">IFERROR(INDEX(All_User_backup!R:R,MATCH(B48,All_User_backup!D:D,0)),"list없음")</f>
        <v/>
      </c>
    </row>
    <row r="49" hidden="1">
      <c r="A49" s="181" t="s">
        <v>2831</v>
      </c>
      <c r="B49" s="181" t="s">
        <v>102</v>
      </c>
      <c r="C49" s="288" t="str">
        <f t="array" ref="C49">IFERROR(INDEX(All_User_backup!H:H,MATCH(B49,All_User_backup!D:D,0)),"list없음")</f>
        <v>5CD442C07H</v>
      </c>
      <c r="D49" s="288" t="str">
        <f t="array" ref="D49">IFERROR(INDEX(All_User_backup!R:R,MATCH(B49,All_User_backup!D:D,0)),"list없음")</f>
        <v/>
      </c>
    </row>
    <row r="50" hidden="1">
      <c r="A50" s="181" t="s">
        <v>2832</v>
      </c>
      <c r="B50" s="181" t="s">
        <v>341</v>
      </c>
      <c r="C50" s="288" t="str">
        <f t="array" ref="C50">IFERROR(INDEX(All_User_backup!H:H,MATCH(B50,All_User_backup!D:D,0)),"list없음")</f>
        <v>5CD5062YDG</v>
      </c>
      <c r="D50" s="288" t="str">
        <f t="array" ref="D50">IFERROR(INDEX(All_User_backup!R:R,MATCH(B50,All_User_backup!D:D,0)),"list없음")</f>
        <v/>
      </c>
    </row>
    <row r="51" hidden="1">
      <c r="A51" s="181" t="s">
        <v>2833</v>
      </c>
      <c r="B51" s="181" t="s">
        <v>345</v>
      </c>
      <c r="C51" s="288" t="str">
        <f t="array" ref="C51">IFERROR(INDEX(All_User_backup!H:H,MATCH(B51,All_User_backup!D:D,0)),"list없음")</f>
        <v>5CD409908L</v>
      </c>
      <c r="D51" s="288" t="str">
        <f t="array" ref="D51">IFERROR(INDEX(All_User_backup!R:R,MATCH(B51,All_User_backup!D:D,0)),"list없음")</f>
        <v/>
      </c>
    </row>
    <row r="52" hidden="1">
      <c r="A52" s="181" t="s">
        <v>2834</v>
      </c>
      <c r="B52" s="181" t="s">
        <v>71</v>
      </c>
      <c r="C52" s="288" t="str">
        <f t="array" ref="C52">IFERROR(INDEX(All_User_backup!H:H,MATCH(B52,All_User_backup!D:D,0)),"list없음")</f>
        <v>5CD5062YF5</v>
      </c>
      <c r="D52" s="288" t="str">
        <f t="array" ref="D52">IFERROR(INDEX(All_User_backup!R:R,MATCH(B52,All_User_backup!D:D,0)),"list없음")</f>
        <v/>
      </c>
    </row>
    <row r="53" hidden="1">
      <c r="A53" s="181" t="s">
        <v>2835</v>
      </c>
      <c r="B53" s="181" t="s">
        <v>677</v>
      </c>
      <c r="C53" s="288" t="str">
        <f t="array" ref="C53">IFERROR(INDEX(All_User_backup!H:H,MATCH(B53,All_User_backup!D:D,0)),"list없음")</f>
        <v>5CD4232BFS</v>
      </c>
      <c r="D53" s="288" t="str">
        <f t="array" ref="D53">IFERROR(INDEX(All_User_backup!R:R,MATCH(B53,All_User_backup!D:D,0)),"list없음")</f>
        <v/>
      </c>
    </row>
    <row r="54" hidden="1">
      <c r="A54" s="181" t="s">
        <v>2836</v>
      </c>
      <c r="B54" s="181" t="s">
        <v>348</v>
      </c>
      <c r="C54" s="288" t="str">
        <f t="array" ref="C54">IFERROR(INDEX(All_User_backup!H:H,MATCH(B54,All_User_backup!D:D,0)),"list없음")</f>
        <v>5CD4232BF7</v>
      </c>
      <c r="D54" s="288" t="str">
        <f t="array" ref="D54">IFERROR(INDEX(All_User_backup!R:R,MATCH(B54,All_User_backup!D:D,0)),"list없음")</f>
        <v/>
      </c>
    </row>
    <row r="55" hidden="1">
      <c r="A55" s="181" t="s">
        <v>2837</v>
      </c>
      <c r="B55" s="181" t="s">
        <v>210</v>
      </c>
      <c r="C55" s="288" t="str">
        <f t="array" ref="C55">IFERROR(INDEX(All_User_backup!H:H,MATCH(B55,All_User_backup!D:D,0)),"list없음")</f>
        <v>5CD5179KHZ</v>
      </c>
      <c r="D55" s="288" t="str">
        <f t="array" ref="D55">IFERROR(INDEX(All_User_backup!R:R,MATCH(B55,All_User_backup!D:D,0)),"list없음")</f>
        <v/>
      </c>
    </row>
    <row r="56" hidden="1">
      <c r="A56" s="181" t="s">
        <v>2838</v>
      </c>
      <c r="B56" s="181" t="s">
        <v>459</v>
      </c>
      <c r="C56" s="288" t="str">
        <f t="array" ref="C56">IFERROR(INDEX(All_User_backup!H:H,MATCH(B56,All_User_backup!D:D,0)),"list없음")</f>
        <v>5CD4232BFP</v>
      </c>
      <c r="D56" s="288" t="str">
        <f t="array" ref="D56">IFERROR(INDEX(All_User_backup!R:R,MATCH(B56,All_User_backup!D:D,0)),"list없음")</f>
        <v/>
      </c>
    </row>
    <row r="57" hidden="1">
      <c r="A57" s="181" t="s">
        <v>2839</v>
      </c>
      <c r="B57" s="181" t="s">
        <v>563</v>
      </c>
      <c r="C57" s="288" t="str">
        <f t="array" ref="C57">IFERROR(INDEX(All_User_backup!H:H,MATCH(B57,All_User_backup!D:D,0)),"list없음")</f>
        <v>5CG53403D9</v>
      </c>
      <c r="D57" s="288" t="str">
        <f t="array" ref="D57">IFERROR(INDEX(All_User_backup!R:R,MATCH(B57,All_User_backup!D:D,0)),"list없음")</f>
        <v/>
      </c>
    </row>
    <row r="58" hidden="1">
      <c r="A58" s="181" t="s">
        <v>2840</v>
      </c>
      <c r="B58" s="181" t="s">
        <v>165</v>
      </c>
      <c r="C58" s="288" t="str">
        <f t="array" ref="C58">IFERROR(INDEX(All_User_backup!H:H,MATCH(B58,All_User_backup!D:D,0)),"list없음")</f>
        <v>5CD5179KHR</v>
      </c>
      <c r="D58" s="288" t="str">
        <f t="array" ref="D58">IFERROR(INDEX(All_User_backup!R:R,MATCH(B58,All_User_backup!D:D,0)),"list없음")</f>
        <v/>
      </c>
    </row>
    <row r="59" hidden="1">
      <c r="A59" s="181" t="s">
        <v>2841</v>
      </c>
      <c r="B59" s="181" t="s">
        <v>681</v>
      </c>
      <c r="C59" s="288" t="str">
        <f t="array" ref="C59">IFERROR(INDEX(All_User_backup!H:H,MATCH(B59,All_User_backup!D:D,0)),"list없음")</f>
        <v>5CD5179KH3</v>
      </c>
      <c r="D59" s="288" t="str">
        <f t="array" ref="D59">IFERROR(INDEX(All_User_backup!R:R,MATCH(B59,All_User_backup!D:D,0)),"list없음")</f>
        <v/>
      </c>
    </row>
    <row r="60" hidden="1">
      <c r="A60" s="181" t="s">
        <v>2842</v>
      </c>
      <c r="B60" s="181" t="s">
        <v>463</v>
      </c>
      <c r="C60" s="288" t="str">
        <f t="array" ref="C60">IFERROR(INDEX(All_User_backup!H:H,MATCH(B60,All_User_backup!D:D,0)),"list없음")</f>
        <v>5CD3469HD1</v>
      </c>
      <c r="D60" s="288" t="str">
        <f t="array" ref="D60">IFERROR(INDEX(All_User_backup!R:R,MATCH(B60,All_User_backup!D:D,0)),"list없음")</f>
        <v/>
      </c>
    </row>
    <row r="61" hidden="1">
      <c r="A61" s="181" t="s">
        <v>2843</v>
      </c>
      <c r="B61" s="181" t="s">
        <v>568</v>
      </c>
      <c r="C61" s="288" t="str">
        <f t="array" ref="C61">IFERROR(INDEX(All_User_backup!H:H,MATCH(B61,All_User_backup!D:D,0)),"list없음")</f>
        <v>5CD3469HD5</v>
      </c>
      <c r="D61" s="288" t="str">
        <f t="array" ref="D61">IFERROR(INDEX(All_User_backup!R:R,MATCH(B61,All_User_backup!D:D,0)),"list없음")</f>
        <v/>
      </c>
    </row>
    <row r="62" hidden="1">
      <c r="A62" s="181" t="s">
        <v>2844</v>
      </c>
      <c r="B62" s="181" t="s">
        <v>2845</v>
      </c>
      <c r="C62" s="288" t="str">
        <f t="array" ref="C62">IFERROR(INDEX(All_User_backup!H:H,MATCH(B62,All_User_backup!D:D,0)),"list없음")</f>
        <v>5CD4232BFK</v>
      </c>
      <c r="D62" s="288" t="str">
        <f t="array" ref="D62">IFERROR(INDEX(All_User_backup!R:R,MATCH(B62,All_User_backup!D:D,0)),"list없음")</f>
        <v/>
      </c>
    </row>
    <row r="63">
      <c r="A63" s="181" t="s">
        <v>2846</v>
      </c>
      <c r="B63" s="181" t="s">
        <v>439</v>
      </c>
      <c r="C63" s="288" t="str">
        <f t="array" ref="C63">IFERROR(INDEX(All_User_backup!H:H,MATCH(B63,All_User_backup!D:D,0)),"list없음")</f>
        <v>없음</v>
      </c>
      <c r="D63" s="288" t="str">
        <f t="array" ref="D63">IFERROR(INDEX(All_User_backup!R:R,MATCH(B63,All_User_backup!D:D,0)),"list없음")</f>
        <v/>
      </c>
    </row>
    <row r="64" hidden="1">
      <c r="A64" s="181" t="s">
        <v>2847</v>
      </c>
      <c r="B64" s="181" t="s">
        <v>267</v>
      </c>
      <c r="C64" s="288" t="str">
        <f t="array" ref="C64">IFERROR(INDEX(All_User_backup!H:H,MATCH(B64,All_User_backup!D:D,0)),"list없음")</f>
        <v>5CD3469HDR</v>
      </c>
      <c r="D64" s="288" t="str">
        <f t="array" ref="D64">IFERROR(INDEX(All_User_backup!R:R,MATCH(B64,All_User_backup!D:D,0)),"list없음")</f>
        <v/>
      </c>
    </row>
    <row r="65" hidden="1">
      <c r="A65" s="181" t="s">
        <v>2848</v>
      </c>
      <c r="B65" s="181" t="s">
        <v>352</v>
      </c>
      <c r="C65" s="288" t="str">
        <f t="array" ref="C65">IFERROR(INDEX(All_User_backup!H:H,MATCH(B65,All_User_backup!D:D,0)),"list없음")</f>
        <v>5CD4305D8Q</v>
      </c>
      <c r="D65" s="288" t="str">
        <f t="array" ref="D65">IFERROR(INDEX(All_User_backup!R:R,MATCH(B65,All_User_backup!D:D,0)),"list없음")</f>
        <v/>
      </c>
    </row>
    <row r="66" hidden="1">
      <c r="A66" s="181" t="s">
        <v>1289</v>
      </c>
      <c r="B66" s="181" t="s">
        <v>357</v>
      </c>
      <c r="C66" s="288" t="str">
        <f t="array" ref="C66">IFERROR(INDEX(All_User_backup!H:H,MATCH(B66,All_User_backup!D:D,0)),"list없음")</f>
        <v>5CD5179KHJ</v>
      </c>
      <c r="D66" s="288" t="str">
        <f t="array" ref="D66">IFERROR(INDEX(All_User_backup!R:R,MATCH(B66,All_User_backup!D:D,0)),"list없음")</f>
        <v/>
      </c>
    </row>
    <row r="67" hidden="1">
      <c r="A67" s="181" t="s">
        <v>2849</v>
      </c>
      <c r="B67" s="181" t="s">
        <v>571</v>
      </c>
      <c r="C67" s="288" t="str">
        <f t="array" ref="C67">IFERROR(INDEX(All_User_backup!H:H,MATCH(B67,All_User_backup!D:D,0)),"list없음")</f>
        <v>5CD3469HDC</v>
      </c>
      <c r="D67" s="288" t="str">
        <f t="array" ref="D67">IFERROR(INDEX(All_User_backup!R:R,MATCH(B67,All_User_backup!D:D,0)),"list없음")</f>
        <v/>
      </c>
    </row>
    <row r="68" hidden="1">
      <c r="A68" s="181" t="s">
        <v>2850</v>
      </c>
      <c r="B68" s="181" t="s">
        <v>255</v>
      </c>
      <c r="C68" s="288" t="str">
        <f t="array" ref="C68">IFERROR(INDEX(All_User_backup!H:H,MATCH(B68,All_User_backup!D:D,0)),"list없음")</f>
        <v>5CD4305D8M</v>
      </c>
      <c r="D68" s="288" t="str">
        <f t="array" ref="D68">IFERROR(INDEX(All_User_backup!R:R,MATCH(B68,All_User_backup!D:D,0)),"list없음")</f>
        <v/>
      </c>
    </row>
    <row r="69" hidden="1">
      <c r="A69" s="181" t="s">
        <v>2851</v>
      </c>
      <c r="B69" s="181" t="s">
        <v>274</v>
      </c>
      <c r="C69" s="288" t="str">
        <f t="array" ref="C69">IFERROR(INDEX(All_User_backup!H:H,MATCH(B69,All_User_backup!D:D,0)),"list없음")</f>
        <v>5CD3469HDT</v>
      </c>
      <c r="D69" s="288" t="str">
        <f t="array" ref="D69">IFERROR(INDEX(All_User_backup!R:R,MATCH(B69,All_User_backup!D:D,0)),"list없음")</f>
        <v/>
      </c>
    </row>
    <row r="70" hidden="1">
      <c r="A70" s="181" t="s">
        <v>2852</v>
      </c>
      <c r="B70" s="181" t="s">
        <v>726</v>
      </c>
      <c r="C70" s="288" t="str">
        <f t="array" ref="C70">IFERROR(INDEX(All_User_backup!H:H,MATCH(B70,All_User_backup!D:D,0)),"list없음")</f>
        <v>5CD4305D8F</v>
      </c>
      <c r="D70" s="288" t="str">
        <f t="array" ref="D70">IFERROR(INDEX(All_User_backup!R:R,MATCH(B70,All_User_backup!D:D,0)),"list없음")</f>
        <v/>
      </c>
    </row>
    <row r="71">
      <c r="A71" s="181" t="s">
        <v>2853</v>
      </c>
      <c r="B71" s="181" t="s">
        <v>740</v>
      </c>
      <c r="C71" s="288" t="str">
        <f t="array" ref="C71">IFERROR(INDEX(All_User_backup!H:H,MATCH(B71,All_User_backup!D:D,0)),"list없음")</f>
        <v>5CG53403D3</v>
      </c>
      <c r="D71" s="288" t="str">
        <f t="array" ref="D71">IFERROR(INDEX(All_User_backup!R:R,MATCH(B71,All_User_backup!D:D,0)),"list없음")</f>
        <v/>
      </c>
    </row>
    <row r="72" hidden="1">
      <c r="A72" s="181" t="s">
        <v>2854</v>
      </c>
      <c r="B72" s="181" t="s">
        <v>361</v>
      </c>
      <c r="C72" s="288" t="str">
        <f t="array" ref="C72">IFERROR(INDEX(All_User_backup!H:H,MATCH(B72,All_User_backup!D:D,0)),"list없음")</f>
        <v>5CD3469HDV</v>
      </c>
      <c r="D72" s="288" t="str">
        <f t="array" ref="D72">IFERROR(INDEX(All_User_backup!R:R,MATCH(B72,All_User_backup!D:D,0)),"list없음")</f>
        <v/>
      </c>
    </row>
    <row r="73" hidden="1">
      <c r="A73" s="181" t="s">
        <v>2855</v>
      </c>
      <c r="B73" s="181" t="s">
        <v>527</v>
      </c>
      <c r="C73" s="288" t="str">
        <f t="array" ref="C73">IFERROR(INDEX(All_User_backup!H:H,MATCH(B73,All_User_backup!D:D,0)),"list없음")</f>
        <v>5CG5430CQ6</v>
      </c>
      <c r="D73" s="288" t="str">
        <f t="array" ref="D73">IFERROR(INDEX(All_User_backup!R:R,MATCH(B73,All_User_backup!D:D,0)),"list없음")</f>
        <v/>
      </c>
    </row>
    <row r="74" hidden="1">
      <c r="A74" s="181" t="s">
        <v>2856</v>
      </c>
      <c r="B74" s="181" t="s">
        <v>169</v>
      </c>
      <c r="C74" s="288" t="str">
        <f t="array" ref="C74">IFERROR(INDEX(All_User_backup!H:H,MATCH(B74,All_User_backup!D:D,0)),"list없음")</f>
        <v>5CD4305D8Y</v>
      </c>
      <c r="D74" s="288" t="str">
        <f t="array" ref="D74">IFERROR(INDEX(All_User_backup!R:R,MATCH(B74,All_User_backup!D:D,0)),"list없음")</f>
        <v/>
      </c>
    </row>
    <row r="75" hidden="1">
      <c r="A75" s="181" t="s">
        <v>2857</v>
      </c>
      <c r="B75" s="181" t="s">
        <v>427</v>
      </c>
      <c r="C75" s="288" t="str">
        <f t="array" ref="C75">IFERROR(INDEX(All_User_backup!H:H,MATCH(B75,All_User_backup!D:D,0)),"list없음")</f>
        <v>5CD4232BFT</v>
      </c>
      <c r="D75" s="288" t="str">
        <f t="array" ref="D75">IFERROR(INDEX(All_User_backup!R:R,MATCH(B75,All_User_backup!D:D,0)),"list없음")</f>
        <v/>
      </c>
    </row>
    <row r="76" hidden="1">
      <c r="A76" s="181" t="s">
        <v>2858</v>
      </c>
      <c r="B76" s="181" t="s">
        <v>236</v>
      </c>
      <c r="C76" s="288" t="str">
        <f t="array" ref="C76">IFERROR(INDEX(All_User_backup!H:H,MATCH(B76,All_User_backup!D:D,0)),"list없음")</f>
        <v>5CD5179KJ2</v>
      </c>
      <c r="D76" s="288" t="str">
        <f t="array" ref="D76">IFERROR(INDEX(All_User_backup!R:R,MATCH(B76,All_User_backup!D:D,0)),"list없음")</f>
        <v/>
      </c>
    </row>
    <row r="77" hidden="1">
      <c r="A77" s="181" t="s">
        <v>2859</v>
      </c>
      <c r="B77" s="181" t="s">
        <v>687</v>
      </c>
      <c r="C77" s="288" t="str">
        <f t="array" ref="C77">IFERROR(INDEX(All_User_backup!H:H,MATCH(B77,All_User_backup!D:D,0)),"list없음")</f>
        <v>5CD5179KHP</v>
      </c>
      <c r="D77" s="288" t="str">
        <f t="array" ref="D77">IFERROR(INDEX(All_User_backup!R:R,MATCH(B77,All_User_backup!D:D,0)),"list없음")</f>
        <v/>
      </c>
    </row>
    <row r="78">
      <c r="A78" s="181" t="s">
        <v>2860</v>
      </c>
      <c r="B78" s="181" t="s">
        <v>120</v>
      </c>
      <c r="C78" s="288" t="str">
        <f t="array" ref="C78">IFERROR(INDEX(All_User_backup!H:H,MATCH(B78,All_User_backup!D:D,0)),"list없음")</f>
        <v>없음</v>
      </c>
      <c r="D78" s="288" t="str">
        <f t="array" ref="D78">IFERROR(INDEX(All_User_backup!R:R,MATCH(B78,All_User_backup!D:D,0)),"list없음")</f>
        <v/>
      </c>
    </row>
    <row r="79" hidden="1">
      <c r="A79" s="181" t="s">
        <v>2861</v>
      </c>
      <c r="B79" s="181" t="s">
        <v>278</v>
      </c>
      <c r="C79" s="288" t="str">
        <f t="array" ref="C79">IFERROR(INDEX(All_User_backup!H:H,MATCH(B79,All_User_backup!D:D,0)),"list없음")</f>
        <v>5CD4305D8X</v>
      </c>
      <c r="D79" s="288" t="str">
        <f t="array" ref="D79">IFERROR(INDEX(All_User_backup!R:R,MATCH(B79,All_User_backup!D:D,0)),"list없음")</f>
        <v/>
      </c>
    </row>
    <row r="80">
      <c r="A80" s="181" t="s">
        <v>2862</v>
      </c>
      <c r="B80" s="181" t="s">
        <v>638</v>
      </c>
      <c r="C80" s="288" t="str">
        <f t="array" ref="C80">IFERROR(INDEX(All_User_backup!H:H,MATCH(B80,All_User_backup!D:D,0)),"list없음")</f>
        <v>없음</v>
      </c>
      <c r="D80" s="288" t="str">
        <f t="array" ref="D80">IFERROR(INDEX(All_User_backup!R:R,MATCH(B80,All_User_backup!D:D,0)),"list없음")</f>
        <v/>
      </c>
    </row>
    <row r="81" hidden="1">
      <c r="A81" s="181" t="s">
        <v>2863</v>
      </c>
      <c r="B81" s="181" t="s">
        <v>366</v>
      </c>
      <c r="C81" s="288" t="str">
        <f t="array" ref="C81">IFERROR(INDEX(All_User_backup!H:H,MATCH(B81,All_User_backup!D:D,0)),"list없음")</f>
        <v>5CD4305D8W</v>
      </c>
      <c r="D81" s="288" t="str">
        <f t="array" ref="D81">IFERROR(INDEX(All_User_backup!R:R,MATCH(B81,All_User_backup!D:D,0)),"list없음")</f>
        <v/>
      </c>
    </row>
    <row r="82" hidden="1">
      <c r="A82" s="181" t="s">
        <v>2864</v>
      </c>
      <c r="B82" s="181" t="s">
        <v>187</v>
      </c>
      <c r="C82" s="288" t="str">
        <f t="array" ref="C82">IFERROR(INDEX(All_User_backup!H:H,MATCH(B82,All_User_backup!D:D,0)),"list없음")</f>
        <v>5CD4232BFV</v>
      </c>
      <c r="D82" s="288" t="str">
        <f t="array" ref="D82">IFERROR(INDEX(All_User_backup!R:R,MATCH(B82,All_User_backup!D:D,0)),"list없음")</f>
        <v/>
      </c>
    </row>
    <row r="83" hidden="1">
      <c r="A83" s="181" t="s">
        <v>2865</v>
      </c>
      <c r="B83" s="181" t="s">
        <v>1121</v>
      </c>
      <c r="C83" s="288" t="str">
        <f t="array" ref="C83">IFERROR(INDEX(All_User_backup!H:H,MATCH(B83,All_User_backup!D:D,0)),"list없음")</f>
        <v>5CD4305D82</v>
      </c>
      <c r="D83" s="288">
        <f t="array" ref="D83">IFERROR(INDEX(All_User_backup!R:R,MATCH(B83,All_User_backup!D:D,0)),"list없음")</f>
        <v>46387</v>
      </c>
    </row>
    <row r="84" hidden="1">
      <c r="A84" s="181" t="s">
        <v>2866</v>
      </c>
      <c r="B84" s="181" t="s">
        <v>466</v>
      </c>
      <c r="C84" s="288" t="str">
        <f t="array" ref="C84">IFERROR(INDEX(All_User_backup!H:H,MATCH(B84,All_User_backup!D:D,0)),"list없음")</f>
        <v>5CD3469HDH</v>
      </c>
      <c r="D84" s="288" t="str">
        <f t="array" ref="D84">IFERROR(INDEX(All_User_backup!R:R,MATCH(B84,All_User_backup!D:D,0)),"list없음")</f>
        <v/>
      </c>
    </row>
    <row r="85" hidden="1">
      <c r="A85" s="181" t="s">
        <v>2867</v>
      </c>
      <c r="B85" s="181" t="s">
        <v>172</v>
      </c>
      <c r="C85" s="288" t="str">
        <f t="array" ref="C85">IFERROR(INDEX(All_User_backup!H:H,MATCH(B85,All_User_backup!D:D,0)),"list없음")</f>
        <v>5CD3469HDB</v>
      </c>
      <c r="D85" s="288" t="str">
        <f t="array" ref="D85">IFERROR(INDEX(All_User_backup!R:R,MATCH(B85,All_User_backup!D:D,0)),"list없음")</f>
        <v/>
      </c>
    </row>
    <row r="86" hidden="1">
      <c r="A86" s="181" t="s">
        <v>2868</v>
      </c>
      <c r="B86" s="181" t="s">
        <v>642</v>
      </c>
      <c r="C86" s="288" t="str">
        <f t="array" ref="C86">IFERROR(INDEX(All_User_backup!H:H,MATCH(B86,All_User_backup!D:D,0)),"list없음")</f>
        <v>5CD3469HDM</v>
      </c>
      <c r="D86" s="288" t="str">
        <f t="array" ref="D86">IFERROR(INDEX(All_User_backup!R:R,MATCH(B86,All_User_backup!D:D,0)),"list없음")</f>
        <v/>
      </c>
    </row>
    <row r="87" hidden="1">
      <c r="A87" s="181" t="s">
        <v>2869</v>
      </c>
      <c r="B87" s="181" t="s">
        <v>293</v>
      </c>
      <c r="C87" s="288" t="str">
        <f t="array" ref="C87">IFERROR(INDEX(All_User_backup!H:H,MATCH(B87,All_User_backup!D:D,0)),"list없음")</f>
        <v>5CD5179KHM</v>
      </c>
      <c r="D87" s="288" t="str">
        <f t="array" ref="D87">IFERROR(INDEX(All_User_backup!R:R,MATCH(B87,All_User_backup!D:D,0)),"list없음")</f>
        <v/>
      </c>
    </row>
    <row r="88" hidden="1">
      <c r="A88" s="181" t="s">
        <v>2870</v>
      </c>
      <c r="B88" s="181" t="s">
        <v>574</v>
      </c>
      <c r="C88" s="288" t="str">
        <f t="array" ref="C88">IFERROR(INDEX(All_User_backup!H:H,MATCH(B88,All_User_backup!D:D,0)),"list없음")</f>
        <v>5CD3469HD4</v>
      </c>
      <c r="D88" s="288" t="str">
        <f t="array" ref="D88">IFERROR(INDEX(All_User_backup!R:R,MATCH(B88,All_User_backup!D:D,0)),"list없음")</f>
        <v/>
      </c>
    </row>
    <row r="89" hidden="1">
      <c r="A89" s="181" t="s">
        <v>2871</v>
      </c>
      <c r="B89" s="181" t="s">
        <v>281</v>
      </c>
      <c r="C89" s="288" t="str">
        <f t="array" ref="C89">IFERROR(INDEX(All_User_backup!H:H,MATCH(B89,All_User_backup!D:D,0)),"list없음")</f>
        <v>5CD4232BFG</v>
      </c>
      <c r="D89" s="288" t="str">
        <f t="array" ref="D89">IFERROR(INDEX(All_User_backup!R:R,MATCH(B89,All_User_backup!D:D,0)),"list없음")</f>
        <v/>
      </c>
    </row>
    <row r="90" hidden="1">
      <c r="A90" s="181" t="s">
        <v>2872</v>
      </c>
      <c r="B90" s="181" t="s">
        <v>469</v>
      </c>
      <c r="C90" s="288" t="str">
        <f t="array" ref="C90">IFERROR(INDEX(All_User_backup!H:H,MATCH(B90,All_User_backup!D:D,0)),"list없음")</f>
        <v>5CD5062YDZ</v>
      </c>
      <c r="D90" s="288" t="str">
        <f t="array" ref="D90">IFERROR(INDEX(All_User_backup!R:R,MATCH(B90,All_User_backup!D:D,0)),"list없음")</f>
        <v/>
      </c>
    </row>
    <row r="91" hidden="1">
      <c r="A91" s="181" t="s">
        <v>2873</v>
      </c>
      <c r="B91" s="181" t="s">
        <v>729</v>
      </c>
      <c r="C91" s="288" t="str">
        <f t="array" ref="C91">IFERROR(INDEX(All_User_backup!H:H,MATCH(B91,All_User_backup!D:D,0)),"list없음")</f>
        <v>5CD4305D8P</v>
      </c>
      <c r="D91" s="288" t="str">
        <f t="array" ref="D91">IFERROR(INDEX(All_User_backup!R:R,MATCH(B91,All_User_backup!D:D,0)),"list없음")</f>
        <v/>
      </c>
    </row>
    <row r="92">
      <c r="A92" s="181" t="s">
        <v>2874</v>
      </c>
      <c r="B92" s="181" t="s">
        <v>195</v>
      </c>
      <c r="C92" s="288" t="str">
        <f t="array" ref="C92">IFERROR(INDEX(All_User_backup!H:H,MATCH(B92,All_User_backup!D:D,0)),"list없음")</f>
        <v>없음</v>
      </c>
      <c r="D92" s="288" t="str">
        <f t="array" ref="D92">IFERROR(INDEX(All_User_backup!R:R,MATCH(B92,All_User_backup!D:D,0)),"list없음")</f>
        <v/>
      </c>
    </row>
    <row r="93">
      <c r="A93" s="181" t="s">
        <v>2875</v>
      </c>
      <c r="B93" s="181" t="s">
        <v>578</v>
      </c>
      <c r="C93" s="288" t="str">
        <f t="array" ref="C93">IFERROR(INDEX(All_User_backup!H:H,MATCH(B93,All_User_backup!D:D,0)),"list없음")</f>
        <v>5CG53403DL</v>
      </c>
      <c r="D93" s="288" t="str">
        <f t="array" ref="D93">IFERROR(INDEX(All_User_backup!R:R,MATCH(B93,All_User_backup!D:D,0)),"list없음")</f>
        <v/>
      </c>
    </row>
    <row r="94" hidden="1">
      <c r="A94" s="181" t="s">
        <v>2876</v>
      </c>
      <c r="B94" s="181" t="s">
        <v>622</v>
      </c>
      <c r="C94" s="288" t="str">
        <f t="array" ref="C94">IFERROR(INDEX(All_User_backup!H:H,MATCH(B94,All_User_backup!D:D,0)),"list없음")</f>
        <v>5CG53403DB</v>
      </c>
      <c r="D94" s="288" t="str">
        <f t="array" ref="D94">IFERROR(INDEX(All_User_backup!R:R,MATCH(B94,All_User_backup!D:D,0)),"list없음")</f>
        <v/>
      </c>
    </row>
    <row r="95">
      <c r="A95" s="181" t="s">
        <v>2877</v>
      </c>
      <c r="B95" s="181" t="s">
        <v>503</v>
      </c>
      <c r="C95" s="288" t="str">
        <f t="array" ref="C95">IFERROR(INDEX(All_User_backup!H:H,MATCH(B95,All_User_backup!D:D,0)),"list없음")</f>
        <v>없음</v>
      </c>
      <c r="D95" s="288" t="str">
        <f t="array" ref="D95">IFERROR(INDEX(All_User_backup!R:R,MATCH(B95,All_User_backup!D:D,0)),"list없음")</f>
        <v/>
      </c>
    </row>
    <row r="96" hidden="1">
      <c r="A96" s="181" t="s">
        <v>1208</v>
      </c>
      <c r="B96" s="181" t="s">
        <v>705</v>
      </c>
      <c r="C96" s="288" t="str">
        <f t="array" ref="C96">IFERROR(INDEX(All_User_backup!H:H,MATCH(B96,All_User_backup!D:D,0)),"list없음")</f>
        <v>5CD5062YDR</v>
      </c>
      <c r="D96" s="288" t="str">
        <f t="array" ref="D96">IFERROR(INDEX(All_User_backup!R:R,MATCH(B96,All_User_backup!D:D,0)),"list없음")</f>
        <v/>
      </c>
    </row>
    <row r="97" hidden="1">
      <c r="A97" s="181" t="s">
        <v>2878</v>
      </c>
      <c r="B97" s="181" t="s">
        <v>372</v>
      </c>
      <c r="C97" s="288" t="str">
        <f t="array" ref="C97">IFERROR(INDEX(All_User_backup!H:H,MATCH(B97,All_User_backup!D:D,0)),"list없음")</f>
        <v>5CD442C07F</v>
      </c>
      <c r="D97" s="288" t="str">
        <f t="array" ref="D97">IFERROR(INDEX(All_User_backup!R:R,MATCH(B97,All_User_backup!D:D,0)),"list없음")</f>
        <v/>
      </c>
    </row>
    <row r="98" hidden="1">
      <c r="A98" s="181" t="s">
        <v>2879</v>
      </c>
      <c r="B98" s="181" t="s">
        <v>582</v>
      </c>
      <c r="C98" s="288" t="str">
        <f t="array" ref="C98">IFERROR(INDEX(All_User_backup!H:H,MATCH(B98,All_User_backup!D:D,0)),"list없음")</f>
        <v>5CD4305D88</v>
      </c>
      <c r="D98" s="288" t="str">
        <f t="array" ref="D98">IFERROR(INDEX(All_User_backup!R:R,MATCH(B98,All_User_backup!D:D,0)),"list없음")</f>
        <v/>
      </c>
    </row>
    <row r="99" hidden="1">
      <c r="A99" s="181" t="s">
        <v>2880</v>
      </c>
      <c r="B99" s="181" t="s">
        <v>2490</v>
      </c>
      <c r="C99" s="288" t="str">
        <f t="array" ref="C99">IFERROR(INDEX(All_User_backup!H:H,MATCH(B99,All_User_backup!D:D,0)),"list없음")</f>
        <v>없음</v>
      </c>
      <c r="D99" s="288">
        <f t="array" ref="D99">IFERROR(INDEX(All_User_backup!R:R,MATCH(B99,All_User_backup!D:D,0)),"list없음")</f>
        <v>46024</v>
      </c>
    </row>
    <row r="100" hidden="1">
      <c r="A100" s="181" t="s">
        <v>2881</v>
      </c>
      <c r="B100" s="181" t="s">
        <v>85</v>
      </c>
      <c r="C100" s="288" t="str">
        <f t="array" ref="C100">IFERROR(INDEX(All_User_backup!H:H,MATCH(B100,All_User_backup!D:D,0)),"list없음")</f>
        <v>5CD442C074</v>
      </c>
      <c r="D100" s="288" t="str">
        <f t="array" ref="D100">IFERROR(INDEX(All_User_backup!R:R,MATCH(B100,All_User_backup!D:D,0)),"list없음")</f>
        <v/>
      </c>
    </row>
    <row r="101">
      <c r="A101" s="181" t="s">
        <v>2882</v>
      </c>
      <c r="B101" s="181" t="s">
        <v>587</v>
      </c>
      <c r="C101" s="288" t="str">
        <f t="array" ref="C101">IFERROR(INDEX(All_User_backup!H:H,MATCH(B101,All_User_backup!D:D,0)),"list없음")</f>
        <v>없음</v>
      </c>
      <c r="D101" s="288" t="str">
        <f t="array" ref="D101">IFERROR(INDEX(All_User_backup!R:R,MATCH(B101,All_User_backup!D:D,0)),"list없음")</f>
        <v/>
      </c>
    </row>
    <row r="102" hidden="1">
      <c r="A102" s="181" t="s">
        <v>2883</v>
      </c>
      <c r="B102" s="181" t="s">
        <v>2357</v>
      </c>
      <c r="C102" s="288" t="str">
        <f t="array" ref="C102">IFERROR(INDEX(All_User_backup!H:H,MATCH(B102,All_User_backup!D:D,0)),"list없음")</f>
        <v>없음</v>
      </c>
      <c r="D102" s="288">
        <f t="array" ref="D102">IFERROR(INDEX(All_User_backup!R:R,MATCH(B102,All_User_backup!D:D,0)),"list없음")</f>
        <v>46380</v>
      </c>
    </row>
    <row r="103" hidden="1">
      <c r="A103" s="181" t="s">
        <v>2884</v>
      </c>
      <c r="B103" s="181" t="s">
        <v>382</v>
      </c>
      <c r="C103" s="288" t="str">
        <f t="array" ref="C103">IFERROR(INDEX(All_User_backup!H:H,MATCH(B103,All_User_backup!D:D,0)),"list없음")</f>
        <v>5CG53403D1</v>
      </c>
      <c r="D103" s="288" t="str">
        <f t="array" ref="D103">IFERROR(INDEX(All_User_backup!R:R,MATCH(B103,All_User_backup!D:D,0)),"list없음")</f>
        <v/>
      </c>
    </row>
    <row r="104" hidden="1">
      <c r="A104" s="181" t="s">
        <v>2885</v>
      </c>
      <c r="B104" s="181" t="s">
        <v>376</v>
      </c>
      <c r="C104" s="288" t="str">
        <f t="array" ref="C104">IFERROR(INDEX(All_User_backup!H:H,MATCH(B104,All_User_backup!D:D,0)),"list없음")</f>
        <v>5CD5179KH1</v>
      </c>
      <c r="D104" s="288" t="str">
        <f t="array" ref="D104">IFERROR(INDEX(All_User_backup!R:R,MATCH(B104,All_User_backup!D:D,0)),"list없음")</f>
        <v/>
      </c>
    </row>
    <row r="105" hidden="1">
      <c r="A105" s="181" t="s">
        <v>2886</v>
      </c>
      <c r="B105" s="181" t="s">
        <v>722</v>
      </c>
      <c r="C105" s="288" t="str">
        <f t="array" ref="C105">IFERROR(INDEX(All_User_backup!H:H,MATCH(B105,All_User_backup!D:D,0)),"list없음")</f>
        <v>5CD3469HD8</v>
      </c>
      <c r="D105" s="288" t="str">
        <f t="array" ref="D105">IFERROR(INDEX(All_User_backup!R:R,MATCH(B105,All_User_backup!D:D,0)),"list없음")</f>
        <v/>
      </c>
    </row>
    <row r="106" hidden="1">
      <c r="A106" s="181" t="s">
        <v>2887</v>
      </c>
      <c r="B106" s="181" t="s">
        <v>50</v>
      </c>
      <c r="C106" s="288" t="str">
        <f t="array" ref="C106">IFERROR(INDEX(All_User_backup!H:H,MATCH(B106,All_User_backup!D:D,0)),"list없음")</f>
        <v>5CD3469HD0</v>
      </c>
      <c r="D106" s="288" t="str">
        <f t="array" ref="D106">IFERROR(INDEX(All_User_backup!R:R,MATCH(B106,All_User_backup!D:D,0)),"list없음")</f>
        <v/>
      </c>
    </row>
    <row r="107" hidden="1">
      <c r="A107" s="181" t="s">
        <v>2888</v>
      </c>
      <c r="B107" s="181" t="s">
        <v>646</v>
      </c>
      <c r="C107" s="288" t="str">
        <f t="array" ref="C107">IFERROR(INDEX(All_User_backup!H:H,MATCH(B107,All_User_backup!D:D,0)),"list없음")</f>
        <v>5CD5179KHC</v>
      </c>
      <c r="D107" s="288" t="str">
        <f t="array" ref="D107">IFERROR(INDEX(All_User_backup!R:R,MATCH(B107,All_User_backup!D:D,0)),"list없음")</f>
        <v/>
      </c>
    </row>
    <row r="108" hidden="1">
      <c r="A108" s="181" t="s">
        <v>2889</v>
      </c>
      <c r="B108" s="181" t="s">
        <v>108</v>
      </c>
      <c r="C108" s="288" t="str">
        <f t="array" ref="C108">IFERROR(INDEX(All_User_backup!H:H,MATCH(B108,All_User_backup!D:D,0)),"list없음")</f>
        <v>5CD5179KHG</v>
      </c>
      <c r="D108" s="288" t="str">
        <f t="array" ref="D108">IFERROR(INDEX(All_User_backup!R:R,MATCH(B108,All_User_backup!D:D,0)),"list없음")</f>
        <v/>
      </c>
    </row>
    <row r="109" hidden="1">
      <c r="A109" s="181" t="s">
        <v>2890</v>
      </c>
      <c r="B109" s="181" t="s">
        <v>626</v>
      </c>
      <c r="C109" s="288" t="str">
        <f t="array" ref="C109">IFERROR(INDEX(All_User_backup!H:H,MATCH(B109,All_User_backup!D:D,0)),"list없음")</f>
        <v>5CD5179KH0</v>
      </c>
      <c r="D109" s="288" t="str">
        <f t="array" ref="D109">IFERROR(INDEX(All_User_backup!R:R,MATCH(B109,All_User_backup!D:D,0)),"list없음")</f>
        <v/>
      </c>
    </row>
    <row r="110" hidden="1">
      <c r="A110" s="181" t="s">
        <v>2891</v>
      </c>
      <c r="B110" s="181" t="s">
        <v>732</v>
      </c>
      <c r="C110" s="288" t="str">
        <f t="array" ref="C110">IFERROR(INDEX(All_User_backup!H:H,MATCH(B110,All_User_backup!D:D,0)),"list없음")</f>
        <v>5CD4145N3H</v>
      </c>
      <c r="D110" s="288" t="str">
        <f t="array" ref="D110">IFERROR(INDEX(All_User_backup!R:R,MATCH(B110,All_User_backup!D:D,0)),"list없음")</f>
        <v/>
      </c>
    </row>
    <row r="111" hidden="1">
      <c r="A111" s="181" t="s">
        <v>1136</v>
      </c>
      <c r="B111" s="181" t="s">
        <v>190</v>
      </c>
      <c r="C111" s="288" t="str">
        <f t="array" ref="C111">IFERROR(INDEX(All_User_backup!H:H,MATCH(B111,All_User_backup!D:D,0)),"list없음")</f>
        <v>5CD4305D8H</v>
      </c>
      <c r="D111" s="288" t="str">
        <f t="array" ref="D111">IFERROR(INDEX(All_User_backup!R:R,MATCH(B111,All_User_backup!D:D,0)),"list없음")</f>
        <v/>
      </c>
    </row>
    <row r="112" hidden="1">
      <c r="A112" s="181" t="s">
        <v>2892</v>
      </c>
      <c r="B112" s="181" t="s">
        <v>484</v>
      </c>
      <c r="C112" s="288" t="str">
        <f t="array" ref="C112">IFERROR(INDEX(All_User_backup!H:H,MATCH(B112,All_User_backup!D:D,0)),"list없음")</f>
        <v>5CD4305D91</v>
      </c>
      <c r="D112" s="288" t="str">
        <f t="array" ref="D112">IFERROR(INDEX(All_User_backup!R:R,MATCH(B112,All_User_backup!D:D,0)),"list없음")</f>
        <v/>
      </c>
    </row>
    <row r="113" hidden="1">
      <c r="A113" s="181" t="s">
        <v>2893</v>
      </c>
      <c r="B113" s="181" t="s">
        <v>399</v>
      </c>
      <c r="C113" s="288" t="str">
        <f t="array" ref="C113">IFERROR(INDEX(All_User_backup!H:H,MATCH(B113,All_User_backup!D:D,0)),"list없음")</f>
        <v>5CD4305D8K</v>
      </c>
      <c r="D113" s="288" t="str">
        <f t="array" ref="D113">IFERROR(INDEX(All_User_backup!R:R,MATCH(B113,All_User_backup!D:D,0)),"list없음")</f>
        <v/>
      </c>
    </row>
    <row r="114" hidden="1">
      <c r="A114" s="181" t="s">
        <v>2894</v>
      </c>
      <c r="B114" s="181" t="s">
        <v>32</v>
      </c>
      <c r="C114" s="288" t="str">
        <f t="array" ref="C114">IFERROR(INDEX(All_User_backup!H:H,MATCH(B114,All_User_backup!D:D,0)),"list없음")</f>
        <v>5CD5179KJ6</v>
      </c>
      <c r="D114" s="288" t="str">
        <f t="array" ref="D114">IFERROR(INDEX(All_User_backup!R:R,MATCH(B114,All_User_backup!D:D,0)),"list없음")</f>
        <v/>
      </c>
    </row>
    <row r="115" hidden="1">
      <c r="A115" s="181" t="s">
        <v>2895</v>
      </c>
      <c r="B115" s="181" t="s">
        <v>473</v>
      </c>
      <c r="C115" s="288" t="str">
        <f t="array" ref="C115">IFERROR(INDEX(All_User_backup!H:H,MATCH(B115,All_User_backup!D:D,0)),"list없음")</f>
        <v>5CD5179KH2</v>
      </c>
      <c r="D115" s="288" t="str">
        <f t="array" ref="D115">IFERROR(INDEX(All_User_backup!R:R,MATCH(B115,All_User_backup!D:D,0)),"list없음")</f>
        <v/>
      </c>
    </row>
    <row r="116">
      <c r="A116" s="181" t="s">
        <v>2896</v>
      </c>
      <c r="B116" s="181" t="s">
        <v>592</v>
      </c>
      <c r="C116" s="288" t="str">
        <f t="array" ref="C116">IFERROR(INDEX(All_User_backup!H:H,MATCH(B116,All_User_backup!D:D,0)),"list없음")</f>
        <v>없음</v>
      </c>
      <c r="D116" s="288" t="str">
        <f t="array" ref="D116">IFERROR(INDEX(All_User_backup!R:R,MATCH(B116,All_User_backup!D:D,0)),"list없음")</f>
        <v/>
      </c>
    </row>
    <row r="117" hidden="1">
      <c r="A117" s="181" t="s">
        <v>2897</v>
      </c>
      <c r="B117" s="181" t="s">
        <v>512</v>
      </c>
      <c r="C117" s="288" t="str">
        <f t="array" ref="C117">IFERROR(INDEX(All_User_backup!H:H,MATCH(B117,All_User_backup!D:D,0)),"list없음")</f>
        <v>5CD4305D8R</v>
      </c>
      <c r="D117" s="288" t="str">
        <f t="array" ref="D117">IFERROR(INDEX(All_User_backup!R:R,MATCH(B117,All_User_backup!D:D,0)),"list없음")</f>
        <v/>
      </c>
    </row>
    <row r="118" hidden="1">
      <c r="A118" s="181" t="s">
        <v>2898</v>
      </c>
      <c r="B118" s="181" t="s">
        <v>160</v>
      </c>
      <c r="C118" s="288" t="str">
        <f t="array" ref="C118">IFERROR(INDEX(All_User_backup!H:H,MATCH(B118,All_User_backup!D:D,0)),"list없음")</f>
        <v>5CD442C076</v>
      </c>
      <c r="D118" s="288" t="str">
        <f t="array" ref="D118">IFERROR(INDEX(All_User_backup!R:R,MATCH(B118,All_User_backup!D:D,0)),"list없음")</f>
        <v/>
      </c>
    </row>
    <row r="119">
      <c r="A119" s="181" t="s">
        <v>2899</v>
      </c>
      <c r="B119" s="181" t="s">
        <v>391</v>
      </c>
      <c r="C119" s="288" t="str">
        <f t="array" ref="C119">IFERROR(INDEX(All_User_backup!H:H,MATCH(B119,All_User_backup!D:D,0)),"list없음")</f>
        <v>없음</v>
      </c>
      <c r="D119" s="288" t="str">
        <f t="array" ref="D119">IFERROR(INDEX(All_User_backup!R:R,MATCH(B119,All_User_backup!D:D,0)),"list없음")</f>
        <v/>
      </c>
    </row>
    <row r="120" hidden="1">
      <c r="A120" s="181" t="s">
        <v>2900</v>
      </c>
      <c r="B120" s="181" t="s">
        <v>240</v>
      </c>
      <c r="C120" s="288" t="str">
        <f t="array" ref="C120">IFERROR(INDEX(All_User_backup!H:H,MATCH(B120,All_User_backup!D:D,0)),"list없음")</f>
        <v>5CD4305D8Z</v>
      </c>
      <c r="D120" s="288" t="str">
        <f t="array" ref="D120">IFERROR(INDEX(All_User_backup!R:R,MATCH(B120,All_User_backup!D:D,0)),"list없음")</f>
        <v/>
      </c>
    </row>
    <row r="121">
      <c r="A121" s="181" t="s">
        <v>2901</v>
      </c>
      <c r="B121" s="181" t="s">
        <v>395</v>
      </c>
      <c r="C121" s="288" t="str">
        <f t="array" ref="C121">IFERROR(INDEX(All_User_backup!H:H,MATCH(B121,All_User_backup!D:D,0)),"list없음")</f>
        <v>없음</v>
      </c>
      <c r="D121" s="288" t="str">
        <f t="array" ref="D121">IFERROR(INDEX(All_User_backup!R:R,MATCH(B121,All_User_backup!D:D,0)),"list없음")</f>
        <v/>
      </c>
    </row>
    <row r="122" hidden="1">
      <c r="A122" s="181" t="s">
        <v>2902</v>
      </c>
      <c r="B122" s="181" t="s">
        <v>39</v>
      </c>
      <c r="C122" s="288" t="str">
        <f t="array" ref="C122">IFERROR(INDEX(All_User_backup!H:H,MATCH(B122,All_User_backup!D:D,0)),"list없음")</f>
        <v>5CD442C071</v>
      </c>
      <c r="D122" s="288" t="str">
        <f t="array" ref="D122">IFERROR(INDEX(All_User_backup!R:R,MATCH(B122,All_User_backup!D:D,0)),"list없음")</f>
        <v/>
      </c>
    </row>
    <row r="123" hidden="1">
      <c r="A123" s="181" t="s">
        <v>2903</v>
      </c>
      <c r="B123" s="181" t="s">
        <v>710</v>
      </c>
      <c r="C123" s="288" t="str">
        <f t="array" ref="C123">IFERROR(INDEX(All_User_backup!H:H,MATCH(B123,All_User_backup!D:D,0)),"list없음")</f>
        <v>5CD4305D8N</v>
      </c>
      <c r="D123" s="288" t="str">
        <f t="array" ref="D123">IFERROR(INDEX(All_User_backup!R:R,MATCH(B123,All_User_backup!D:D,0)),"list없음")</f>
        <v/>
      </c>
    </row>
    <row r="124" hidden="1">
      <c r="A124" s="181" t="s">
        <v>2904</v>
      </c>
      <c r="B124" s="181" t="s">
        <v>1780</v>
      </c>
      <c r="C124" s="288" t="str">
        <f t="array" ref="C124">IFERROR(INDEX(All_User_backup!H:H,MATCH(B124,All_User_backup!D:D,0)),"list없음")</f>
        <v>없음</v>
      </c>
      <c r="D124" s="288">
        <f t="array" ref="D124">IFERROR(INDEX(All_User_backup!R:R,MATCH(B124,All_User_backup!D:D,0)),"list없음")</f>
        <v>46356</v>
      </c>
    </row>
    <row r="125">
      <c r="A125" s="181" t="s">
        <v>2905</v>
      </c>
      <c r="B125" s="181" t="s">
        <v>597</v>
      </c>
      <c r="C125" s="288" t="str">
        <f t="array" ref="C125">IFERROR(INDEX(All_User_backup!H:H,MATCH(B125,All_User_backup!D:D,0)),"list없음")</f>
        <v>없음</v>
      </c>
      <c r="D125" s="288" t="str">
        <f t="array" ref="D125">IFERROR(INDEX(All_User_backup!R:R,MATCH(B125,All_User_backup!D:D,0)),"list없음")</f>
        <v/>
      </c>
    </row>
    <row r="126" hidden="1">
      <c r="A126" s="181" t="s">
        <v>2906</v>
      </c>
      <c r="B126" s="181" t="s">
        <v>660</v>
      </c>
      <c r="C126" s="288" t="str">
        <f t="array" ref="C126">IFERROR(INDEX(All_User_backup!H:H,MATCH(B126,All_User_backup!D:D,0)),"list없음")</f>
        <v>5CD4305D8L</v>
      </c>
      <c r="D126" s="288" t="str">
        <f t="array" ref="D126">IFERROR(INDEX(All_User_backup!R:R,MATCH(B126,All_User_backup!D:D,0)),"list없음")</f>
        <v/>
      </c>
    </row>
    <row r="127" hidden="1">
      <c r="A127" s="181" t="s">
        <v>2907</v>
      </c>
      <c r="B127" s="181" t="s">
        <v>531</v>
      </c>
      <c r="C127" s="288" t="str">
        <f t="array" ref="C127">IFERROR(INDEX(All_User_backup!H:H,MATCH(B127,All_User_backup!D:D,0)),"list없음")</f>
        <v>5CD4232BFQ</v>
      </c>
      <c r="D127" s="288" t="str">
        <f t="array" ref="D127">IFERROR(INDEX(All_User_backup!R:R,MATCH(B127,All_User_backup!D:D,0)),"list없음")</f>
        <v/>
      </c>
    </row>
    <row r="128">
      <c r="A128" s="181" t="s">
        <v>2908</v>
      </c>
      <c r="B128" s="181" t="s">
        <v>153</v>
      </c>
      <c r="C128" s="288" t="str">
        <f t="array" ref="C128">IFERROR(INDEX(All_User_backup!H:H,MATCH(B128,All_User_backup!D:D,0)),"list없음")</f>
        <v>없음</v>
      </c>
      <c r="D128" s="288" t="str">
        <f t="array" ref="D128">IFERROR(INDEX(All_User_backup!R:R,MATCH(B128,All_User_backup!D:D,0)),"list없음")</f>
        <v/>
      </c>
    </row>
    <row r="129" hidden="1">
      <c r="A129" s="181" t="s">
        <v>2909</v>
      </c>
      <c r="B129" s="181" t="s">
        <v>124</v>
      </c>
      <c r="C129" s="288" t="str">
        <f t="array" ref="C129">IFERROR(INDEX(All_User_backup!H:H,MATCH(B129,All_User_backup!D:D,0)),"list없음")</f>
        <v>5CD4145N3V</v>
      </c>
      <c r="D129" s="288" t="str">
        <f t="array" ref="D129">IFERROR(INDEX(All_User_backup!R:R,MATCH(B129,All_User_backup!D:D,0)),"list없음")</f>
        <v/>
      </c>
    </row>
    <row r="130" hidden="1">
      <c r="A130" s="181" t="s">
        <v>2910</v>
      </c>
      <c r="B130" s="181" t="s">
        <v>2911</v>
      </c>
      <c r="C130" s="288" t="str">
        <f t="array" ref="C130">IFERROR(INDEX(All_User_backup!H:H,MATCH(B130,All_User_backup!D:D,0)),"list없음")</f>
        <v>5CD4232BFJ</v>
      </c>
      <c r="D130" s="288" t="str">
        <f t="array" ref="D130">IFERROR(INDEX(All_User_backup!R:R,MATCH(B130,All_User_backup!D:D,0)),"list없음")</f>
        <v/>
      </c>
    </row>
    <row r="131">
      <c r="A131" s="181" t="s">
        <v>2912</v>
      </c>
      <c r="B131" s="181" t="s">
        <v>476</v>
      </c>
      <c r="C131" s="288" t="str">
        <f t="array" ref="C131">IFERROR(INDEX(All_User_backup!H:H,MATCH(B131,All_User_backup!D:D,0)),"list없음")</f>
        <v>없음</v>
      </c>
      <c r="D131" s="288" t="str">
        <f t="array" ref="D131">IFERROR(INDEX(All_User_backup!R:R,MATCH(B131,All_User_backup!D:D,0)),"list없음")</f>
        <v/>
      </c>
    </row>
    <row r="132">
      <c r="A132" s="181" t="s">
        <v>2913</v>
      </c>
      <c r="B132" s="181" t="s">
        <v>536</v>
      </c>
      <c r="C132" s="288" t="str">
        <f t="array" ref="C132">IFERROR(INDEX(All_User_backup!H:H,MATCH(B132,All_User_backup!D:D,0)),"list없음")</f>
        <v>없음</v>
      </c>
      <c r="D132" s="288" t="str">
        <f t="array" ref="D132">IFERROR(INDEX(All_User_backup!R:R,MATCH(B132,All_User_backup!D:D,0)),"list없음")</f>
        <v/>
      </c>
    </row>
    <row r="133" hidden="1">
      <c r="A133" s="181" t="s">
        <v>2914</v>
      </c>
      <c r="B133" s="181" t="s">
        <v>285</v>
      </c>
      <c r="C133" s="288" t="str">
        <f t="array" ref="C133">IFERROR(INDEX(All_User_backup!H:H,MATCH(B133,All_User_backup!D:D,0)),"list없음")</f>
        <v>5CD5062YF8</v>
      </c>
      <c r="D133" s="288" t="str">
        <f t="array" ref="D133">IFERROR(INDEX(All_User_backup!R:R,MATCH(B133,All_User_backup!D:D,0)),"list없음")</f>
        <v/>
      </c>
    </row>
    <row r="134" hidden="1">
      <c r="A134" s="181" t="s">
        <v>2915</v>
      </c>
      <c r="B134" s="181" t="s">
        <v>602</v>
      </c>
      <c r="C134" s="288" t="str">
        <f t="array" ref="C134">IFERROR(INDEX(All_User_backup!H:H,MATCH(B134,All_User_backup!D:D,0)),"list없음")</f>
        <v>5CD442C073</v>
      </c>
      <c r="D134" s="288" t="str">
        <f t="array" ref="D134">IFERROR(INDEX(All_User_backup!R:R,MATCH(B134,All_User_backup!D:D,0)),"list없음")</f>
        <v/>
      </c>
    </row>
    <row r="135">
      <c r="A135" s="181" t="s">
        <v>2916</v>
      </c>
      <c r="B135" s="181" t="s">
        <v>183</v>
      </c>
      <c r="C135" s="288" t="str">
        <f t="array" ref="C135">IFERROR(INDEX(All_User_backup!H:H,MATCH(B135,All_User_backup!D:D,0)),"list없음")</f>
        <v>없음</v>
      </c>
      <c r="D135" s="288" t="str">
        <f t="array" ref="D135">IFERROR(INDEX(All_User_backup!R:R,MATCH(B135,All_User_backup!D:D,0)),"list없음")</f>
        <v/>
      </c>
    </row>
    <row r="136" hidden="1">
      <c r="A136" s="181" t="s">
        <v>2917</v>
      </c>
      <c r="B136" s="181" t="s">
        <v>405</v>
      </c>
      <c r="C136" s="288" t="str">
        <f t="array" ref="C136">IFERROR(INDEX(All_User_backup!H:H,MATCH(B136,All_User_backup!D:D,0)),"list없음")</f>
        <v>5CD5179KHQ</v>
      </c>
      <c r="D136" s="288" t="str">
        <f t="array" ref="D136">IFERROR(INDEX(All_User_backup!R:R,MATCH(B136,All_User_backup!D:D,0)),"list없음")</f>
        <v/>
      </c>
    </row>
    <row r="137">
      <c r="A137" s="181" t="s">
        <v>2918</v>
      </c>
      <c r="B137" s="181" t="s">
        <v>480</v>
      </c>
      <c r="C137" s="288" t="str">
        <f t="array" ref="C137">IFERROR(INDEX(All_User_backup!H:H,MATCH(B137,All_User_backup!D:D,0)),"list없음")</f>
        <v>없음</v>
      </c>
      <c r="D137" s="288" t="str">
        <f t="array" ref="D137">IFERROR(INDEX(All_User_backup!R:R,MATCH(B137,All_User_backup!D:D,0)),"list없음")</f>
        <v/>
      </c>
    </row>
    <row r="138" hidden="1">
      <c r="A138" s="181" t="s">
        <v>2919</v>
      </c>
      <c r="B138" s="181" t="s">
        <v>1262</v>
      </c>
      <c r="C138" s="288" t="str">
        <f t="array" ref="C138">IFERROR(INDEX(All_User_backup!H:H,MATCH(B138,All_User_backup!D:D,0)),"list없음")</f>
        <v>5CD5179KJ0</v>
      </c>
      <c r="D138" s="288">
        <f t="array" ref="D138">IFERROR(INDEX(All_User_backup!R:R,MATCH(B138,All_User_backup!D:D,0)),"list없음")</f>
        <v>46338</v>
      </c>
    </row>
    <row r="139">
      <c r="A139" s="181" t="s">
        <v>2920</v>
      </c>
      <c r="B139" s="181" t="s">
        <v>402</v>
      </c>
      <c r="C139" s="288" t="str">
        <f t="array" ref="C139">IFERROR(INDEX(All_User_backup!H:H,MATCH(B139,All_User_backup!D:D,0)),"list없음")</f>
        <v>없음</v>
      </c>
      <c r="D139" s="288" t="str">
        <f t="array" ref="D139">IFERROR(INDEX(All_User_backup!R:R,MATCH(B139,All_User_backup!D:D,0)),"list없음")</f>
        <v/>
      </c>
    </row>
    <row r="140" hidden="1">
      <c r="A140" s="181" t="s">
        <v>1345</v>
      </c>
      <c r="B140" s="181" t="s">
        <v>128</v>
      </c>
      <c r="C140" s="288" t="str">
        <f t="array" ref="C140">IFERROR(INDEX(All_User_backup!H:H,MATCH(B140,All_User_backup!D:D,0)),"list없음")</f>
        <v>5CD5179KHS</v>
      </c>
      <c r="D140" s="288" t="str">
        <f t="array" ref="D140">IFERROR(INDEX(All_User_backup!R:R,MATCH(B140,All_User_backup!D:D,0)),"list없음")</f>
        <v/>
      </c>
    </row>
    <row r="141">
      <c r="A141" s="181" t="s">
        <v>2921</v>
      </c>
      <c r="B141" s="181" t="s">
        <v>230</v>
      </c>
      <c r="C141" s="288" t="str">
        <f t="array" ref="C141">IFERROR(INDEX(All_User_backup!H:H,MATCH(B141,All_User_backup!D:D,0)),"list없음")</f>
        <v>없음</v>
      </c>
      <c r="D141" s="288" t="str">
        <f t="array" ref="D141">IFERROR(INDEX(All_User_backup!R:R,MATCH(B141,All_User_backup!D:D,0)),"list없음")</f>
        <v/>
      </c>
    </row>
    <row r="142" hidden="1">
      <c r="A142" s="181" t="s">
        <v>2922</v>
      </c>
      <c r="B142" s="181" t="s">
        <v>215</v>
      </c>
      <c r="C142" s="288" t="str">
        <f t="array" ref="C142">IFERROR(INDEX(All_User_backup!H:H,MATCH(B142,All_User_backup!D:D,0)),"list없음")</f>
        <v>5CD3469HCX</v>
      </c>
      <c r="D142" s="288" t="str">
        <f t="array" ref="D142">IFERROR(INDEX(All_User_backup!R:R,MATCH(B142,All_User_backup!D:D,0)),"list없음")</f>
        <v/>
      </c>
    </row>
    <row r="143">
      <c r="A143" s="181" t="s">
        <v>2923</v>
      </c>
      <c r="B143" s="181" t="s">
        <v>157</v>
      </c>
      <c r="C143" s="288" t="str">
        <f t="array" ref="C143">IFERROR(INDEX(All_User_backup!H:H,MATCH(B143,All_User_backup!D:D,0)),"list없음")</f>
        <v>없음</v>
      </c>
      <c r="D143" s="288" t="str">
        <f t="array" ref="D143">IFERROR(INDEX(All_User_backup!R:R,MATCH(B143,All_User_backup!D:D,0)),"list없음")</f>
        <v/>
      </c>
    </row>
    <row r="144">
      <c r="A144" s="181" t="s">
        <v>2924</v>
      </c>
      <c r="B144" s="181" t="s">
        <v>92</v>
      </c>
      <c r="C144" s="288" t="str">
        <f t="array" ref="C144">IFERROR(INDEX(All_User_backup!H:H,MATCH(B144,All_User_backup!D:D,0)),"list없음")</f>
        <v>없음</v>
      </c>
      <c r="D144" s="288" t="str">
        <f t="array" ref="D144">IFERROR(INDEX(All_User_backup!R:R,MATCH(B144,All_User_backup!D:D,0)),"list없음")</f>
        <v/>
      </c>
    </row>
    <row r="145">
      <c r="A145" s="181" t="s">
        <v>2925</v>
      </c>
      <c r="B145" s="181" t="s">
        <v>508</v>
      </c>
      <c r="C145" s="288" t="str">
        <f t="array" ref="C145">IFERROR(INDEX(All_User_backup!H:H,MATCH(B145,All_User_backup!D:D,0)),"list없음")</f>
        <v>5CG53403DD</v>
      </c>
      <c r="D145" s="288" t="str">
        <f t="array" ref="D145">IFERROR(INDEX(All_User_backup!R:R,MATCH(B145,All_User_backup!D:D,0)),"list없음")</f>
        <v/>
      </c>
    </row>
    <row r="146">
      <c r="A146" s="181" t="s">
        <v>2926</v>
      </c>
      <c r="B146" s="181" t="s">
        <v>233</v>
      </c>
      <c r="C146" s="288" t="str">
        <f t="array" ref="C146">IFERROR(INDEX(All_User_backup!H:H,MATCH(B146,All_User_backup!D:D,0)),"list없음")</f>
        <v>없음</v>
      </c>
      <c r="D146" s="288" t="str">
        <f t="array" ref="D146">IFERROR(INDEX(All_User_backup!R:R,MATCH(B146,All_User_backup!D:D,0)),"list없음")</f>
        <v/>
      </c>
    </row>
    <row r="147" hidden="1">
      <c r="A147" s="181" t="s">
        <v>2927</v>
      </c>
      <c r="B147" s="181" t="s">
        <v>517</v>
      </c>
      <c r="C147" s="288" t="str">
        <f t="array" ref="C147">IFERROR(INDEX(All_User_backup!H:H,MATCH(B147,All_User_backup!D:D,0)),"list없음")</f>
        <v>5CD4145N3S</v>
      </c>
      <c r="D147" s="288" t="str">
        <f t="array" ref="D147">IFERROR(INDEX(All_User_backup!R:R,MATCH(B147,All_User_backup!D:D,0)),"list없음")</f>
        <v/>
      </c>
    </row>
    <row r="148" hidden="1">
      <c r="A148" s="181" t="s">
        <v>2928</v>
      </c>
      <c r="B148" s="181" t="s">
        <v>412</v>
      </c>
      <c r="C148" s="288" t="str">
        <f t="array" ref="C148">IFERROR(INDEX(All_User_backup!H:H,MATCH(B148,All_User_backup!D:D,0)),"list없음")</f>
        <v>5CD4145N3P</v>
      </c>
      <c r="D148" s="288" t="str">
        <f t="array" ref="D148">IFERROR(INDEX(All_User_backup!R:R,MATCH(B148,All_User_backup!D:D,0)),"list없음")</f>
        <v/>
      </c>
    </row>
    <row r="149" hidden="1">
      <c r="A149" s="181" t="s">
        <v>2929</v>
      </c>
      <c r="B149" s="181" t="s">
        <v>250</v>
      </c>
      <c r="C149" s="288" t="str">
        <f t="array" ref="C149">IFERROR(INDEX(All_User_backup!H:H,MATCH(B149,All_User_backup!D:D,0)),"list없음")</f>
        <v>5CG53403DH</v>
      </c>
      <c r="D149" s="288" t="str">
        <f t="array" ref="D149">IFERROR(INDEX(All_User_backup!R:R,MATCH(B149,All_User_backup!D:D,0)),"list없음")</f>
        <v/>
      </c>
    </row>
    <row r="150" hidden="1">
      <c r="A150" s="181" t="s">
        <v>2930</v>
      </c>
      <c r="B150" s="181" t="s">
        <v>489</v>
      </c>
      <c r="C150" s="288" t="str">
        <f t="array" ref="C150">IFERROR(INDEX(All_User_backup!H:H,MATCH(B150,All_User_backup!D:D,0)),"list없음")</f>
        <v>5CD3469HDF</v>
      </c>
      <c r="D150" s="288" t="str">
        <f t="array" ref="D150">IFERROR(INDEX(All_User_backup!R:R,MATCH(B150,All_User_backup!D:D,0)),"list없음")</f>
        <v/>
      </c>
    </row>
    <row r="151" hidden="1">
      <c r="A151" s="181" t="s">
        <v>2931</v>
      </c>
      <c r="B151" s="181" t="s">
        <v>387</v>
      </c>
      <c r="C151" s="288" t="str">
        <f t="array" ref="C151">IFERROR(INDEX(All_User_backup!H:H,MATCH(B151,All_User_backup!D:D,0)),"list없음")</f>
        <v>5CD4145N3K</v>
      </c>
      <c r="D151" s="288" t="str">
        <f t="array" ref="D151">IFERROR(INDEX(All_User_backup!R:R,MATCH(B151,All_User_backup!D:D,0)),"list없음")</f>
        <v/>
      </c>
    </row>
    <row r="152" hidden="1">
      <c r="A152" s="181" t="s">
        <v>2932</v>
      </c>
      <c r="B152" s="181" t="s">
        <v>45</v>
      </c>
      <c r="C152" s="288" t="str">
        <f t="array" ref="C152">IFERROR(INDEX(All_User_backup!H:H,MATCH(B152,All_User_backup!D:D,0)),"list없음")</f>
        <v>5CD4145N3N</v>
      </c>
      <c r="D152" s="288" t="str">
        <f t="array" ref="D152">IFERROR(INDEX(All_User_backup!R:R,MATCH(B152,All_User_backup!D:D,0)),"list없음")</f>
        <v/>
      </c>
    </row>
    <row r="153" hidden="1">
      <c r="A153" s="181" t="s">
        <v>2933</v>
      </c>
      <c r="B153" s="181" t="s">
        <v>200</v>
      </c>
      <c r="C153" s="288" t="str">
        <f t="array" ref="C153">IFERROR(INDEX(All_User_backup!H:H,MATCH(B153,All_User_backup!D:D,0)),"list없음")</f>
        <v>5CD442C078</v>
      </c>
      <c r="D153" s="288" t="str">
        <f t="array" ref="D153">IFERROR(INDEX(All_User_backup!R:R,MATCH(B153,All_User_backup!D:D,0)),"list없음")</f>
        <v/>
      </c>
    </row>
    <row r="154" hidden="1">
      <c r="A154" s="181" t="s">
        <v>2934</v>
      </c>
      <c r="B154" s="181" t="s">
        <v>243</v>
      </c>
      <c r="C154" s="288" t="str">
        <f t="array" ref="C154">IFERROR(INDEX(All_User_backup!H:H,MATCH(B154,All_User_backup!D:D,0)),"list없음")</f>
        <v>5CD5179KHD</v>
      </c>
      <c r="D154" s="288" t="str">
        <f t="array" ref="D154">IFERROR(INDEX(All_User_backup!R:R,MATCH(B154,All_User_backup!D:D,0)),"list없음")</f>
        <v/>
      </c>
    </row>
    <row r="155" hidden="1">
      <c r="A155" s="181" t="s">
        <v>2935</v>
      </c>
      <c r="B155" s="181" t="s">
        <v>80</v>
      </c>
      <c r="C155" s="288" t="str">
        <f t="array" ref="C155">IFERROR(INDEX(All_User_backup!H:H,MATCH(B155,All_User_backup!D:D,0)),"list없음")</f>
        <v>5CD4232BFF</v>
      </c>
      <c r="D155" s="288" t="str">
        <f t="array" ref="D155">IFERROR(INDEX(All_User_backup!R:R,MATCH(B155,All_User_backup!D:D,0)),"list없음")</f>
        <v/>
      </c>
    </row>
    <row r="156" hidden="1">
      <c r="A156" s="181" t="s">
        <v>2936</v>
      </c>
      <c r="B156" s="181" t="s">
        <v>500</v>
      </c>
      <c r="C156" s="288" t="str">
        <f t="array" ref="C156">IFERROR(INDEX(All_User_backup!H:H,MATCH(B156,All_User_backup!D:D,0)),"list없음")</f>
        <v>5CD4232BFR</v>
      </c>
      <c r="D156" s="288" t="str">
        <f t="array" ref="D156">IFERROR(INDEX(All_User_backup!R:R,MATCH(B156,All_User_backup!D:D,0)),"list없음")</f>
        <v/>
      </c>
    </row>
    <row r="157" hidden="1">
      <c r="A157" s="181" t="s">
        <v>2937</v>
      </c>
      <c r="B157" s="181" t="s">
        <v>541</v>
      </c>
      <c r="C157" s="288" t="str">
        <f t="array" ref="C157">IFERROR(INDEX(All_User_backup!H:H,MATCH(B157,All_User_backup!D:D,0)),"list없음")</f>
        <v>5CD4232BFB</v>
      </c>
      <c r="D157" s="288" t="str">
        <f t="array" ref="D157">IFERROR(INDEX(All_User_backup!R:R,MATCH(B157,All_User_backup!D:D,0)),"list없음")</f>
        <v/>
      </c>
    </row>
    <row r="158" hidden="1">
      <c r="A158" s="181" t="s">
        <v>2938</v>
      </c>
      <c r="B158" s="181" t="s">
        <v>140</v>
      </c>
      <c r="C158" s="288" t="str">
        <f t="array" ref="C158">IFERROR(INDEX(All_User_backup!H:H,MATCH(B158,All_User_backup!D:D,0)),"list없음")</f>
        <v>5CD4232BF1</v>
      </c>
      <c r="D158" s="288" t="str">
        <f t="array" ref="D158">IFERROR(INDEX(All_User_backup!R:R,MATCH(B158,All_User_backup!D:D,0)),"list없음")</f>
        <v/>
      </c>
    </row>
    <row r="159" hidden="1">
      <c r="A159" s="181" t="s">
        <v>2939</v>
      </c>
      <c r="B159" s="181" t="s">
        <v>246</v>
      </c>
      <c r="C159" s="288" t="str">
        <f t="array" ref="C159">IFERROR(INDEX(All_User_backup!H:H,MATCH(B159,All_User_backup!D:D,0)),"list없음")</f>
        <v>5CD4145N3R</v>
      </c>
      <c r="D159" s="288" t="str">
        <f t="array" ref="D159">IFERROR(INDEX(All_User_backup!R:R,MATCH(B159,All_User_backup!D:D,0)),"list없음")</f>
        <v/>
      </c>
    </row>
    <row r="160" hidden="1">
      <c r="A160" s="181" t="s">
        <v>2940</v>
      </c>
      <c r="B160" s="181" t="s">
        <v>75</v>
      </c>
      <c r="C160" s="288" t="str">
        <f t="array" ref="C160">IFERROR(INDEX(All_User_backup!H:H,MATCH(B160,All_User_backup!D:D,0)),"list없음")</f>
        <v>5CD4305D85</v>
      </c>
      <c r="D160" s="288" t="str">
        <f t="array" ref="D160">IFERROR(INDEX(All_User_backup!R:R,MATCH(B160,All_User_backup!D:D,0)),"list없음")</f>
        <v/>
      </c>
    </row>
    <row r="161" hidden="1">
      <c r="A161" s="181" t="s">
        <v>2941</v>
      </c>
      <c r="B161" s="181" t="s">
        <v>430</v>
      </c>
      <c r="C161" s="288" t="str">
        <f t="array" ref="C161">IFERROR(INDEX(All_User_backup!H:H,MATCH(B161,All_User_backup!D:D,0)),"list없음")</f>
        <v>5CD3469HDS</v>
      </c>
      <c r="D161" s="288" t="str">
        <f t="array" ref="D161">IFERROR(INDEX(All_User_backup!R:R,MATCH(B161,All_User_backup!D:D,0)),"list없음")</f>
        <v/>
      </c>
    </row>
    <row r="162" hidden="1">
      <c r="A162" s="181" t="s">
        <v>1430</v>
      </c>
      <c r="B162" s="181" t="s">
        <v>113</v>
      </c>
      <c r="C162" s="288" t="str">
        <f t="array" ref="C162">IFERROR(INDEX(All_User_backup!H:H,MATCH(B162,All_User_backup!D:D,0)),"list없음")</f>
        <v>5CG53403DG</v>
      </c>
      <c r="D162" s="288" t="str">
        <f t="array" ref="D162">IFERROR(INDEX(All_User_backup!R:R,MATCH(B162,All_User_backup!D:D,0)),"list없음")</f>
        <v/>
      </c>
    </row>
    <row r="163" hidden="1">
      <c r="A163" s="181" t="s">
        <v>2942</v>
      </c>
      <c r="B163" s="181" t="s">
        <v>219</v>
      </c>
      <c r="C163" s="288" t="str">
        <f t="array" ref="C163">IFERROR(INDEX(All_User_backup!H:H,MATCH(B163,All_User_backup!D:D,0)),"list없음")</f>
        <v>5CD442C07D</v>
      </c>
      <c r="D163" s="288" t="str">
        <f t="array" ref="D163">IFERROR(INDEX(All_User_backup!R:R,MATCH(B163,All_User_backup!D:D,0)),"list없음")</f>
        <v/>
      </c>
    </row>
    <row r="164" hidden="1">
      <c r="A164" s="181" t="s">
        <v>2943</v>
      </c>
      <c r="B164" s="181" t="s">
        <v>763</v>
      </c>
      <c r="C164" s="288" t="str">
        <f t="array" ref="C164">IFERROR(INDEX(All_User_backup!H:H,MATCH(B164,All_User_backup!D:D,0)),"list없음")</f>
        <v>5CD4305D8S</v>
      </c>
      <c r="D164" s="288" t="str">
        <f t="array" ref="D164">IFERROR(INDEX(All_User_backup!R:R,MATCH(B164,All_User_backup!D:D,0)),"list없음")</f>
        <v/>
      </c>
    </row>
    <row r="165" hidden="1">
      <c r="A165" s="181" t="s">
        <v>2944</v>
      </c>
      <c r="B165" s="181" t="s">
        <v>178</v>
      </c>
      <c r="C165" s="288" t="str">
        <f t="array" ref="C165">IFERROR(INDEX(All_User_backup!H:H,MATCH(B165,All_User_backup!D:D,0)),"list없음")</f>
        <v>5CD4305D95</v>
      </c>
      <c r="D165" s="288" t="str">
        <f t="array" ref="D165">IFERROR(INDEX(All_User_backup!R:R,MATCH(B165,All_User_backup!D:D,0)),"list없음")</f>
        <v/>
      </c>
    </row>
    <row r="166" hidden="1">
      <c r="A166" s="181" t="s">
        <v>2945</v>
      </c>
      <c r="B166" s="181" t="s">
        <v>492</v>
      </c>
      <c r="C166" s="288" t="str">
        <f t="array" ref="C166">IFERROR(INDEX(All_User_backup!H:H,MATCH(B166,All_User_backup!D:D,0)),"list없음")</f>
        <v>5CD4305D8T</v>
      </c>
      <c r="D166" s="288" t="str">
        <f t="array" ref="D166">IFERROR(INDEX(All_User_backup!R:R,MATCH(B166,All_User_backup!D:D,0)),"list없음")</f>
        <v/>
      </c>
    </row>
    <row r="167" hidden="1">
      <c r="A167" s="181" t="s">
        <v>2946</v>
      </c>
      <c r="B167" s="181" t="s">
        <v>690</v>
      </c>
      <c r="C167" s="288" t="str">
        <f t="array" ref="C167">IFERROR(INDEX(All_User_backup!H:H,MATCH(B167,All_User_backup!D:D,0)),"list없음")</f>
        <v>5CD4305D96</v>
      </c>
      <c r="D167" s="288" t="str">
        <f t="array" ref="D167">IFERROR(INDEX(All_User_backup!R:R,MATCH(B167,All_User_backup!D:D,0)),"list없음")</f>
        <v/>
      </c>
    </row>
    <row r="168" hidden="1">
      <c r="A168" s="181" t="s">
        <v>2947</v>
      </c>
      <c r="B168" s="181" t="s">
        <v>369</v>
      </c>
      <c r="C168" s="288" t="str">
        <f t="array" ref="C168">IFERROR(INDEX(All_User_backup!H:H,MATCH(B168,All_User_backup!D:D,0)),"list없음")</f>
        <v>5CD4305D81</v>
      </c>
      <c r="D168" s="288" t="str">
        <f t="array" ref="D168">IFERROR(INDEX(All_User_backup!R:R,MATCH(B168,All_User_backup!D:D,0)),"list없음")</f>
        <v/>
      </c>
    </row>
    <row r="169" hidden="1">
      <c r="A169" s="181" t="s">
        <v>2948</v>
      </c>
      <c r="B169" s="181" t="s">
        <v>222</v>
      </c>
      <c r="C169" s="288" t="str">
        <f t="array" ref="C169">IFERROR(INDEX(All_User_backup!H:H,MATCH(B169,All_User_backup!D:D,0)),"list없음")</f>
        <v>5CD5062YDW</v>
      </c>
      <c r="D169" s="288" t="str">
        <f t="array" ref="D169">IFERROR(INDEX(All_User_backup!R:R,MATCH(B169,All_User_backup!D:D,0)),"list없음")</f>
        <v/>
      </c>
    </row>
    <row r="170" hidden="1">
      <c r="A170" s="181" t="s">
        <v>2949</v>
      </c>
      <c r="B170" s="181" t="s">
        <v>132</v>
      </c>
      <c r="C170" s="288" t="str">
        <f t="array" ref="C170">IFERROR(INDEX(All_User_backup!H:H,MATCH(B170,All_User_backup!D:D,0)),"list없음")</f>
        <v>5CD5062YF4</v>
      </c>
      <c r="D170" s="288" t="str">
        <f t="array" ref="D170">IFERROR(INDEX(All_User_backup!R:R,MATCH(B170,All_User_backup!D:D,0)),"list없음")</f>
        <v/>
      </c>
    </row>
    <row r="171" hidden="1">
      <c r="A171" s="181" t="s">
        <v>2950</v>
      </c>
      <c r="B171" s="181" t="s">
        <v>737</v>
      </c>
      <c r="C171" s="288" t="str">
        <f t="array" ref="C171">IFERROR(INDEX(All_User_backup!H:H,MATCH(B171,All_User_backup!D:D,0)),"list없음")</f>
        <v>5CD5062YDK</v>
      </c>
      <c r="D171" s="288" t="str">
        <f t="array" ref="D171">IFERROR(INDEX(All_User_backup!R:R,MATCH(B171,All_User_backup!D:D,0)),"list없음")</f>
        <v/>
      </c>
    </row>
    <row r="172">
      <c r="A172" s="474" t="s">
        <v>2951</v>
      </c>
      <c r="B172" s="474" t="s">
        <v>2952</v>
      </c>
      <c r="C172" s="475" t="str">
        <f t="array" ref="C172">IFERROR(INDEX(All_User_backup!H:H,MATCH(B172,All_User_backup!D:D,0)),"list없음")</f>
        <v>5CD5062YDT</v>
      </c>
      <c r="D172" s="475" t="str">
        <f t="array" ref="D172">IFERROR(INDEX(All_User_backup!R:R,MATCH(B172,All_User_backup!D:D,0)),"list없음")</f>
        <v/>
      </c>
    </row>
    <row r="173" hidden="1">
      <c r="A173" s="181" t="s">
        <v>2953</v>
      </c>
      <c r="B173" s="181" t="s">
        <v>260</v>
      </c>
      <c r="C173" s="288" t="str">
        <f t="array" ref="C173">IFERROR(INDEX(All_User_backup!H:H,MATCH(B173,All_User_backup!D:D,0)),"list없음")</f>
        <v>5CD5062YF6</v>
      </c>
      <c r="D173" s="288" t="str">
        <f t="array" ref="D173">IFERROR(INDEX(All_User_backup!R:R,MATCH(B173,All_User_backup!D:D,0)),"list없음")</f>
        <v/>
      </c>
    </row>
    <row r="174" hidden="1">
      <c r="A174" s="181" t="s">
        <v>2954</v>
      </c>
      <c r="B174" s="181" t="s">
        <v>605</v>
      </c>
      <c r="C174" s="288" t="str">
        <f t="array" ref="C174">IFERROR(INDEX(All_User_backup!H:H,MATCH(B174,All_User_backup!D:D,0)),"list없음")</f>
        <v>5CD5179KH4</v>
      </c>
      <c r="D174" s="288" t="str">
        <f t="array" ref="D174">IFERROR(INDEX(All_User_backup!R:R,MATCH(B174,All_User_backup!D:D,0)),"list없음")</f>
        <v/>
      </c>
    </row>
    <row r="175" hidden="1">
      <c r="A175" s="181" t="s">
        <v>2955</v>
      </c>
      <c r="B175" s="181" t="s">
        <v>56</v>
      </c>
      <c r="C175" s="288" t="str">
        <f t="array" ref="C175">IFERROR(INDEX(All_User_backup!H:H,MATCH(B175,All_User_backup!D:D,0)),"list없음")</f>
        <v>5CD5062YDY</v>
      </c>
      <c r="D175" s="288" t="str">
        <f t="array" ref="D175">IFERROR(INDEX(All_User_backup!R:R,MATCH(B175,All_User_backup!D:D,0)),"list없음")</f>
        <v/>
      </c>
    </row>
    <row r="176" hidden="1">
      <c r="A176" s="181" t="s">
        <v>2956</v>
      </c>
      <c r="B176" s="181" t="s">
        <v>423</v>
      </c>
      <c r="C176" s="288" t="str">
        <f t="array" ref="C176">IFERROR(INDEX(All_User_backup!H:H,MATCH(B176,All_User_backup!D:D,0)),"list없음")</f>
        <v>5CD5062YDM</v>
      </c>
      <c r="D176" s="288" t="str">
        <f t="array" ref="D176">IFERROR(INDEX(All_User_backup!R:R,MATCH(B176,All_User_backup!D:D,0)),"list없음")</f>
        <v/>
      </c>
    </row>
    <row r="177" hidden="1">
      <c r="A177" s="181" t="s">
        <v>2957</v>
      </c>
      <c r="B177" s="181" t="s">
        <v>609</v>
      </c>
      <c r="C177" s="288" t="str">
        <f t="array" ref="C177">IFERROR(INDEX(All_User_backup!H:H,MATCH(B177,All_User_backup!D:D,0)),"list없음")</f>
        <v>5CD5062YDP</v>
      </c>
      <c r="D177" s="288" t="str">
        <f t="array" ref="D177">IFERROR(INDEX(All_User_backup!R:R,MATCH(B177,All_User_backup!D:D,0)),"list없음")</f>
        <v/>
      </c>
    </row>
    <row r="178" hidden="1">
      <c r="A178" s="181" t="s">
        <v>2958</v>
      </c>
      <c r="B178" s="181" t="s">
        <v>409</v>
      </c>
      <c r="C178" s="288" t="str">
        <f t="array" ref="C178">IFERROR(INDEX(All_User_backup!H:H,MATCH(B178,All_User_backup!D:D,0)),"list없음")</f>
        <v>5CD5062YF0</v>
      </c>
      <c r="D178" s="288" t="str">
        <f t="array" ref="D178">IFERROR(INDEX(All_User_backup!R:R,MATCH(B178,All_User_backup!D:D,0)),"list없음")</f>
        <v/>
      </c>
    </row>
    <row r="179" hidden="1">
      <c r="A179" s="181" t="s">
        <v>2959</v>
      </c>
      <c r="B179" s="181" t="s">
        <v>496</v>
      </c>
      <c r="C179" s="288" t="str">
        <f t="array" ref="C179">IFERROR(INDEX(All_User_backup!H:H,MATCH(B179,All_User_backup!D:D,0)),"list없음")</f>
        <v>5CD442C077</v>
      </c>
      <c r="D179" s="288" t="str">
        <f t="array" ref="D179">IFERROR(INDEX(All_User_backup!R:R,MATCH(B179,All_User_backup!D:D,0)),"list없음")</f>
        <v/>
      </c>
    </row>
    <row r="180" hidden="1">
      <c r="A180" s="181" t="s">
        <v>2960</v>
      </c>
      <c r="B180" s="181" t="s">
        <v>770</v>
      </c>
      <c r="C180" s="288" t="str">
        <f t="array" ref="C180">IFERROR(INDEX(All_User_backup!H:H,MATCH(B180,All_User_backup!D:D,0)),"list없음")</f>
        <v>5CD5179KJ8</v>
      </c>
      <c r="D180" s="288" t="str">
        <f t="array" ref="D180">IFERROR(INDEX(All_User_backup!R:R,MATCH(B180,All_User_backup!D:D,0)),"list없음")</f>
        <v/>
      </c>
    </row>
    <row r="181" hidden="1">
      <c r="A181" s="181" t="s">
        <v>2961</v>
      </c>
      <c r="B181" s="181" t="s">
        <v>790</v>
      </c>
      <c r="C181" s="288" t="str">
        <f t="array" ref="C181">IFERROR(INDEX(All_User_backup!H:H,MATCH(B181,All_User_backup!D:D,0)),"list없음")</f>
        <v>5CD5062YDF</v>
      </c>
      <c r="D181" s="288" t="str">
        <f t="array" ref="D181">IFERROR(INDEX(All_User_backup!R:R,MATCH(B181,All_User_backup!D:D,0)),"list없음")</f>
        <v/>
      </c>
    </row>
    <row r="182" hidden="1">
      <c r="A182" s="181" t="s">
        <v>2962</v>
      </c>
      <c r="B182" s="181" t="s">
        <v>809</v>
      </c>
      <c r="C182" s="288" t="str">
        <f t="array" ref="C182">IFERROR(INDEX(All_User_backup!H:H,MATCH(B182,All_User_backup!D:D,0)),"list없음")</f>
        <v>5CD5062YF2</v>
      </c>
      <c r="D182" s="288" t="str">
        <f t="array" ref="D182">IFERROR(INDEX(All_User_backup!R:R,MATCH(B182,All_User_backup!D:D,0)),"list없음")</f>
        <v/>
      </c>
    </row>
    <row r="183" hidden="1">
      <c r="A183" s="181" t="s">
        <v>2963</v>
      </c>
      <c r="B183" s="181" t="s">
        <v>815</v>
      </c>
      <c r="C183" s="288" t="str">
        <f t="array" ref="C183">IFERROR(INDEX(All_User_backup!H:H,MATCH(B183,All_User_backup!D:D,0)),"list없음")</f>
        <v>5CD5179KJ9</v>
      </c>
      <c r="D183" s="288" t="str">
        <f t="array" ref="D183">IFERROR(INDEX(All_User_backup!R:R,MATCH(B183,All_User_backup!D:D,0)),"list없음")</f>
        <v/>
      </c>
    </row>
    <row r="184" hidden="1">
      <c r="A184" s="181" t="s">
        <v>2964</v>
      </c>
      <c r="B184" s="181" t="s">
        <v>812</v>
      </c>
      <c r="C184" s="288" t="str">
        <f t="array" ref="C184">IFERROR(INDEX(All_User_backup!H:H,MATCH(B184,All_User_backup!D:D,0)),"list없음")</f>
        <v>5CD5179KJ4</v>
      </c>
      <c r="D184" s="288" t="str">
        <f t="array" ref="D184">IFERROR(INDEX(All_User_backup!R:R,MATCH(B184,All_User_backup!D:D,0)),"list없음")</f>
        <v/>
      </c>
    </row>
    <row r="185" hidden="1">
      <c r="A185" s="181" t="s">
        <v>2965</v>
      </c>
      <c r="B185" s="181" t="s">
        <v>2966</v>
      </c>
      <c r="C185" s="288" t="str">
        <f t="array" ref="C185">IFERROR(INDEX(All_User_backup!H:H,MATCH(B185,All_User_backup!D:D,0)),"list없음")</f>
        <v>5CD5179KJ7</v>
      </c>
      <c r="D185" s="288" t="str">
        <f t="array" ref="D185">IFERROR(INDEX(All_User_backup!R:R,MATCH(B185,All_User_backup!D:D,0)),"list없음")</f>
        <v/>
      </c>
    </row>
    <row r="186" hidden="1">
      <c r="A186" s="181" t="s">
        <v>2967</v>
      </c>
      <c r="B186" s="181" t="s">
        <v>828</v>
      </c>
      <c r="C186" s="288" t="str">
        <f t="array" ref="C186">IFERROR(INDEX(All_User_backup!H:H,MATCH(B186,All_User_backup!D:D,0)),"list없음")</f>
        <v>5CD5062YDD</v>
      </c>
      <c r="D186" s="288" t="str">
        <f t="array" ref="D186">IFERROR(INDEX(All_User_backup!R:R,MATCH(B186,All_User_backup!D:D,0)),"list없음")</f>
        <v/>
      </c>
    </row>
    <row r="187" hidden="1">
      <c r="A187" s="181" t="s">
        <v>2968</v>
      </c>
      <c r="B187" s="181" t="s">
        <v>823</v>
      </c>
      <c r="C187" s="288" t="str">
        <f t="array" ref="C187">IFERROR(INDEX(All_User_backup!H:H,MATCH(B187,All_User_backup!D:D,0)),"list없음")</f>
        <v>5CD5179KHN</v>
      </c>
      <c r="D187" s="288" t="str">
        <f t="array" ref="D187">IFERROR(INDEX(All_User_backup!R:R,MATCH(B187,All_User_backup!D:D,0)),"list없음")</f>
        <v/>
      </c>
    </row>
    <row r="188" hidden="1">
      <c r="A188" s="181" t="s">
        <v>2969</v>
      </c>
      <c r="B188" s="181" t="s">
        <v>2517</v>
      </c>
      <c r="C188" s="288" t="str">
        <f t="array" ref="C188">IFERROR(INDEX(All_User_backup!H:H,MATCH(B188,All_User_backup!D:D,0)),"list없음")</f>
        <v>없음</v>
      </c>
      <c r="D188" s="288" t="str">
        <f t="array" ref="D188">IFERROR(INDEX(All_User_backup!R:R,MATCH(B188,All_User_backup!D:D,0)),"list없음")</f>
        <v/>
      </c>
    </row>
    <row r="189" hidden="1">
      <c r="A189" s="181" t="s">
        <v>2970</v>
      </c>
      <c r="B189" s="181" t="s">
        <v>2520</v>
      </c>
      <c r="C189" s="288" t="str">
        <f t="array" ref="C189">IFERROR(INDEX(All_User_backup!H:H,MATCH(B189,All_User_backup!D:D,0)),"list없음")</f>
        <v>없음</v>
      </c>
      <c r="D189" s="288" t="str">
        <f t="array" ref="D189">IFERROR(INDEX(All_User_backup!R:R,MATCH(B189,All_User_backup!D:D,0)),"list없음")</f>
        <v/>
      </c>
    </row>
    <row r="190" hidden="1">
      <c r="A190" s="181" t="s">
        <v>2971</v>
      </c>
      <c r="B190" s="181" t="s">
        <v>837</v>
      </c>
      <c r="C190" s="288" t="str">
        <f t="array" ref="C190">IFERROR(INDEX(All_User_backup!H:H,MATCH(B190,All_User_backup!D:D,0)),"list없음")</f>
        <v>5CD5179KJC</v>
      </c>
      <c r="D190" s="288" t="str">
        <f t="array" ref="D190">IFERROR(INDEX(All_User_backup!R:R,MATCH(B190,All_User_backup!D:D,0)),"list없음")</f>
        <v/>
      </c>
    </row>
    <row r="191" hidden="1">
      <c r="A191" s="181" t="s">
        <v>2972</v>
      </c>
      <c r="B191" s="181" t="s">
        <v>2276</v>
      </c>
      <c r="C191" s="288" t="str">
        <f t="array" ref="C191">IFERROR(INDEX(All_User_backup!H:H,MATCH(B191,All_User_backup!D:D,0)),"list없음")</f>
        <v>5CD5062YDV</v>
      </c>
      <c r="D191" s="288" t="str">
        <f t="array" ref="D191">IFERROR(INDEX(All_User_backup!R:R,MATCH(B191,All_User_backup!D:D,0)),"list없음")</f>
        <v/>
      </c>
    </row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</sheetData>
  <autoFilter ref="$A$1:$Z$998">
    <filterColumn colId="2">
      <filters>
        <filter val="5CD5062YDT"/>
        <filter val="없음"/>
        <filter val="5CD4305D8W"/>
        <filter val="5CG5430CQ6"/>
        <filter val="5CG53403DH"/>
        <filter val="5CG53403DD"/>
        <filter val="5CG53403DG"/>
        <filter val="5CG53403DF"/>
        <filter val="5CG53403DL"/>
        <filter val="5CG53403D9"/>
        <filter val="5CG53403D5"/>
        <filter val="5CG53403D4"/>
        <filter val="5CG53403D1"/>
        <filter val="5CG53403D3"/>
        <filter val="5CD409908N"/>
      </filters>
    </filterColumn>
  </autoFil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6.5"/>
    <col customWidth="1" min="3" max="3" width="16.38"/>
    <col customWidth="1" min="5" max="5" width="34.0"/>
    <col customWidth="1" min="14" max="14" width="14.38"/>
    <col customWidth="1" min="15" max="16" width="15.88"/>
  </cols>
  <sheetData>
    <row r="1">
      <c r="A1" s="121" t="s">
        <v>2973</v>
      </c>
      <c r="B1" s="476" t="s">
        <v>910</v>
      </c>
      <c r="C1" s="477" t="s">
        <v>905</v>
      </c>
      <c r="D1" s="477" t="s">
        <v>906</v>
      </c>
      <c r="E1" s="477" t="s">
        <v>2974</v>
      </c>
      <c r="F1" s="477" t="s">
        <v>2975</v>
      </c>
      <c r="G1" s="477" t="s">
        <v>2976</v>
      </c>
      <c r="H1" s="477" t="s">
        <v>2977</v>
      </c>
      <c r="I1" s="477" t="s">
        <v>2978</v>
      </c>
      <c r="J1" s="477" t="s">
        <v>908</v>
      </c>
      <c r="K1" s="477" t="s">
        <v>2979</v>
      </c>
      <c r="L1" s="477" t="s">
        <v>2980</v>
      </c>
      <c r="M1" s="477" t="s">
        <v>1934</v>
      </c>
      <c r="N1" s="478" t="s">
        <v>2981</v>
      </c>
      <c r="O1" s="478"/>
      <c r="P1" s="478" t="s">
        <v>2982</v>
      </c>
    </row>
    <row r="2" hidden="1">
      <c r="A2" s="479" t="s">
        <v>2983</v>
      </c>
      <c r="B2" s="480" t="s">
        <v>698</v>
      </c>
      <c r="C2" s="480" t="s">
        <v>2984</v>
      </c>
      <c r="D2" s="480" t="s">
        <v>913</v>
      </c>
      <c r="E2" s="481" t="s">
        <v>700</v>
      </c>
      <c r="F2" s="482" t="s">
        <v>2985</v>
      </c>
      <c r="G2" s="483"/>
      <c r="H2" s="484">
        <v>1.4789923E7</v>
      </c>
      <c r="I2" s="479">
        <v>421972.0</v>
      </c>
      <c r="J2" s="480" t="s">
        <v>702</v>
      </c>
      <c r="K2" s="483"/>
      <c r="L2" s="485"/>
      <c r="M2" s="486" t="s">
        <v>36</v>
      </c>
      <c r="N2" s="128" t="str">
        <f t="array" ref="N2">IFERROR(INDEX(All_User_backup!H:H,MATCH(Old_List!B2,All_User_backup!B:B,0)),"퇴사자?")</f>
        <v>5CD442C07J</v>
      </c>
      <c r="O2" s="487"/>
      <c r="P2" s="487" t="str">
        <f t="array" ref="P2">IFERROR(INDEX(All_User_backup!D:D,MATCH(Old_List!B2,All_User_backup!B:B,0)),"퇴사자?")</f>
        <v>owen.yang@stryker.com</v>
      </c>
    </row>
    <row r="3" hidden="1">
      <c r="A3" s="488" t="s">
        <v>77</v>
      </c>
      <c r="B3" s="489" t="s">
        <v>653</v>
      </c>
      <c r="C3" s="489" t="s">
        <v>2640</v>
      </c>
      <c r="D3" s="490" t="s">
        <v>913</v>
      </c>
      <c r="E3" s="491" t="s">
        <v>2986</v>
      </c>
      <c r="F3" s="491" t="s">
        <v>2987</v>
      </c>
      <c r="G3" s="492"/>
      <c r="H3" s="493">
        <v>1.4789933E7</v>
      </c>
      <c r="I3" s="488">
        <v>400529.0</v>
      </c>
      <c r="J3" s="490" t="s">
        <v>657</v>
      </c>
      <c r="K3" s="492"/>
      <c r="L3" s="494"/>
      <c r="M3" s="148" t="s">
        <v>36</v>
      </c>
      <c r="N3" s="128" t="str">
        <f t="array" ref="N3">IFERROR(INDEX(All_User_backup!H:H,MATCH(Old_List!B3,All_User_backup!B:B,0)),"퇴사자?")</f>
        <v>5CD5179KH9</v>
      </c>
      <c r="O3" s="487"/>
      <c r="P3" s="487" t="str">
        <f t="array" ref="P3">IFERROR(INDEX(All_User_backup!D:D,MATCH(Old_List!B3,All_User_backup!B:B,0)),"퇴사자?")</f>
        <v>Simon.sin@stryker.com</v>
      </c>
    </row>
    <row r="4">
      <c r="A4" s="495" t="s">
        <v>671</v>
      </c>
      <c r="B4" s="496" t="s">
        <v>667</v>
      </c>
      <c r="C4" s="496" t="s">
        <v>2640</v>
      </c>
      <c r="D4" s="497" t="s">
        <v>913</v>
      </c>
      <c r="E4" s="498" t="s">
        <v>2988</v>
      </c>
      <c r="F4" s="498" t="s">
        <v>2987</v>
      </c>
      <c r="G4" s="499"/>
      <c r="H4" s="500">
        <v>1.4789943E7</v>
      </c>
      <c r="I4" s="495">
        <v>400534.0</v>
      </c>
      <c r="J4" s="497" t="s">
        <v>2989</v>
      </c>
      <c r="K4" s="499"/>
      <c r="L4" s="501"/>
      <c r="M4" s="502" t="s">
        <v>36</v>
      </c>
      <c r="N4" s="503" t="str">
        <f t="array" ref="N4">IFERROR(INDEX(All_User_backup!H:H,MATCH(Old_List!B4,All_User_backup!B:B,0)),"퇴사자?")</f>
        <v>5CG53403CW</v>
      </c>
      <c r="O4" s="487"/>
      <c r="P4" s="487" t="str">
        <f t="array" ref="P4">IFERROR(INDEX(All_User_backup!D:D,MATCH(Old_List!B4,All_User_backup!B:B,0)),"퇴사자?")</f>
        <v>jun.song@stryker.com</v>
      </c>
    </row>
    <row r="5" hidden="1">
      <c r="A5" s="495" t="s">
        <v>52</v>
      </c>
      <c r="B5" s="496" t="s">
        <v>2990</v>
      </c>
      <c r="C5" s="496" t="s">
        <v>2640</v>
      </c>
      <c r="D5" s="497" t="s">
        <v>913</v>
      </c>
      <c r="E5" s="491" t="s">
        <v>2582</v>
      </c>
      <c r="F5" s="504" t="s">
        <v>2987</v>
      </c>
      <c r="G5" s="499"/>
      <c r="H5" s="500">
        <v>1.4789953E7</v>
      </c>
      <c r="I5" s="495">
        <v>216897.0</v>
      </c>
      <c r="J5" s="497" t="s">
        <v>2991</v>
      </c>
      <c r="K5" s="499"/>
      <c r="L5" s="501"/>
      <c r="M5" s="502" t="s">
        <v>36</v>
      </c>
      <c r="N5" s="503" t="str">
        <f t="array" ref="N5">IFERROR(INDEX(All_User_backup!H:H,MATCH(Old_List!B5,All_User_backup!B:B,0)),"퇴사자?")</f>
        <v>퇴사자?</v>
      </c>
      <c r="O5" s="487"/>
      <c r="P5" s="487" t="str">
        <f t="array" ref="P5">IFERROR(INDEX(All_User_backup!D:D,MATCH(Old_List!B5,All_User_backup!B:B,0)),"퇴사자?")</f>
        <v>퇴사자?</v>
      </c>
    </row>
    <row r="6" hidden="1">
      <c r="A6" s="495" t="s">
        <v>20</v>
      </c>
      <c r="B6" s="496" t="s">
        <v>330</v>
      </c>
      <c r="C6" s="496" t="s">
        <v>2640</v>
      </c>
      <c r="D6" s="497" t="s">
        <v>913</v>
      </c>
      <c r="E6" s="491" t="s">
        <v>2992</v>
      </c>
      <c r="F6" s="504" t="s">
        <v>2987</v>
      </c>
      <c r="G6" s="499"/>
      <c r="H6" s="500">
        <v>1.4789963E7</v>
      </c>
      <c r="I6" s="495">
        <v>400540.0</v>
      </c>
      <c r="J6" s="497" t="s">
        <v>334</v>
      </c>
      <c r="K6" s="499"/>
      <c r="L6" s="501"/>
      <c r="M6" s="502" t="s">
        <v>36</v>
      </c>
      <c r="N6" s="128" t="str">
        <f t="array" ref="N6">IFERROR(INDEX(All_User_backup!H:H,MATCH(Old_List!B6,All_User_backup!B:B,0)),"퇴사자?")</f>
        <v>5CD5179KJ1</v>
      </c>
      <c r="O6" s="487"/>
      <c r="P6" s="487" t="str">
        <f t="array" ref="P6">IFERROR(INDEX(All_User_backup!D:D,MATCH(Old_List!B6,All_User_backup!B:B,0)),"퇴사자?")</f>
        <v>jackson.kim@stryker.com</v>
      </c>
    </row>
    <row r="7" hidden="1">
      <c r="A7" s="488" t="s">
        <v>52</v>
      </c>
      <c r="B7" s="489" t="s">
        <v>1172</v>
      </c>
      <c r="C7" s="489" t="s">
        <v>2640</v>
      </c>
      <c r="D7" s="490" t="s">
        <v>913</v>
      </c>
      <c r="E7" s="491" t="s">
        <v>135</v>
      </c>
      <c r="F7" s="491" t="s">
        <v>2987</v>
      </c>
      <c r="G7" s="492"/>
      <c r="H7" s="493">
        <v>1.4789973E7</v>
      </c>
      <c r="I7" s="488">
        <v>400539.0</v>
      </c>
      <c r="J7" s="490" t="s">
        <v>2993</v>
      </c>
      <c r="K7" s="492"/>
      <c r="L7" s="494"/>
      <c r="M7" s="148" t="s">
        <v>36</v>
      </c>
      <c r="N7" s="503" t="str">
        <f t="array" ref="N7">IFERROR(INDEX(All_User_backup!H:H,MATCH(Old_List!B7,All_User_backup!B:B,0)),"퇴사자?")</f>
        <v>퇴사자?</v>
      </c>
      <c r="O7" s="487"/>
      <c r="P7" s="487" t="str">
        <f t="array" ref="P7">IFERROR(INDEX(All_User_backup!D:D,MATCH(Old_List!B7,All_User_backup!B:B,0)),"퇴사자?")</f>
        <v>퇴사자?</v>
      </c>
    </row>
    <row r="8" hidden="1">
      <c r="A8" s="479" t="s">
        <v>20</v>
      </c>
      <c r="B8" s="480" t="s">
        <v>615</v>
      </c>
      <c r="C8" s="480" t="s">
        <v>2640</v>
      </c>
      <c r="D8" s="480" t="s">
        <v>913</v>
      </c>
      <c r="E8" s="481" t="s">
        <v>2992</v>
      </c>
      <c r="F8" s="482" t="s">
        <v>2987</v>
      </c>
      <c r="G8" s="483"/>
      <c r="H8" s="484">
        <v>1.4789983E7</v>
      </c>
      <c r="I8" s="479">
        <v>216913.0</v>
      </c>
      <c r="J8" s="480" t="s">
        <v>619</v>
      </c>
      <c r="K8" s="483"/>
      <c r="L8" s="485"/>
      <c r="M8" s="486" t="s">
        <v>36</v>
      </c>
      <c r="N8" s="503" t="str">
        <f t="array" ref="N8">IFERROR(INDEX(All_User_backup!H:H,MATCH(Old_List!B8,All_User_backup!B:B,0)),"퇴사자?")</f>
        <v>없음</v>
      </c>
      <c r="O8" s="487"/>
      <c r="P8" s="487" t="str">
        <f t="array" ref="P8">IFERROR(INDEX(All_User_backup!D:D,MATCH(Old_List!B8,All_User_backup!B:B,0)),"퇴사자?")</f>
        <v>Gregory.Seo@stryker.com</v>
      </c>
    </row>
    <row r="9" hidden="1">
      <c r="A9" s="488" t="s">
        <v>671</v>
      </c>
      <c r="B9" s="489" t="s">
        <v>2994</v>
      </c>
      <c r="C9" s="489" t="s">
        <v>2640</v>
      </c>
      <c r="D9" s="490" t="s">
        <v>913</v>
      </c>
      <c r="E9" s="491" t="s">
        <v>29</v>
      </c>
      <c r="F9" s="505" t="s">
        <v>2987</v>
      </c>
      <c r="G9" s="492"/>
      <c r="H9" s="493">
        <v>1.4789993E7</v>
      </c>
      <c r="I9" s="488">
        <v>2116905.0</v>
      </c>
      <c r="J9" s="490" t="s">
        <v>166</v>
      </c>
      <c r="K9" s="492"/>
      <c r="L9" s="494"/>
      <c r="M9" s="148" t="s">
        <v>36</v>
      </c>
      <c r="N9" s="503" t="str">
        <f t="array" ref="N9">IFERROR(INDEX(All_User_backup!H:H,MATCH(Old_List!B9,All_User_backup!B:B,0)),"퇴사자?")</f>
        <v>퇴사자?</v>
      </c>
      <c r="O9" s="487"/>
      <c r="P9" s="487" t="str">
        <f t="array" ref="P9">IFERROR(INDEX(All_User_backup!D:D,MATCH(Old_List!B9,All_User_backup!B:B,0)),"퇴사자?")</f>
        <v>퇴사자?</v>
      </c>
    </row>
    <row r="10" hidden="1">
      <c r="A10" s="488" t="s">
        <v>77</v>
      </c>
      <c r="B10" s="489" t="s">
        <v>335</v>
      </c>
      <c r="C10" s="489" t="s">
        <v>2640</v>
      </c>
      <c r="D10" s="490" t="s">
        <v>913</v>
      </c>
      <c r="E10" s="491" t="s">
        <v>2992</v>
      </c>
      <c r="F10" s="491" t="s">
        <v>2987</v>
      </c>
      <c r="G10" s="492"/>
      <c r="H10" s="493">
        <v>1.4790003E7</v>
      </c>
      <c r="I10" s="488">
        <v>216885.0</v>
      </c>
      <c r="J10" s="490" t="s">
        <v>338</v>
      </c>
      <c r="K10" s="492"/>
      <c r="L10" s="494"/>
      <c r="M10" s="148" t="s">
        <v>36</v>
      </c>
      <c r="N10" s="128" t="str">
        <f t="array" ref="N10">IFERROR(INDEX(All_User_backup!H:H,MATCH(Old_List!B10,All_User_backup!B:B,0)),"퇴사자?")</f>
        <v>5CD5179KHX</v>
      </c>
      <c r="O10" s="487"/>
      <c r="P10" s="487" t="str">
        <f t="array" ref="P10">IFERROR(INDEX(All_User_backup!D:D,MATCH(Old_List!B10,All_User_backup!B:B,0)),"퇴사자?")</f>
        <v>genie.kim@stryker.com</v>
      </c>
    </row>
    <row r="11" hidden="1">
      <c r="A11" s="488" t="s">
        <v>35</v>
      </c>
      <c r="B11" s="489" t="s">
        <v>2995</v>
      </c>
      <c r="C11" s="489" t="s">
        <v>2640</v>
      </c>
      <c r="D11" s="490" t="s">
        <v>913</v>
      </c>
      <c r="E11" s="491" t="s">
        <v>2582</v>
      </c>
      <c r="F11" s="491" t="s">
        <v>2987</v>
      </c>
      <c r="G11" s="492"/>
      <c r="H11" s="493">
        <v>1.4790013E7</v>
      </c>
      <c r="I11" s="488">
        <v>216885.0</v>
      </c>
      <c r="J11" s="490" t="s">
        <v>2996</v>
      </c>
      <c r="K11" s="492"/>
      <c r="L11" s="494"/>
      <c r="M11" s="148" t="s">
        <v>36</v>
      </c>
      <c r="N11" s="503" t="str">
        <f t="array" ref="N11">IFERROR(INDEX(All_User_backup!H:H,MATCH(Old_List!B11,All_User_backup!B:B,0)),"퇴사자?")</f>
        <v>퇴사자?</v>
      </c>
      <c r="O11" s="487"/>
      <c r="P11" s="487" t="str">
        <f t="array" ref="P11">IFERROR(INDEX(All_User_backup!D:D,MATCH(Old_List!B11,All_User_backup!B:B,0)),"퇴사자?")</f>
        <v>퇴사자?</v>
      </c>
    </row>
    <row r="12" hidden="1">
      <c r="A12" s="488" t="s">
        <v>104</v>
      </c>
      <c r="B12" s="489" t="s">
        <v>2997</v>
      </c>
      <c r="C12" s="489" t="s">
        <v>2640</v>
      </c>
      <c r="D12" s="490" t="s">
        <v>913</v>
      </c>
      <c r="E12" s="491" t="s">
        <v>2255</v>
      </c>
      <c r="F12" s="505" t="s">
        <v>2987</v>
      </c>
      <c r="G12" s="492"/>
      <c r="H12" s="493">
        <v>1.4790023E7</v>
      </c>
      <c r="I12" s="488">
        <v>216910.0</v>
      </c>
      <c r="J12" s="490" t="s">
        <v>2998</v>
      </c>
      <c r="K12" s="492"/>
      <c r="L12" s="494"/>
      <c r="M12" s="148" t="s">
        <v>36</v>
      </c>
      <c r="N12" s="503" t="str">
        <f t="array" ref="N12">IFERROR(INDEX(All_User_backup!H:H,MATCH(Old_List!B12,All_User_backup!B:B,0)),"퇴사자?")</f>
        <v>퇴사자?</v>
      </c>
      <c r="O12" s="487"/>
      <c r="P12" s="487" t="str">
        <f t="array" ref="P12">IFERROR(INDEX(All_User_backup!D:D,MATCH(Old_List!B12,All_User_backup!B:B,0)),"퇴사자?")</f>
        <v>퇴사자?</v>
      </c>
    </row>
    <row r="13" hidden="1">
      <c r="A13" s="488" t="s">
        <v>27</v>
      </c>
      <c r="B13" s="489" t="s">
        <v>96</v>
      </c>
      <c r="C13" s="489" t="s">
        <v>2640</v>
      </c>
      <c r="D13" s="490" t="s">
        <v>913</v>
      </c>
      <c r="E13" s="491" t="s">
        <v>2992</v>
      </c>
      <c r="F13" s="505" t="s">
        <v>2987</v>
      </c>
      <c r="G13" s="492"/>
      <c r="H13" s="493">
        <v>1.4790033E7</v>
      </c>
      <c r="I13" s="488">
        <v>216886.0</v>
      </c>
      <c r="J13" s="490" t="s">
        <v>99</v>
      </c>
      <c r="K13" s="492"/>
      <c r="L13" s="494"/>
      <c r="M13" s="148" t="s">
        <v>36</v>
      </c>
      <c r="N13" s="503" t="str">
        <f t="array" ref="N13">IFERROR(INDEX(All_User_backup!H:H,MATCH(Old_List!B13,All_User_backup!B:B,0)),"퇴사자?")</f>
        <v>5CD5179KHY</v>
      </c>
      <c r="O13" s="487"/>
      <c r="P13" s="487" t="str">
        <f t="array" ref="P13">IFERROR(INDEX(All_User_backup!D:D,MATCH(Old_List!B13,All_User_backup!B:B,0)),"퇴사자?")</f>
        <v>Willy.Chang@stryker.com</v>
      </c>
    </row>
    <row r="14" hidden="1">
      <c r="A14" s="488" t="s">
        <v>20</v>
      </c>
      <c r="B14" s="489" t="s">
        <v>2999</v>
      </c>
      <c r="C14" s="489" t="s">
        <v>2640</v>
      </c>
      <c r="D14" s="490" t="s">
        <v>913</v>
      </c>
      <c r="E14" s="491" t="s">
        <v>2255</v>
      </c>
      <c r="F14" s="505" t="s">
        <v>2987</v>
      </c>
      <c r="G14" s="492"/>
      <c r="H14" s="493">
        <v>1.4790043E7</v>
      </c>
      <c r="I14" s="488">
        <v>216895.0</v>
      </c>
      <c r="J14" s="490" t="s">
        <v>3000</v>
      </c>
      <c r="K14" s="492"/>
      <c r="L14" s="494"/>
      <c r="M14" s="148" t="s">
        <v>36</v>
      </c>
      <c r="N14" s="503" t="str">
        <f t="array" ref="N14">IFERROR(INDEX(All_User_backup!H:H,MATCH(Old_List!B14,All_User_backup!B:B,0)),"퇴사자?")</f>
        <v>퇴사자?</v>
      </c>
      <c r="O14" s="487"/>
      <c r="P14" s="487" t="str">
        <f t="array" ref="P14">IFERROR(INDEX(All_User_backup!D:D,MATCH(Old_List!B14,All_User_backup!B:B,0)),"퇴사자?")</f>
        <v>퇴사자?</v>
      </c>
    </row>
    <row r="15" hidden="1">
      <c r="A15" s="479" t="s">
        <v>940</v>
      </c>
      <c r="B15" s="480" t="s">
        <v>163</v>
      </c>
      <c r="C15" s="480" t="s">
        <v>2640</v>
      </c>
      <c r="D15" s="480" t="s">
        <v>913</v>
      </c>
      <c r="E15" s="481" t="s">
        <v>2992</v>
      </c>
      <c r="F15" s="482" t="s">
        <v>2987</v>
      </c>
      <c r="G15" s="483"/>
      <c r="H15" s="484" t="s">
        <v>29</v>
      </c>
      <c r="I15" s="479">
        <v>216905.0</v>
      </c>
      <c r="J15" s="480" t="s">
        <v>166</v>
      </c>
      <c r="K15" s="483"/>
      <c r="L15" s="485"/>
      <c r="M15" s="486" t="s">
        <v>36</v>
      </c>
      <c r="N15" s="128" t="str">
        <f t="array" ref="N15">IFERROR(INDEX(All_User_backup!H:H,MATCH(Old_List!B15,All_User_backup!B:B,0)),"퇴사자?")</f>
        <v>5CD5179KHR</v>
      </c>
      <c r="O15" s="487"/>
      <c r="P15" s="487" t="str">
        <f t="array" ref="P15">IFERROR(INDEX(All_User_backup!D:D,MATCH(Old_List!B15,All_User_backup!B:B,0)),"퇴사자?")</f>
        <v>alice.han@stryker.com</v>
      </c>
    </row>
    <row r="16" hidden="1">
      <c r="A16" s="488" t="s">
        <v>52</v>
      </c>
      <c r="B16" s="489" t="s">
        <v>3001</v>
      </c>
      <c r="C16" s="489" t="s">
        <v>2640</v>
      </c>
      <c r="D16" s="490" t="s">
        <v>913</v>
      </c>
      <c r="E16" s="491" t="s">
        <v>2582</v>
      </c>
      <c r="F16" s="505" t="s">
        <v>2987</v>
      </c>
      <c r="G16" s="492"/>
      <c r="H16" s="493">
        <v>1.4790053E7</v>
      </c>
      <c r="I16" s="488">
        <v>216907.0</v>
      </c>
      <c r="J16" s="490" t="s">
        <v>3002</v>
      </c>
      <c r="K16" s="492"/>
      <c r="L16" s="494"/>
      <c r="M16" s="148" t="s">
        <v>36</v>
      </c>
      <c r="N16" s="503" t="str">
        <f t="array" ref="N16">IFERROR(INDEX(All_User_backup!H:H,MATCH(Old_List!B16,All_User_backup!B:B,0)),"퇴사자?")</f>
        <v>퇴사자?</v>
      </c>
      <c r="O16" s="487"/>
      <c r="P16" s="487" t="str">
        <f t="array" ref="P16">IFERROR(INDEX(All_User_backup!D:D,MATCH(Old_List!B16,All_User_backup!B:B,0)),"퇴사자?")</f>
        <v>퇴사자?</v>
      </c>
    </row>
    <row r="17" hidden="1">
      <c r="A17" s="488" t="s">
        <v>52</v>
      </c>
      <c r="B17" s="489" t="s">
        <v>2628</v>
      </c>
      <c r="C17" s="489" t="s">
        <v>2640</v>
      </c>
      <c r="D17" s="490" t="s">
        <v>913</v>
      </c>
      <c r="E17" s="491" t="s">
        <v>2992</v>
      </c>
      <c r="F17" s="505" t="s">
        <v>2987</v>
      </c>
      <c r="G17" s="492"/>
      <c r="H17" s="493">
        <v>1.4790063E7</v>
      </c>
      <c r="I17" s="488">
        <v>216912.0</v>
      </c>
      <c r="J17" s="490" t="s">
        <v>2751</v>
      </c>
      <c r="K17" s="492"/>
      <c r="L17" s="494"/>
      <c r="M17" s="148" t="s">
        <v>36</v>
      </c>
      <c r="N17" s="128" t="str">
        <f t="array" ref="N17">IFERROR(INDEX(All_User_backup!H:H,MATCH(Old_List!B17,All_User_backup!B:B,0)),"퇴사자?")</f>
        <v>퇴사자?</v>
      </c>
      <c r="O17" s="487"/>
      <c r="P17" s="487" t="str">
        <f t="array" ref="P17">IFERROR(INDEX(All_User_backup!D:D,MATCH(Old_List!B17,All_User_backup!B:B,0)),"퇴사자?")</f>
        <v>퇴사자?</v>
      </c>
    </row>
    <row r="18" hidden="1">
      <c r="A18" s="488" t="s">
        <v>142</v>
      </c>
      <c r="B18" s="489" t="s">
        <v>3003</v>
      </c>
      <c r="C18" s="489" t="s">
        <v>2640</v>
      </c>
      <c r="D18" s="490" t="s">
        <v>913</v>
      </c>
      <c r="E18" s="491" t="s">
        <v>2582</v>
      </c>
      <c r="F18" s="505" t="s">
        <v>2987</v>
      </c>
      <c r="G18" s="492"/>
      <c r="H18" s="493">
        <v>1.4790073E7</v>
      </c>
      <c r="I18" s="488">
        <v>216911.0</v>
      </c>
      <c r="J18" s="490" t="s">
        <v>3004</v>
      </c>
      <c r="K18" s="492"/>
      <c r="L18" s="494"/>
      <c r="M18" s="148" t="s">
        <v>36</v>
      </c>
      <c r="N18" s="503" t="str">
        <f t="array" ref="N18">IFERROR(INDEX(All_User_backup!H:H,MATCH(Old_List!B18,All_User_backup!B:B,0)),"퇴사자?")</f>
        <v>퇴사자?</v>
      </c>
      <c r="O18" s="487"/>
      <c r="P18" s="487" t="str">
        <f t="array" ref="P18">IFERROR(INDEX(All_User_backup!D:D,MATCH(Old_List!B18,All_User_backup!B:B,0)),"퇴사자?")</f>
        <v>퇴사자?</v>
      </c>
    </row>
    <row r="19" hidden="1">
      <c r="A19" s="488" t="s">
        <v>52</v>
      </c>
      <c r="B19" s="489" t="s">
        <v>3005</v>
      </c>
      <c r="C19" s="489" t="s">
        <v>2640</v>
      </c>
      <c r="D19" s="490" t="s">
        <v>913</v>
      </c>
      <c r="E19" s="491" t="s">
        <v>2582</v>
      </c>
      <c r="F19" s="505" t="s">
        <v>2987</v>
      </c>
      <c r="G19" s="492"/>
      <c r="H19" s="493">
        <v>1.4790083E7</v>
      </c>
      <c r="I19" s="488">
        <v>216882.0</v>
      </c>
      <c r="J19" s="490" t="s">
        <v>579</v>
      </c>
      <c r="K19" s="492"/>
      <c r="L19" s="494"/>
      <c r="M19" s="148" t="s">
        <v>36</v>
      </c>
      <c r="N19" s="503" t="str">
        <f t="array" ref="N19">IFERROR(INDEX(All_User_backup!H:H,MATCH(Old_List!B19,All_User_backup!B:B,0)),"퇴사자?")</f>
        <v>퇴사자?</v>
      </c>
      <c r="O19" s="487"/>
      <c r="P19" s="487" t="str">
        <f t="array" ref="P19">IFERROR(INDEX(All_User_backup!D:D,MATCH(Old_List!B19,All_User_backup!B:B,0)),"퇴사자?")</f>
        <v>퇴사자?</v>
      </c>
    </row>
    <row r="20">
      <c r="A20" s="488" t="s">
        <v>671</v>
      </c>
      <c r="B20" s="489" t="s">
        <v>1959</v>
      </c>
      <c r="C20" s="489" t="s">
        <v>2640</v>
      </c>
      <c r="D20" s="490" t="s">
        <v>913</v>
      </c>
      <c r="E20" s="506" t="s">
        <v>3006</v>
      </c>
      <c r="F20" s="505" t="s">
        <v>2985</v>
      </c>
      <c r="G20" s="492"/>
      <c r="H20" s="493">
        <v>1.4790093E7</v>
      </c>
      <c r="I20" s="488">
        <v>400522.0</v>
      </c>
      <c r="J20" s="490" t="s">
        <v>3007</v>
      </c>
      <c r="K20" s="492"/>
      <c r="L20" s="494"/>
      <c r="M20" s="148" t="s">
        <v>36</v>
      </c>
      <c r="N20" s="128" t="str">
        <f t="array" ref="N20">IFERROR(INDEX(All_User_backup!H:H,MATCH(Old_List!B20,All_User_backup!B:B,0)),"없음")</f>
        <v>없음</v>
      </c>
      <c r="O20" s="487"/>
      <c r="P20" s="487" t="str">
        <f t="array" ref="P20">IFERROR(INDEX(All_User_backup!D:D,MATCH(Old_List!B20,All_User_backup!B:B,0)),"퇴사자?")</f>
        <v>퇴사자?</v>
      </c>
    </row>
    <row r="21" hidden="1">
      <c r="A21" s="488" t="s">
        <v>27</v>
      </c>
      <c r="B21" s="489" t="s">
        <v>693</v>
      </c>
      <c r="C21" s="489" t="s">
        <v>2640</v>
      </c>
      <c r="D21" s="490" t="s">
        <v>913</v>
      </c>
      <c r="E21" s="491" t="s">
        <v>2992</v>
      </c>
      <c r="F21" s="505" t="s">
        <v>2987</v>
      </c>
      <c r="G21" s="492"/>
      <c r="H21" s="493">
        <v>1.4790103E7</v>
      </c>
      <c r="I21" s="488">
        <v>216890.0</v>
      </c>
      <c r="J21" s="490" t="s">
        <v>697</v>
      </c>
      <c r="K21" s="492"/>
      <c r="L21" s="494"/>
      <c r="M21" s="148" t="s">
        <v>36</v>
      </c>
      <c r="N21" s="503" t="str">
        <f t="array" ref="N21">IFERROR(INDEX(All_User_backup!H:H,MATCH(Old_List!B21,All_User_backup!B:B,0)),"퇴사자?")</f>
        <v>5CD5179KJ3</v>
      </c>
      <c r="O21" s="487"/>
      <c r="P21" s="487" t="str">
        <f t="array" ref="P21">IFERROR(INDEX(All_User_backup!D:D,MATCH(Old_List!B21,All_User_backup!B:B,0)),"퇴사자?")</f>
        <v>David.Yang@stryker.com</v>
      </c>
    </row>
    <row r="22" hidden="1">
      <c r="A22" s="488" t="s">
        <v>77</v>
      </c>
      <c r="B22" s="489" t="s">
        <v>339</v>
      </c>
      <c r="C22" s="489" t="s">
        <v>2640</v>
      </c>
      <c r="D22" s="490" t="s">
        <v>913</v>
      </c>
      <c r="E22" s="491" t="s">
        <v>341</v>
      </c>
      <c r="F22" s="505" t="s">
        <v>2987</v>
      </c>
      <c r="G22" s="492"/>
      <c r="H22" s="493">
        <v>1.4790113E7</v>
      </c>
      <c r="I22" s="488">
        <v>400531.0</v>
      </c>
      <c r="J22" s="490" t="s">
        <v>342</v>
      </c>
      <c r="K22" s="492"/>
      <c r="L22" s="494"/>
      <c r="M22" s="148" t="s">
        <v>36</v>
      </c>
      <c r="N22" s="128" t="str">
        <f t="array" ref="N22">IFERROR(INDEX(All_User_backup!H:H,MATCH(Old_List!B22,All_User_backup!B:B,0)),"퇴사자?")</f>
        <v>5CD5062YDG</v>
      </c>
      <c r="O22" s="487"/>
      <c r="P22" s="487" t="str">
        <f t="array" ref="P22">IFERROR(INDEX(All_User_backup!D:D,MATCH(Old_List!B22,All_User_backup!B:B,0)),"퇴사자?")</f>
        <v>jason.kim1@stryker.com</v>
      </c>
    </row>
    <row r="23" hidden="1">
      <c r="A23" s="479" t="s">
        <v>20</v>
      </c>
      <c r="B23" s="480" t="s">
        <v>548</v>
      </c>
      <c r="C23" s="480" t="s">
        <v>2640</v>
      </c>
      <c r="D23" s="480" t="s">
        <v>913</v>
      </c>
      <c r="E23" s="481" t="s">
        <v>2992</v>
      </c>
      <c r="F23" s="482" t="s">
        <v>2987</v>
      </c>
      <c r="G23" s="483"/>
      <c r="H23" s="484">
        <v>1.4790123E7</v>
      </c>
      <c r="I23" s="479">
        <v>216894.0</v>
      </c>
      <c r="J23" s="480" t="s">
        <v>552</v>
      </c>
      <c r="K23" s="483"/>
      <c r="L23" s="485"/>
      <c r="M23" s="486" t="s">
        <v>36</v>
      </c>
      <c r="N23" s="128" t="str">
        <f t="array" ref="N23">IFERROR(INDEX(All_User_backup!H:H,MATCH(Old_List!B23,All_User_backup!B:B,0)),"퇴사자?")</f>
        <v>5CD5179KHL</v>
      </c>
      <c r="O23" s="487"/>
      <c r="P23" s="487" t="str">
        <f t="array" ref="P23">IFERROR(INDEX(All_User_backup!D:D,MATCH(Old_List!B23,All_User_backup!B:B,0)),"퇴사자?")</f>
        <v>tyler.park@stryker.com</v>
      </c>
    </row>
    <row r="24" hidden="1">
      <c r="A24" s="488" t="s">
        <v>27</v>
      </c>
      <c r="B24" s="489" t="s">
        <v>2610</v>
      </c>
      <c r="C24" s="489" t="s">
        <v>2640</v>
      </c>
      <c r="D24" s="490" t="s">
        <v>913</v>
      </c>
      <c r="E24" s="491" t="s">
        <v>2761</v>
      </c>
      <c r="F24" s="505" t="s">
        <v>2987</v>
      </c>
      <c r="G24" s="492"/>
      <c r="H24" s="493">
        <v>1.4790133E7</v>
      </c>
      <c r="I24" s="488">
        <v>400526.0</v>
      </c>
      <c r="J24" s="490" t="s">
        <v>2763</v>
      </c>
      <c r="K24" s="492"/>
      <c r="L24" s="494"/>
      <c r="M24" s="148" t="s">
        <v>36</v>
      </c>
      <c r="N24" s="503" t="str">
        <f t="array" ref="N24">IFERROR(INDEX(All_User_backup!H:H,MATCH(Old_List!B24,All_User_backup!B:B,0)),"퇴사자?")</f>
        <v>퇴사자?</v>
      </c>
      <c r="O24" s="487"/>
      <c r="P24" s="487" t="str">
        <f t="array" ref="P24">IFERROR(INDEX(All_User_backup!D:D,MATCH(Old_List!B24,All_User_backup!B:B,0)),"퇴사자?")</f>
        <v>퇴사자?</v>
      </c>
    </row>
    <row r="25">
      <c r="A25" s="488" t="s">
        <v>671</v>
      </c>
      <c r="B25" s="489" t="s">
        <v>1959</v>
      </c>
      <c r="C25" s="489" t="s">
        <v>2640</v>
      </c>
      <c r="D25" s="490" t="s">
        <v>913</v>
      </c>
      <c r="E25" s="507"/>
      <c r="F25" s="505" t="s">
        <v>2987</v>
      </c>
      <c r="G25" s="492"/>
      <c r="H25" s="493">
        <v>1.4790153E7</v>
      </c>
      <c r="I25" s="488">
        <v>400516.0</v>
      </c>
      <c r="J25" s="490" t="s">
        <v>599</v>
      </c>
      <c r="K25" s="492"/>
      <c r="L25" s="494"/>
      <c r="M25" s="148" t="s">
        <v>36</v>
      </c>
      <c r="N25" s="128" t="str">
        <f t="array" ref="N25">IFERROR(INDEX(All_User_backup!H:H,MATCH(Old_List!B25,All_User_backup!B:B,0)),"없음")</f>
        <v>없음</v>
      </c>
      <c r="O25" s="487"/>
      <c r="P25" s="487" t="str">
        <f t="array" ref="P25">IFERROR(INDEX(All_User_backup!D:D,MATCH(Old_List!B25,All_User_backup!B:B,0)),"퇴사자?")</f>
        <v>퇴사자?</v>
      </c>
    </row>
    <row r="26">
      <c r="A26" s="488" t="s">
        <v>671</v>
      </c>
      <c r="B26" s="489" t="s">
        <v>1959</v>
      </c>
      <c r="C26" s="489" t="s">
        <v>2640</v>
      </c>
      <c r="D26" s="490" t="s">
        <v>913</v>
      </c>
      <c r="E26" s="507"/>
      <c r="F26" s="505" t="s">
        <v>2987</v>
      </c>
      <c r="G26" s="492"/>
      <c r="H26" s="493">
        <v>1.4917673E7</v>
      </c>
      <c r="I26" s="488">
        <v>216908.0</v>
      </c>
      <c r="J26" s="490" t="s">
        <v>3008</v>
      </c>
      <c r="K26" s="492"/>
      <c r="L26" s="494"/>
      <c r="M26" s="148" t="s">
        <v>36</v>
      </c>
      <c r="N26" s="128" t="str">
        <f t="array" ref="N26">IFERROR(INDEX(All_User_backup!H:H,MATCH(Old_List!B26,All_User_backup!B:B,0)),"없음")</f>
        <v>없음</v>
      </c>
      <c r="O26" s="487"/>
      <c r="P26" s="487" t="str">
        <f t="array" ref="P26">IFERROR(INDEX(All_User_backup!D:D,MATCH(Old_List!B26,All_User_backup!B:B,0)),"퇴사자?")</f>
        <v>퇴사자?</v>
      </c>
    </row>
    <row r="27" hidden="1">
      <c r="A27" s="488" t="s">
        <v>142</v>
      </c>
      <c r="B27" s="489" t="s">
        <v>716</v>
      </c>
      <c r="C27" s="489" t="s">
        <v>2640</v>
      </c>
      <c r="D27" s="490" t="s">
        <v>913</v>
      </c>
      <c r="E27" s="491" t="s">
        <v>718</v>
      </c>
      <c r="F27" s="505" t="s">
        <v>2987</v>
      </c>
      <c r="G27" s="492"/>
      <c r="H27" s="493">
        <v>1.4917683E7</v>
      </c>
      <c r="I27" s="488">
        <v>400525.0</v>
      </c>
      <c r="J27" s="490" t="s">
        <v>719</v>
      </c>
      <c r="K27" s="492"/>
      <c r="L27" s="494"/>
      <c r="M27" s="148" t="s">
        <v>36</v>
      </c>
      <c r="N27" s="503" t="str">
        <f t="array" ref="N27">IFERROR(INDEX(All_User_backup!H:H,MATCH(Old_List!B27,All_User_backup!B:B,0)),"퇴사자?")</f>
        <v>5CD5179KH6</v>
      </c>
      <c r="O27" s="487"/>
      <c r="P27" s="487" t="str">
        <f t="array" ref="P27">IFERROR(INDEX(All_User_backup!D:D,MATCH(Old_List!B27,All_User_backup!B:B,0)),"퇴사자?")</f>
        <v>jiho.yoo@stryker.com</v>
      </c>
    </row>
    <row r="28" hidden="1">
      <c r="A28" s="488" t="s">
        <v>104</v>
      </c>
      <c r="B28" s="489" t="s">
        <v>380</v>
      </c>
      <c r="C28" s="489" t="s">
        <v>2640</v>
      </c>
      <c r="D28" s="490" t="s">
        <v>913</v>
      </c>
      <c r="E28" s="491" t="s">
        <v>382</v>
      </c>
      <c r="F28" s="505" t="s">
        <v>2987</v>
      </c>
      <c r="G28" s="492"/>
      <c r="H28" s="493">
        <v>1.4917693E7</v>
      </c>
      <c r="I28" s="488">
        <v>216906.0</v>
      </c>
      <c r="J28" s="490" t="s">
        <v>384</v>
      </c>
      <c r="K28" s="492"/>
      <c r="L28" s="494"/>
      <c r="M28" s="148" t="s">
        <v>36</v>
      </c>
      <c r="N28" s="128" t="str">
        <f t="array" ref="N28">IFERROR(INDEX(All_User_backup!H:H,MATCH(Old_List!B28,All_User_backup!B:B,0)),"퇴사자?")</f>
        <v>5CG53403D1</v>
      </c>
      <c r="O28" s="487"/>
      <c r="P28" s="487" t="str">
        <f t="array" ref="P28">IFERROR(INDEX(All_User_backup!D:D,MATCH(Old_List!B28,All_User_backup!B:B,0)),"퇴사자?")</f>
        <v>hailey.kim@stryker.com</v>
      </c>
    </row>
    <row r="29">
      <c r="A29" s="488" t="s">
        <v>671</v>
      </c>
      <c r="B29" s="489" t="s">
        <v>1959</v>
      </c>
      <c r="C29" s="489" t="s">
        <v>2640</v>
      </c>
      <c r="D29" s="490" t="s">
        <v>913</v>
      </c>
      <c r="E29" s="491" t="s">
        <v>3009</v>
      </c>
      <c r="F29" s="505" t="s">
        <v>2987</v>
      </c>
      <c r="G29" s="492"/>
      <c r="H29" s="493">
        <v>1.4917713E7</v>
      </c>
      <c r="I29" s="488">
        <v>400542.0</v>
      </c>
      <c r="J29" s="490" t="s">
        <v>3010</v>
      </c>
      <c r="K29" s="492"/>
      <c r="L29" s="494"/>
      <c r="M29" s="148" t="s">
        <v>36</v>
      </c>
      <c r="N29" s="128" t="str">
        <f t="array" ref="N29">IFERROR(INDEX(All_User_backup!H:H,MATCH(Old_List!B29,All_User_backup!B:B,0)),"없음")</f>
        <v>없음</v>
      </c>
      <c r="O29" s="487"/>
      <c r="P29" s="487" t="str">
        <f t="array" ref="P29">IFERROR(INDEX(All_User_backup!D:D,MATCH(Old_List!B29,All_User_backup!B:B,0)),"퇴사자?")</f>
        <v>퇴사자?</v>
      </c>
    </row>
    <row r="30" hidden="1">
      <c r="A30" s="488" t="s">
        <v>35</v>
      </c>
      <c r="B30" s="489" t="s">
        <v>675</v>
      </c>
      <c r="C30" s="489" t="s">
        <v>2640</v>
      </c>
      <c r="D30" s="490" t="s">
        <v>913</v>
      </c>
      <c r="E30" s="491" t="s">
        <v>677</v>
      </c>
      <c r="F30" s="505" t="s">
        <v>2987</v>
      </c>
      <c r="G30" s="492"/>
      <c r="H30" s="493">
        <v>1.4917723E7</v>
      </c>
      <c r="I30" s="488">
        <v>216896.0</v>
      </c>
      <c r="J30" s="490" t="s">
        <v>678</v>
      </c>
      <c r="K30" s="492"/>
      <c r="L30" s="494"/>
      <c r="M30" s="148" t="s">
        <v>36</v>
      </c>
      <c r="N30" s="128" t="str">
        <f t="array" ref="N30">IFERROR(INDEX(All_User_backup!H:H,MATCH(Old_List!B30,All_User_backup!B:B,0)),"퇴사자?")</f>
        <v>5CD4232BFS</v>
      </c>
      <c r="O30" s="487"/>
      <c r="P30" s="487" t="str">
        <f t="array" ref="P30">IFERROR(INDEX(All_User_backup!D:D,MATCH(Old_List!B30,All_User_backup!B:B,0)),"퇴사자?")</f>
        <v>jayden.song@stryker.com</v>
      </c>
    </row>
    <row r="31" hidden="1">
      <c r="A31" s="488" t="s">
        <v>142</v>
      </c>
      <c r="B31" s="489" t="s">
        <v>287</v>
      </c>
      <c r="C31" s="489" t="s">
        <v>2640</v>
      </c>
      <c r="D31" s="490" t="s">
        <v>913</v>
      </c>
      <c r="E31" s="491" t="s">
        <v>289</v>
      </c>
      <c r="F31" s="505" t="s">
        <v>2987</v>
      </c>
      <c r="G31" s="492"/>
      <c r="H31" s="493">
        <v>1.4917733E7</v>
      </c>
      <c r="I31" s="488">
        <v>216881.0</v>
      </c>
      <c r="J31" s="490" t="s">
        <v>290</v>
      </c>
      <c r="K31" s="492"/>
      <c r="L31" s="494"/>
      <c r="M31" s="148" t="s">
        <v>36</v>
      </c>
      <c r="N31" s="503" t="str">
        <f t="array" ref="N31">IFERROR(INDEX(All_User_backup!H:H,MATCH(Old_List!B31,All_User_backup!B:B,0)),"퇴사자?")</f>
        <v>5CD5179KHH</v>
      </c>
      <c r="O31" s="487"/>
      <c r="P31" s="487" t="str">
        <f t="array" ref="P31">IFERROR(INDEX(All_User_backup!D:D,MATCH(Old_List!B31,All_User_backup!B:B,0)),"퇴사자?")</f>
        <v>louis.kang@stryker.com</v>
      </c>
    </row>
    <row r="32" hidden="1">
      <c r="A32" s="488" t="s">
        <v>3011</v>
      </c>
      <c r="B32" s="489" t="s">
        <v>3012</v>
      </c>
      <c r="C32" s="489" t="s">
        <v>2640</v>
      </c>
      <c r="D32" s="490" t="s">
        <v>913</v>
      </c>
      <c r="E32" s="491" t="s">
        <v>29</v>
      </c>
      <c r="F32" s="491" t="s">
        <v>3013</v>
      </c>
      <c r="G32" s="492"/>
      <c r="H32" s="493">
        <v>1.4917743E7</v>
      </c>
      <c r="I32" s="488">
        <v>400514.0</v>
      </c>
      <c r="J32" s="490" t="s">
        <v>3014</v>
      </c>
      <c r="K32" s="492"/>
      <c r="L32" s="494"/>
      <c r="M32" s="148" t="s">
        <v>36</v>
      </c>
      <c r="N32" s="503" t="str">
        <f t="array" ref="N32">IFERROR(INDEX(All_User_backup!H:H,MATCH(Old_List!B32,All_User_backup!B:B,0)),"퇴사자?")</f>
        <v>퇴사자?</v>
      </c>
      <c r="O32" s="487"/>
      <c r="P32" s="487" t="str">
        <f t="array" ref="P32">IFERROR(INDEX(All_User_backup!D:D,MATCH(Old_List!B32,All_User_backup!B:B,0)),"퇴사자?")</f>
        <v>퇴사자?</v>
      </c>
    </row>
    <row r="33" hidden="1">
      <c r="A33" s="479" t="s">
        <v>20</v>
      </c>
      <c r="B33" s="480" t="s">
        <v>208</v>
      </c>
      <c r="C33" s="480" t="s">
        <v>2640</v>
      </c>
      <c r="D33" s="480" t="s">
        <v>913</v>
      </c>
      <c r="E33" s="481" t="s">
        <v>2992</v>
      </c>
      <c r="F33" s="481" t="s">
        <v>2987</v>
      </c>
      <c r="G33" s="483"/>
      <c r="H33" s="484">
        <v>1.4917753E7</v>
      </c>
      <c r="I33" s="479">
        <v>216891.0</v>
      </c>
      <c r="J33" s="480" t="s">
        <v>212</v>
      </c>
      <c r="K33" s="483"/>
      <c r="L33" s="485"/>
      <c r="M33" s="486" t="s">
        <v>36</v>
      </c>
      <c r="N33" s="503" t="str">
        <f t="array" ref="N33">IFERROR(INDEX(All_User_backup!H:H,MATCH(Old_List!B33,All_User_backup!B:B,0)),"퇴사자?")</f>
        <v>5CD5179KHZ</v>
      </c>
      <c r="O33" s="487"/>
      <c r="P33" s="487" t="str">
        <f t="array" ref="P33">IFERROR(INDEX(All_User_backup!D:D,MATCH(Old_List!B33,All_User_backup!B:B,0)),"퇴사자?")</f>
        <v>young.hwang@stryker.com</v>
      </c>
    </row>
    <row r="34" hidden="1">
      <c r="A34" s="488" t="s">
        <v>77</v>
      </c>
      <c r="B34" s="489" t="s">
        <v>3015</v>
      </c>
      <c r="C34" s="489" t="s">
        <v>2640</v>
      </c>
      <c r="D34" s="490" t="s">
        <v>913</v>
      </c>
      <c r="E34" s="491" t="s">
        <v>29</v>
      </c>
      <c r="F34" s="505" t="s">
        <v>2987</v>
      </c>
      <c r="G34" s="492"/>
      <c r="H34" s="493">
        <v>1.4917763E7</v>
      </c>
      <c r="I34" s="488">
        <v>400538.0</v>
      </c>
      <c r="J34" s="490" t="s">
        <v>3016</v>
      </c>
      <c r="K34" s="492"/>
      <c r="L34" s="494"/>
      <c r="M34" s="148" t="s">
        <v>36</v>
      </c>
      <c r="N34" s="503" t="str">
        <f t="array" ref="N34">IFERROR(INDEX(All_User_backup!H:H,MATCH(Old_List!B34,All_User_backup!B:B,0)),"퇴사자?")</f>
        <v>퇴사자?</v>
      </c>
      <c r="O34" s="487"/>
      <c r="P34" s="487" t="str">
        <f t="array" ref="P34">IFERROR(INDEX(All_User_backup!D:D,MATCH(Old_List!B34,All_User_backup!B:B,0)),"퇴사자?")</f>
        <v>퇴사자?</v>
      </c>
    </row>
    <row r="35" hidden="1">
      <c r="A35" s="488" t="s">
        <v>52</v>
      </c>
      <c r="B35" s="489" t="s">
        <v>585</v>
      </c>
      <c r="C35" s="489" t="s">
        <v>2640</v>
      </c>
      <c r="D35" s="490" t="s">
        <v>913</v>
      </c>
      <c r="E35" s="491" t="s">
        <v>587</v>
      </c>
      <c r="F35" s="505" t="s">
        <v>2987</v>
      </c>
      <c r="G35" s="492"/>
      <c r="H35" s="493">
        <v>1.4917773E7</v>
      </c>
      <c r="I35" s="488">
        <v>216889.0</v>
      </c>
      <c r="J35" s="490" t="s">
        <v>589</v>
      </c>
      <c r="K35" s="492"/>
      <c r="L35" s="494"/>
      <c r="M35" s="148" t="s">
        <v>36</v>
      </c>
      <c r="N35" s="503" t="str">
        <f t="array" ref="N35">IFERROR(INDEX(All_User_backup!H:H,MATCH(Old_List!B35,All_User_backup!B:B,0)),"퇴사자?")</f>
        <v>없음</v>
      </c>
      <c r="O35" s="487"/>
      <c r="P35" s="487" t="str">
        <f t="array" ref="P35">IFERROR(INDEX(All_User_backup!D:D,MATCH(Old_List!B35,All_User_backup!B:B,0)),"퇴사자?")</f>
        <v>jin.park@stryker.com</v>
      </c>
    </row>
    <row r="36" hidden="1">
      <c r="A36" s="488" t="s">
        <v>671</v>
      </c>
      <c r="B36" s="489" t="s">
        <v>819</v>
      </c>
      <c r="C36" s="489" t="s">
        <v>2640</v>
      </c>
      <c r="D36" s="490" t="s">
        <v>913</v>
      </c>
      <c r="E36" s="480" t="s">
        <v>3017</v>
      </c>
      <c r="F36" s="505" t="s">
        <v>2985</v>
      </c>
      <c r="G36" s="492"/>
      <c r="H36" s="508"/>
      <c r="I36" s="488">
        <v>400541.0</v>
      </c>
      <c r="J36" s="490" t="s">
        <v>3018</v>
      </c>
      <c r="K36" s="492"/>
      <c r="L36" s="494"/>
      <c r="M36" s="148" t="s">
        <v>36</v>
      </c>
      <c r="N36" s="503" t="str">
        <f t="array" ref="N36">IFERROR(INDEX(All_User_backup!H:H,MATCH(Old_List!B36,All_User_backup!B:B,0)),"퇴사자?")</f>
        <v>5CD409908N</v>
      </c>
      <c r="O36" s="487"/>
      <c r="P36" s="487" t="str">
        <f t="array" ref="P36">IFERROR(INDEX(All_User_backup!D:D,MATCH(Old_List!B36,All_User_backup!B:B,0)),"퇴사자?")</f>
        <v>kmultiuser@stryker.com</v>
      </c>
    </row>
    <row r="37" hidden="1">
      <c r="A37" s="488" t="s">
        <v>142</v>
      </c>
      <c r="B37" s="489" t="s">
        <v>2356</v>
      </c>
      <c r="C37" s="489" t="s">
        <v>2640</v>
      </c>
      <c r="D37" s="490" t="s">
        <v>913</v>
      </c>
      <c r="E37" s="491" t="s">
        <v>2357</v>
      </c>
      <c r="F37" s="505" t="s">
        <v>2987</v>
      </c>
      <c r="G37" s="492"/>
      <c r="H37" s="493">
        <v>1.4917793E7</v>
      </c>
      <c r="I37" s="488">
        <v>400528.0</v>
      </c>
      <c r="J37" s="490" t="s">
        <v>2486</v>
      </c>
      <c r="K37" s="492"/>
      <c r="L37" s="494"/>
      <c r="M37" s="148" t="s">
        <v>36</v>
      </c>
      <c r="N37" s="503" t="str">
        <f t="array" ref="N37">IFERROR(INDEX(All_User_backup!H:H,MATCH(Old_List!B37,All_User_backup!B:B,0)),"퇴사자?")</f>
        <v>없음</v>
      </c>
      <c r="O37" s="487"/>
      <c r="P37" s="487" t="str">
        <f t="array" ref="P37">IFERROR(INDEX(All_User_backup!D:D,MATCH(Old_List!B37,All_User_backup!B:B,0)),"퇴사자?")</f>
        <v>jason.han@stryker.com</v>
      </c>
    </row>
    <row r="38" hidden="1">
      <c r="A38" s="488" t="s">
        <v>628</v>
      </c>
      <c r="B38" s="489" t="s">
        <v>374</v>
      </c>
      <c r="C38" s="489" t="s">
        <v>2640</v>
      </c>
      <c r="D38" s="490" t="s">
        <v>913</v>
      </c>
      <c r="E38" s="491" t="s">
        <v>376</v>
      </c>
      <c r="F38" s="505" t="s">
        <v>2987</v>
      </c>
      <c r="G38" s="492"/>
      <c r="H38" s="493">
        <v>1.4917803E7</v>
      </c>
      <c r="I38" s="488">
        <v>400524.0</v>
      </c>
      <c r="J38" s="490" t="s">
        <v>379</v>
      </c>
      <c r="K38" s="492"/>
      <c r="L38" s="494"/>
      <c r="M38" s="148" t="s">
        <v>36</v>
      </c>
      <c r="N38" s="503" t="str">
        <f t="array" ref="N38">IFERROR(INDEX(All_User_backup!H:H,MATCH(Old_List!B38,All_User_backup!B:B,0)),"퇴사자?")</f>
        <v>5CD5179KH1</v>
      </c>
      <c r="O38" s="487"/>
      <c r="P38" s="487" t="str">
        <f t="array" ref="P38">IFERROR(INDEX(All_User_backup!D:D,MATCH(Old_List!B38,All_User_backup!B:B,0)),"퇴사자?")</f>
        <v>soyoun.kim@stryker.com</v>
      </c>
    </row>
    <row r="39">
      <c r="A39" s="488" t="s">
        <v>671</v>
      </c>
      <c r="B39" s="489" t="s">
        <v>1959</v>
      </c>
      <c r="C39" s="489" t="s">
        <v>2640</v>
      </c>
      <c r="D39" s="490" t="s">
        <v>913</v>
      </c>
      <c r="E39" s="507"/>
      <c r="F39" s="509" t="s">
        <v>2987</v>
      </c>
      <c r="G39" s="492"/>
      <c r="H39" s="493">
        <v>1.4917813E7</v>
      </c>
      <c r="I39" s="488">
        <v>400530.0</v>
      </c>
      <c r="J39" s="490" t="s">
        <v>3019</v>
      </c>
      <c r="K39" s="492"/>
      <c r="L39" s="494"/>
      <c r="M39" s="148" t="s">
        <v>36</v>
      </c>
      <c r="N39" s="128" t="str">
        <f t="array" ref="N39">IFERROR(INDEX(All_User_backup!H:H,MATCH(Old_List!B39,All_User_backup!B:B,0)),"없음")</f>
        <v>없음</v>
      </c>
      <c r="O39" s="487"/>
      <c r="P39" s="487" t="str">
        <f t="array" ref="P39">IFERROR(INDEX(All_User_backup!D:D,MATCH(Old_List!B39,All_User_backup!B:B,0)),"퇴사자?")</f>
        <v>퇴사자?</v>
      </c>
    </row>
    <row r="40" hidden="1">
      <c r="A40" s="488" t="s">
        <v>52</v>
      </c>
      <c r="B40" s="489" t="s">
        <v>2606</v>
      </c>
      <c r="C40" s="489" t="s">
        <v>2640</v>
      </c>
      <c r="D40" s="490" t="s">
        <v>913</v>
      </c>
      <c r="E40" s="491" t="s">
        <v>2776</v>
      </c>
      <c r="F40" s="509" t="s">
        <v>2987</v>
      </c>
      <c r="G40" s="492"/>
      <c r="H40" s="493">
        <v>1.4917823E7</v>
      </c>
      <c r="I40" s="488">
        <v>216880.0</v>
      </c>
      <c r="J40" s="490" t="s">
        <v>599</v>
      </c>
      <c r="K40" s="492"/>
      <c r="L40" s="494"/>
      <c r="M40" s="148" t="s">
        <v>36</v>
      </c>
      <c r="N40" s="503" t="str">
        <f t="array" ref="N40">IFERROR(INDEX(All_User_backup!H:H,MATCH(Old_List!B40,All_User_backup!B:B,0)),"퇴사자?")</f>
        <v>퇴사자?</v>
      </c>
      <c r="O40" s="487"/>
      <c r="P40" s="487" t="str">
        <f t="array" ref="P40">IFERROR(INDEX(All_User_backup!D:D,MATCH(Old_List!B40,All_User_backup!B:B,0)),"퇴사자?")</f>
        <v>퇴사자?</v>
      </c>
    </row>
    <row r="41" hidden="1">
      <c r="A41" s="488" t="s">
        <v>2983</v>
      </c>
      <c r="B41" s="489" t="s">
        <v>561</v>
      </c>
      <c r="C41" s="489" t="s">
        <v>2640</v>
      </c>
      <c r="D41" s="490" t="s">
        <v>913</v>
      </c>
      <c r="E41" s="491" t="s">
        <v>563</v>
      </c>
      <c r="F41" s="509" t="s">
        <v>2987</v>
      </c>
      <c r="G41" s="492"/>
      <c r="H41" s="493">
        <v>1.4918353E7</v>
      </c>
      <c r="I41" s="488">
        <v>216914.0</v>
      </c>
      <c r="J41" s="490" t="s">
        <v>565</v>
      </c>
      <c r="K41" s="492"/>
      <c r="L41" s="494"/>
      <c r="M41" s="148" t="s">
        <v>36</v>
      </c>
      <c r="N41" s="128" t="str">
        <f t="array" ref="N41">IFERROR(INDEX(All_User_backup!H:H,MATCH(Old_List!B41,All_User_backup!B:B,0)),"퇴사자?")</f>
        <v>5CG53403D9</v>
      </c>
      <c r="O41" s="487"/>
      <c r="P41" s="487" t="str">
        <f t="array" ref="P41">IFERROR(INDEX(All_User_backup!D:D,MATCH(Old_List!B41,All_User_backup!B:B,0)),"퇴사자?")</f>
        <v>james.park@stryker.com</v>
      </c>
    </row>
    <row r="42" hidden="1">
      <c r="A42" s="488" t="s">
        <v>671</v>
      </c>
      <c r="B42" s="489" t="s">
        <v>3020</v>
      </c>
      <c r="C42" s="489" t="s">
        <v>2640</v>
      </c>
      <c r="D42" s="490" t="s">
        <v>913</v>
      </c>
      <c r="E42" s="491" t="s">
        <v>29</v>
      </c>
      <c r="F42" s="509" t="s">
        <v>2985</v>
      </c>
      <c r="G42" s="492"/>
      <c r="H42" s="493">
        <v>1.4918343E7</v>
      </c>
      <c r="I42" s="488">
        <v>400518.0</v>
      </c>
      <c r="J42" s="490" t="s">
        <v>3021</v>
      </c>
      <c r="K42" s="492"/>
      <c r="L42" s="494"/>
      <c r="M42" s="148" t="s">
        <v>36</v>
      </c>
      <c r="N42" s="503" t="str">
        <f t="array" ref="N42">IFERROR(INDEX(All_User_backup!H:H,MATCH(Old_List!B42,All_User_backup!B:B,0)),"퇴사자?")</f>
        <v>퇴사자?</v>
      </c>
      <c r="O42" s="487"/>
      <c r="P42" s="487" t="str">
        <f t="array" ref="P42">IFERROR(INDEX(All_User_backup!D:D,MATCH(Old_List!B42,All_User_backup!B:B,0)),"퇴사자?")</f>
        <v>퇴사자?</v>
      </c>
    </row>
    <row r="43" hidden="1">
      <c r="A43" s="488" t="s">
        <v>940</v>
      </c>
      <c r="B43" s="510" t="s">
        <v>2257</v>
      </c>
      <c r="C43" s="489" t="s">
        <v>2640</v>
      </c>
      <c r="D43" s="490" t="s">
        <v>913</v>
      </c>
      <c r="E43" s="491" t="s">
        <v>2258</v>
      </c>
      <c r="F43" s="509" t="s">
        <v>2987</v>
      </c>
      <c r="G43" s="492"/>
      <c r="H43" s="493">
        <v>1.4918333E7</v>
      </c>
      <c r="I43" s="488">
        <v>400519.0</v>
      </c>
      <c r="J43" s="490" t="s">
        <v>2783</v>
      </c>
      <c r="K43" s="492"/>
      <c r="L43" s="494"/>
      <c r="M43" s="148" t="s">
        <v>36</v>
      </c>
      <c r="N43" s="128" t="str">
        <f t="array" ref="N43">IFERROR(INDEX(All_User_backup!H:H,MATCH(Old_List!B43,All_User_backup!B:B,0)),"퇴사자?")</f>
        <v>퇴사자?</v>
      </c>
      <c r="O43" s="487"/>
      <c r="P43" s="487" t="str">
        <f t="array" ref="P43">IFERROR(INDEX(All_User_backup!D:D,MATCH(Old_List!B43,All_User_backup!B:B,0)),"퇴사자?")</f>
        <v>퇴사자?</v>
      </c>
    </row>
    <row r="44">
      <c r="A44" s="488" t="s">
        <v>671</v>
      </c>
      <c r="B44" s="489" t="s">
        <v>1959</v>
      </c>
      <c r="C44" s="489" t="s">
        <v>2640</v>
      </c>
      <c r="D44" s="490" t="s">
        <v>913</v>
      </c>
      <c r="E44" s="507"/>
      <c r="F44" s="509" t="s">
        <v>2987</v>
      </c>
      <c r="G44" s="492"/>
      <c r="H44" s="493">
        <v>1.4918323E7</v>
      </c>
      <c r="I44" s="488">
        <v>216883.0</v>
      </c>
      <c r="J44" s="490" t="s">
        <v>396</v>
      </c>
      <c r="K44" s="492"/>
      <c r="L44" s="494"/>
      <c r="M44" s="148" t="s">
        <v>36</v>
      </c>
      <c r="N44" s="128" t="str">
        <f t="array" ref="N44">IFERROR(INDEX(All_User_backup!H:H,MATCH(Old_List!B44,All_User_backup!B:B,0)),"없음")</f>
        <v>없음</v>
      </c>
      <c r="O44" s="487"/>
      <c r="P44" s="487" t="str">
        <f t="array" ref="P44">IFERROR(INDEX(All_User_backup!D:D,MATCH(Old_List!B44,All_User_backup!B:B,0)),"퇴사자?")</f>
        <v>퇴사자?</v>
      </c>
    </row>
    <row r="45" hidden="1">
      <c r="A45" s="488" t="s">
        <v>77</v>
      </c>
      <c r="B45" s="489" t="s">
        <v>3022</v>
      </c>
      <c r="C45" s="489" t="s">
        <v>2640</v>
      </c>
      <c r="D45" s="490" t="s">
        <v>913</v>
      </c>
      <c r="E45" s="491" t="s">
        <v>29</v>
      </c>
      <c r="F45" s="509" t="s">
        <v>2985</v>
      </c>
      <c r="G45" s="492"/>
      <c r="H45" s="493">
        <v>1.4918313E7</v>
      </c>
      <c r="I45" s="488">
        <v>216898.0</v>
      </c>
      <c r="J45" s="490" t="s">
        <v>3023</v>
      </c>
      <c r="K45" s="492"/>
      <c r="L45" s="494"/>
      <c r="M45" s="148" t="s">
        <v>36</v>
      </c>
      <c r="N45" s="503" t="str">
        <f t="array" ref="N45">IFERROR(INDEX(All_User_backup!H:H,MATCH(Old_List!B45,All_User_backup!B:B,0)),"퇴사자?")</f>
        <v>퇴사자?</v>
      </c>
      <c r="O45" s="487"/>
      <c r="P45" s="487" t="str">
        <f t="array" ref="P45">IFERROR(INDEX(All_User_backup!D:D,MATCH(Old_List!B45,All_User_backup!B:B,0)),"퇴사자?")</f>
        <v>퇴사자?</v>
      </c>
    </row>
    <row r="46" hidden="1">
      <c r="A46" s="488" t="s">
        <v>52</v>
      </c>
      <c r="B46" s="489" t="s">
        <v>106</v>
      </c>
      <c r="C46" s="489" t="s">
        <v>2640</v>
      </c>
      <c r="D46" s="490" t="s">
        <v>913</v>
      </c>
      <c r="E46" s="491" t="s">
        <v>108</v>
      </c>
      <c r="F46" s="509" t="s">
        <v>2987</v>
      </c>
      <c r="G46" s="492"/>
      <c r="H46" s="493">
        <v>1.4918303E7</v>
      </c>
      <c r="I46" s="488">
        <v>216915.0</v>
      </c>
      <c r="J46" s="490" t="s">
        <v>110</v>
      </c>
      <c r="K46" s="492"/>
      <c r="L46" s="494"/>
      <c r="M46" s="148" t="s">
        <v>36</v>
      </c>
      <c r="N46" s="503" t="str">
        <f t="array" ref="N46">IFERROR(INDEX(All_User_backup!H:H,MATCH(Old_List!B46,All_User_backup!B:B,0)),"퇴사자?")</f>
        <v>5CD5179KHG</v>
      </c>
      <c r="O46" s="487"/>
      <c r="P46" s="487" t="str">
        <f t="array" ref="P46">IFERROR(INDEX(All_User_backup!D:D,MATCH(Old_List!B46,All_User_backup!B:B,0)),"퇴사자?")</f>
        <v>martin.cho@stryker.com</v>
      </c>
    </row>
    <row r="47" hidden="1">
      <c r="A47" s="488" t="s">
        <v>52</v>
      </c>
      <c r="B47" s="489" t="s">
        <v>644</v>
      </c>
      <c r="C47" s="489" t="s">
        <v>2640</v>
      </c>
      <c r="D47" s="490" t="s">
        <v>913</v>
      </c>
      <c r="E47" s="491" t="s">
        <v>646</v>
      </c>
      <c r="F47" s="509" t="s">
        <v>2987</v>
      </c>
      <c r="G47" s="492"/>
      <c r="H47" s="493">
        <v>1.4918293E7</v>
      </c>
      <c r="I47" s="488">
        <v>216904.0</v>
      </c>
      <c r="J47" s="490" t="s">
        <v>647</v>
      </c>
      <c r="K47" s="492"/>
      <c r="L47" s="494"/>
      <c r="M47" s="148" t="s">
        <v>36</v>
      </c>
      <c r="N47" s="503" t="str">
        <f t="array" ref="N47">IFERROR(INDEX(All_User_backup!H:H,MATCH(Old_List!B47,All_User_backup!B:B,0)),"퇴사자?")</f>
        <v>5CD5179KHC</v>
      </c>
      <c r="O47" s="487"/>
      <c r="P47" s="487" t="str">
        <f t="array" ref="P47">IFERROR(INDEX(All_User_backup!D:D,MATCH(Old_List!B47,All_User_backup!B:B,0)),"퇴사자?")</f>
        <v>dana.shin@stryker.com</v>
      </c>
    </row>
    <row r="48" hidden="1">
      <c r="A48" s="479" t="s">
        <v>20</v>
      </c>
      <c r="B48" s="480" t="s">
        <v>2790</v>
      </c>
      <c r="C48" s="480" t="s">
        <v>2640</v>
      </c>
      <c r="D48" s="480" t="s">
        <v>913</v>
      </c>
      <c r="E48" s="481" t="s">
        <v>2992</v>
      </c>
      <c r="F48" s="511" t="s">
        <v>2987</v>
      </c>
      <c r="G48" s="483"/>
      <c r="H48" s="484">
        <v>1.4918283E7</v>
      </c>
      <c r="I48" s="479">
        <v>401472.0</v>
      </c>
      <c r="J48" s="480" t="s">
        <v>666</v>
      </c>
      <c r="K48" s="483"/>
      <c r="L48" s="485"/>
      <c r="M48" s="486" t="s">
        <v>36</v>
      </c>
      <c r="N48" s="503" t="str">
        <f t="array" ref="N48">IFERROR(INDEX(All_User_backup!H:H,MATCH(Old_List!B48,All_User_backup!B:B,0)),"퇴사자?")</f>
        <v>퇴사자?</v>
      </c>
      <c r="O48" s="487"/>
      <c r="P48" s="487" t="str">
        <f t="array" ref="P48">IFERROR(INDEX(All_User_backup!D:D,MATCH(Old_List!B48,All_User_backup!B:B,0)),"퇴사자?")</f>
        <v>퇴사자?</v>
      </c>
    </row>
    <row r="49" hidden="1">
      <c r="A49" s="488" t="s">
        <v>2983</v>
      </c>
      <c r="B49" s="489" t="s">
        <v>2256</v>
      </c>
      <c r="C49" s="489" t="s">
        <v>2640</v>
      </c>
      <c r="D49" s="490" t="s">
        <v>913</v>
      </c>
      <c r="E49" s="491" t="s">
        <v>2255</v>
      </c>
      <c r="F49" s="509" t="s">
        <v>2987</v>
      </c>
      <c r="G49" s="492"/>
      <c r="H49" s="493">
        <v>1.4918273E7</v>
      </c>
      <c r="I49" s="488">
        <v>216902.0</v>
      </c>
      <c r="J49" s="490" t="s">
        <v>3024</v>
      </c>
      <c r="K49" s="492"/>
      <c r="L49" s="494"/>
      <c r="M49" s="148" t="s">
        <v>36</v>
      </c>
      <c r="N49" s="503" t="str">
        <f t="array" ref="N49">IFERROR(INDEX(All_User_backup!H:H,MATCH(Old_List!B49,All_User_backup!B:B,0)),"퇴사자?")</f>
        <v>퇴사자?</v>
      </c>
      <c r="O49" s="487"/>
      <c r="P49" s="487" t="str">
        <f t="array" ref="P49">IFERROR(INDEX(All_User_backup!D:D,MATCH(Old_List!B49,All_User_backup!B:B,0)),"퇴사자?")</f>
        <v>퇴사자?</v>
      </c>
    </row>
    <row r="50" hidden="1">
      <c r="A50" s="488" t="s">
        <v>628</v>
      </c>
      <c r="B50" s="489" t="s">
        <v>624</v>
      </c>
      <c r="C50" s="489" t="s">
        <v>2640</v>
      </c>
      <c r="D50" s="490" t="s">
        <v>913</v>
      </c>
      <c r="E50" s="491" t="s">
        <v>626</v>
      </c>
      <c r="F50" s="491" t="s">
        <v>2987</v>
      </c>
      <c r="G50" s="492"/>
      <c r="H50" s="493">
        <v>1.4918263E7</v>
      </c>
      <c r="I50" s="488">
        <v>400527.0</v>
      </c>
      <c r="J50" s="490" t="s">
        <v>629</v>
      </c>
      <c r="K50" s="492"/>
      <c r="L50" s="494"/>
      <c r="M50" s="148" t="s">
        <v>36</v>
      </c>
      <c r="N50" s="503" t="str">
        <f t="array" ref="N50">IFERROR(INDEX(All_User_backup!H:H,MATCH(Old_List!B50,All_User_backup!B:B,0)),"퇴사자?")</f>
        <v>5CD5179KH0</v>
      </c>
      <c r="O50" s="487"/>
      <c r="P50" s="487" t="str">
        <f t="array" ref="P50">IFERROR(INDEX(All_User_backup!D:D,MATCH(Old_List!B50,All_User_backup!B:B,0)),"퇴사자?")</f>
        <v>jaehee.seo@stryker.com</v>
      </c>
    </row>
    <row r="51" hidden="1">
      <c r="A51" s="479" t="s">
        <v>2983</v>
      </c>
      <c r="B51" s="480" t="s">
        <v>2646</v>
      </c>
      <c r="C51" s="480" t="s">
        <v>2640</v>
      </c>
      <c r="D51" s="480" t="s">
        <v>913</v>
      </c>
      <c r="E51" s="481" t="s">
        <v>2992</v>
      </c>
      <c r="F51" s="481" t="s">
        <v>2987</v>
      </c>
      <c r="G51" s="483"/>
      <c r="H51" s="484">
        <v>1.4918263E7</v>
      </c>
      <c r="I51" s="479">
        <v>404556.0</v>
      </c>
      <c r="J51" s="483"/>
      <c r="K51" s="483"/>
      <c r="L51" s="485"/>
      <c r="M51" s="486" t="s">
        <v>36</v>
      </c>
      <c r="N51" s="503" t="str">
        <f t="array" ref="N51">IFERROR(INDEX(All_User_backup!H:H,MATCH(Old_List!B51,All_User_backup!B:B,0)),"퇴사자?")</f>
        <v>퇴사자?</v>
      </c>
      <c r="O51" s="487"/>
      <c r="P51" s="487" t="str">
        <f t="array" ref="P51">IFERROR(INDEX(All_User_backup!D:D,MATCH(Old_List!B51,All_User_backup!B:B,0)),"퇴사자?")</f>
        <v>퇴사자?</v>
      </c>
    </row>
    <row r="52">
      <c r="A52" s="488" t="s">
        <v>671</v>
      </c>
      <c r="B52" s="489" t="s">
        <v>1959</v>
      </c>
      <c r="C52" s="489" t="s">
        <v>2640</v>
      </c>
      <c r="D52" s="490" t="s">
        <v>913</v>
      </c>
      <c r="E52" s="507"/>
      <c r="F52" s="491" t="s">
        <v>2987</v>
      </c>
      <c r="G52" s="492"/>
      <c r="H52" s="493">
        <v>1.4918243E7</v>
      </c>
      <c r="I52" s="488">
        <v>404554.0</v>
      </c>
      <c r="J52" s="490" t="s">
        <v>3025</v>
      </c>
      <c r="K52" s="492"/>
      <c r="L52" s="494"/>
      <c r="M52" s="148" t="s">
        <v>36</v>
      </c>
      <c r="N52" s="128" t="str">
        <f t="array" ref="N52">IFERROR(INDEX(All_User_backup!H:H,MATCH(Old_List!B52,All_User_backup!B:B,0)),"없음")</f>
        <v>없음</v>
      </c>
      <c r="O52" s="487"/>
      <c r="P52" s="487" t="str">
        <f t="array" ref="P52">IFERROR(INDEX(All_User_backup!D:D,MATCH(Old_List!B52,All_User_backup!B:B,0)),"퇴사자?")</f>
        <v>퇴사자?</v>
      </c>
    </row>
    <row r="53" hidden="1">
      <c r="A53" s="488" t="s">
        <v>3011</v>
      </c>
      <c r="B53" s="512" t="s">
        <v>3026</v>
      </c>
      <c r="C53" s="489" t="s">
        <v>2640</v>
      </c>
      <c r="D53" s="490" t="s">
        <v>913</v>
      </c>
      <c r="E53" s="491" t="s">
        <v>29</v>
      </c>
      <c r="F53" s="491" t="s">
        <v>3013</v>
      </c>
      <c r="G53" s="492"/>
      <c r="H53" s="493">
        <v>1.4918253E7</v>
      </c>
      <c r="I53" s="488">
        <v>404551.0</v>
      </c>
      <c r="J53" s="490" t="s">
        <v>3027</v>
      </c>
      <c r="K53" s="492"/>
      <c r="L53" s="494"/>
      <c r="M53" s="148" t="s">
        <v>36</v>
      </c>
      <c r="N53" s="503" t="str">
        <f t="array" ref="N53">IFERROR(INDEX(All_User_backup!H:H,MATCH(Old_List!B53,All_User_backup!B:B,0)),"퇴사자?")</f>
        <v>퇴사자?</v>
      </c>
      <c r="O53" s="487"/>
      <c r="P53" s="487" t="str">
        <f t="array" ref="P53">IFERROR(INDEX(All_User_backup!D:D,MATCH(Old_List!B53,All_User_backup!B:B,0)),"퇴사자?")</f>
        <v>퇴사자?</v>
      </c>
    </row>
    <row r="54" hidden="1">
      <c r="A54" s="488" t="s">
        <v>671</v>
      </c>
      <c r="B54" s="490" t="s">
        <v>1959</v>
      </c>
      <c r="C54" s="490" t="s">
        <v>2640</v>
      </c>
      <c r="D54" s="490" t="s">
        <v>913</v>
      </c>
      <c r="E54" s="507"/>
      <c r="F54" s="505" t="s">
        <v>2985</v>
      </c>
      <c r="G54" s="492"/>
      <c r="H54" s="513">
        <v>1.4918253E7</v>
      </c>
      <c r="I54" s="488">
        <v>404552.0</v>
      </c>
      <c r="J54" s="490" t="s">
        <v>3028</v>
      </c>
      <c r="K54" s="492"/>
      <c r="L54" s="494"/>
      <c r="M54" s="148" t="s">
        <v>36</v>
      </c>
      <c r="N54" s="503" t="str">
        <f t="array" ref="N54">IFERROR(INDEX(All_User_backup!H:H,MATCH(Old_List!B54,All_User_backup!B:B,0)),"퇴사자?")</f>
        <v>퇴사자?</v>
      </c>
      <c r="O54" s="487"/>
      <c r="P54" s="487" t="str">
        <f t="array" ref="P54">IFERROR(INDEX(All_User_backup!D:D,MATCH(Old_List!B54,All_User_backup!B:B,0)),"퇴사자?")</f>
        <v>퇴사자?</v>
      </c>
    </row>
    <row r="55" hidden="1">
      <c r="A55" s="488" t="s">
        <v>202</v>
      </c>
      <c r="B55" s="489" t="s">
        <v>2369</v>
      </c>
      <c r="C55" s="489" t="s">
        <v>2640</v>
      </c>
      <c r="D55" s="490" t="s">
        <v>913</v>
      </c>
      <c r="E55" s="491" t="s">
        <v>2370</v>
      </c>
      <c r="F55" s="505" t="s">
        <v>2987</v>
      </c>
      <c r="G55" s="492"/>
      <c r="H55" s="493">
        <v>1.4918223E7</v>
      </c>
      <c r="I55" s="488">
        <v>404553.0</v>
      </c>
      <c r="J55" s="490" t="s">
        <v>2492</v>
      </c>
      <c r="K55" s="492"/>
      <c r="L55" s="494"/>
      <c r="M55" s="148" t="s">
        <v>36</v>
      </c>
      <c r="N55" s="503" t="str">
        <f t="array" ref="N55">IFERROR(INDEX(All_User_backup!H:H,MATCH(Old_List!B55,All_User_backup!B:B,0)),"퇴사자?")</f>
        <v>없음</v>
      </c>
      <c r="O55" s="487"/>
      <c r="P55" s="487" t="str">
        <f t="array" ref="P55">IFERROR(INDEX(All_User_backup!D:D,MATCH(Old_List!B55,All_User_backup!B:B,0)),"퇴사자?")</f>
        <v>James.Kang@stryker.com</v>
      </c>
    </row>
    <row r="56" hidden="1">
      <c r="A56" s="479" t="s">
        <v>20</v>
      </c>
      <c r="B56" s="480" t="s">
        <v>312</v>
      </c>
      <c r="C56" s="480" t="s">
        <v>2640</v>
      </c>
      <c r="D56" s="480" t="s">
        <v>913</v>
      </c>
      <c r="E56" s="481" t="s">
        <v>2992</v>
      </c>
      <c r="F56" s="482" t="s">
        <v>2987</v>
      </c>
      <c r="G56" s="483"/>
      <c r="H56" s="484">
        <v>1.4918213E7</v>
      </c>
      <c r="I56" s="479">
        <v>404550.0</v>
      </c>
      <c r="J56" s="480" t="s">
        <v>316</v>
      </c>
      <c r="K56" s="483"/>
      <c r="L56" s="485"/>
      <c r="M56" s="486" t="s">
        <v>36</v>
      </c>
      <c r="N56" s="503" t="str">
        <f t="array" ref="N56">IFERROR(INDEX(All_User_backup!H:H,MATCH(Old_List!B56,All_User_backup!B:B,0)),"퇴사자?")</f>
        <v>5CD5179KJB</v>
      </c>
      <c r="O56" s="487"/>
      <c r="P56" s="487" t="str">
        <f t="array" ref="P56">IFERROR(INDEX(All_User_backup!D:D,MATCH(Old_List!B56,All_User_backup!B:B,0)),"퇴사자?")</f>
        <v>Rayna.Kim@stryker.com</v>
      </c>
    </row>
    <row r="57" hidden="1">
      <c r="A57" s="488" t="s">
        <v>671</v>
      </c>
      <c r="B57" s="489" t="s">
        <v>1959</v>
      </c>
      <c r="C57" s="489" t="s">
        <v>2640</v>
      </c>
      <c r="D57" s="490" t="s">
        <v>913</v>
      </c>
      <c r="E57" s="514"/>
      <c r="F57" s="515" t="s">
        <v>2987</v>
      </c>
      <c r="G57" s="492"/>
      <c r="H57" s="493">
        <v>1.4917893E7</v>
      </c>
      <c r="I57" s="488">
        <v>401470.0</v>
      </c>
      <c r="J57" s="490" t="s">
        <v>3029</v>
      </c>
      <c r="K57" s="492"/>
      <c r="L57" s="494"/>
      <c r="M57" s="148" t="s">
        <v>36</v>
      </c>
      <c r="N57" s="503" t="str">
        <f t="array" ref="N57">IFERROR(INDEX(All_User_backup!H:H,MATCH(Old_List!B57,All_User_backup!B:B,0)),"퇴사자?")</f>
        <v>퇴사자?</v>
      </c>
      <c r="O57" s="487"/>
      <c r="P57" s="487" t="str">
        <f t="array" ref="P57">IFERROR(INDEX(All_User_backup!D:D,MATCH(Old_List!B57,All_User_backup!B:B,0)),"퇴사자?")</f>
        <v>퇴사자?</v>
      </c>
    </row>
    <row r="58" hidden="1">
      <c r="A58" s="488" t="s">
        <v>671</v>
      </c>
      <c r="B58" s="489" t="s">
        <v>1959</v>
      </c>
      <c r="C58" s="489" t="s">
        <v>2640</v>
      </c>
      <c r="D58" s="490" t="s">
        <v>913</v>
      </c>
      <c r="E58" s="507"/>
      <c r="F58" s="505" t="s">
        <v>2987</v>
      </c>
      <c r="G58" s="492"/>
      <c r="H58" s="493">
        <v>1.4917883E7</v>
      </c>
      <c r="I58" s="488">
        <v>216892.0</v>
      </c>
      <c r="J58" s="490" t="s">
        <v>3030</v>
      </c>
      <c r="K58" s="492"/>
      <c r="L58" s="494"/>
      <c r="M58" s="148" t="s">
        <v>36</v>
      </c>
      <c r="N58" s="503" t="str">
        <f t="array" ref="N58">IFERROR(INDEX(All_User_backup!H:H,MATCH(Old_List!B58,All_User_backup!B:B,0)),"퇴사자?")</f>
        <v>퇴사자?</v>
      </c>
      <c r="O58" s="487"/>
      <c r="P58" s="487" t="str">
        <f t="array" ref="P58">IFERROR(INDEX(All_User_backup!D:D,MATCH(Old_List!B58,All_User_backup!B:B,0)),"퇴사자?")</f>
        <v>퇴사자?</v>
      </c>
    </row>
    <row r="59" hidden="1">
      <c r="A59" s="488" t="s">
        <v>671</v>
      </c>
      <c r="B59" s="489" t="s">
        <v>1959</v>
      </c>
      <c r="C59" s="489" t="s">
        <v>2640</v>
      </c>
      <c r="D59" s="490" t="s">
        <v>913</v>
      </c>
      <c r="E59" s="491" t="s">
        <v>2255</v>
      </c>
      <c r="F59" s="505" t="s">
        <v>2985</v>
      </c>
      <c r="G59" s="492"/>
      <c r="H59" s="493">
        <v>1.4917873E7</v>
      </c>
      <c r="I59" s="488">
        <v>400515.0</v>
      </c>
      <c r="J59" s="490" t="s">
        <v>3031</v>
      </c>
      <c r="K59" s="492"/>
      <c r="L59" s="494"/>
      <c r="M59" s="148" t="s">
        <v>36</v>
      </c>
      <c r="N59" s="503" t="str">
        <f t="array" ref="N59">IFERROR(INDEX(All_User_backup!H:H,MATCH(Old_List!B59,All_User_backup!B:B,0)),"퇴사자?")</f>
        <v>퇴사자?</v>
      </c>
      <c r="O59" s="487"/>
      <c r="P59" s="487" t="str">
        <f t="array" ref="P59">IFERROR(INDEX(All_User_backup!D:D,MATCH(Old_List!B59,All_User_backup!B:B,0)),"퇴사자?")</f>
        <v>퇴사자?</v>
      </c>
    </row>
    <row r="60" hidden="1">
      <c r="A60" s="488" t="s">
        <v>671</v>
      </c>
      <c r="B60" s="489" t="s">
        <v>1959</v>
      </c>
      <c r="C60" s="489" t="s">
        <v>2640</v>
      </c>
      <c r="D60" s="490" t="s">
        <v>913</v>
      </c>
      <c r="E60" s="507"/>
      <c r="F60" s="505" t="s">
        <v>2985</v>
      </c>
      <c r="G60" s="492"/>
      <c r="H60" s="493">
        <v>1.4917863E7</v>
      </c>
      <c r="I60" s="488">
        <v>400523.0</v>
      </c>
      <c r="J60" s="490" t="s">
        <v>3032</v>
      </c>
      <c r="K60" s="492"/>
      <c r="L60" s="494"/>
      <c r="M60" s="148" t="s">
        <v>36</v>
      </c>
      <c r="N60" s="503" t="str">
        <f t="array" ref="N60">IFERROR(INDEX(All_User_backup!H:H,MATCH(Old_List!B60,All_User_backup!B:B,0)),"퇴사자?")</f>
        <v>퇴사자?</v>
      </c>
      <c r="O60" s="487"/>
      <c r="P60" s="487" t="str">
        <f t="array" ref="P60">IFERROR(INDEX(All_User_backup!D:D,MATCH(Old_List!B60,All_User_backup!B:B,0)),"퇴사자?")</f>
        <v>퇴사자?</v>
      </c>
    </row>
    <row r="61" hidden="1">
      <c r="A61" s="488" t="s">
        <v>52</v>
      </c>
      <c r="B61" s="489" t="s">
        <v>471</v>
      </c>
      <c r="C61" s="489" t="s">
        <v>2640</v>
      </c>
      <c r="D61" s="490" t="s">
        <v>913</v>
      </c>
      <c r="E61" s="491" t="s">
        <v>473</v>
      </c>
      <c r="F61" s="505" t="s">
        <v>2987</v>
      </c>
      <c r="G61" s="492"/>
      <c r="H61" s="508"/>
      <c r="I61" s="516"/>
      <c r="J61" s="517"/>
      <c r="K61" s="492"/>
      <c r="L61" s="494"/>
      <c r="M61" s="148" t="s">
        <v>36</v>
      </c>
      <c r="N61" s="503" t="str">
        <f t="array" ref="N61">IFERROR(INDEX(All_User_backup!H:H,MATCH(Old_List!B61,All_User_backup!B:B,0)),"퇴사자?")</f>
        <v>5CD5179KH2</v>
      </c>
      <c r="O61" s="487"/>
      <c r="P61" s="487" t="str">
        <f t="array" ref="P61">IFERROR(INDEX(All_User_backup!D:D,MATCH(Old_List!B61,All_User_backup!B:B,0)),"퇴사자?")</f>
        <v>henry.lee@stryker.com</v>
      </c>
    </row>
    <row r="62">
      <c r="A62" s="488" t="s">
        <v>35</v>
      </c>
      <c r="B62" s="489" t="s">
        <v>30</v>
      </c>
      <c r="C62" s="489" t="s">
        <v>2640</v>
      </c>
      <c r="D62" s="490" t="s">
        <v>913</v>
      </c>
      <c r="E62" s="491" t="s">
        <v>29</v>
      </c>
      <c r="F62" s="505" t="s">
        <v>2987</v>
      </c>
      <c r="G62" s="492"/>
      <c r="H62" s="493">
        <v>1.4917853E7</v>
      </c>
      <c r="I62" s="488">
        <v>216909.0</v>
      </c>
      <c r="J62" s="490" t="s">
        <v>3033</v>
      </c>
      <c r="K62" s="492"/>
      <c r="L62" s="494"/>
      <c r="M62" s="148" t="s">
        <v>36</v>
      </c>
      <c r="N62" s="503" t="str">
        <f t="array" ref="N62">IFERROR(INDEX(All_User_backup!H:H,MATCH(Old_List!B62,All_User_backup!B:B,0)),"퇴사자?")</f>
        <v>5CD5179KJ6</v>
      </c>
      <c r="O62" s="487"/>
      <c r="P62" s="487" t="str">
        <f t="array" ref="P62">IFERROR(INDEX(All_User_backup!D:D,MATCH(Old_List!B62,All_User_backup!B:B,0)),"퇴사자?")</f>
        <v>andrew.ahn@stryker.com</v>
      </c>
    </row>
    <row r="63" hidden="1">
      <c r="A63" s="488" t="s">
        <v>671</v>
      </c>
      <c r="B63" s="510" t="s">
        <v>2521</v>
      </c>
      <c r="C63" s="480" t="s">
        <v>2645</v>
      </c>
      <c r="D63" s="490" t="s">
        <v>3034</v>
      </c>
      <c r="E63" s="507"/>
      <c r="F63" s="505" t="s">
        <v>3035</v>
      </c>
      <c r="G63" s="492"/>
      <c r="H63" s="493">
        <v>1.5134703E7</v>
      </c>
      <c r="I63" s="488">
        <v>404515.0</v>
      </c>
      <c r="J63" s="490" t="s">
        <v>3036</v>
      </c>
      <c r="K63" s="492"/>
      <c r="L63" s="494"/>
      <c r="M63" s="128">
        <v>39255.0</v>
      </c>
      <c r="N63" s="503" t="str">
        <f t="array" ref="N63">IFERROR(INDEX(All_User_backup!H:H,MATCH(Old_List!B63,All_User_backup!B:B,0)),"퇴사자?")</f>
        <v>퇴사자?</v>
      </c>
      <c r="O63" s="487"/>
      <c r="P63" s="487" t="str">
        <f t="array" ref="P63">IFERROR(INDEX(All_User_backup!D:D,MATCH(Old_List!B63,All_User_backup!B:B,0)),"퇴사자?")</f>
        <v>퇴사자?</v>
      </c>
    </row>
    <row r="64" hidden="1">
      <c r="A64" s="488" t="s">
        <v>750</v>
      </c>
      <c r="B64" s="489" t="s">
        <v>3037</v>
      </c>
      <c r="C64" s="489" t="s">
        <v>2645</v>
      </c>
      <c r="D64" s="490" t="s">
        <v>3034</v>
      </c>
      <c r="E64" s="507"/>
      <c r="F64" s="505" t="s">
        <v>3035</v>
      </c>
      <c r="G64" s="492"/>
      <c r="H64" s="493">
        <v>1.5134693E7</v>
      </c>
      <c r="I64" s="488">
        <v>404508.0</v>
      </c>
      <c r="J64" s="490" t="s">
        <v>3038</v>
      </c>
      <c r="K64" s="492"/>
      <c r="L64" s="494"/>
      <c r="M64" s="128">
        <v>39255.0</v>
      </c>
      <c r="N64" s="503" t="str">
        <f t="array" ref="N64">IFERROR(INDEX(All_User_backup!H:H,MATCH(Old_List!B64,All_User_backup!B:B,0)),"퇴사자?")</f>
        <v>퇴사자?</v>
      </c>
      <c r="O64" s="487"/>
      <c r="P64" s="487" t="str">
        <f t="array" ref="P64">IFERROR(INDEX(All_User_backup!D:D,MATCH(Old_List!B64,All_User_backup!B:B,0)),"퇴사자?")</f>
        <v>퇴사자?</v>
      </c>
    </row>
    <row r="65" hidden="1">
      <c r="A65" s="488" t="s">
        <v>750</v>
      </c>
      <c r="B65" s="489" t="s">
        <v>3039</v>
      </c>
      <c r="C65" s="489" t="s">
        <v>2645</v>
      </c>
      <c r="D65" s="490" t="s">
        <v>3034</v>
      </c>
      <c r="E65" s="507"/>
      <c r="F65" s="505" t="s">
        <v>3035</v>
      </c>
      <c r="G65" s="492"/>
      <c r="H65" s="493">
        <v>1.5134683E7</v>
      </c>
      <c r="I65" s="488">
        <v>404511.0</v>
      </c>
      <c r="J65" s="490" t="s">
        <v>3040</v>
      </c>
      <c r="K65" s="492"/>
      <c r="L65" s="494"/>
      <c r="M65" s="128">
        <v>39255.0</v>
      </c>
      <c r="N65" s="503" t="str">
        <f t="array" ref="N65">IFERROR(INDEX(All_User_backup!H:H,MATCH(Old_List!B65,All_User_backup!B:B,0)),"퇴사자?")</f>
        <v>퇴사자?</v>
      </c>
      <c r="O65" s="487"/>
      <c r="P65" s="487" t="str">
        <f t="array" ref="P65">IFERROR(INDEX(All_User_backup!D:D,MATCH(Old_List!B65,All_User_backup!B:B,0)),"퇴사자?")</f>
        <v>퇴사자?</v>
      </c>
    </row>
    <row r="66" hidden="1">
      <c r="A66" s="488" t="s">
        <v>750</v>
      </c>
      <c r="B66" s="489" t="s">
        <v>3041</v>
      </c>
      <c r="C66" s="489" t="s">
        <v>2645</v>
      </c>
      <c r="D66" s="490" t="s">
        <v>3034</v>
      </c>
      <c r="E66" s="507"/>
      <c r="F66" s="505" t="s">
        <v>3035</v>
      </c>
      <c r="G66" s="492"/>
      <c r="H66" s="493">
        <v>1.5134673E7</v>
      </c>
      <c r="I66" s="488">
        <v>404514.0</v>
      </c>
      <c r="J66" s="490" t="s">
        <v>3042</v>
      </c>
      <c r="K66" s="492"/>
      <c r="L66" s="494"/>
      <c r="M66" s="128">
        <v>39255.0</v>
      </c>
      <c r="N66" s="503" t="str">
        <f t="array" ref="N66">IFERROR(INDEX(All_User_backup!H:H,MATCH(Old_List!B66,All_User_backup!B:B,0)),"퇴사자?")</f>
        <v>퇴사자?</v>
      </c>
      <c r="O66" s="487"/>
      <c r="P66" s="487" t="str">
        <f t="array" ref="P66">IFERROR(INDEX(All_User_backup!D:D,MATCH(Old_List!B66,All_User_backup!B:B,0)),"퇴사자?")</f>
        <v>퇴사자?</v>
      </c>
    </row>
    <row r="67" hidden="1">
      <c r="A67" s="488" t="s">
        <v>750</v>
      </c>
      <c r="B67" s="489" t="s">
        <v>3043</v>
      </c>
      <c r="C67" s="489" t="s">
        <v>2645</v>
      </c>
      <c r="D67" s="490" t="s">
        <v>3034</v>
      </c>
      <c r="E67" s="507"/>
      <c r="F67" s="505" t="s">
        <v>3035</v>
      </c>
      <c r="G67" s="492"/>
      <c r="H67" s="493">
        <v>1.5134663E7</v>
      </c>
      <c r="I67" s="488">
        <v>404509.0</v>
      </c>
      <c r="J67" s="490" t="s">
        <v>3044</v>
      </c>
      <c r="K67" s="492"/>
      <c r="L67" s="494"/>
      <c r="M67" s="128">
        <v>39255.0</v>
      </c>
      <c r="N67" s="503" t="str">
        <f t="array" ref="N67">IFERROR(INDEX(All_User_backup!H:H,MATCH(Old_List!B67,All_User_backup!B:B,0)),"퇴사자?")</f>
        <v>퇴사자?</v>
      </c>
      <c r="O67" s="487"/>
      <c r="P67" s="487" t="str">
        <f t="array" ref="P67">IFERROR(INDEX(All_User_backup!D:D,MATCH(Old_List!B67,All_User_backup!B:B,0)),"퇴사자?")</f>
        <v>퇴사자?</v>
      </c>
    </row>
    <row r="68" hidden="1">
      <c r="A68" s="488" t="s">
        <v>750</v>
      </c>
      <c r="B68" s="489" t="s">
        <v>3045</v>
      </c>
      <c r="C68" s="489" t="s">
        <v>2645</v>
      </c>
      <c r="D68" s="490" t="s">
        <v>3034</v>
      </c>
      <c r="E68" s="507"/>
      <c r="F68" s="505" t="s">
        <v>3035</v>
      </c>
      <c r="G68" s="492"/>
      <c r="H68" s="493">
        <v>1.5134653E7</v>
      </c>
      <c r="I68" s="488">
        <v>404517.0</v>
      </c>
      <c r="J68" s="490" t="s">
        <v>3046</v>
      </c>
      <c r="K68" s="492"/>
      <c r="L68" s="494"/>
      <c r="M68" s="128">
        <v>39255.0</v>
      </c>
      <c r="N68" s="503" t="str">
        <f t="array" ref="N68">IFERROR(INDEX(All_User_backup!H:H,MATCH(Old_List!B68,All_User_backup!B:B,0)),"퇴사자?")</f>
        <v>퇴사자?</v>
      </c>
      <c r="O68" s="487"/>
      <c r="P68" s="487" t="str">
        <f t="array" ref="P68">IFERROR(INDEX(All_User_backup!D:D,MATCH(Old_List!B68,All_User_backup!B:B,0)),"퇴사자?")</f>
        <v>퇴사자?</v>
      </c>
    </row>
    <row r="69" hidden="1">
      <c r="A69" s="488" t="s">
        <v>750</v>
      </c>
      <c r="B69" s="489" t="s">
        <v>3047</v>
      </c>
      <c r="C69" s="489" t="s">
        <v>2645</v>
      </c>
      <c r="D69" s="490" t="s">
        <v>3034</v>
      </c>
      <c r="E69" s="507"/>
      <c r="F69" s="505" t="s">
        <v>3035</v>
      </c>
      <c r="G69" s="492"/>
      <c r="H69" s="493">
        <v>1.5134643E7</v>
      </c>
      <c r="I69" s="488">
        <v>404518.0</v>
      </c>
      <c r="J69" s="490" t="s">
        <v>3048</v>
      </c>
      <c r="K69" s="492"/>
      <c r="L69" s="494"/>
      <c r="M69" s="128">
        <v>39255.0</v>
      </c>
      <c r="N69" s="503" t="str">
        <f t="array" ref="N69">IFERROR(INDEX(All_User_backup!H:H,MATCH(Old_List!B69,All_User_backup!B:B,0)),"퇴사자?")</f>
        <v>퇴사자?</v>
      </c>
      <c r="O69" s="487"/>
      <c r="P69" s="487" t="str">
        <f t="array" ref="P69">IFERROR(INDEX(All_User_backup!D:D,MATCH(Old_List!B69,All_User_backup!B:B,0)),"퇴사자?")</f>
        <v>퇴사자?</v>
      </c>
    </row>
    <row r="70" hidden="1">
      <c r="A70" s="479" t="s">
        <v>671</v>
      </c>
      <c r="B70" s="480" t="s">
        <v>1959</v>
      </c>
      <c r="C70" s="480" t="s">
        <v>2645</v>
      </c>
      <c r="D70" s="480" t="s">
        <v>3034</v>
      </c>
      <c r="E70" s="480" t="s">
        <v>3049</v>
      </c>
      <c r="F70" s="482" t="s">
        <v>2985</v>
      </c>
      <c r="G70" s="483"/>
      <c r="H70" s="484">
        <v>1.5134633E7</v>
      </c>
      <c r="I70" s="479">
        <v>404516.0</v>
      </c>
      <c r="J70" s="480" t="s">
        <v>3050</v>
      </c>
      <c r="K70" s="483"/>
      <c r="L70" s="485"/>
      <c r="M70" s="518">
        <v>39255.0</v>
      </c>
      <c r="N70" s="503" t="str">
        <f t="array" ref="N70">IFERROR(INDEX(All_User_backup!H:H,MATCH(Old_List!B70,All_User_backup!B:B,0)),"퇴사자?")</f>
        <v>퇴사자?</v>
      </c>
      <c r="O70" s="487"/>
      <c r="P70" s="487" t="str">
        <f t="array" ref="P70">IFERROR(INDEX(All_User_backup!D:D,MATCH(Old_List!B70,All_User_backup!B:B,0)),"퇴사자?")</f>
        <v>퇴사자?</v>
      </c>
    </row>
    <row r="71" hidden="1">
      <c r="A71" s="479" t="s">
        <v>671</v>
      </c>
      <c r="B71" s="480" t="s">
        <v>1959</v>
      </c>
      <c r="C71" s="480" t="s">
        <v>2645</v>
      </c>
      <c r="D71" s="480" t="s">
        <v>3034</v>
      </c>
      <c r="E71" s="480" t="s">
        <v>3051</v>
      </c>
      <c r="F71" s="482" t="s">
        <v>2985</v>
      </c>
      <c r="G71" s="483"/>
      <c r="H71" s="484">
        <v>1.5134623E7</v>
      </c>
      <c r="I71" s="479">
        <v>404512.0</v>
      </c>
      <c r="J71" s="480" t="s">
        <v>3052</v>
      </c>
      <c r="K71" s="483"/>
      <c r="L71" s="485"/>
      <c r="M71" s="518">
        <v>39255.0</v>
      </c>
      <c r="N71" s="503" t="str">
        <f t="array" ref="N71">IFERROR(INDEX(All_User_backup!H:H,MATCH(Old_List!B71,All_User_backup!B:B,0)),"퇴사자?")</f>
        <v>퇴사자?</v>
      </c>
      <c r="O71" s="487"/>
      <c r="P71" s="487" t="str">
        <f t="array" ref="P71">IFERROR(INDEX(All_User_backup!D:D,MATCH(Old_List!B71,All_User_backup!B:B,0)),"퇴사자?")</f>
        <v>퇴사자?</v>
      </c>
    </row>
    <row r="72" hidden="1">
      <c r="A72" s="488" t="s">
        <v>750</v>
      </c>
      <c r="B72" s="489" t="s">
        <v>3053</v>
      </c>
      <c r="C72" s="489" t="s">
        <v>2645</v>
      </c>
      <c r="D72" s="490" t="s">
        <v>3034</v>
      </c>
      <c r="E72" s="507"/>
      <c r="F72" s="505" t="s">
        <v>3035</v>
      </c>
      <c r="G72" s="492"/>
      <c r="H72" s="493">
        <v>1.5134613E7</v>
      </c>
      <c r="I72" s="488">
        <v>404513.0</v>
      </c>
      <c r="J72" s="490" t="s">
        <v>3054</v>
      </c>
      <c r="K72" s="492"/>
      <c r="L72" s="494"/>
      <c r="M72" s="128">
        <v>39255.0</v>
      </c>
      <c r="N72" s="503" t="str">
        <f t="array" ref="N72">IFERROR(INDEX(All_User_backup!H:H,MATCH(Old_List!B72,All_User_backup!B:B,0)),"퇴사자?")</f>
        <v>퇴사자?</v>
      </c>
      <c r="O72" s="487"/>
      <c r="P72" s="487" t="str">
        <f t="array" ref="P72">IFERROR(INDEX(All_User_backup!D:D,MATCH(Old_List!B72,All_User_backup!B:B,0)),"퇴사자?")</f>
        <v>퇴사자?</v>
      </c>
    </row>
    <row r="73" hidden="1">
      <c r="A73" s="488" t="s">
        <v>750</v>
      </c>
      <c r="B73" s="489" t="s">
        <v>3053</v>
      </c>
      <c r="C73" s="489" t="s">
        <v>2645</v>
      </c>
      <c r="D73" s="490" t="s">
        <v>3034</v>
      </c>
      <c r="E73" s="507"/>
      <c r="F73" s="505" t="s">
        <v>3035</v>
      </c>
      <c r="G73" s="492"/>
      <c r="H73" s="493">
        <v>1.5134603E7</v>
      </c>
      <c r="I73" s="488">
        <v>404519.0</v>
      </c>
      <c r="J73" s="490" t="s">
        <v>3055</v>
      </c>
      <c r="K73" s="492"/>
      <c r="L73" s="494"/>
      <c r="M73" s="128">
        <v>39255.0</v>
      </c>
      <c r="N73" s="503" t="str">
        <f t="array" ref="N73">IFERROR(INDEX(All_User_backup!H:H,MATCH(Old_List!B73,All_User_backup!B:B,0)),"퇴사자?")</f>
        <v>퇴사자?</v>
      </c>
      <c r="O73" s="487"/>
      <c r="P73" s="487" t="str">
        <f t="array" ref="P73">IFERROR(INDEX(All_User_backup!D:D,MATCH(Old_List!B73,All_User_backup!B:B,0)),"퇴사자?")</f>
        <v>퇴사자?</v>
      </c>
    </row>
    <row r="74" hidden="1">
      <c r="A74" s="488" t="s">
        <v>750</v>
      </c>
      <c r="B74" s="489" t="s">
        <v>759</v>
      </c>
      <c r="C74" s="489" t="s">
        <v>2645</v>
      </c>
      <c r="D74" s="490" t="s">
        <v>3034</v>
      </c>
      <c r="E74" s="507"/>
      <c r="F74" s="505" t="s">
        <v>3035</v>
      </c>
      <c r="G74" s="492"/>
      <c r="H74" s="493">
        <v>1.5134593E7</v>
      </c>
      <c r="I74" s="488">
        <v>404510.0</v>
      </c>
      <c r="J74" s="490" t="s">
        <v>761</v>
      </c>
      <c r="K74" s="492"/>
      <c r="L74" s="494"/>
      <c r="M74" s="128">
        <v>39255.0</v>
      </c>
      <c r="N74" s="503" t="str">
        <f t="array" ref="N74">IFERROR(INDEX(All_User_backup!H:H,MATCH(Old_List!B74,All_User_backup!B:B,0)),"퇴사자?")</f>
        <v>5CD4305D92</v>
      </c>
      <c r="O74" s="487"/>
      <c r="P74" s="487" t="str">
        <f t="array" ref="P74">IFERROR(INDEX(All_User_backup!D:D,MATCH(Old_List!B74,All_User_backup!B:B,0)),"퇴사자?")</f>
        <v>yongma02(깡통)</v>
      </c>
    </row>
    <row r="75">
      <c r="A75" s="479" t="s">
        <v>67</v>
      </c>
      <c r="B75" s="480" t="s">
        <v>590</v>
      </c>
      <c r="C75" s="480" t="s">
        <v>2640</v>
      </c>
      <c r="D75" s="480" t="s">
        <v>913</v>
      </c>
      <c r="E75" s="481" t="s">
        <v>29</v>
      </c>
      <c r="F75" s="482" t="s">
        <v>2987</v>
      </c>
      <c r="G75" s="483"/>
      <c r="H75" s="484">
        <v>1.4917843E7</v>
      </c>
      <c r="I75" s="479">
        <v>216884.0</v>
      </c>
      <c r="J75" s="480" t="s">
        <v>594</v>
      </c>
      <c r="K75" s="483"/>
      <c r="L75" s="485"/>
      <c r="M75" s="519" t="s">
        <v>3056</v>
      </c>
      <c r="N75" s="503" t="str">
        <f t="array" ref="N75">IFERROR(INDEX(All_User_backup!H:H,MATCH(Old_List!B75,All_User_backup!B:B,0)),"퇴사자?")</f>
        <v>없음</v>
      </c>
      <c r="O75" s="487"/>
      <c r="P75" s="487" t="str">
        <f t="array" ref="P75">IFERROR(INDEX(All_User_backup!D:D,MATCH(Old_List!B75,All_User_backup!B:B,0)),"퇴사자?")</f>
        <v>jack.park@stryker.com</v>
      </c>
    </row>
    <row r="76" hidden="1">
      <c r="A76" s="488" t="s">
        <v>67</v>
      </c>
      <c r="B76" s="489" t="s">
        <v>3057</v>
      </c>
      <c r="C76" s="489" t="s">
        <v>2640</v>
      </c>
      <c r="D76" s="490" t="s">
        <v>913</v>
      </c>
      <c r="E76" s="491" t="s">
        <v>2255</v>
      </c>
      <c r="F76" s="505" t="s">
        <v>2987</v>
      </c>
      <c r="G76" s="492"/>
      <c r="H76" s="493">
        <v>1.4917833E7</v>
      </c>
      <c r="I76" s="488">
        <v>400535.0</v>
      </c>
      <c r="J76" s="490" t="s">
        <v>3058</v>
      </c>
      <c r="K76" s="492"/>
      <c r="L76" s="494"/>
      <c r="M76" s="128">
        <v>39255.0</v>
      </c>
      <c r="N76" s="503" t="str">
        <f t="array" ref="N76">IFERROR(INDEX(All_User_backup!H:H,MATCH(Old_List!B76,All_User_backup!B:B,0)),"퇴사자?")</f>
        <v>퇴사자?</v>
      </c>
      <c r="O76" s="487"/>
      <c r="P76" s="487" t="str">
        <f t="array" ref="P76">IFERROR(INDEX(All_User_backup!D:D,MATCH(Old_List!B76,All_User_backup!B:B,0)),"퇴사자?")</f>
        <v>퇴사자?</v>
      </c>
    </row>
    <row r="77" hidden="1">
      <c r="A77" s="488" t="s">
        <v>2983</v>
      </c>
      <c r="B77" s="489" t="s">
        <v>158</v>
      </c>
      <c r="C77" s="489" t="s">
        <v>2640</v>
      </c>
      <c r="D77" s="490" t="s">
        <v>913</v>
      </c>
      <c r="E77" s="491" t="s">
        <v>160</v>
      </c>
      <c r="F77" s="505" t="s">
        <v>2987</v>
      </c>
      <c r="G77" s="492"/>
      <c r="H77" s="508"/>
      <c r="I77" s="488">
        <v>400533.0</v>
      </c>
      <c r="J77" s="490" t="s">
        <v>162</v>
      </c>
      <c r="K77" s="492"/>
      <c r="L77" s="494"/>
      <c r="M77" s="128">
        <v>39255.0</v>
      </c>
      <c r="N77" s="503" t="str">
        <f t="array" ref="N77">IFERROR(INDEX(All_User_backup!H:H,MATCH(Old_List!B77,All_User_backup!B:B,0)),"퇴사자?")</f>
        <v>5CD442C076</v>
      </c>
      <c r="O77" s="487"/>
      <c r="P77" s="487" t="str">
        <f t="array" ref="P77">IFERROR(INDEX(All_User_backup!D:D,MATCH(Old_List!B77,All_User_backup!B:B,0)),"퇴사자?")</f>
        <v>gyolim.gu@stryker.com</v>
      </c>
    </row>
    <row r="78">
      <c r="A78" s="488" t="s">
        <v>142</v>
      </c>
      <c r="B78" s="489" t="s">
        <v>151</v>
      </c>
      <c r="C78" s="489" t="s">
        <v>2640</v>
      </c>
      <c r="D78" s="490" t="s">
        <v>913</v>
      </c>
      <c r="E78" s="491" t="s">
        <v>29</v>
      </c>
      <c r="F78" s="505" t="s">
        <v>2987</v>
      </c>
      <c r="G78" s="492"/>
      <c r="H78" s="508"/>
      <c r="I78" s="488">
        <v>404555.0</v>
      </c>
      <c r="J78" s="490" t="s">
        <v>3059</v>
      </c>
      <c r="K78" s="492"/>
      <c r="L78" s="494"/>
      <c r="M78" s="128">
        <v>39255.0</v>
      </c>
      <c r="N78" s="503" t="str">
        <f t="array" ref="N78">IFERROR(INDEX(All_User_backup!H:H,MATCH(Old_List!B78,All_User_backup!B:B,0)),"퇴사자?")</f>
        <v>없음</v>
      </c>
      <c r="O78" s="487"/>
      <c r="P78" s="487" t="str">
        <f t="array" ref="P78">IFERROR(INDEX(All_User_backup!D:D,MATCH(Old_List!B78,All_User_backup!B:B,0)),"퇴사자?")</f>
        <v>jack.eum@stryker.com</v>
      </c>
    </row>
    <row r="79" hidden="1">
      <c r="A79" s="488" t="s">
        <v>671</v>
      </c>
      <c r="B79" s="489" t="s">
        <v>1959</v>
      </c>
      <c r="C79" s="489" t="s">
        <v>2640</v>
      </c>
      <c r="D79" s="490" t="s">
        <v>913</v>
      </c>
      <c r="E79" s="507"/>
      <c r="F79" s="505" t="s">
        <v>2987</v>
      </c>
      <c r="G79" s="492"/>
      <c r="H79" s="508"/>
      <c r="I79" s="488">
        <v>216900.0</v>
      </c>
      <c r="J79" s="490" t="s">
        <v>3060</v>
      </c>
      <c r="K79" s="492"/>
      <c r="L79" s="494"/>
      <c r="M79" s="128">
        <v>39255.0</v>
      </c>
      <c r="N79" s="503" t="str">
        <f t="array" ref="N79">IFERROR(INDEX(All_User_backup!H:H,MATCH(Old_List!B79,All_User_backup!B:B,0)),"퇴사자?")</f>
        <v>퇴사자?</v>
      </c>
      <c r="O79" s="487"/>
      <c r="P79" s="487" t="str">
        <f t="array" ref="P79">IFERROR(INDEX(All_User_backup!D:D,MATCH(Old_List!B79,All_User_backup!B:B,0)),"퇴사자?")</f>
        <v>퇴사자?</v>
      </c>
    </row>
    <row r="80" hidden="1">
      <c r="A80" s="488" t="s">
        <v>671</v>
      </c>
      <c r="B80" s="489" t="s">
        <v>1959</v>
      </c>
      <c r="C80" s="489" t="s">
        <v>2640</v>
      </c>
      <c r="D80" s="490" t="s">
        <v>913</v>
      </c>
      <c r="E80" s="507"/>
      <c r="F80" s="505" t="s">
        <v>2985</v>
      </c>
      <c r="G80" s="492"/>
      <c r="H80" s="493">
        <v>1.5134583E7</v>
      </c>
      <c r="I80" s="488">
        <v>216901.0</v>
      </c>
      <c r="J80" s="490" t="s">
        <v>3061</v>
      </c>
      <c r="K80" s="492"/>
      <c r="L80" s="494"/>
      <c r="M80" s="128">
        <v>39255.0</v>
      </c>
      <c r="N80" s="503" t="str">
        <f t="array" ref="N80">IFERROR(INDEX(All_User_backup!H:H,MATCH(Old_List!B80,All_User_backup!B:B,0)),"퇴사자?")</f>
        <v>퇴사자?</v>
      </c>
      <c r="O80" s="487"/>
      <c r="P80" s="487" t="str">
        <f t="array" ref="P80">IFERROR(INDEX(All_User_backup!D:D,MATCH(Old_List!B80,All_User_backup!B:B,0)),"퇴사자?")</f>
        <v>퇴사자?</v>
      </c>
    </row>
    <row r="81" hidden="1">
      <c r="A81" s="488" t="s">
        <v>671</v>
      </c>
      <c r="B81" s="489" t="s">
        <v>1959</v>
      </c>
      <c r="C81" s="489" t="s">
        <v>2640</v>
      </c>
      <c r="D81" s="490" t="s">
        <v>913</v>
      </c>
      <c r="E81" s="507"/>
      <c r="F81" s="505" t="s">
        <v>2985</v>
      </c>
      <c r="G81" s="492"/>
      <c r="H81" s="508"/>
      <c r="I81" s="516"/>
      <c r="J81" s="492"/>
      <c r="K81" s="492"/>
      <c r="L81" s="494"/>
      <c r="M81" s="128">
        <v>39255.0</v>
      </c>
      <c r="N81" s="503" t="str">
        <f t="array" ref="N81">IFERROR(INDEX(All_User_backup!H:H,MATCH(Old_List!B81,All_User_backup!B:B,0)),"퇴사자?")</f>
        <v>퇴사자?</v>
      </c>
      <c r="O81" s="487"/>
      <c r="P81" s="487" t="str">
        <f t="array" ref="P81">IFERROR(INDEX(All_User_backup!D:D,MATCH(Old_List!B81,All_User_backup!B:B,0)),"퇴사자?")</f>
        <v>퇴사자?</v>
      </c>
    </row>
    <row r="82">
      <c r="A82" s="488" t="s">
        <v>1348</v>
      </c>
      <c r="B82" s="489" t="s">
        <v>529</v>
      </c>
      <c r="C82" s="489" t="s">
        <v>2641</v>
      </c>
      <c r="D82" s="490" t="s">
        <v>913</v>
      </c>
      <c r="E82" s="491" t="s">
        <v>29</v>
      </c>
      <c r="F82" s="505" t="s">
        <v>2987</v>
      </c>
      <c r="G82" s="492"/>
      <c r="H82" s="493">
        <v>1.6020923E7</v>
      </c>
      <c r="I82" s="488">
        <v>408844.0</v>
      </c>
      <c r="J82" s="490" t="s">
        <v>3062</v>
      </c>
      <c r="K82" s="492"/>
      <c r="L82" s="494"/>
      <c r="M82" s="148" t="s">
        <v>533</v>
      </c>
      <c r="N82" s="503" t="str">
        <f t="array" ref="N82">IFERROR(INDEX(All_User_backup!H:H,MATCH(Old_List!B82,All_User_backup!B:B,0)),"퇴사자?")</f>
        <v>5CD4232BFQ</v>
      </c>
      <c r="O82" s="487"/>
      <c r="P82" s="487" t="str">
        <f t="array" ref="P82">IFERROR(INDEX(All_User_backup!D:D,MATCH(Old_List!B82,All_User_backup!B:B,0)),"퇴사자?")</f>
        <v>mason.oh@stryker.com</v>
      </c>
    </row>
    <row r="83">
      <c r="A83" s="488" t="s">
        <v>77</v>
      </c>
      <c r="B83" s="489" t="s">
        <v>474</v>
      </c>
      <c r="C83" s="489" t="s">
        <v>2641</v>
      </c>
      <c r="D83" s="490" t="s">
        <v>913</v>
      </c>
      <c r="E83" s="491" t="s">
        <v>29</v>
      </c>
      <c r="F83" s="505" t="s">
        <v>2987</v>
      </c>
      <c r="G83" s="492"/>
      <c r="H83" s="493">
        <v>1.6020933E7</v>
      </c>
      <c r="I83" s="488">
        <v>408842.0</v>
      </c>
      <c r="J83" s="490" t="s">
        <v>3063</v>
      </c>
      <c r="K83" s="492"/>
      <c r="L83" s="494"/>
      <c r="M83" s="148" t="s">
        <v>533</v>
      </c>
      <c r="N83" s="503" t="str">
        <f t="array" ref="N83">IFERROR(INDEX(All_User_backup!H:H,MATCH(Old_List!B83,All_User_backup!B:B,0)),"퇴사자?")</f>
        <v>없음</v>
      </c>
      <c r="O83" s="487"/>
      <c r="P83" s="487" t="str">
        <f t="array" ref="P83">IFERROR(INDEX(All_User_backup!D:D,MATCH(Old_List!B83,All_User_backup!B:B,0)),"퇴사자?")</f>
        <v>ayaan.lee@stryker.com</v>
      </c>
    </row>
    <row r="84" hidden="1">
      <c r="A84" s="488" t="s">
        <v>671</v>
      </c>
      <c r="B84" s="489" t="s">
        <v>1959</v>
      </c>
      <c r="C84" s="489" t="s">
        <v>2641</v>
      </c>
      <c r="D84" s="490" t="s">
        <v>913</v>
      </c>
      <c r="E84" s="507"/>
      <c r="F84" s="505" t="s">
        <v>2987</v>
      </c>
      <c r="G84" s="492"/>
      <c r="H84" s="493">
        <v>1.6020973E7</v>
      </c>
      <c r="I84" s="488">
        <v>408841.0</v>
      </c>
      <c r="J84" s="490" t="s">
        <v>3064</v>
      </c>
      <c r="K84" s="492"/>
      <c r="L84" s="494"/>
      <c r="M84" s="148" t="s">
        <v>533</v>
      </c>
      <c r="N84" s="503" t="str">
        <f t="array" ref="N84">IFERROR(INDEX(All_User_backup!H:H,MATCH(Old_List!B84,All_User_backup!B:B,0)),"퇴사자?")</f>
        <v>퇴사자?</v>
      </c>
      <c r="O84" s="487"/>
      <c r="P84" s="487" t="str">
        <f t="array" ref="P84">IFERROR(INDEX(All_User_backup!D:D,MATCH(Old_List!B84,All_User_backup!B:B,0)),"퇴사자?")</f>
        <v>퇴사자?</v>
      </c>
    </row>
    <row r="85" hidden="1">
      <c r="A85" s="488" t="s">
        <v>142</v>
      </c>
      <c r="B85" s="489" t="s">
        <v>3065</v>
      </c>
      <c r="C85" s="489" t="s">
        <v>2641</v>
      </c>
      <c r="D85" s="490" t="s">
        <v>913</v>
      </c>
      <c r="E85" s="491" t="s">
        <v>29</v>
      </c>
      <c r="F85" s="505" t="s">
        <v>2987</v>
      </c>
      <c r="G85" s="492"/>
      <c r="H85" s="493">
        <v>1.6020933E7</v>
      </c>
      <c r="I85" s="488">
        <v>408842.0</v>
      </c>
      <c r="J85" s="490" t="s">
        <v>3063</v>
      </c>
      <c r="K85" s="492"/>
      <c r="L85" s="494"/>
      <c r="M85" s="148" t="s">
        <v>533</v>
      </c>
      <c r="N85" s="503" t="str">
        <f t="array" ref="N85">IFERROR(INDEX(All_User_backup!H:H,MATCH(Old_List!B85,All_User_backup!B:B,0)),"퇴사자?")</f>
        <v>퇴사자?</v>
      </c>
      <c r="O85" s="487"/>
      <c r="P85" s="487" t="str">
        <f t="array" ref="P85">IFERROR(INDEX(All_User_backup!D:D,MATCH(Old_List!B85,All_User_backup!B:B,0)),"퇴사자?")</f>
        <v>퇴사자?</v>
      </c>
    </row>
    <row r="86" hidden="1">
      <c r="A86" s="520" t="s">
        <v>671</v>
      </c>
      <c r="B86" s="521" t="s">
        <v>1959</v>
      </c>
      <c r="C86" s="521" t="s">
        <v>2641</v>
      </c>
      <c r="D86" s="521" t="s">
        <v>913</v>
      </c>
      <c r="E86" s="522"/>
      <c r="F86" s="523" t="s">
        <v>2987</v>
      </c>
      <c r="G86" s="524"/>
      <c r="H86" s="525">
        <v>1.6020943E7</v>
      </c>
      <c r="I86" s="520">
        <v>408840.0</v>
      </c>
      <c r="J86" s="521" t="s">
        <v>3066</v>
      </c>
      <c r="K86" s="524"/>
      <c r="L86" s="526"/>
      <c r="M86" s="527" t="s">
        <v>533</v>
      </c>
      <c r="N86" s="503" t="str">
        <f t="array" ref="N86">IFERROR(INDEX(All_User_backup!H:H,MATCH(Old_List!B86,All_User_backup!B:B,0)),"퇴사자?")</f>
        <v>퇴사자?</v>
      </c>
      <c r="O86" s="487"/>
      <c r="P86" s="487" t="str">
        <f t="array" ref="P86">IFERROR(INDEX(All_User_backup!D:D,MATCH(Old_List!B86,All_User_backup!B:B,0)),"퇴사자?")</f>
        <v>퇴사자?</v>
      </c>
    </row>
    <row r="87">
      <c r="A87" s="488" t="s">
        <v>142</v>
      </c>
      <c r="B87" s="489" t="s">
        <v>534</v>
      </c>
      <c r="C87" s="489" t="s">
        <v>2641</v>
      </c>
      <c r="D87" s="490" t="s">
        <v>913</v>
      </c>
      <c r="E87" s="491" t="s">
        <v>29</v>
      </c>
      <c r="F87" s="505" t="s">
        <v>2987</v>
      </c>
      <c r="G87" s="492"/>
      <c r="H87" s="493">
        <v>1.5134573E7</v>
      </c>
      <c r="I87" s="488">
        <v>400536.0</v>
      </c>
      <c r="J87" s="490" t="s">
        <v>3067</v>
      </c>
      <c r="K87" s="492"/>
      <c r="L87" s="494"/>
      <c r="M87" s="148" t="s">
        <v>533</v>
      </c>
      <c r="N87" s="503" t="str">
        <f t="array" ref="N87">IFERROR(INDEX(All_User_backup!H:H,MATCH(Old_List!B87,All_User_backup!B:B,0)),"퇴사자?")</f>
        <v>없음</v>
      </c>
      <c r="O87" s="487"/>
      <c r="P87" s="487" t="str">
        <f t="array" ref="P87">IFERROR(INDEX(All_User_backup!D:D,MATCH(Old_List!B87,All_User_backup!B:B,0)),"퇴사자?")</f>
        <v>joon.oh@stryker.com</v>
      </c>
    </row>
    <row r="88" hidden="1">
      <c r="A88" s="488" t="s">
        <v>27</v>
      </c>
      <c r="B88" s="489" t="s">
        <v>283</v>
      </c>
      <c r="C88" s="489" t="s">
        <v>2641</v>
      </c>
      <c r="D88" s="490" t="s">
        <v>913</v>
      </c>
      <c r="E88" s="491" t="s">
        <v>29</v>
      </c>
      <c r="F88" s="505" t="s">
        <v>2987</v>
      </c>
      <c r="G88" s="492"/>
      <c r="H88" s="493">
        <v>1.6478103E7</v>
      </c>
      <c r="I88" s="488">
        <v>416784.0</v>
      </c>
      <c r="J88" s="490" t="s">
        <v>286</v>
      </c>
      <c r="K88" s="492"/>
      <c r="L88" s="494"/>
      <c r="M88" s="148" t="s">
        <v>533</v>
      </c>
      <c r="N88" s="503" t="str">
        <f t="array" ref="N88">IFERROR(INDEX(All_User_backup!H:H,MATCH(Old_List!B88,All_User_backup!B:B,0)),"퇴사자?")</f>
        <v>5CD5062YF8</v>
      </c>
      <c r="O88" s="487"/>
      <c r="P88" s="487" t="str">
        <f t="array" ref="P88">IFERROR(INDEX(All_User_backup!D:D,MATCH(Old_List!B88,All_User_backup!B:B,0)),"퇴사자?")</f>
        <v>sol.jung@stryker.com</v>
      </c>
    </row>
    <row r="89" hidden="1">
      <c r="A89" s="488" t="s">
        <v>62</v>
      </c>
      <c r="B89" s="489" t="s">
        <v>610</v>
      </c>
      <c r="C89" s="489" t="s">
        <v>2641</v>
      </c>
      <c r="D89" s="490" t="s">
        <v>913</v>
      </c>
      <c r="E89" s="491" t="s">
        <v>612</v>
      </c>
      <c r="F89" s="505" t="s">
        <v>2987</v>
      </c>
      <c r="G89" s="492"/>
      <c r="H89" s="493">
        <v>1.6478123E7</v>
      </c>
      <c r="I89" s="488">
        <v>416786.0</v>
      </c>
      <c r="J89" s="490" t="s">
        <v>614</v>
      </c>
      <c r="K89" s="492"/>
      <c r="L89" s="494"/>
      <c r="M89" s="148" t="s">
        <v>533</v>
      </c>
      <c r="N89" s="503" t="str">
        <f t="array" ref="N89">IFERROR(INDEX(All_User_backup!H:H,MATCH(Old_List!B89,All_User_backup!B:B,0)),"퇴사자?")</f>
        <v>5CD5179KH8</v>
      </c>
      <c r="O89" s="487"/>
      <c r="P89" s="487" t="str">
        <f t="array" ref="P89">IFERROR(INDEX(All_User_backup!D:D,MATCH(Old_List!B89,All_User_backup!B:B,0)),"퇴사자?")</f>
        <v>yj.seo@stryker.com</v>
      </c>
    </row>
    <row r="90" hidden="1">
      <c r="A90" s="520" t="s">
        <v>671</v>
      </c>
      <c r="B90" s="521" t="s">
        <v>1959</v>
      </c>
      <c r="C90" s="521" t="s">
        <v>2641</v>
      </c>
      <c r="D90" s="521" t="s">
        <v>913</v>
      </c>
      <c r="E90" s="522"/>
      <c r="F90" s="523" t="s">
        <v>2987</v>
      </c>
      <c r="G90" s="524"/>
      <c r="H90" s="525">
        <v>1.6020963E7</v>
      </c>
      <c r="I90" s="520">
        <v>408843.0</v>
      </c>
      <c r="J90" s="521" t="s">
        <v>3068</v>
      </c>
      <c r="K90" s="524"/>
      <c r="L90" s="526"/>
      <c r="M90" s="527" t="s">
        <v>533</v>
      </c>
      <c r="N90" s="503" t="str">
        <f t="array" ref="N90">IFERROR(INDEX(All_User_backup!H:H,MATCH(Old_List!B90,All_User_backup!B:B,0)),"퇴사자?")</f>
        <v>퇴사자?</v>
      </c>
      <c r="O90" s="487"/>
      <c r="P90" s="487" t="str">
        <f t="array" ref="P90">IFERROR(INDEX(All_User_backup!D:D,MATCH(Old_List!B90,All_User_backup!B:B,0)),"퇴사자?")</f>
        <v>퇴사자?</v>
      </c>
    </row>
    <row r="91" hidden="1">
      <c r="A91" s="488" t="s">
        <v>671</v>
      </c>
      <c r="B91" s="489" t="s">
        <v>1959</v>
      </c>
      <c r="C91" s="489" t="s">
        <v>2641</v>
      </c>
      <c r="D91" s="490" t="s">
        <v>913</v>
      </c>
      <c r="E91" s="507"/>
      <c r="F91" s="505" t="s">
        <v>2987</v>
      </c>
      <c r="G91" s="492"/>
      <c r="H91" s="493">
        <v>1.6478113E7</v>
      </c>
      <c r="I91" s="488">
        <v>416785.0</v>
      </c>
      <c r="J91" s="490" t="s">
        <v>3069</v>
      </c>
      <c r="K91" s="492"/>
      <c r="L91" s="494"/>
      <c r="M91" s="148" t="s">
        <v>533</v>
      </c>
      <c r="N91" s="503" t="str">
        <f t="array" ref="N91">IFERROR(INDEX(All_User_backup!H:H,MATCH(Old_List!B91,All_User_backup!B:B,0)),"퇴사자?")</f>
        <v>퇴사자?</v>
      </c>
      <c r="O91" s="487"/>
      <c r="P91" s="487" t="str">
        <f t="array" ref="P91">IFERROR(INDEX(All_User_backup!D:D,MATCH(Old_List!B91,All_User_backup!B:B,0)),"퇴사자?")</f>
        <v>퇴사자?</v>
      </c>
    </row>
    <row r="92">
      <c r="A92" s="479" t="s">
        <v>20</v>
      </c>
      <c r="B92" s="480" t="s">
        <v>181</v>
      </c>
      <c r="C92" s="480" t="s">
        <v>2641</v>
      </c>
      <c r="D92" s="480" t="s">
        <v>913</v>
      </c>
      <c r="E92" s="481" t="s">
        <v>29</v>
      </c>
      <c r="F92" s="528"/>
      <c r="G92" s="483"/>
      <c r="H92" s="529"/>
      <c r="I92" s="479">
        <v>41687.0</v>
      </c>
      <c r="J92" s="483"/>
      <c r="K92" s="483"/>
      <c r="L92" s="485"/>
      <c r="M92" s="486" t="s">
        <v>533</v>
      </c>
      <c r="N92" s="503" t="str">
        <f t="array" ref="N92">IFERROR(INDEX(All_User_backup!H:H,MATCH(Old_List!B92,All_User_backup!B:B,0)),"퇴사자?")</f>
        <v>없음</v>
      </c>
      <c r="O92" s="487"/>
      <c r="P92" s="487" t="str">
        <f t="array" ref="P92">IFERROR(INDEX(All_User_backup!D:D,MATCH(Old_List!B92,All_User_backup!B:B,0)),"퇴사자?")</f>
        <v>yejin.heo@stryker.com</v>
      </c>
    </row>
    <row r="93" hidden="1">
      <c r="A93" s="488" t="s">
        <v>671</v>
      </c>
      <c r="B93" s="489" t="s">
        <v>3070</v>
      </c>
      <c r="C93" s="489" t="s">
        <v>3071</v>
      </c>
      <c r="D93" s="490" t="s">
        <v>913</v>
      </c>
      <c r="E93" s="491" t="s">
        <v>29</v>
      </c>
      <c r="F93" s="505" t="s">
        <v>2987</v>
      </c>
      <c r="G93" s="492"/>
      <c r="H93" s="493">
        <v>1.6478143E7</v>
      </c>
      <c r="I93" s="488">
        <v>416790.0</v>
      </c>
      <c r="J93" s="490" t="s">
        <v>3072</v>
      </c>
      <c r="K93" s="492"/>
      <c r="L93" s="494"/>
      <c r="M93" s="148" t="s">
        <v>533</v>
      </c>
      <c r="N93" s="503" t="str">
        <f t="array" ref="N93">IFERROR(INDEX(All_User_backup!H:H,MATCH(Old_List!B93,All_User_backup!B:B,0)),"퇴사자?")</f>
        <v>퇴사자?</v>
      </c>
      <c r="O93" s="487"/>
      <c r="P93" s="487" t="str">
        <f t="array" ref="P93">IFERROR(INDEX(All_User_backup!D:D,MATCH(Old_List!B93,All_User_backup!B:B,0)),"퇴사자?")</f>
        <v>퇴사자?</v>
      </c>
    </row>
    <row r="94">
      <c r="A94" s="488" t="s">
        <v>671</v>
      </c>
      <c r="B94" s="489" t="s">
        <v>667</v>
      </c>
      <c r="C94" s="489" t="s">
        <v>3071</v>
      </c>
      <c r="D94" s="490" t="s">
        <v>913</v>
      </c>
      <c r="E94" s="491" t="s">
        <v>29</v>
      </c>
      <c r="F94" s="505" t="s">
        <v>2985</v>
      </c>
      <c r="G94" s="492"/>
      <c r="H94" s="508"/>
      <c r="I94" s="516"/>
      <c r="J94" s="492"/>
      <c r="K94" s="492"/>
      <c r="L94" s="494"/>
      <c r="M94" s="148" t="s">
        <v>533</v>
      </c>
      <c r="N94" s="503" t="str">
        <f t="array" ref="N94">IFERROR(INDEX(All_User_backup!H:H,MATCH(Old_List!B94,All_User_backup!B:B,0)),"퇴사자?")</f>
        <v>5CG53403CW</v>
      </c>
      <c r="O94" s="487"/>
      <c r="P94" s="487" t="str">
        <f t="array" ref="P94">IFERROR(INDEX(All_User_backup!D:D,MATCH(Old_List!B94,All_User_backup!B:B,0)),"퇴사자?")</f>
        <v>jun.song@stryker.com</v>
      </c>
    </row>
    <row r="95" hidden="1">
      <c r="A95" s="530" t="s">
        <v>841</v>
      </c>
      <c r="B95" s="510" t="s">
        <v>2499</v>
      </c>
      <c r="C95" s="531" t="s">
        <v>2641</v>
      </c>
      <c r="D95" s="490" t="s">
        <v>913</v>
      </c>
      <c r="E95" s="491" t="s">
        <v>29</v>
      </c>
      <c r="F95" s="505" t="s">
        <v>2985</v>
      </c>
      <c r="G95" s="492"/>
      <c r="H95" s="493">
        <v>1.6711143E7</v>
      </c>
      <c r="I95" s="516"/>
      <c r="J95" s="490" t="s">
        <v>3073</v>
      </c>
      <c r="K95" s="492"/>
      <c r="L95" s="494"/>
      <c r="M95" s="148" t="s">
        <v>118</v>
      </c>
      <c r="N95" s="503" t="str">
        <f t="array" ref="N95">IFERROR(INDEX(All_User_backup!H:H,MATCH(Old_List!B95,All_User_backup!B:B,0)),"퇴사자?")</f>
        <v>퇴사자?</v>
      </c>
      <c r="O95" s="487"/>
      <c r="P95" s="487" t="str">
        <f t="array" ref="P95">IFERROR(INDEX(All_User_backup!D:D,MATCH(Old_List!B95,All_User_backup!B:B,0)),"퇴사자?")</f>
        <v>퇴사자?</v>
      </c>
    </row>
    <row r="96" hidden="1">
      <c r="A96" s="520" t="s">
        <v>671</v>
      </c>
      <c r="B96" s="521" t="s">
        <v>1959</v>
      </c>
      <c r="C96" s="521" t="s">
        <v>2641</v>
      </c>
      <c r="D96" s="521" t="s">
        <v>913</v>
      </c>
      <c r="E96" s="522"/>
      <c r="F96" s="523" t="s">
        <v>2985</v>
      </c>
      <c r="G96" s="524"/>
      <c r="H96" s="525">
        <v>1.6711133E7</v>
      </c>
      <c r="I96" s="520">
        <v>421966.0</v>
      </c>
      <c r="J96" s="521" t="s">
        <v>3074</v>
      </c>
      <c r="K96" s="524"/>
      <c r="L96" s="526"/>
      <c r="M96" s="527" t="s">
        <v>118</v>
      </c>
      <c r="N96" s="503" t="str">
        <f t="array" ref="N96">IFERROR(INDEX(All_User_backup!H:H,MATCH(Old_List!B96,All_User_backup!B:B,0)),"퇴사자?")</f>
        <v>퇴사자?</v>
      </c>
      <c r="O96" s="487"/>
      <c r="P96" s="487" t="str">
        <f t="array" ref="P96">IFERROR(INDEX(All_User_backup!D:D,MATCH(Old_List!B96,All_User_backup!B:B,0)),"퇴사자?")</f>
        <v>퇴사자?</v>
      </c>
    </row>
    <row r="97" hidden="1">
      <c r="A97" s="488" t="s">
        <v>671</v>
      </c>
      <c r="B97" s="489" t="s">
        <v>1959</v>
      </c>
      <c r="C97" s="531" t="s">
        <v>2641</v>
      </c>
      <c r="D97" s="490" t="s">
        <v>913</v>
      </c>
      <c r="E97" s="507"/>
      <c r="F97" s="505" t="s">
        <v>2985</v>
      </c>
      <c r="G97" s="492"/>
      <c r="H97" s="493">
        <v>1.6711123E7</v>
      </c>
      <c r="I97" s="488">
        <v>421974.0</v>
      </c>
      <c r="J97" s="490" t="s">
        <v>3075</v>
      </c>
      <c r="K97" s="492"/>
      <c r="L97" s="494"/>
      <c r="M97" s="148" t="s">
        <v>118</v>
      </c>
      <c r="N97" s="503" t="str">
        <f t="array" ref="N97">IFERROR(INDEX(All_User_backup!H:H,MATCH(Old_List!B97,All_User_backup!B:B,0)),"퇴사자?")</f>
        <v>퇴사자?</v>
      </c>
      <c r="O97" s="487"/>
      <c r="P97" s="487" t="str">
        <f t="array" ref="P97">IFERROR(INDEX(All_User_backup!D:D,MATCH(Old_List!B97,All_User_backup!B:B,0)),"퇴사자?")</f>
        <v>퇴사자?</v>
      </c>
    </row>
    <row r="98">
      <c r="A98" s="488" t="s">
        <v>257</v>
      </c>
      <c r="B98" s="489" t="s">
        <v>478</v>
      </c>
      <c r="C98" s="531" t="s">
        <v>2641</v>
      </c>
      <c r="D98" s="490" t="s">
        <v>913</v>
      </c>
      <c r="E98" s="491" t="s">
        <v>29</v>
      </c>
      <c r="F98" s="505" t="s">
        <v>2985</v>
      </c>
      <c r="G98" s="492"/>
      <c r="H98" s="493">
        <v>1.6711113E7</v>
      </c>
      <c r="I98" s="488">
        <v>421968.0</v>
      </c>
      <c r="J98" s="490" t="s">
        <v>3076</v>
      </c>
      <c r="K98" s="492"/>
      <c r="L98" s="494"/>
      <c r="M98" s="148" t="s">
        <v>118</v>
      </c>
      <c r="N98" s="503" t="str">
        <f t="array" ref="N98">IFERROR(INDEX(All_User_backup!H:H,MATCH(Old_List!B98,All_User_backup!B:B,0)),"퇴사자?")</f>
        <v>없음</v>
      </c>
      <c r="O98" s="487"/>
      <c r="P98" s="487" t="str">
        <f t="array" ref="P98">IFERROR(INDEX(All_User_backup!D:D,MATCH(Old_List!B98,All_User_backup!B:B,0)),"퇴사자?")</f>
        <v>jaekyeong.lee@stryker.com</v>
      </c>
    </row>
    <row r="99" hidden="1">
      <c r="A99" s="488" t="s">
        <v>35</v>
      </c>
      <c r="B99" s="489" t="s">
        <v>648</v>
      </c>
      <c r="C99" s="531" t="s">
        <v>2641</v>
      </c>
      <c r="D99" s="490" t="s">
        <v>913</v>
      </c>
      <c r="E99" s="491" t="s">
        <v>29</v>
      </c>
      <c r="F99" s="505" t="s">
        <v>2985</v>
      </c>
      <c r="G99" s="492"/>
      <c r="H99" s="493">
        <v>1.6711103E7</v>
      </c>
      <c r="I99" s="488">
        <v>421973.0</v>
      </c>
      <c r="J99" s="490" t="s">
        <v>652</v>
      </c>
      <c r="K99" s="492"/>
      <c r="L99" s="494"/>
      <c r="M99" s="148" t="s">
        <v>118</v>
      </c>
      <c r="N99" s="503" t="str">
        <f t="array" ref="N99">IFERROR(INDEX(All_User_backup!H:H,MATCH(Old_List!B99,All_User_backup!B:B,0)),"퇴사자?")</f>
        <v>5CD5179KH7</v>
      </c>
      <c r="O99" s="487"/>
      <c r="P99" s="487" t="str">
        <f t="array" ref="P99">IFERROR(INDEX(All_User_backup!D:D,MATCH(Old_List!B99,All_User_backup!B:B,0)),"퇴사자?")</f>
        <v>Huey.Sim@stryker.com</v>
      </c>
    </row>
    <row r="100" hidden="1">
      <c r="A100" s="488" t="s">
        <v>142</v>
      </c>
      <c r="B100" s="489" t="s">
        <v>2503</v>
      </c>
      <c r="C100" s="531" t="s">
        <v>2641</v>
      </c>
      <c r="D100" s="490" t="s">
        <v>913</v>
      </c>
      <c r="E100" s="491" t="s">
        <v>1262</v>
      </c>
      <c r="F100" s="505" t="s">
        <v>2985</v>
      </c>
      <c r="G100" s="492"/>
      <c r="H100" s="493">
        <v>1.6711093E7</v>
      </c>
      <c r="I100" s="488">
        <v>421965.0</v>
      </c>
      <c r="J100" s="490" t="s">
        <v>2506</v>
      </c>
      <c r="K100" s="492"/>
      <c r="L100" s="494"/>
      <c r="M100" s="148" t="s">
        <v>118</v>
      </c>
      <c r="N100" s="503" t="str">
        <f t="array" ref="N100">IFERROR(INDEX(All_User_backup!H:H,MATCH(Old_List!B100,All_User_backup!B:B,0)),"퇴사자?")</f>
        <v>5CD5179KJ0</v>
      </c>
      <c r="O100" s="487"/>
      <c r="P100" s="487" t="str">
        <f t="array" ref="P100">IFERROR(INDEX(All_User_backup!D:D,MATCH(Old_List!B100,All_User_backup!B:B,0)),"퇴사자?")</f>
        <v>soyeon.park@stryker.com</v>
      </c>
    </row>
    <row r="101">
      <c r="A101" s="488" t="s">
        <v>27</v>
      </c>
      <c r="B101" s="489" t="s">
        <v>115</v>
      </c>
      <c r="C101" s="531" t="s">
        <v>2641</v>
      </c>
      <c r="D101" s="490" t="s">
        <v>913</v>
      </c>
      <c r="E101" s="491" t="s">
        <v>29</v>
      </c>
      <c r="F101" s="505" t="s">
        <v>2985</v>
      </c>
      <c r="G101" s="492"/>
      <c r="H101" s="493">
        <v>1.6711083E7</v>
      </c>
      <c r="I101" s="488">
        <v>421978.0</v>
      </c>
      <c r="J101" s="490" t="s">
        <v>3077</v>
      </c>
      <c r="K101" s="492"/>
      <c r="L101" s="494"/>
      <c r="M101" s="148" t="s">
        <v>118</v>
      </c>
      <c r="N101" s="503" t="str">
        <f t="array" ref="N101">IFERROR(INDEX(All_User_backup!H:H,MATCH(Old_List!B101,All_User_backup!B:B,0)),"퇴사자?")</f>
        <v>없음</v>
      </c>
      <c r="O101" s="487"/>
      <c r="P101" s="487" t="str">
        <f t="array" ref="P101">IFERROR(INDEX(All_User_backup!D:D,MATCH(Old_List!B101,All_User_backup!B:B,0)),"퇴사자?")</f>
        <v>roy.choi@stryker.com</v>
      </c>
    </row>
    <row r="102" hidden="1">
      <c r="A102" s="520" t="s">
        <v>671</v>
      </c>
      <c r="B102" s="521" t="s">
        <v>1959</v>
      </c>
      <c r="C102" s="521" t="s">
        <v>2641</v>
      </c>
      <c r="D102" s="521" t="s">
        <v>913</v>
      </c>
      <c r="E102" s="532" t="s">
        <v>2255</v>
      </c>
      <c r="F102" s="523" t="s">
        <v>2985</v>
      </c>
      <c r="G102" s="524"/>
      <c r="H102" s="525">
        <v>1.6711073E7</v>
      </c>
      <c r="I102" s="520">
        <v>421959.0</v>
      </c>
      <c r="J102" s="521" t="s">
        <v>3078</v>
      </c>
      <c r="K102" s="524"/>
      <c r="L102" s="526"/>
      <c r="M102" s="527" t="s">
        <v>118</v>
      </c>
      <c r="N102" s="503" t="str">
        <f t="array" ref="N102">IFERROR(INDEX(All_User_backup!H:H,MATCH(Old_List!B102,All_User_backup!B:B,0)),"퇴사자?")</f>
        <v>퇴사자?</v>
      </c>
      <c r="O102" s="487"/>
      <c r="P102" s="487" t="str">
        <f t="array" ref="P102">IFERROR(INDEX(All_User_backup!D:D,MATCH(Old_List!B102,All_User_backup!B:B,0)),"퇴사자?")</f>
        <v>퇴사자?</v>
      </c>
    </row>
    <row r="103">
      <c r="A103" s="533" t="s">
        <v>20</v>
      </c>
      <c r="B103" s="534" t="s">
        <v>126</v>
      </c>
      <c r="C103" s="534" t="s">
        <v>2641</v>
      </c>
      <c r="D103" s="534" t="s">
        <v>913</v>
      </c>
      <c r="E103" s="535" t="s">
        <v>29</v>
      </c>
      <c r="F103" s="536" t="s">
        <v>2985</v>
      </c>
      <c r="G103" s="537"/>
      <c r="H103" s="538">
        <v>1.6711063E7</v>
      </c>
      <c r="I103" s="533">
        <v>421979.0</v>
      </c>
      <c r="J103" s="534" t="s">
        <v>3079</v>
      </c>
      <c r="K103" s="537"/>
      <c r="L103" s="539"/>
      <c r="M103" s="540" t="s">
        <v>118</v>
      </c>
      <c r="N103" s="503" t="str">
        <f t="array" ref="N103">IFERROR(INDEX(All_User_backup!H:H,MATCH(Old_List!B103,All_User_backup!B:B,0)),"퇴사자?")</f>
        <v>5CD5179KHS</v>
      </c>
      <c r="O103" s="487"/>
      <c r="P103" s="487" t="str">
        <f t="array" ref="P103">IFERROR(INDEX(All_User_backup!D:D,MATCH(Old_List!B103,All_User_backup!B:B,0)),"퇴사자?")</f>
        <v>kyu.choi@stryker.com</v>
      </c>
    </row>
    <row r="104">
      <c r="A104" s="533" t="s">
        <v>20</v>
      </c>
      <c r="B104" s="534" t="s">
        <v>228</v>
      </c>
      <c r="C104" s="534" t="s">
        <v>2641</v>
      </c>
      <c r="D104" s="534" t="s">
        <v>913</v>
      </c>
      <c r="E104" s="535" t="s">
        <v>29</v>
      </c>
      <c r="F104" s="536" t="s">
        <v>2985</v>
      </c>
      <c r="G104" s="537"/>
      <c r="H104" s="538">
        <v>1.6711053E7</v>
      </c>
      <c r="I104" s="533">
        <v>421977.0</v>
      </c>
      <c r="J104" s="534" t="s">
        <v>3080</v>
      </c>
      <c r="K104" s="537"/>
      <c r="L104" s="539"/>
      <c r="M104" s="540" t="s">
        <v>118</v>
      </c>
      <c r="N104" s="503" t="str">
        <f t="array" ref="N104">IFERROR(INDEX(All_User_backup!H:H,MATCH(Old_List!B104,All_User_backup!B:B,0)),"퇴사자?")</f>
        <v>없음</v>
      </c>
      <c r="O104" s="487"/>
      <c r="P104" s="487" t="str">
        <f t="array" ref="P104">IFERROR(INDEX(All_User_backup!D:D,MATCH(Old_List!B104,All_User_backup!B:B,0)),"퇴사자?")</f>
        <v>lucas.jeon@stryker.com</v>
      </c>
    </row>
    <row r="105">
      <c r="A105" s="488" t="s">
        <v>52</v>
      </c>
      <c r="B105" s="489" t="s">
        <v>400</v>
      </c>
      <c r="C105" s="531" t="s">
        <v>2641</v>
      </c>
      <c r="D105" s="490" t="s">
        <v>913</v>
      </c>
      <c r="E105" s="491" t="s">
        <v>29</v>
      </c>
      <c r="F105" s="505" t="s">
        <v>2985</v>
      </c>
      <c r="G105" s="492"/>
      <c r="H105" s="493">
        <v>1.6711043E7</v>
      </c>
      <c r="I105" s="488">
        <v>421960.0</v>
      </c>
      <c r="J105" s="490" t="s">
        <v>3081</v>
      </c>
      <c r="K105" s="492"/>
      <c r="L105" s="494"/>
      <c r="M105" s="148" t="s">
        <v>118</v>
      </c>
      <c r="N105" s="503" t="str">
        <f t="array" ref="N105">IFERROR(INDEX(All_User_backup!H:H,MATCH(Old_List!B105,All_User_backup!B:B,0)),"퇴사자?")</f>
        <v>없음</v>
      </c>
      <c r="O105" s="487"/>
      <c r="P105" s="487" t="str">
        <f t="array" ref="P105">IFERROR(INDEX(All_User_backup!D:D,MATCH(Old_List!B105,All_User_backup!B:B,0)),"퇴사자?")</f>
        <v>david.kim3@stryker.com</v>
      </c>
    </row>
    <row r="106" hidden="1">
      <c r="A106" s="488" t="s">
        <v>671</v>
      </c>
      <c r="B106" s="489" t="s">
        <v>1959</v>
      </c>
      <c r="C106" s="531" t="s">
        <v>2641</v>
      </c>
      <c r="D106" s="490" t="s">
        <v>913</v>
      </c>
      <c r="E106" s="507"/>
      <c r="F106" s="505" t="s">
        <v>2985</v>
      </c>
      <c r="G106" s="492"/>
      <c r="H106" s="508"/>
      <c r="I106" s="488">
        <v>421975.0</v>
      </c>
      <c r="J106" s="490" t="s">
        <v>3082</v>
      </c>
      <c r="K106" s="492"/>
      <c r="L106" s="494"/>
      <c r="M106" s="148" t="s">
        <v>118</v>
      </c>
      <c r="N106" s="503" t="str">
        <f t="array" ref="N106">IFERROR(INDEX(All_User_backup!H:H,MATCH(Old_List!B106,All_User_backup!B:B,0)),"퇴사자?")</f>
        <v>퇴사자?</v>
      </c>
      <c r="O106" s="487"/>
      <c r="P106" s="487" t="str">
        <f t="array" ref="P106">IFERROR(INDEX(All_User_backup!D:D,MATCH(Old_List!B106,All_User_backup!B:B,0)),"퇴사자?")</f>
        <v>퇴사자?</v>
      </c>
    </row>
    <row r="107" hidden="1">
      <c r="A107" s="488" t="s">
        <v>27</v>
      </c>
      <c r="B107" s="489" t="s">
        <v>3083</v>
      </c>
      <c r="C107" s="531" t="s">
        <v>2641</v>
      </c>
      <c r="D107" s="490" t="s">
        <v>913</v>
      </c>
      <c r="E107" s="491" t="s">
        <v>29</v>
      </c>
      <c r="F107" s="505" t="s">
        <v>2985</v>
      </c>
      <c r="G107" s="492"/>
      <c r="H107" s="508"/>
      <c r="I107" s="488">
        <v>421971.0</v>
      </c>
      <c r="J107" s="492"/>
      <c r="K107" s="492"/>
      <c r="L107" s="494"/>
      <c r="M107" s="148" t="s">
        <v>118</v>
      </c>
      <c r="N107" s="503" t="str">
        <f t="array" ref="N107">IFERROR(INDEX(All_User_backup!H:H,MATCH(Old_List!B107,All_User_backup!B:B,0)),"퇴사자?")</f>
        <v>퇴사자?</v>
      </c>
      <c r="O107" s="487"/>
      <c r="P107" s="487" t="str">
        <f t="array" ref="P107">IFERROR(INDEX(All_User_backup!D:D,MATCH(Old_List!B107,All_User_backup!B:B,0)),"퇴사자?")</f>
        <v>퇴사자?</v>
      </c>
    </row>
    <row r="108">
      <c r="A108" s="533" t="s">
        <v>20</v>
      </c>
      <c r="B108" s="534" t="s">
        <v>155</v>
      </c>
      <c r="C108" s="534" t="s">
        <v>2641</v>
      </c>
      <c r="D108" s="534" t="s">
        <v>913</v>
      </c>
      <c r="E108" s="535" t="s">
        <v>29</v>
      </c>
      <c r="F108" s="536" t="s">
        <v>2985</v>
      </c>
      <c r="G108" s="537"/>
      <c r="H108" s="541"/>
      <c r="I108" s="533">
        <v>421981.0</v>
      </c>
      <c r="J108" s="534" t="s">
        <v>3084</v>
      </c>
      <c r="K108" s="537"/>
      <c r="L108" s="539"/>
      <c r="M108" s="540" t="s">
        <v>118</v>
      </c>
      <c r="N108" s="503" t="str">
        <f t="array" ref="N108">IFERROR(INDEX(All_User_backup!H:H,MATCH(Old_List!B108,All_User_backup!B:B,0)),"퇴사자?")</f>
        <v>없음</v>
      </c>
      <c r="O108" s="487"/>
      <c r="P108" s="487" t="str">
        <f t="array" ref="P108">IFERROR(INDEX(All_User_backup!D:D,MATCH(Old_List!B108,All_User_backup!B:B,0)),"퇴사자?")</f>
        <v>emma.eun@stryker.com</v>
      </c>
    </row>
    <row r="109" hidden="1">
      <c r="A109" s="520" t="s">
        <v>2983</v>
      </c>
      <c r="B109" s="521" t="s">
        <v>482</v>
      </c>
      <c r="C109" s="521" t="s">
        <v>2641</v>
      </c>
      <c r="D109" s="521" t="s">
        <v>913</v>
      </c>
      <c r="E109" s="532" t="s">
        <v>484</v>
      </c>
      <c r="F109" s="523" t="s">
        <v>2985</v>
      </c>
      <c r="G109" s="524"/>
      <c r="H109" s="542"/>
      <c r="I109" s="520">
        <v>4211980.0</v>
      </c>
      <c r="J109" s="521" t="s">
        <v>486</v>
      </c>
      <c r="K109" s="524"/>
      <c r="L109" s="526"/>
      <c r="M109" s="527" t="s">
        <v>118</v>
      </c>
      <c r="N109" s="503" t="str">
        <f t="array" ref="N109">IFERROR(INDEX(All_User_backup!H:H,MATCH(Old_List!B109,All_User_backup!B:B,0)),"퇴사자?")</f>
        <v>5CD4305D91</v>
      </c>
      <c r="O109" s="487"/>
      <c r="P109" s="487" t="str">
        <f t="array" ref="P109">IFERROR(INDEX(All_User_backup!D:D,MATCH(Old_List!B109,All_User_backup!B:B,0)),"퇴사자?")</f>
        <v>eunji.lee@stryker.com</v>
      </c>
    </row>
    <row r="110" hidden="1">
      <c r="A110" s="488" t="s">
        <v>671</v>
      </c>
      <c r="B110" s="489" t="s">
        <v>750</v>
      </c>
      <c r="C110" s="531" t="s">
        <v>2641</v>
      </c>
      <c r="D110" s="490" t="s">
        <v>913</v>
      </c>
      <c r="E110" s="491" t="s">
        <v>29</v>
      </c>
      <c r="F110" s="505" t="s">
        <v>2985</v>
      </c>
      <c r="G110" s="492"/>
      <c r="H110" s="508"/>
      <c r="I110" s="516"/>
      <c r="J110" s="492"/>
      <c r="K110" s="492"/>
      <c r="L110" s="494"/>
      <c r="M110" s="148" t="s">
        <v>118</v>
      </c>
      <c r="N110" s="503" t="str">
        <f t="array" ref="N110">IFERROR(INDEX(All_User_backup!H:H,MATCH(Old_List!B110,All_User_backup!B:B,0)),"퇴사자?")</f>
        <v>퇴사자?</v>
      </c>
      <c r="O110" s="487"/>
      <c r="P110" s="487" t="str">
        <f t="array" ref="P110">IFERROR(INDEX(All_User_backup!D:D,MATCH(Old_List!B110,All_User_backup!B:B,0)),"퇴사자?")</f>
        <v>퇴사자?</v>
      </c>
    </row>
    <row r="111" hidden="1">
      <c r="A111" s="488" t="s">
        <v>671</v>
      </c>
      <c r="B111" s="489" t="s">
        <v>750</v>
      </c>
      <c r="C111" s="531" t="s">
        <v>2641</v>
      </c>
      <c r="D111" s="490" t="s">
        <v>913</v>
      </c>
      <c r="E111" s="491" t="s">
        <v>29</v>
      </c>
      <c r="F111" s="505" t="s">
        <v>2985</v>
      </c>
      <c r="G111" s="492"/>
      <c r="H111" s="508"/>
      <c r="I111" s="516"/>
      <c r="J111" s="492"/>
      <c r="K111" s="492"/>
      <c r="L111" s="494"/>
      <c r="M111" s="148" t="s">
        <v>118</v>
      </c>
      <c r="N111" s="503" t="str">
        <f t="array" ref="N111">IFERROR(INDEX(All_User_backup!H:H,MATCH(Old_List!B111,All_User_backup!B:B,0)),"퇴사자?")</f>
        <v>퇴사자?</v>
      </c>
      <c r="O111" s="487"/>
      <c r="P111" s="487" t="str">
        <f t="array" ref="P111">IFERROR(INDEX(All_User_backup!D:D,MATCH(Old_List!B111,All_User_backup!B:B,0)),"퇴사자?")</f>
        <v>퇴사자?</v>
      </c>
    </row>
    <row r="112" hidden="1">
      <c r="A112" s="488" t="s">
        <v>671</v>
      </c>
      <c r="B112" s="489" t="s">
        <v>750</v>
      </c>
      <c r="C112" s="531" t="s">
        <v>2641</v>
      </c>
      <c r="D112" s="490" t="s">
        <v>913</v>
      </c>
      <c r="E112" s="491" t="s">
        <v>29</v>
      </c>
      <c r="F112" s="505" t="s">
        <v>2985</v>
      </c>
      <c r="G112" s="492"/>
      <c r="H112" s="508"/>
      <c r="I112" s="516"/>
      <c r="J112" s="492"/>
      <c r="K112" s="492"/>
      <c r="L112" s="494"/>
      <c r="M112" s="148" t="s">
        <v>118</v>
      </c>
      <c r="N112" s="503" t="str">
        <f t="array" ref="N112">IFERROR(INDEX(All_User_backup!H:H,MATCH(Old_List!B112,All_User_backup!B:B,0)),"퇴사자?")</f>
        <v>퇴사자?</v>
      </c>
      <c r="O112" s="487"/>
      <c r="P112" s="487" t="str">
        <f t="array" ref="P112">IFERROR(INDEX(All_User_backup!D:D,MATCH(Old_List!B112,All_User_backup!B:B,0)),"퇴사자?")</f>
        <v>퇴사자?</v>
      </c>
    </row>
    <row r="113" hidden="1">
      <c r="A113" s="488" t="s">
        <v>671</v>
      </c>
      <c r="B113" s="489" t="s">
        <v>750</v>
      </c>
      <c r="C113" s="531" t="s">
        <v>2641</v>
      </c>
      <c r="D113" s="490" t="s">
        <v>913</v>
      </c>
      <c r="E113" s="491" t="s">
        <v>29</v>
      </c>
      <c r="F113" s="505" t="s">
        <v>2985</v>
      </c>
      <c r="G113" s="492"/>
      <c r="H113" s="508"/>
      <c r="I113" s="516"/>
      <c r="J113" s="492"/>
      <c r="K113" s="492"/>
      <c r="L113" s="494"/>
      <c r="M113" s="148" t="s">
        <v>118</v>
      </c>
      <c r="N113" s="503" t="str">
        <f t="array" ref="N113">IFERROR(INDEX(All_User_backup!H:H,MATCH(Old_List!B113,All_User_backup!B:B,0)),"퇴사자?")</f>
        <v>퇴사자?</v>
      </c>
      <c r="O113" s="487"/>
      <c r="P113" s="487" t="str">
        <f t="array" ref="P113">IFERROR(INDEX(All_User_backup!D:D,MATCH(Old_List!B113,All_User_backup!B:B,0)),"퇴사자?")</f>
        <v>퇴사자?</v>
      </c>
    </row>
    <row r="114" hidden="1">
      <c r="A114" s="488" t="s">
        <v>671</v>
      </c>
      <c r="B114" s="489" t="s">
        <v>750</v>
      </c>
      <c r="C114" s="531" t="s">
        <v>2641</v>
      </c>
      <c r="D114" s="490" t="s">
        <v>913</v>
      </c>
      <c r="E114" s="491" t="s">
        <v>29</v>
      </c>
      <c r="F114" s="505" t="s">
        <v>2985</v>
      </c>
      <c r="G114" s="492"/>
      <c r="H114" s="508"/>
      <c r="I114" s="516"/>
      <c r="J114" s="492"/>
      <c r="K114" s="492"/>
      <c r="L114" s="494"/>
      <c r="M114" s="148" t="s">
        <v>118</v>
      </c>
      <c r="N114" s="503" t="str">
        <f t="array" ref="N114">IFERROR(INDEX(All_User_backup!H:H,MATCH(Old_List!B114,All_User_backup!B:B,0)),"퇴사자?")</f>
        <v>퇴사자?</v>
      </c>
      <c r="O114" s="487"/>
      <c r="P114" s="487" t="str">
        <f t="array" ref="P114">IFERROR(INDEX(All_User_backup!D:D,MATCH(Old_List!B114,All_User_backup!B:B,0)),"퇴사자?")</f>
        <v>퇴사자?</v>
      </c>
    </row>
    <row r="115" hidden="1">
      <c r="A115" s="488" t="s">
        <v>671</v>
      </c>
      <c r="B115" s="489" t="s">
        <v>750</v>
      </c>
      <c r="C115" s="531" t="s">
        <v>2641</v>
      </c>
      <c r="D115" s="490" t="s">
        <v>913</v>
      </c>
      <c r="E115" s="491" t="s">
        <v>29</v>
      </c>
      <c r="F115" s="505" t="s">
        <v>2985</v>
      </c>
      <c r="G115" s="492"/>
      <c r="H115" s="508"/>
      <c r="I115" s="516"/>
      <c r="J115" s="492"/>
      <c r="K115" s="492"/>
      <c r="L115" s="494"/>
      <c r="M115" s="148" t="s">
        <v>118</v>
      </c>
      <c r="N115" s="503" t="str">
        <f t="array" ref="N115">IFERROR(INDEX(All_User_backup!H:H,MATCH(Old_List!B115,All_User_backup!B:B,0)),"퇴사자?")</f>
        <v>퇴사자?</v>
      </c>
      <c r="O115" s="487"/>
      <c r="P115" s="487" t="str">
        <f t="array" ref="P115">IFERROR(INDEX(All_User_backup!D:D,MATCH(Old_List!B115,All_User_backup!B:B,0)),"퇴사자?")</f>
        <v>퇴사자?</v>
      </c>
    </row>
    <row r="116" hidden="1">
      <c r="A116" s="488" t="s">
        <v>671</v>
      </c>
      <c r="B116" s="489" t="s">
        <v>750</v>
      </c>
      <c r="C116" s="531" t="s">
        <v>2641</v>
      </c>
      <c r="D116" s="490" t="s">
        <v>913</v>
      </c>
      <c r="E116" s="491" t="s">
        <v>29</v>
      </c>
      <c r="F116" s="505" t="s">
        <v>2985</v>
      </c>
      <c r="G116" s="492"/>
      <c r="H116" s="508"/>
      <c r="I116" s="516"/>
      <c r="J116" s="492"/>
      <c r="K116" s="492"/>
      <c r="L116" s="494"/>
      <c r="M116" s="148" t="s">
        <v>118</v>
      </c>
      <c r="N116" s="503" t="str">
        <f t="array" ref="N116">IFERROR(INDEX(All_User_backup!H:H,MATCH(Old_List!B116,All_User_backup!B:B,0)),"퇴사자?")</f>
        <v>퇴사자?</v>
      </c>
      <c r="O116" s="487"/>
      <c r="P116" s="487" t="str">
        <f t="array" ref="P116">IFERROR(INDEX(All_User_backup!D:D,MATCH(Old_List!B116,All_User_backup!B:B,0)),"퇴사자?")</f>
        <v>퇴사자?</v>
      </c>
    </row>
    <row r="117" hidden="1">
      <c r="A117" s="488" t="s">
        <v>671</v>
      </c>
      <c r="B117" s="489" t="s">
        <v>750</v>
      </c>
      <c r="C117" s="531" t="s">
        <v>2641</v>
      </c>
      <c r="D117" s="490" t="s">
        <v>913</v>
      </c>
      <c r="E117" s="491" t="s">
        <v>29</v>
      </c>
      <c r="F117" s="505" t="s">
        <v>2985</v>
      </c>
      <c r="G117" s="492"/>
      <c r="H117" s="508"/>
      <c r="I117" s="516"/>
      <c r="J117" s="492"/>
      <c r="K117" s="492"/>
      <c r="L117" s="494"/>
      <c r="M117" s="148" t="s">
        <v>118</v>
      </c>
      <c r="N117" s="503" t="str">
        <f t="array" ref="N117">IFERROR(INDEX(All_User_backup!H:H,MATCH(Old_List!B117,All_User_backup!B:B,0)),"퇴사자?")</f>
        <v>퇴사자?</v>
      </c>
      <c r="O117" s="487"/>
      <c r="P117" s="487" t="str">
        <f t="array" ref="P117">IFERROR(INDEX(All_User_backup!D:D,MATCH(Old_List!B117,All_User_backup!B:B,0)),"퇴사자?")</f>
        <v>퇴사자?</v>
      </c>
    </row>
    <row r="118">
      <c r="A118" s="488" t="s">
        <v>671</v>
      </c>
      <c r="B118" s="489" t="s">
        <v>506</v>
      </c>
      <c r="C118" s="531" t="s">
        <v>2641</v>
      </c>
      <c r="D118" s="490" t="s">
        <v>913</v>
      </c>
      <c r="E118" s="491" t="s">
        <v>29</v>
      </c>
      <c r="F118" s="505" t="s">
        <v>2985</v>
      </c>
      <c r="G118" s="492"/>
      <c r="H118" s="508"/>
      <c r="I118" s="516"/>
      <c r="J118" s="492"/>
      <c r="K118" s="492"/>
      <c r="L118" s="494"/>
      <c r="M118" s="148" t="s">
        <v>118</v>
      </c>
      <c r="N118" s="503" t="str">
        <f t="array" ref="N118">IFERROR(INDEX(All_User_backup!H:H,MATCH(Old_List!B118,All_User_backup!B:B,0)),"퇴사자?")</f>
        <v>5CG53403DD</v>
      </c>
      <c r="O118" s="487"/>
      <c r="P118" s="487" t="str">
        <f t="array" ref="P118">IFERROR(INDEX(All_User_backup!D:D,MATCH(Old_List!B118,All_User_backup!B:B,0)),"퇴사자?")</f>
        <v>kyle.lim@stryker.com</v>
      </c>
    </row>
    <row r="119">
      <c r="A119" s="488" t="s">
        <v>52</v>
      </c>
      <c r="B119" s="489" t="s">
        <v>231</v>
      </c>
      <c r="C119" s="531" t="s">
        <v>2641</v>
      </c>
      <c r="D119" s="490" t="s">
        <v>913</v>
      </c>
      <c r="E119" s="491" t="s">
        <v>29</v>
      </c>
      <c r="F119" s="505" t="s">
        <v>2985</v>
      </c>
      <c r="G119" s="492"/>
      <c r="H119" s="508"/>
      <c r="I119" s="516"/>
      <c r="J119" s="492"/>
      <c r="K119" s="492"/>
      <c r="L119" s="494"/>
      <c r="M119" s="148" t="s">
        <v>118</v>
      </c>
      <c r="N119" s="503" t="str">
        <f t="array" ref="N119">IFERROR(INDEX(All_User_backup!H:H,MATCH(Old_List!B119,All_User_backup!B:B,0)),"퇴사자?")</f>
        <v>없음</v>
      </c>
      <c r="O119" s="487"/>
      <c r="P119" s="487" t="str">
        <f t="array" ref="P119">IFERROR(INDEX(All_User_backup!D:D,MATCH(Old_List!B119,All_User_backup!B:B,0)),"퇴사자?")</f>
        <v>chan.jeon@stryker.com</v>
      </c>
    </row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</sheetData>
  <autoFilter ref="$A$1:$P$902">
    <filterColumn colId="13">
      <filters>
        <filter val="5CD409908N"/>
        <filter val="5CD4232BFQ"/>
        <filter val="5CG53403DD"/>
        <filter val="5CD4232BFS"/>
        <filter val="없음"/>
        <filter val="5CG53403D9"/>
        <filter val="5CG53403CW"/>
        <filter val="5CD5179KJ6"/>
        <filter val="5CG53403D1"/>
      </filters>
    </filterColumn>
  </autoFil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1" t="s">
        <v>905</v>
      </c>
      <c r="B1" s="121" t="s">
        <v>906</v>
      </c>
      <c r="C1" s="121" t="s">
        <v>907</v>
      </c>
      <c r="D1" s="121" t="s">
        <v>908</v>
      </c>
      <c r="E1" s="121" t="s">
        <v>909</v>
      </c>
      <c r="F1" s="121" t="s">
        <v>2973</v>
      </c>
      <c r="G1" s="124" t="s">
        <v>910</v>
      </c>
      <c r="H1" s="124" t="s">
        <v>2332</v>
      </c>
      <c r="I1" s="121" t="s">
        <v>911</v>
      </c>
    </row>
    <row r="2">
      <c r="A2" s="136" t="s">
        <v>912</v>
      </c>
      <c r="B2" s="126" t="s">
        <v>913</v>
      </c>
      <c r="C2" s="218"/>
      <c r="D2" s="126" t="s">
        <v>915</v>
      </c>
      <c r="E2" s="128">
        <v>40931.0</v>
      </c>
      <c r="F2" s="126" t="s">
        <v>671</v>
      </c>
      <c r="G2" s="129" t="s">
        <v>916</v>
      </c>
      <c r="H2" s="129" t="s">
        <v>584</v>
      </c>
      <c r="I2" s="543" t="s">
        <v>3085</v>
      </c>
    </row>
    <row r="3">
      <c r="A3" s="136" t="s">
        <v>912</v>
      </c>
      <c r="B3" s="126" t="s">
        <v>913</v>
      </c>
      <c r="C3" s="218"/>
      <c r="D3" s="126" t="s">
        <v>995</v>
      </c>
      <c r="E3" s="148" t="s">
        <v>989</v>
      </c>
      <c r="F3" s="126" t="s">
        <v>671</v>
      </c>
      <c r="G3" s="131" t="s">
        <v>916</v>
      </c>
      <c r="H3" s="129" t="s">
        <v>584</v>
      </c>
      <c r="I3" s="158" t="s">
        <v>3086</v>
      </c>
    </row>
    <row r="4">
      <c r="A4" s="136" t="s">
        <v>912</v>
      </c>
      <c r="B4" s="136" t="s">
        <v>913</v>
      </c>
      <c r="C4" s="544"/>
      <c r="D4" s="136" t="s">
        <v>1072</v>
      </c>
      <c r="E4" s="156" t="s">
        <v>1073</v>
      </c>
      <c r="F4" s="136" t="s">
        <v>671</v>
      </c>
      <c r="G4" s="129" t="s">
        <v>916</v>
      </c>
      <c r="H4" s="129" t="s">
        <v>584</v>
      </c>
      <c r="I4" s="158" t="s">
        <v>3087</v>
      </c>
    </row>
    <row r="5">
      <c r="A5" s="126" t="s">
        <v>912</v>
      </c>
      <c r="B5" s="126" t="s">
        <v>913</v>
      </c>
      <c r="C5" s="210">
        <v>445016.0</v>
      </c>
      <c r="D5" s="126" t="s">
        <v>1110</v>
      </c>
      <c r="E5" s="148" t="s">
        <v>1073</v>
      </c>
      <c r="F5" s="126" t="s">
        <v>671</v>
      </c>
      <c r="G5" s="131" t="s">
        <v>916</v>
      </c>
      <c r="H5" s="199"/>
      <c r="I5" s="158" t="s">
        <v>3088</v>
      </c>
    </row>
    <row r="6">
      <c r="A6" s="126" t="s">
        <v>1147</v>
      </c>
      <c r="B6" s="126" t="s">
        <v>913</v>
      </c>
      <c r="C6" s="218"/>
      <c r="D6" s="126" t="s">
        <v>1230</v>
      </c>
      <c r="E6" s="148" t="s">
        <v>1183</v>
      </c>
      <c r="F6" s="126" t="s">
        <v>671</v>
      </c>
      <c r="G6" s="131" t="s">
        <v>916</v>
      </c>
      <c r="H6" s="545"/>
      <c r="I6" s="175" t="s">
        <v>3089</v>
      </c>
    </row>
    <row r="7">
      <c r="A7" s="546" t="s">
        <v>912</v>
      </c>
      <c r="B7" s="126" t="s">
        <v>913</v>
      </c>
      <c r="C7" s="218"/>
      <c r="D7" s="126" t="s">
        <v>1027</v>
      </c>
      <c r="E7" s="148" t="s">
        <v>1023</v>
      </c>
      <c r="F7" s="126" t="s">
        <v>671</v>
      </c>
      <c r="G7" s="131" t="s">
        <v>916</v>
      </c>
      <c r="H7" s="131" t="s">
        <v>584</v>
      </c>
      <c r="I7" s="158" t="s">
        <v>3090</v>
      </c>
    </row>
    <row r="8">
      <c r="A8" s="546" t="s">
        <v>912</v>
      </c>
      <c r="B8" s="126" t="s">
        <v>913</v>
      </c>
      <c r="C8" s="218"/>
      <c r="D8" s="126" t="s">
        <v>1022</v>
      </c>
      <c r="E8" s="154" t="s">
        <v>1023</v>
      </c>
      <c r="F8" s="126" t="s">
        <v>671</v>
      </c>
      <c r="G8" s="131" t="s">
        <v>996</v>
      </c>
      <c r="H8" s="139" t="s">
        <v>3091</v>
      </c>
      <c r="I8" s="139" t="s">
        <v>3092</v>
      </c>
    </row>
    <row r="9">
      <c r="A9" s="126" t="s">
        <v>1147</v>
      </c>
      <c r="B9" s="126" t="s">
        <v>913</v>
      </c>
      <c r="C9" s="218"/>
      <c r="D9" s="136" t="s">
        <v>1193</v>
      </c>
      <c r="E9" s="148" t="s">
        <v>1183</v>
      </c>
      <c r="F9" s="126" t="s">
        <v>27</v>
      </c>
      <c r="G9" s="131" t="s">
        <v>768</v>
      </c>
      <c r="H9" s="139" t="s">
        <v>3093</v>
      </c>
      <c r="I9" s="175" t="s">
        <v>3094</v>
      </c>
    </row>
  </sheetData>
  <hyperlinks>
    <hyperlink r:id="rId1" ref="H8"/>
    <hyperlink r:id="rId2" ref="I8"/>
    <hyperlink r:id="rId3" ref="H9"/>
  </hyperlinks>
  <drawing r:id="rId4"/>
</worksheet>
</file>